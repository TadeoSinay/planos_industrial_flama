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ROY_Indexado" sheetId="1" state="visible" r:id="rId3"/>
    <sheet name="datos_base" sheetId="2" state="visible" r:id="rId4"/>
    <sheet name="parametros_recargas" sheetId="3" state="visible" r:id="rId5"/>
    <sheet name="sobrestock_sustitutos" sheetId="4" state="visible" r:id="rId6"/>
    <sheet name="Plan mensual" sheetId="5" state="visible" r:id="rId7"/>
    <sheet name="Demanda por puesto" sheetId="6" state="visible" r:id="rId8"/>
    <sheet name="Resumen Capacida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<sst xmlns="http://schemas.openxmlformats.org/spreadsheetml/2006/main" count="881" uniqueCount="347">
  <si>
    <t xml:space="preserve">Proyecciones — Indexado Dim Técnico</t>
  </si>
  <si>
    <t xml:space="preserve">Recargas por tipo</t>
  </si>
  <si>
    <t xml:space="preserve">ABC 1 kg</t>
  </si>
  <si>
    <t xml:space="preserve">ABC 2,5 kg</t>
  </si>
  <si>
    <t xml:space="preserve">ABC 5 kg</t>
  </si>
  <si>
    <t xml:space="preserve">ABC 10 kg</t>
  </si>
  <si>
    <t xml:space="preserve">Agua 10 l</t>
  </si>
  <si>
    <t xml:space="preserve">AFFF 10 l</t>
  </si>
  <si>
    <t xml:space="preserve">AFFF 50 l s/ruedas</t>
  </si>
  <si>
    <t xml:space="preserve">BC 5 kg</t>
  </si>
  <si>
    <t xml:space="preserve">Sales K 6 l</t>
  </si>
  <si>
    <t xml:space="preserve">CO₂ 2 kg</t>
  </si>
  <si>
    <t xml:space="preserve">CO₂ 5 kg</t>
  </si>
  <si>
    <t xml:space="preserve">HCFC/HFC 5 kg</t>
  </si>
  <si>
    <t xml:space="preserve">Clase D 9 l</t>
  </si>
  <si>
    <t xml:space="preserve">ABC 25 kg s/ruedas</t>
  </si>
  <si>
    <t xml:space="preserve">ABC 50 kg s/ruedas</t>
  </si>
  <si>
    <t xml:space="preserve">ABC 70 kg s/ruedas</t>
  </si>
  <si>
    <t xml:space="preserve">ABC 100 kg s/ruedas</t>
  </si>
  <si>
    <t xml:space="preserve">Recargas total</t>
  </si>
  <si>
    <t xml:space="preserve">Recargas por zona y planta </t>
  </si>
  <si>
    <t xml:space="preserve">Zona</t>
  </si>
  <si>
    <t xml:space="preserve">% zonal 2035</t>
  </si>
  <si>
    <t xml:space="preserve">Planta</t>
  </si>
  <si>
    <t xml:space="preserve">CABA Norte</t>
  </si>
  <si>
    <t xml:space="preserve">Comercial</t>
  </si>
  <si>
    <t xml:space="preserve">CABA Este</t>
  </si>
  <si>
    <t xml:space="preserve">CABA Sur</t>
  </si>
  <si>
    <t xml:space="preserve">Industrial</t>
  </si>
  <si>
    <t xml:space="preserve">CABA Oeste</t>
  </si>
  <si>
    <t xml:space="preserve">PBA Sur 1er (Avellaneda)</t>
  </si>
  <si>
    <t xml:space="preserve">PBA Sur 2do cordón</t>
  </si>
  <si>
    <t xml:space="preserve">PBA Sur 3er cordón</t>
  </si>
  <si>
    <t xml:space="preserve">PBA Norte 1er cordón</t>
  </si>
  <si>
    <t xml:space="preserve">PBA Norte 2do cordón</t>
  </si>
  <si>
    <t xml:space="preserve">PBA Norte 3er cordón</t>
  </si>
  <si>
    <t xml:space="preserve">PBA Oeste 1er cordón</t>
  </si>
  <si>
    <t xml:space="preserve">PBA Oeste 2do cordón</t>
  </si>
  <si>
    <t xml:space="preserve">PBA Oeste 3er cordón</t>
  </si>
  <si>
    <t xml:space="preserve">PBA Interior</t>
  </si>
  <si>
    <t xml:space="preserve">% planta comercial</t>
  </si>
  <si>
    <t xml:space="preserve">% planta industrial</t>
  </si>
  <si>
    <t xml:space="preserve">Control (tiene que dar 100 %)</t>
  </si>
  <si>
    <t xml:space="preserve">Tasas de Proyecciones (hojas PROYECCION por rubro; iguales para todos los tipos)</t>
  </si>
  <si>
    <t xml:space="preserve">Concepto</t>
  </si>
  <si>
    <t xml:space="preserve">Valor</t>
  </si>
  <si>
    <t xml:space="preserve">Uso en este archivo</t>
  </si>
  <si>
    <t xml:space="preserve">Mat Usados ÷ RECARGAS An</t>
  </si>
  <si>
    <t xml:space="preserve">Se usa: equipos que llegan descargados por uso</t>
  </si>
  <si>
    <t xml:space="preserve">Mat PH ÷ RECARGAS An</t>
  </si>
  <si>
    <t xml:space="preserve">Se usa: equipos que no pasan la PH y se inutilizan</t>
  </si>
  <si>
    <t xml:space="preserve">Mat Rot ÷ RECARGAS An</t>
  </si>
  <si>
    <t xml:space="preserve">Se usa: equipos rotos que se inutilizan</t>
  </si>
  <si>
    <t xml:space="preserve">Mat Fin VU ÷ RECARGAS An</t>
  </si>
  <si>
    <t xml:space="preserve">No se usa: Proyecciones aplica la misma vida útil a todos los tipos; acá va la del Anexo E (20 años, CO₂ 30)</t>
  </si>
  <si>
    <t xml:space="preserve">Planta de este archivo</t>
  </si>
  <si>
    <t xml:space="preserve">% de recargas de esta planta</t>
  </si>
  <si>
    <t xml:space="preserve">Recargas de mercado 2035 por tipo y rubro, zonas de cada planta (hojas PROYECCION &lt;rubro&gt;)</t>
  </si>
  <si>
    <t xml:space="preserve">Planta comercial</t>
  </si>
  <si>
    <t xml:space="preserve">Automotor</t>
  </si>
  <si>
    <t xml:space="preserve">Edificios</t>
  </si>
  <si>
    <t xml:space="preserve">Educación</t>
  </si>
  <si>
    <t xml:space="preserve">Hoteles</t>
  </si>
  <si>
    <t xml:space="preserve">Industrias / almacenes</t>
  </si>
  <si>
    <t xml:space="preserve">Salud</t>
  </si>
  <si>
    <t xml:space="preserve">Supermercados</t>
  </si>
  <si>
    <t xml:space="preserve">Total</t>
  </si>
  <si>
    <t xml:space="preserve">Planta industrial</t>
  </si>
  <si>
    <t xml:space="preserve">Esta planta</t>
  </si>
  <si>
    <t xml:space="preserve">Carros repartidos 25/55/12/8 % entre 25, 50, 70 y 100 kg, como PxQ (Corregido) filas 66 a 69.</t>
  </si>
  <si>
    <t xml:space="preserve">Tipo de matafuego</t>
  </si>
  <si>
    <t xml:space="preserve">Recargas Total</t>
  </si>
  <si>
    <t xml:space="preserve">Parámetro</t>
  </si>
  <si>
    <t xml:space="preserve">Fuente / criterio</t>
  </si>
  <si>
    <t xml:space="preserve">Días hábiles por mes</t>
  </si>
  <si>
    <t xml:space="preserve">240 días hábiles por año ÷ 12</t>
  </si>
  <si>
    <t xml:space="preserve">Horas por día (1 turno)</t>
  </si>
  <si>
    <t xml:space="preserve">Refrigerio (min/turno)</t>
  </si>
  <si>
    <t xml:space="preserve">Horas productivas por turno</t>
  </si>
  <si>
    <t xml:space="preserve">Horas productivas por mes (1 turno)</t>
  </si>
  <si>
    <t xml:space="preserve">Umbral de aprovechamiento</t>
  </si>
  <si>
    <t xml:space="preserve">10 % de holgura para variabilidad, averías y mantenimiento</t>
  </si>
  <si>
    <t xml:space="preserve">Turnos máximos por día</t>
  </si>
  <si>
    <t xml:space="preserve">hasta 2 turnos de 8 h; después se agrega máquina</t>
  </si>
  <si>
    <t xml:space="preserve">Equivalencia de un rodante (u. equivalentes)</t>
  </si>
  <si>
    <t xml:space="preserve">Traslado en carro, morsa y manipuleo del porte</t>
  </si>
  <si>
    <t xml:space="preserve">Año de inicio del 2° turno (antes: más máquinas)</t>
  </si>
  <si>
    <t xml:space="preserve">Prioridad del aprovechamiento: antes de ese año se agrega máquina u operario; desde ese año, turno</t>
  </si>
  <si>
    <t xml:space="preserve">CRITERIOS DE RUTA — PLANTA INDUSTRIAL (IRAM 3517-2:2020 y Proyecciones)</t>
  </si>
  <si>
    <t xml:space="preserve">Intervalo máximo de PH — polvos, CO₂ y halogenados (años)</t>
  </si>
  <si>
    <t xml:space="preserve">IRAM 3517-2:2020, Anexo E (IRAM 3523, 3550, 3509, 3565 y 3504)</t>
  </si>
  <si>
    <t xml:space="preserve">Intervalo máximo de PH — agua, AFFF y sales K (años)</t>
  </si>
  <si>
    <t xml:space="preserve">IRAM 3517-2:2020, Anexo E (IRAM 3525, 3527, 3537, 3541, 3693 y 3694)</t>
  </si>
  <si>
    <t xml:space="preserve">% con PH — polvos, CO₂ y halogenados</t>
  </si>
  <si>
    <t xml:space="preserve">En régimen vence la PH de 1 de cada 5 equipos por año</t>
  </si>
  <si>
    <t xml:space="preserve">% con PH — agua, AFFF y sales K</t>
  </si>
  <si>
    <t xml:space="preserve">En régimen vence la PH de 1 de cada 2 equipos por año</t>
  </si>
  <si>
    <t xml:space="preserve">Vida útil — CO₂ (años)</t>
  </si>
  <si>
    <t xml:space="preserve">IRAM 3517-2:2020, Anexo E (IRAM 3509; IRAM 3565 hasta 10 kg)</t>
  </si>
  <si>
    <t xml:space="preserve">Vida útil — resto de los tipos (años)</t>
  </si>
  <si>
    <t xml:space="preserve">IRAM 3517-2:2020, Anexo E</t>
  </si>
  <si>
    <t xml:space="preserve">% fin de vida útil — CO₂</t>
  </si>
  <si>
    <t xml:space="preserve">En régimen llega al fin de su vida 1 de cada 30</t>
  </si>
  <si>
    <t xml:space="preserve">% fin de vida útil — resto</t>
  </si>
  <si>
    <t xml:space="preserve">En régimen llega al fin de su vida 1 de cada 20</t>
  </si>
  <si>
    <t xml:space="preserve">% que no pasan la PH</t>
  </si>
  <si>
    <t xml:space="preserve">Proyecciones (Mat PH). La norma manda inutilizarlos (9.12) pero no fija el %</t>
  </si>
  <si>
    <t xml:space="preserve">% rotos</t>
  </si>
  <si>
    <t xml:space="preserve">Proyecciones (Mat Rot)</t>
  </si>
  <si>
    <t xml:space="preserve">% inutilizados — CO₂</t>
  </si>
  <si>
    <t xml:space="preserve">Fin de vida útil + no pasan la PH + rotos</t>
  </si>
  <si>
    <t xml:space="preserve">% inutilizados — resto</t>
  </si>
  <si>
    <t xml:space="preserve">% que llegan descargados por uso</t>
  </si>
  <si>
    <t xml:space="preserve">Proyecciones (Mat Usados). 9.2.2: se recarga después de usarlo; la norma no fija el %</t>
  </si>
  <si>
    <t xml:space="preserve">Dígitos posibles del año de fabricación</t>
  </si>
  <si>
    <t xml:space="preserve">9.9.4 a): se cambia el polvo ABC cuando el último dígito del año de fabricación coincide con el del año del mantenimiento</t>
  </si>
  <si>
    <t xml:space="preserve">% ABC con cambio de polvo (a descarte)</t>
  </si>
  <si>
    <t xml:space="preserve">1 de cada 10 equipos por año</t>
  </si>
  <si>
    <t xml:space="preserve">% agua, AFFF y sales K que se vacían y recargan</t>
  </si>
  <si>
    <t xml:space="preserve">Anexo E: el agente se cambia cada año; 9.9.1.9 (sales K) y 9.9.1.10 (AFFF)</t>
  </si>
  <si>
    <t xml:space="preserve">% CO₂ que se abren por daño o cambio de piezas</t>
  </si>
  <si>
    <t xml:space="preserve">9.7.1.2: el dañado se examina y va a PH</t>
  </si>
  <si>
    <t xml:space="preserve">% que se pintan</t>
  </si>
  <si>
    <t xml:space="preserve">9.10 pide pintar los deteriorados; no fija %</t>
  </si>
  <si>
    <t xml:space="preserve">% polvos con humedad en el desarme (secado extra)</t>
  </si>
  <si>
    <t xml:space="preserve">Ensayos de laboratorio por recipiente de polvo</t>
  </si>
  <si>
    <t xml:space="preserve">Criterio. 9.9.3.1: el ensayo se hace cuando hay dudas sobre el polvo</t>
  </si>
  <si>
    <t xml:space="preserve">PERFIL MENSUAL POR AÑO (plano, 1/12 por mes)</t>
  </si>
  <si>
    <t xml:space="preserve">IRAM 3517-2:2020 9.2.1 (mantenimiento como mínimo anual) y 9.4.14 a) (la etiqueta fija el mes y año del próximo): cada equipo vuelve en su mes y la norma no fija ningún mes del calendario. El crecimiento se toma entre años (Proyecciones es anual).</t>
  </si>
  <si>
    <t xml:space="preserve">Año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</si>
  <si>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</si>
  <si>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</si>
  <si>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</si>
  <si>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</si>
  <si>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</si>
  <si>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</si>
  <si>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</si>
  <si>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</si>
  <si>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</si>
  <si>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</si>
  <si>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</si>
  <si>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</si>
  <si>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TIPOS DE MATAFUEGO</t>
  </si>
  <si>
    <t xml:space="preserve">Tipo</t>
  </si>
  <si>
    <t xml:space="preserve">Agente (ruta)</t>
  </si>
  <si>
    <t xml:space="preserve">u. equivalentes por recipiente</t>
  </si>
  <si>
    <t xml:space="preserve">Manguera con PH anual (1 = sí)</t>
  </si>
  <si>
    <t xml:space="preserve">Fuente de la manguera</t>
  </si>
  <si>
    <t xml:space="preserve">ABC</t>
  </si>
  <si>
    <t xml:space="preserve">No: tobera sin manguera</t>
  </si>
  <si>
    <t xml:space="preserve">No: la manguera no tiene cierre en el extremo</t>
  </si>
  <si>
    <t xml:space="preserve">Agua</t>
  </si>
  <si>
    <t xml:space="preserve">AFFF</t>
  </si>
  <si>
    <t xml:space="preserve">Sí, 9.7.1.4 a): lanza con cierre (rodante, IRAM 3541)</t>
  </si>
  <si>
    <t xml:space="preserve">BC</t>
  </si>
  <si>
    <t xml:space="preserve">Sales K</t>
  </si>
  <si>
    <t xml:space="preserve">CO₂</t>
  </si>
  <si>
    <t xml:space="preserve">No: difusor de brazo, sin manguera (catálogo FLAMA)</t>
  </si>
  <si>
    <t xml:space="preserve">Sí, 9.7.1.4 b): manguera de CO₂ (difusor con manga)</t>
  </si>
  <si>
    <t xml:space="preserve">Halogenado</t>
  </si>
  <si>
    <t xml:space="preserve">Clase D</t>
  </si>
  <si>
    <t xml:space="preserve">Sí, 9.7.1.4 a): válvula de cierre en la manguera (rodante, IRAM 3550)</t>
  </si>
  <si>
    <t xml:space="preserve">CAPACIDAD POR PUESTO (fracción de cada agente que pasa por el puesto)</t>
  </si>
  <si>
    <t xml:space="preserve">N°</t>
  </si>
  <si>
    <t xml:space="preserve">Puesto / operación</t>
  </si>
  <si>
    <t xml:space="preserve">Máquina / equipo</t>
  </si>
  <si>
    <t xml:space="preserve">Recurso</t>
  </si>
  <si>
    <t xml:space="preserve">Tiempo tipo (s/u)</t>
  </si>
  <si>
    <t xml:space="preserve">Cap. real (u/h)</t>
  </si>
  <si>
    <t xml:space="preserve">Cap. real (u/mes, 1 turno)</t>
  </si>
  <si>
    <t xml:space="preserve">Desglose del tiempo (s)</t>
  </si>
  <si>
    <t xml:space="preserve">Nota</t>
  </si>
  <si>
    <t xml:space="preserve">Recepción y registro</t>
  </si>
  <si>
    <t xml:space="preserve">Autoelevador + tablet e impresora de etiquetas; jaulas A y B</t>
  </si>
  <si>
    <t xml:space="preserve">Manual</t>
  </si>
  <si>
    <t xml:space="preserve">Cargar jaulas 12,5 + descargar y controlar contra remito 12,5 + datos en el sistema 40 + separar por agente 10. Lo que se hace en el cliente no cuenta.</t>
  </si>
  <si>
    <t xml:space="preserve">Inspección visual</t>
  </si>
  <si>
    <t xml:space="preserve">Mesa con goma, lámpara con lupa, PC</t>
  </si>
  <si>
    <t xml:space="preserve">Escanear 5 + exterior 30 + válvula, manómetro y manguera 25 + fecha PH 10 + registro 15 + bandeja 5</t>
  </si>
  <si>
    <t xml:space="preserve">Antes 70 s; los pasos suman 90 s</t>
  </si>
  <si>
    <t xml:space="preserve">Descarga ABC — ruta recuperable</t>
  </si>
  <si>
    <t xml:space="preserve">Máquina neumática Yukon (tolva 240 kg)</t>
  </si>
  <si>
    <t xml:space="preserve">Máquina</t>
  </si>
  <si>
    <t xml:space="preserve">Escanear y agitado 15 + descargar mirando el visor 60 + tapar 10 (el retiro de válvula se cuenta en Desarme)</t>
  </si>
  <si>
    <t xml:space="preserve">Descarga ABC — ruta descarte</t>
  </si>
  <si>
    <t xml:space="preserve">Tambor Yukon M-000030</t>
  </si>
  <si>
    <t xml:space="preserve">Igual que la ruta recuperable, al tambor</t>
  </si>
  <si>
    <t xml:space="preserve">Descarga BC</t>
  </si>
  <si>
    <t xml:space="preserve">Tambor Yukon M-000030 dedicado BC</t>
  </si>
  <si>
    <t xml:space="preserve">Igual que ABC; todo a descarte</t>
  </si>
  <si>
    <t xml:space="preserve">Descarga de agua / AFFF / sales K</t>
  </si>
  <si>
    <t xml:space="preserve">IBC 1.000 l (AFFF) y tanque 600 l (agua)</t>
  </si>
  <si>
    <t xml:space="preserve">Escanear 10 + quitar lanza 10 + acoplar 15 + vaciar 60 + llevar a desarme 10</t>
  </si>
  <si>
    <t xml:space="preserve">Antes 180 s; los pasos suman 105 s. Sales K: misma ruta que agua y AFFF</t>
  </si>
  <si>
    <t xml:space="preserve">Recuperación de CO₂</t>
  </si>
  <si>
    <t xml:space="preserve">Trasvasadora CO₂ 103/D1 (misma máquina que la carga)</t>
  </si>
  <si>
    <t xml:space="preserve">Pesar 20 + conectar 20 + bombear 120 + verificar y pesar 20 + desconectar 15 + registrar 10</t>
  </si>
  <si>
    <t xml:space="preserve">Recuperación de halogenado</t>
  </si>
  <si>
    <t xml:space="preserve">Unidad THB/BP (misma máquina que la carga)</t>
  </si>
  <si>
    <t xml:space="preserve">Preparar y verificar cilindro de paso 60 + pesar 20 + conectar 30 + recuperar 300 + pesar ambos 40 + anotar 15</t>
  </si>
  <si>
    <t xml:space="preserve">Desarme y limpieza — recinto</t>
  </si>
  <si>
    <t xml:space="preserve">Lanza de soplado + aspiradora industrial + llaves</t>
  </si>
  <si>
    <t xml:space="preserve">Verificar 5 + retirar válvula 30 + marbete 5 + bandeja 10 + soplar 20 + limpieza profunda 120 × % con PH + tapar 5</t>
  </si>
  <si>
    <t xml:space="preserve">Antes 90 s con 25 % de PH; los pasos suman 99 s con 20 %</t>
  </si>
  <si>
    <t xml:space="preserve">Desarme e inspección interior — zona general</t>
  </si>
  <si>
    <t xml:space="preserve">Boroscopio Klein ET19 + llaves</t>
  </si>
  <si>
    <t xml:space="preserve">Confirmar vacío 10 + retirar válvula 40 + boroscopio 60 + enjuague 90 × 40 % + foto 15 + tapar 15</t>
  </si>
  <si>
    <t xml:space="preserve">Laboratorio — Puffer y mufla</t>
  </si>
  <si>
    <t xml:space="preserve">Puffer Yukon M-100150 + mufla ORL-0</t>
  </si>
  <si>
    <t xml:space="preserve">Tiempo por ENSAYO: registro 300 + mufla 600 + Puffer 1.800 + dictamen 60 + carga 120 + liberar tolva 300</t>
  </si>
  <si>
    <t xml:space="preserve">Prueba hidráulica</t>
  </si>
  <si>
    <t xml:space="preserve">Máquina PH Yukon 300 kg/cm²</t>
  </si>
  <si>
    <t xml:space="preserve">Verificar con patrón 12 + escanear 20 + llenar y conectar 90 + ensayo 90 + vaciar y retirar 75 + registrar 15. CO₂ lleva además ultrasonido y acuñado</t>
  </si>
  <si>
    <t xml:space="preserve">Secado</t>
  </si>
  <si>
    <t xml:space="preserve">Secadora Yukon de 6 recipientes</t>
  </si>
  <si>
    <t xml:space="preserve">Colocar 15 + 15 min ÷ 6 recipientes = 150 + retirar 15</t>
  </si>
  <si>
    <t xml:space="preserve">Agua, AFFF y sales K no se secan: se vuelven a llenar</t>
  </si>
  <si>
    <t xml:space="preserve">Inspección interior con videoscopio</t>
  </si>
  <si>
    <t xml:space="preserve">Videoscopio + mesa con soporte en V</t>
  </si>
  <si>
    <t xml:space="preserve">Recorrer con la sonda 60 + guardar foto 15 + tapar 10</t>
  </si>
  <si>
    <t xml:space="preserve">Pintura</t>
  </si>
  <si>
    <t xml:space="preserve">Cabina con extracción, HVLP, lámparas IR, amoladora</t>
  </si>
  <si>
    <t xml:space="preserve">Sin desglose de pasos en el original</t>
  </si>
  <si>
    <t xml:space="preserve">Carga de polvo ABC</t>
  </si>
  <si>
    <t xml:space="preserve">Máquina neumática Yukon con corte por peso</t>
  </si>
  <si>
    <t xml:space="preserve">Contraste por turno 6 + tara 15 + carga 45 + pesar 15 + rosca 15 + registrar 10</t>
  </si>
  <si>
    <t xml:space="preserve">Antes 90 s; los pasos suman 106 s</t>
  </si>
  <si>
    <t xml:space="preserve">Carga de polvo BC</t>
  </si>
  <si>
    <t xml:space="preserve">Cargadora portátil Yukon dedicada BC</t>
  </si>
  <si>
    <t xml:space="preserve">Contraste 10 + tara 15 + carga portátil 75 + pesar 15 + rosca 15 + registrar 10</t>
  </si>
  <si>
    <t xml:space="preserve">Descarga y carga Clase D</t>
  </si>
  <si>
    <t xml:space="preserve">Recipiente exclusivo + embudo + balanza</t>
  </si>
  <si>
    <t xml:space="preserve">Descarga manual 180 + tara 15 + carga con embudo 240 + ajuste 30 + rosca 15 + registro 10</t>
  </si>
  <si>
    <t xml:space="preserve">Supuesto del original (no está en el documento de procesos)</t>
  </si>
  <si>
    <t xml:space="preserve">Carga de agua / AFFF / sales K</t>
  </si>
  <si>
    <t xml:space="preserve">Red + tanque de premezcla con bomba 40 l/min + balanza</t>
  </si>
  <si>
    <t xml:space="preserve">Contraste y premezcla 20 + tara 10 + cargar 30 + corregir 15 + rosca 15 + registrar 10</t>
  </si>
  <si>
    <t xml:space="preserve">Carga de CO₂</t>
  </si>
  <si>
    <t xml:space="preserve">Trasvasadora CO₂ 103/D1 + manifold</t>
  </si>
  <si>
    <t xml:space="preserve">Tarar y programar 30 + elegir origen 10 + abrir manifold 15 + llenar 150 + pesar 25 + registrar 10</t>
  </si>
  <si>
    <t xml:space="preserve">Ensamblaje y marbete — recinto</t>
  </si>
  <si>
    <t xml:space="preserve">Morsa + llave dinamométrica</t>
  </si>
  <si>
    <t xml:space="preserve">Escanear 10 + revisar piezas 30 + o-ring 20 + marbete 10 + enroscar 30 + manguera y repuestos 20</t>
  </si>
  <si>
    <t xml:space="preserve">Presurización — recinto</t>
  </si>
  <si>
    <t xml:space="preserve">Pinza Yukon M-000150 + regulador</t>
  </si>
  <si>
    <t xml:space="preserve">Contraste por turno 3 + fijar presión 15 + colocar 10 + presurizar 20 + pasador 15 + registrar 10</t>
  </si>
  <si>
    <t xml:space="preserve">Ensamblaje y presurización — zona general</t>
  </si>
  <si>
    <t xml:space="preserve">Morsa + dinamométrica + pinza Yukon</t>
  </si>
  <si>
    <t xml:space="preserve">Ensamblaje 120 + presurización 50. CO₂ no se presuriza y halogenados se presurizan en la carga</t>
  </si>
  <si>
    <t xml:space="preserve">Carga y presurización de halogenado</t>
  </si>
  <si>
    <t xml:space="preserve">Unidad THB/BP + pinza</t>
  </si>
  <si>
    <t xml:space="preserve">Cargar 300 + presurizar 40 + agitar y repetir 60 + pesar y registrar 30</t>
  </si>
  <si>
    <t xml:space="preserve">Control de peso (CO₂ y halogenados sin recarga)</t>
  </si>
  <si>
    <t xml:space="preserve">Balanza</t>
  </si>
  <si>
    <t xml:space="preserve">Pesar y comparar 30 + registrar 10</t>
  </si>
  <si>
    <t xml:space="preserve">Anexo E: control anual de la masa</t>
  </si>
  <si>
    <t xml:space="preserve">Ensayo de pérdidas</t>
  </si>
  <si>
    <t xml:space="preserve">Tanque de inmersión inox (6 posiciones); spray en rodantes</t>
  </si>
  <si>
    <t xml:space="preserve">Preparar por turno 5 + bajar y observar en tandas de 6: 45 + sacar 10 + secar 10 + registrar 10</t>
  </si>
  <si>
    <t xml:space="preserve">Precinto, etiqueta y despacho</t>
  </si>
  <si>
    <t xml:space="preserve">Dispensador + impresora + jaulas</t>
  </si>
  <si>
    <t xml:space="preserve">Precinto 15 + etiqueta 25 + revisión final 15 + cerrar OT 10 + jaula 15 + remito 6</t>
  </si>
  <si>
    <t xml:space="preserve">Antes 80 s; los pasos suman 86 s</t>
  </si>
  <si>
    <t xml:space="preserve">Inutilización y disposición final</t>
  </si>
  <si>
    <t xml:space="preserve">Taladro de columna con prensa en V</t>
  </si>
  <si>
    <t xml:space="preserve">Confirmar 30 + perforar 120 + desarmar y cortar manguera 90 + residuos 60 + foto y acta 90</t>
  </si>
  <si>
    <t xml:space="preserve">9.12 y Anexo G: acta de inutilización</t>
  </si>
  <si>
    <t xml:space="preserve">PH de mangueras (CO₂ y rodantes)</t>
  </si>
  <si>
    <t xml:space="preserve">Máquina PH Yukon 300 kg/cm² (misma que la PH de recipientes)</t>
  </si>
  <si>
    <t xml:space="preserve">—</t>
  </si>
  <si>
    <t xml:space="preserve">Mismos pasos que la PH del recipiente: patrón 12 + escanear 20 + llenar y conectar 90 + ensayo 90 + vaciar y retirar 75 + registrar 15</t>
  </si>
  <si>
    <t xml:space="preserve">9.7.1.4: PH anual de mangueras de CO₂ y con cierre en el extremo (tabla 5). Demanda = fila Mangueras del Plan mensual. Criterio: tiempo igual al de la PH del recipiente; falta el rótulo plástico</t>
  </si>
  <si>
    <t xml:space="preserve">PH Firesafer (alternativa, no entra en el cálculo)</t>
  </si>
  <si>
    <t xml:space="preserve">Banco Firesafer FS-JD12A</t>
  </si>
  <si>
    <t xml:space="preserve">El original copia el desglose de la Yukon (302 s) con 60 s: revisar antes de usarla</t>
  </si>
  <si>
    <t xml:space="preserve">SUSTITUTOS (IRAM 3517-2:2020, 9.4.5)</t>
  </si>
  <si>
    <t xml:space="preserve">Mismo tipo que el equipo retirado. Va con el camión al retirar y vuelve cuando se devuelve el recargado.</t>
  </si>
  <si>
    <t xml:space="preserve">Día de retiro</t>
  </si>
  <si>
    <t xml:space="preserve">El sustituto sale con el camión que retira</t>
  </si>
  <si>
    <t xml:space="preserve">Día de devolución</t>
  </si>
  <si>
    <t xml:space="preserve">El sustituto vuelve con el camión que devuelve; no se deja en otro cliente en ese viaje</t>
  </si>
  <si>
    <t xml:space="preserve">Minutos productivos por turno</t>
  </si>
  <si>
    <t xml:space="preserve">Comercial: compra todos. Industrial: fabrica los ABC</t>
  </si>
  <si>
    <t xml:space="preserve">PASO 1 — Tiempo por rubro (mix del rubro × tiempos de operación)</t>
  </si>
  <si>
    <t xml:space="preserve">Días de proceso = minutos por equipo ÷ minutos del turno, redondeado hacia arriba (mínimo 1). Ciclo del sustituto = retiro + proceso + devolución</t>
  </si>
  <si>
    <t xml:space="preserve">% de las recargas (mercado, zonas de la planta)</t>
  </si>
  <si>
    <t xml:space="preserve">Minutos de operación por equipo</t>
  </si>
  <si>
    <t xml:space="preserve">Días de proceso</t>
  </si>
  <si>
    <t xml:space="preserve">Ciclo del sustituto (días)</t>
  </si>
  <si>
    <t xml:space="preserve">Horas de planta por día (2035)</t>
  </si>
  <si>
    <t xml:space="preserve">PASO 2 — Tipos (el ciclo de cada tipo pesa los rubros según sus recargas)</t>
  </si>
  <si>
    <t xml:space="preserve">Lleva sustituto (1 = sí)</t>
  </si>
  <si>
    <t xml:space="preserve">Origen</t>
  </si>
  <si>
    <t xml:space="preserve">Automotor: sin canje</t>
  </si>
  <si>
    <t xml:space="preserve">PASO 3 — Stock (u.)</t>
  </si>
  <si>
    <t xml:space="preserve">Stock = recargas del año × % del mes pico ÷ días del mes × ciclo del sustituto, redondeado hacia arriba</t>
  </si>
  <si>
    <t xml:space="preserve">PASO 4 — Alta anual (u.)</t>
  </si>
  <si>
    <t xml:space="preserve">Alta = lo que crece el stock + stock del año anterior × % inutilizados (parametros_recargas B23 CO₂, B24 resto). Cada alta lleva faja amarilla y tarjeta</t>
  </si>
  <si>
    <t xml:space="preserve">A fabricar (planta industrial)</t>
  </si>
  <si>
    <t xml:space="preserve">A comprar</t>
  </si>
  <si>
    <t xml:space="preserve">Kits de sustituto</t>
  </si>
  <si>
    <t xml:space="preserve">PASO 5 — Mantenimiento anual en planta (u.)</t>
  </si>
  <si>
    <t xml:space="preserve">Mantenimiento = stock del año anterior (9.4.5 y 9.2.1); entra al Plan mensual, 1/12 por mes</t>
  </si>
  <si>
    <t xml:space="preserve">Agente</t>
  </si>
  <si>
    <t xml:space="preserve">u. equiv.</t>
  </si>
  <si>
    <t xml:space="preserve">Incluye mant. de sustitutos (u./año)</t>
  </si>
  <si>
    <t xml:space="preserve">Total recipientes</t>
  </si>
  <si>
    <t xml:space="preserve">Por agente (u. equivalentes)</t>
  </si>
  <si>
    <t xml:space="preserve">Mangueras con PH anual (u.)</t>
  </si>
  <si>
    <t xml:space="preserve">Año 2026</t>
  </si>
  <si>
    <t xml:space="preserve">Total anual</t>
  </si>
  <si>
    <t xml:space="preserve">Demanda mes pico (u/mes)</t>
  </si>
  <si>
    <t xml:space="preserve">Demanda (u/h, 1 turno)</t>
  </si>
  <si>
    <t xml:space="preserve">Año 2027</t>
  </si>
  <si>
    <t xml:space="preserve">Año 2028</t>
  </si>
  <si>
    <t xml:space="preserve">Año 2029</t>
  </si>
  <si>
    <t xml:space="preserve">Año 2030</t>
  </si>
  <si>
    <t xml:space="preserve">Año 2031</t>
  </si>
  <si>
    <t xml:space="preserve">Año 2032</t>
  </si>
  <si>
    <t xml:space="preserve">Año 2033</t>
  </si>
  <si>
    <t xml:space="preserve">Año 2034</t>
  </si>
  <si>
    <t xml:space="preserve">Año 2035</t>
  </si>
  <si>
    <t xml:space="preserve">Aprovechamiento consolidado (recargas de clientes + mantenimiento de sustitutos)</t>
  </si>
  <si>
    <t xml:space="preserve">Acciones (lista)</t>
  </si>
  <si>
    <t xml:space="preserve">Cuándo</t>
  </si>
  <si>
    <t xml:space="preserve">OK</t>
  </si>
  <si>
    <t xml:space="preserve">Aprovechamiento dentro del umbral</t>
  </si>
  <si>
    <t xml:space="preserve">Agrega turno</t>
  </si>
  <si>
    <t xml:space="preserve">Hay turnos disponibles (menos que el máximo por día)</t>
  </si>
  <si>
    <t xml:space="preserve">Agrega máquina</t>
  </si>
  <si>
    <t xml:space="preserve">Ya está en el máximo de turnos y el puesto es de máquina</t>
  </si>
  <si>
    <t xml:space="preserve">Agrega operario (puesto manual)</t>
  </si>
  <si>
    <t xml:space="preserve">Ya está en el máximo de turnos y el puesto es manual</t>
  </si>
  <si>
    <t xml:space="preserve">Tercerizado</t>
  </si>
  <si>
    <t xml:space="preserve">Recurso cargado como Tercerizado en parametros_recargas</t>
  </si>
  <si>
    <t xml:space="preserve">Revisar</t>
  </si>
  <si>
    <t xml:space="preserve">Hay demanda y el puesto no tiene tiempo tipo</t>
  </si>
  <si>
    <t xml:space="preserve">Año de inicio del 2° turno</t>
  </si>
  <si>
    <t xml:space="preserve">Máquinas y turnos cargados con esa prioridad (antes del año: máquina u operario; desde el año: turno). Se pueden cambiar a mano; los colores se recalculan.</t>
  </si>
  <si>
    <t xml:space="preserve">Aprovechamiento máximo</t>
  </si>
  <si>
    <t xml:space="preserve">Máquinas en el puesto (cargar a mano)</t>
  </si>
  <si>
    <t xml:space="preserve">TOTAL máquinas / puestos</t>
  </si>
  <si>
    <t xml:space="preserve">Turnos del puesto (cargar a mano)</t>
  </si>
  <si>
    <t xml:space="preserve">Turnos de la planta (máximo)</t>
  </si>
  <si>
    <t xml:space="preserve">Máquina × turno necesarios al umbral</t>
  </si>
  <si>
    <t xml:space="preserve">TOTAL máquina × turno necesarios</t>
  </si>
  <si>
    <t xml:space="preserve">Acción sugerida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</si>
</sst>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"/>
    <numFmt numFmtId="168" formatCode="0.00"/>
    <numFmt numFmtId="169" formatCode="0%"/>
    <numFmt numFmtId="170" formatCode="0.000"/>
    <numFmt numFmtId="171" formatCode="0.0"/>
    <numFmt numFmtId="172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4A86E8"/>
        <bgColor rgb="FF666699"/>
      </patternFill>
    </fill>
    <fill>
      <patternFill patternType="solid">
        <fgColor rgb="FFFF00FF"/>
        <bgColor rgb="FFFF00FF"/>
      </patternFill>
    </fill>
    <fill>
      <patternFill patternType="solid">
        <fgColor rgb="FFE06666"/>
        <bgColor rgb="FFFF6600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4A86E8"/>
        </patternFill>
      </fill>
    </dxf>
    <dxf>
      <fill>
        <patternFill>
          <bgColor rgb="FFFF00FF"/>
        </patternFill>
      </fill>
    </dxf>
    <dxf>
      <fill>
        <patternFill>
          <bgColor rgb="FFE0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  <col collapsed="false" customWidth="true" hidden="false" outlineLevel="0" max="12" min="12" style="0" width="5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n">
        <v>2026</v>
      </c>
      <c r="C3" s="2" t="n">
        <v>2027</v>
      </c>
      <c r="D3" s="2" t="n">
        <v>2028</v>
      </c>
      <c r="E3" s="2" t="n">
        <v>2029</v>
      </c>
      <c r="F3" s="2" t="n">
        <v>2030</v>
      </c>
      <c r="G3" s="2" t="n">
        <v>2031</v>
      </c>
      <c r="H3" s="2" t="n">
        <v>2032</v>
      </c>
      <c r="I3" s="2" t="n">
        <v>2033</v>
      </c>
      <c r="J3" s="2" t="n">
        <v>2034</v>
      </c>
      <c r="K3" s="2" t="n">
        <v>2035</v>
      </c>
    </row>
    <row r="4" customFormat="false" ht="15" hidden="false" customHeight="false" outlineLevel="0" collapsed="false">
      <c r="A4" s="3" t="s">
        <v>2</v>
      </c>
      <c r="B4" s="4" t="n">
        <f aca="false">IFERROR(__xludf.DUMMYFUNCTION("IMPORTRANGE(""https://docs.google.com/spreadsheets/d/1xc4xDAwSYT3l-RulPYtcePxiCninrbQGzaBUsgO0YEs/edit?gid=1764491891#gid=1764491891"",""Indexado Dim Técnico!B27:K43"")"),3477.482124)</f>
        <v>3477.482124</v>
      </c>
      <c r="C4" s="4" t="n">
        <f aca="false">IFERROR(__xludf.DUMMYFUNCTION("""COMPUTED_VALUE"""),16970.58564)</f>
        <v>16970.58564</v>
      </c>
      <c r="D4" s="4" t="n">
        <f aca="false">IFERROR(__xludf.DUMMYFUNCTION("""COMPUTED_VALUE"""),30546.08951)</f>
        <v>30546.08951</v>
      </c>
      <c r="E4" s="4" t="n">
        <f aca="false">IFERROR(__xludf.DUMMYFUNCTION("""COMPUTED_VALUE"""),56048.31106)</f>
        <v>56048.31106</v>
      </c>
      <c r="F4" s="4" t="n">
        <f aca="false">IFERROR(__xludf.DUMMYFUNCTION("""COMPUTED_VALUE"""),84270.22613)</f>
        <v>84270.22613</v>
      </c>
      <c r="G4" s="4" t="n">
        <f aca="false">IFERROR(__xludf.DUMMYFUNCTION("""COMPUTED_VALUE"""),117407.8231)</f>
        <v>117407.8231</v>
      </c>
      <c r="H4" s="4" t="n">
        <f aca="false">IFERROR(__xludf.DUMMYFUNCTION("""COMPUTED_VALUE"""),147610.6356)</f>
        <v>147610.6356</v>
      </c>
      <c r="I4" s="4" t="n">
        <f aca="false">IFERROR(__xludf.DUMMYFUNCTION("""COMPUTED_VALUE"""),171404.3607)</f>
        <v>171404.3607</v>
      </c>
      <c r="J4" s="4" t="n">
        <f aca="false">IFERROR(__xludf.DUMMYFUNCTION("""COMPUTED_VALUE"""),183690.566)</f>
        <v>183690.566</v>
      </c>
      <c r="K4" s="4" t="n">
        <f aca="false">IFERROR(__xludf.DUMMYFUNCTION("""COMPUTED_VALUE"""),196282.6907)</f>
        <v>196282.6907</v>
      </c>
    </row>
    <row r="5" customFormat="false" ht="15" hidden="false" customHeight="false" outlineLevel="0" collapsed="false">
      <c r="A5" s="3" t="s">
        <v>3</v>
      </c>
      <c r="B5" s="4" t="n">
        <f aca="false">IFERROR(__xludf.DUMMYFUNCTION("""COMPUTED_VALUE"""),329.996668)</f>
        <v>329.996668</v>
      </c>
      <c r="C5" s="4" t="n">
        <f aca="false">IFERROR(__xludf.DUMMYFUNCTION("""COMPUTED_VALUE"""),1287.414024)</f>
        <v>1287.414024</v>
      </c>
      <c r="D5" s="4" t="n">
        <f aca="false">IFERROR(__xludf.DUMMYFUNCTION("""COMPUTED_VALUE"""),2947.169216)</f>
        <v>2947.169216</v>
      </c>
      <c r="E5" s="4" t="n">
        <f aca="false">IFERROR(__xludf.DUMMYFUNCTION("""COMPUTED_VALUE"""),5426.043269)</f>
        <v>5426.043269</v>
      </c>
      <c r="F5" s="4" t="n">
        <f aca="false">IFERROR(__xludf.DUMMYFUNCTION("""COMPUTED_VALUE"""),7850.875806)</f>
        <v>7850.875806</v>
      </c>
      <c r="G5" s="4" t="n">
        <f aca="false">IFERROR(__xludf.DUMMYFUNCTION("""COMPUTED_VALUE"""),10423.94365)</f>
        <v>10423.94365</v>
      </c>
      <c r="H5" s="4" t="n">
        <f aca="false">IFERROR(__xludf.DUMMYFUNCTION("""COMPUTED_VALUE"""),12809.89571)</f>
        <v>12809.89571</v>
      </c>
      <c r="I5" s="4" t="n">
        <f aca="false">IFERROR(__xludf.DUMMYFUNCTION("""COMPUTED_VALUE"""),14263.06831)</f>
        <v>14263.06831</v>
      </c>
      <c r="J5" s="4" t="n">
        <f aca="false">IFERROR(__xludf.DUMMYFUNCTION("""COMPUTED_VALUE"""),15432.86983)</f>
        <v>15432.86983</v>
      </c>
      <c r="K5" s="4" t="n">
        <f aca="false">IFERROR(__xludf.DUMMYFUNCTION("""COMPUTED_VALUE"""),16620.76117)</f>
        <v>16620.76117</v>
      </c>
    </row>
    <row r="6" customFormat="false" ht="15" hidden="false" customHeight="false" outlineLevel="0" collapsed="false">
      <c r="A6" s="3" t="s">
        <v>4</v>
      </c>
      <c r="B6" s="4" t="n">
        <f aca="false">IFERROR(__xludf.DUMMYFUNCTION("""COMPUTED_VALUE"""),1950.394097)</f>
        <v>1950.394097</v>
      </c>
      <c r="C6" s="4" t="n">
        <f aca="false">IFERROR(__xludf.DUMMYFUNCTION("""COMPUTED_VALUE"""),7852.61852)</f>
        <v>7852.61852</v>
      </c>
      <c r="D6" s="4" t="n">
        <f aca="false">IFERROR(__xludf.DUMMYFUNCTION("""COMPUTED_VALUE"""),17775.85701)</f>
        <v>17775.85701</v>
      </c>
      <c r="E6" s="4" t="n">
        <f aca="false">IFERROR(__xludf.DUMMYFUNCTION("""COMPUTED_VALUE"""),33605.56835)</f>
        <v>33605.56835</v>
      </c>
      <c r="F6" s="4" t="n">
        <f aca="false">IFERROR(__xludf.DUMMYFUNCTION("""COMPUTED_VALUE"""),48407.57189)</f>
        <v>48407.57189</v>
      </c>
      <c r="G6" s="4" t="n">
        <f aca="false">IFERROR(__xludf.DUMMYFUNCTION("""COMPUTED_VALUE"""),64323.04276)</f>
        <v>64323.04276</v>
      </c>
      <c r="H6" s="4" t="n">
        <f aca="false">IFERROR(__xludf.DUMMYFUNCTION("""COMPUTED_VALUE"""),78721.10039)</f>
        <v>78721.10039</v>
      </c>
      <c r="I6" s="4" t="n">
        <f aca="false">IFERROR(__xludf.DUMMYFUNCTION("""COMPUTED_VALUE"""),87237.2124)</f>
        <v>87237.2124</v>
      </c>
      <c r="J6" s="4" t="n">
        <f aca="false">IFERROR(__xludf.DUMMYFUNCTION("""COMPUTED_VALUE"""),94103.66761)</f>
        <v>94103.66761</v>
      </c>
      <c r="K6" s="4" t="n">
        <f aca="false">IFERROR(__xludf.DUMMYFUNCTION("""COMPUTED_VALUE"""),101095.1762)</f>
        <v>101095.1762</v>
      </c>
    </row>
    <row r="7" customFormat="false" ht="15" hidden="false" customHeight="false" outlineLevel="0" collapsed="false">
      <c r="A7" s="3" t="s">
        <v>5</v>
      </c>
      <c r="B7" s="4" t="n">
        <f aca="false">IFERROR(__xludf.DUMMYFUNCTION("""COMPUTED_VALUE"""),118.343632)</f>
        <v>118.343632</v>
      </c>
      <c r="C7" s="4" t="n">
        <f aca="false">IFERROR(__xludf.DUMMYFUNCTION("""COMPUTED_VALUE"""),437.716578)</f>
        <v>437.716578</v>
      </c>
      <c r="D7" s="4" t="n">
        <f aca="false">IFERROR(__xludf.DUMMYFUNCTION("""COMPUTED_VALUE"""),1024.974821)</f>
        <v>1024.974821</v>
      </c>
      <c r="E7" s="4" t="n">
        <f aca="false">IFERROR(__xludf.DUMMYFUNCTION("""COMPUTED_VALUE"""),1960.409862)</f>
        <v>1960.409862</v>
      </c>
      <c r="F7" s="4" t="n">
        <f aca="false">IFERROR(__xludf.DUMMYFUNCTION("""COMPUTED_VALUE"""),2844.976846)</f>
        <v>2844.976846</v>
      </c>
      <c r="G7" s="4" t="n">
        <f aca="false">IFERROR(__xludf.DUMMYFUNCTION("""COMPUTED_VALUE"""),3810.390622)</f>
        <v>3810.390622</v>
      </c>
      <c r="H7" s="4" t="n">
        <f aca="false">IFERROR(__xludf.DUMMYFUNCTION("""COMPUTED_VALUE"""),4663.67807)</f>
        <v>4663.67807</v>
      </c>
      <c r="I7" s="4" t="n">
        <f aca="false">IFERROR(__xludf.DUMMYFUNCTION("""COMPUTED_VALUE"""),5164.514584)</f>
        <v>5164.514584</v>
      </c>
      <c r="J7" s="4" t="n">
        <f aca="false">IFERROR(__xludf.DUMMYFUNCTION("""COMPUTED_VALUE"""),5571.544328)</f>
        <v>5571.544328</v>
      </c>
      <c r="K7" s="4" t="n">
        <f aca="false">IFERROR(__xludf.DUMMYFUNCTION("""COMPUTED_VALUE"""),5985.950855)</f>
        <v>5985.950855</v>
      </c>
    </row>
    <row r="8" customFormat="false" ht="15" hidden="false" customHeight="false" outlineLevel="0" collapsed="false">
      <c r="A8" s="3" t="s">
        <v>6</v>
      </c>
      <c r="B8" s="4" t="n">
        <f aca="false">IFERROR(__xludf.DUMMYFUNCTION("""COMPUTED_VALUE"""),159.308736)</f>
        <v>159.308736</v>
      </c>
      <c r="C8" s="4" t="n">
        <f aca="false">IFERROR(__xludf.DUMMYFUNCTION("""COMPUTED_VALUE"""),643.423542)</f>
        <v>643.423542</v>
      </c>
      <c r="D8" s="4" t="n">
        <f aca="false">IFERROR(__xludf.DUMMYFUNCTION("""COMPUTED_VALUE"""),1474.362741)</f>
        <v>1474.362741</v>
      </c>
      <c r="E8" s="4" t="n">
        <f aca="false">IFERROR(__xludf.DUMMYFUNCTION("""COMPUTED_VALUE"""),2766.451205)</f>
        <v>2766.451205</v>
      </c>
      <c r="F8" s="4" t="n">
        <f aca="false">IFERROR(__xludf.DUMMYFUNCTION("""COMPUTED_VALUE"""),3991.465221)</f>
        <v>3991.465221</v>
      </c>
      <c r="G8" s="4" t="n">
        <f aca="false">IFERROR(__xludf.DUMMYFUNCTION("""COMPUTED_VALUE"""),5335.75578)</f>
        <v>5335.75578</v>
      </c>
      <c r="H8" s="4" t="n">
        <f aca="false">IFERROR(__xludf.DUMMYFUNCTION("""COMPUTED_VALUE"""),6538.958887)</f>
        <v>6538.958887</v>
      </c>
      <c r="I8" s="4" t="n">
        <f aca="false">IFERROR(__xludf.DUMMYFUNCTION("""COMPUTED_VALUE"""),7269.819681)</f>
        <v>7269.819681</v>
      </c>
      <c r="J8" s="4" t="n">
        <f aca="false">IFERROR(__xludf.DUMMYFUNCTION("""COMPUTED_VALUE"""),7855.44139)</f>
        <v>7855.44139</v>
      </c>
      <c r="K8" s="4" t="n">
        <f aca="false">IFERROR(__xludf.DUMMYFUNCTION("""COMPUTED_VALUE"""),8450.814081)</f>
        <v>8450.814081</v>
      </c>
    </row>
    <row r="9" customFormat="false" ht="15" hidden="false" customHeight="false" outlineLevel="0" collapsed="false">
      <c r="A9" s="3" t="s">
        <v>7</v>
      </c>
      <c r="B9" s="4" t="n">
        <f aca="false">IFERROR(__xludf.DUMMYFUNCTION("""COMPUTED_VALUE"""),22.758391)</f>
        <v>22.758391</v>
      </c>
      <c r="C9" s="4" t="n">
        <f aca="false">IFERROR(__xludf.DUMMYFUNCTION("""COMPUTED_VALUE"""),161.315751)</f>
        <v>161.315751</v>
      </c>
      <c r="D9" s="4" t="n">
        <f aca="false">IFERROR(__xludf.DUMMYFUNCTION("""COMPUTED_VALUE"""),316.607276)</f>
        <v>316.607276</v>
      </c>
      <c r="E9" s="4" t="n">
        <f aca="false">IFERROR(__xludf.DUMMYFUNCTION("""COMPUTED_VALUE"""),527.39462)</f>
        <v>527.39462</v>
      </c>
      <c r="F9" s="4" t="n">
        <f aca="false">IFERROR(__xludf.DUMMYFUNCTION("""COMPUTED_VALUE"""),743.788946)</f>
        <v>743.788946</v>
      </c>
      <c r="G9" s="4" t="n">
        <f aca="false">IFERROR(__xludf.DUMMYFUNCTION("""COMPUTED_VALUE"""),962.874335)</f>
        <v>962.874335</v>
      </c>
      <c r="H9" s="4" t="n">
        <f aca="false">IFERROR(__xludf.DUMMYFUNCTION("""COMPUTED_VALUE"""),1194.942207)</f>
        <v>1194.942207</v>
      </c>
      <c r="I9" s="4" t="n">
        <f aca="false">IFERROR(__xludf.DUMMYFUNCTION("""COMPUTED_VALUE"""),1351.617183)</f>
        <v>1351.617183</v>
      </c>
      <c r="J9" s="4" t="n">
        <f aca="false">IFERROR(__xludf.DUMMYFUNCTION("""COMPUTED_VALUE"""),1477.54886)</f>
        <v>1477.54886</v>
      </c>
      <c r="K9" s="4" t="n">
        <f aca="false">IFERROR(__xludf.DUMMYFUNCTION("""COMPUTED_VALUE"""),1604.441422)</f>
        <v>1604.441422</v>
      </c>
    </row>
    <row r="10" customFormat="false" ht="15" hidden="false" customHeight="false" outlineLevel="0" collapsed="false">
      <c r="A10" s="3" t="s">
        <v>8</v>
      </c>
      <c r="B10" s="4" t="n">
        <f aca="false">IFERROR(__xludf.DUMMYFUNCTION("""COMPUTED_VALUE"""),11.379195)</f>
        <v>11.379195</v>
      </c>
      <c r="C10" s="4" t="n">
        <f aca="false">IFERROR(__xludf.DUMMYFUNCTION("""COMPUTED_VALUE"""),83.22352)</f>
        <v>83.22352</v>
      </c>
      <c r="D10" s="4" t="n">
        <f aca="false">IFERROR(__xludf.DUMMYFUNCTION("""COMPUTED_VALUE"""),164.463834)</f>
        <v>164.463834</v>
      </c>
      <c r="E10" s="4" t="n">
        <f aca="false">IFERROR(__xludf.DUMMYFUNCTION("""COMPUTED_VALUE"""),281.341145)</f>
        <v>281.341145</v>
      </c>
      <c r="F10" s="4" t="n">
        <f aca="false">IFERROR(__xludf.DUMMYFUNCTION("""COMPUTED_VALUE"""),398.902509)</f>
        <v>398.902509</v>
      </c>
      <c r="G10" s="4" t="n">
        <f aca="false">IFERROR(__xludf.DUMMYFUNCTION("""COMPUTED_VALUE"""),514.527284)</f>
        <v>514.527284</v>
      </c>
      <c r="H10" s="4" t="n">
        <f aca="false">IFERROR(__xludf.DUMMYFUNCTION("""COMPUTED_VALUE"""),629.065505)</f>
        <v>629.065505</v>
      </c>
      <c r="I10" s="4" t="n">
        <f aca="false">IFERROR(__xludf.DUMMYFUNCTION("""COMPUTED_VALUE"""),711.178024)</f>
        <v>711.178024</v>
      </c>
      <c r="J10" s="4" t="n">
        <f aca="false">IFERROR(__xludf.DUMMYFUNCTION("""COMPUTED_VALUE"""),773.41098)</f>
        <v>773.41098</v>
      </c>
      <c r="K10" s="4" t="n">
        <f aca="false">IFERROR(__xludf.DUMMYFUNCTION("""COMPUTED_VALUE"""),836.350805)</f>
        <v>836.350805</v>
      </c>
    </row>
    <row r="11" customFormat="false" ht="15" hidden="false" customHeight="false" outlineLevel="0" collapsed="false">
      <c r="A11" s="3" t="s">
        <v>9</v>
      </c>
      <c r="B11" s="4" t="n">
        <f aca="false">IFERROR(__xludf.DUMMYFUNCTION("""COMPUTED_VALUE"""),6.827517)</f>
        <v>6.827517</v>
      </c>
      <c r="C11" s="4" t="n">
        <f aca="false">IFERROR(__xludf.DUMMYFUNCTION("""COMPUTED_VALUE"""),47.073112)</f>
        <v>47.073112</v>
      </c>
      <c r="D11" s="4" t="n">
        <f aca="false">IFERROR(__xludf.DUMMYFUNCTION("""COMPUTED_VALUE"""),88.889676)</f>
        <v>88.889676</v>
      </c>
      <c r="E11" s="4" t="n">
        <f aca="false">IFERROR(__xludf.DUMMYFUNCTION("""COMPUTED_VALUE"""),159.502491)</f>
        <v>159.502491</v>
      </c>
      <c r="F11" s="4" t="n">
        <f aca="false">IFERROR(__xludf.DUMMYFUNCTION("""COMPUTED_VALUE"""),219.796202)</f>
        <v>219.796202</v>
      </c>
      <c r="G11" s="4" t="n">
        <f aca="false">IFERROR(__xludf.DUMMYFUNCTION("""COMPUTED_VALUE"""),291.869853)</f>
        <v>291.869853</v>
      </c>
      <c r="H11" s="4" t="n">
        <f aca="false">IFERROR(__xludf.DUMMYFUNCTION("""COMPUTED_VALUE"""),368.844169)</f>
        <v>368.844169</v>
      </c>
      <c r="I11" s="4" t="n">
        <f aca="false">IFERROR(__xludf.DUMMYFUNCTION("""COMPUTED_VALUE"""),408.408953)</f>
        <v>408.408953</v>
      </c>
      <c r="J11" s="4" t="n">
        <f aca="false">IFERROR(__xludf.DUMMYFUNCTION("""COMPUTED_VALUE"""),445.781944)</f>
        <v>445.781944</v>
      </c>
      <c r="K11" s="4" t="n">
        <f aca="false">IFERROR(__xludf.DUMMYFUNCTION("""COMPUTED_VALUE"""),483.479203)</f>
        <v>483.479203</v>
      </c>
    </row>
    <row r="12" customFormat="false" ht="15" hidden="false" customHeight="false" outlineLevel="0" collapsed="false">
      <c r="A12" s="3" t="s">
        <v>10</v>
      </c>
      <c r="B12" s="4" t="n">
        <f aca="false">IFERROR(__xludf.DUMMYFUNCTION("""COMPUTED_VALUE"""),81.930207)</f>
        <v>81.930207</v>
      </c>
      <c r="C12" s="4" t="n">
        <f aca="false">IFERROR(__xludf.DUMMYFUNCTION("""COMPUTED_VALUE"""),335.398855)</f>
        <v>335.398855</v>
      </c>
      <c r="D12" s="4" t="n">
        <f aca="false">IFERROR(__xludf.DUMMYFUNCTION("""COMPUTED_VALUE"""),746.598352)</f>
        <v>746.598352</v>
      </c>
      <c r="E12" s="4" t="n">
        <f aca="false">IFERROR(__xludf.DUMMYFUNCTION("""COMPUTED_VALUE"""),1358.899837)</f>
        <v>1358.899837</v>
      </c>
      <c r="F12" s="4" t="n">
        <f aca="false">IFERROR(__xludf.DUMMYFUNCTION("""COMPUTED_VALUE"""),1961.125522)</f>
        <v>1961.125522</v>
      </c>
      <c r="G12" s="4" t="n">
        <f aca="false">IFERROR(__xludf.DUMMYFUNCTION("""COMPUTED_VALUE"""),2598.541412)</f>
        <v>2598.541412</v>
      </c>
      <c r="H12" s="4" t="n">
        <f aca="false">IFERROR(__xludf.DUMMYFUNCTION("""COMPUTED_VALUE"""),3197.263477)</f>
        <v>3197.263477</v>
      </c>
      <c r="I12" s="4" t="n">
        <f aca="false">IFERROR(__xludf.DUMMYFUNCTION("""COMPUTED_VALUE"""),3578.539452)</f>
        <v>3578.539452</v>
      </c>
      <c r="J12" s="4" t="n">
        <f aca="false">IFERROR(__xludf.DUMMYFUNCTION("""COMPUTED_VALUE"""),3870.747997)</f>
        <v>3870.747997</v>
      </c>
      <c r="K12" s="4" t="n">
        <f aca="false">IFERROR(__xludf.DUMMYFUNCTION("""COMPUTED_VALUE"""),4167.559622)</f>
        <v>4167.559622</v>
      </c>
    </row>
    <row r="13" customFormat="false" ht="15" hidden="false" customHeight="false" outlineLevel="0" collapsed="false">
      <c r="A13" s="3" t="s">
        <v>11</v>
      </c>
      <c r="B13" s="4" t="n">
        <f aca="false">IFERROR(__xludf.DUMMYFUNCTION("""COMPUTED_VALUE"""),450.616139)</f>
        <v>450.616139</v>
      </c>
      <c r="C13" s="4" t="n">
        <f aca="false">IFERROR(__xludf.DUMMYFUNCTION("""COMPUTED_VALUE"""),1697.18149)</f>
        <v>1697.18149</v>
      </c>
      <c r="D13" s="4" t="n">
        <f aca="false">IFERROR(__xludf.DUMMYFUNCTION("""COMPUTED_VALUE"""),3955.196858)</f>
        <v>3955.196858</v>
      </c>
      <c r="E13" s="4" t="n">
        <f aca="false">IFERROR(__xludf.DUMMYFUNCTION("""COMPUTED_VALUE"""),7561.26033)</f>
        <v>7561.26033</v>
      </c>
      <c r="F13" s="4" t="n">
        <f aca="false">IFERROR(__xludf.DUMMYFUNCTION("""COMPUTED_VALUE"""),10920.14481)</f>
        <v>10920.14481</v>
      </c>
      <c r="G13" s="4" t="n">
        <f aca="false">IFERROR(__xludf.DUMMYFUNCTION("""COMPUTED_VALUE"""),14514.88522)</f>
        <v>14514.88522</v>
      </c>
      <c r="H13" s="4" t="n">
        <f aca="false">IFERROR(__xludf.DUMMYFUNCTION("""COMPUTED_VALUE"""),17746.49927)</f>
        <v>17746.49927</v>
      </c>
      <c r="I13" s="4" t="n">
        <f aca="false">IFERROR(__xludf.DUMMYFUNCTION("""COMPUTED_VALUE"""),19617.20546)</f>
        <v>19617.20546</v>
      </c>
      <c r="J13" s="4" t="n">
        <f aca="false">IFERROR(__xludf.DUMMYFUNCTION("""COMPUTED_VALUE"""),21161.80625)</f>
        <v>21161.80625</v>
      </c>
      <c r="K13" s="4" t="n">
        <f aca="false">IFERROR(__xludf.DUMMYFUNCTION("""COMPUTED_VALUE"""),22734.50171)</f>
        <v>22734.50171</v>
      </c>
    </row>
    <row r="14" customFormat="false" ht="15" hidden="false" customHeight="false" outlineLevel="0" collapsed="false">
      <c r="A14" s="3" t="s">
        <v>12</v>
      </c>
      <c r="B14" s="4" t="n">
        <f aca="false">IFERROR(__xludf.DUMMYFUNCTION("""COMPUTED_VALUE"""),125.17115)</f>
        <v>125.17115</v>
      </c>
      <c r="C14" s="4" t="n">
        <f aca="false">IFERROR(__xludf.DUMMYFUNCTION("""COMPUTED_VALUE"""),643.630371)</f>
        <v>643.630371</v>
      </c>
      <c r="D14" s="4" t="n">
        <f aca="false">IFERROR(__xludf.DUMMYFUNCTION("""COMPUTED_VALUE"""),1375.626719)</f>
        <v>1375.626719</v>
      </c>
      <c r="E14" s="4" t="n">
        <f aca="false">IFERROR(__xludf.DUMMYFUNCTION("""COMPUTED_VALUE"""),2460.284265)</f>
        <v>2460.284265</v>
      </c>
      <c r="F14" s="4" t="n">
        <f aca="false">IFERROR(__xludf.DUMMYFUNCTION("""COMPUTED_VALUE"""),3545.257683)</f>
        <v>3545.257683</v>
      </c>
      <c r="G14" s="4" t="n">
        <f aca="false">IFERROR(__xludf.DUMMYFUNCTION("""COMPUTED_VALUE"""),4723.461784)</f>
        <v>4723.461784</v>
      </c>
      <c r="H14" s="4" t="n">
        <f aca="false">IFERROR(__xludf.DUMMYFUNCTION("""COMPUTED_VALUE"""),5853.905178)</f>
        <v>5853.905178</v>
      </c>
      <c r="I14" s="4" t="n">
        <f aca="false">IFERROR(__xludf.DUMMYFUNCTION("""COMPUTED_VALUE"""),6608.459909)</f>
        <v>6608.459909</v>
      </c>
      <c r="J14" s="4" t="n">
        <f aca="false">IFERROR(__xludf.DUMMYFUNCTION("""COMPUTED_VALUE"""),7185.708397)</f>
        <v>7185.708397</v>
      </c>
      <c r="K14" s="4" t="n">
        <f aca="false">IFERROR(__xludf.DUMMYFUNCTION("""COMPUTED_VALUE"""),7769.577127)</f>
        <v>7769.577127</v>
      </c>
    </row>
    <row r="15" customFormat="false" ht="15" hidden="false" customHeight="false" outlineLevel="0" collapsed="false">
      <c r="A15" s="3" t="s">
        <v>13</v>
      </c>
      <c r="B15" s="4" t="n">
        <f aca="false">IFERROR(__xludf.DUMMYFUNCTION("""COMPUTED_VALUE"""),18.206713)</f>
        <v>18.206713</v>
      </c>
      <c r="C15" s="4" t="n">
        <f aca="false">IFERROR(__xludf.DUMMYFUNCTION("""COMPUTED_VALUE"""),112.075122)</f>
        <v>112.075122</v>
      </c>
      <c r="D15" s="4" t="n">
        <f aca="false">IFERROR(__xludf.DUMMYFUNCTION("""COMPUTED_VALUE"""),230.854041)</f>
        <v>230.854041</v>
      </c>
      <c r="E15" s="4" t="n">
        <f aca="false">IFERROR(__xludf.DUMMYFUNCTION("""COMPUTED_VALUE"""),400.715334)</f>
        <v>400.715334</v>
      </c>
      <c r="F15" s="4" t="n">
        <f aca="false">IFERROR(__xludf.DUMMYFUNCTION("""COMPUTED_VALUE"""),574.507789)</f>
        <v>574.507789</v>
      </c>
      <c r="G15" s="4" t="n">
        <f aca="false">IFERROR(__xludf.DUMMYFUNCTION("""COMPUTED_VALUE"""),754.345623)</f>
        <v>754.345623</v>
      </c>
      <c r="H15" s="4" t="n">
        <f aca="false">IFERROR(__xludf.DUMMYFUNCTION("""COMPUTED_VALUE"""),944.84884)</f>
        <v>944.84884</v>
      </c>
      <c r="I15" s="4" t="n">
        <f aca="false">IFERROR(__xludf.DUMMYFUNCTION("""COMPUTED_VALUE"""),1072.234671)</f>
        <v>1072.234671</v>
      </c>
      <c r="J15" s="4" t="n">
        <f aca="false">IFERROR(__xludf.DUMMYFUNCTION("""COMPUTED_VALUE"""),1171.695753)</f>
        <v>1171.695753</v>
      </c>
      <c r="K15" s="4" t="n">
        <f aca="false">IFERROR(__xludf.DUMMYFUNCTION("""COMPUTED_VALUE"""),1271.941099)</f>
        <v>1271.941099</v>
      </c>
    </row>
    <row r="16" customFormat="false" ht="15" hidden="false" customHeight="false" outlineLevel="0" collapsed="false">
      <c r="A16" s="3" t="s">
        <v>14</v>
      </c>
      <c r="B16" s="4" t="n">
        <f aca="false">IFERROR(__xludf.DUMMYFUNCTION("""COMPUTED_VALUE"""),6.827517)</f>
        <v>6.827517</v>
      </c>
      <c r="C16" s="4" t="n">
        <f aca="false">IFERROR(__xludf.DUMMYFUNCTION("""COMPUTED_VALUE"""),47.073112)</f>
        <v>47.073112</v>
      </c>
      <c r="D16" s="4" t="n">
        <f aca="false">IFERROR(__xludf.DUMMYFUNCTION("""COMPUTED_VALUE"""),88.889676)</f>
        <v>88.889676</v>
      </c>
      <c r="E16" s="4" t="n">
        <f aca="false">IFERROR(__xludf.DUMMYFUNCTION("""COMPUTED_VALUE"""),148.279182)</f>
        <v>148.279182</v>
      </c>
      <c r="F16" s="4" t="n">
        <f aca="false">IFERROR(__xludf.DUMMYFUNCTION("""COMPUTED_VALUE"""),205.226053)</f>
        <v>205.226053</v>
      </c>
      <c r="G16" s="4" t="n">
        <f aca="false">IFERROR(__xludf.DUMMYFUNCTION("""COMPUTED_VALUE"""),255.765145)</f>
        <v>255.765145</v>
      </c>
      <c r="H16" s="4" t="n">
        <f aca="false">IFERROR(__xludf.DUMMYFUNCTION("""COMPUTED_VALUE"""),328.417902)</f>
        <v>328.417902</v>
      </c>
      <c r="I16" s="4" t="n">
        <f aca="false">IFERROR(__xludf.DUMMYFUNCTION("""COMPUTED_VALUE"""),366.908071)</f>
        <v>366.908071</v>
      </c>
      <c r="J16" s="4" t="n">
        <f aca="false">IFERROR(__xludf.DUMMYFUNCTION("""COMPUTED_VALUE"""),401.681707)</f>
        <v>401.681707</v>
      </c>
      <c r="K16" s="4" t="n">
        <f aca="false">IFERROR(__xludf.DUMMYFUNCTION("""COMPUTED_VALUE"""),436.686782)</f>
        <v>436.686782</v>
      </c>
    </row>
    <row r="17" customFormat="false" ht="15" hidden="false" customHeight="false" outlineLevel="0" collapsed="false">
      <c r="A17" s="3" t="s">
        <v>15</v>
      </c>
      <c r="B17" s="4" t="n">
        <f aca="false">IFERROR(__xludf.DUMMYFUNCTION("""COMPUTED_VALUE"""),17.637753)</f>
        <v>17.637753</v>
      </c>
      <c r="C17" s="4" t="n">
        <f aca="false">IFERROR(__xludf.DUMMYFUNCTION("""COMPUTED_VALUE"""),85.987819)</f>
        <v>85.987819</v>
      </c>
      <c r="D17" s="4" t="n">
        <f aca="false">IFERROR(__xludf.DUMMYFUNCTION("""COMPUTED_VALUE"""),186.869567)</f>
        <v>186.869567</v>
      </c>
      <c r="E17" s="4" t="n">
        <f aca="false">IFERROR(__xludf.DUMMYFUNCTION("""COMPUTED_VALUE"""),336.583621)</f>
        <v>336.583621</v>
      </c>
      <c r="F17" s="4" t="n">
        <f aca="false">IFERROR(__xludf.DUMMYFUNCTION("""COMPUTED_VALUE"""),484.132598)</f>
        <v>484.132598</v>
      </c>
      <c r="G17" s="4" t="n">
        <f aca="false">IFERROR(__xludf.DUMMYFUNCTION("""COMPUTED_VALUE"""),643.220385)</f>
        <v>643.220385</v>
      </c>
      <c r="H17" s="4" t="n">
        <f aca="false">IFERROR(__xludf.DUMMYFUNCTION("""COMPUTED_VALUE"""),792.431742)</f>
        <v>792.431742</v>
      </c>
      <c r="I17" s="4" t="n">
        <f aca="false">IFERROR(__xludf.DUMMYFUNCTION("""COMPUTED_VALUE"""),889.677707)</f>
        <v>889.677707</v>
      </c>
      <c r="J17" s="4" t="n">
        <f aca="false">IFERROR(__xludf.DUMMYFUNCTION("""COMPUTED_VALUE"""),965.31111)</f>
        <v>965.31111</v>
      </c>
      <c r="K17" s="4" t="n">
        <f aca="false">IFERROR(__xludf.DUMMYFUNCTION("""COMPUTED_VALUE"""),1041.939702)</f>
        <v>1041.939702</v>
      </c>
    </row>
    <row r="18" customFormat="false" ht="15" hidden="false" customHeight="false" outlineLevel="0" collapsed="false">
      <c r="A18" s="3" t="s">
        <v>16</v>
      </c>
      <c r="B18" s="4" t="n">
        <f aca="false">IFERROR(__xludf.DUMMYFUNCTION("""COMPUTED_VALUE"""),38.803056)</f>
        <v>38.803056</v>
      </c>
      <c r="C18" s="4" t="n">
        <f aca="false">IFERROR(__xludf.DUMMYFUNCTION("""COMPUTED_VALUE"""),189.173203)</f>
        <v>189.173203</v>
      </c>
      <c r="D18" s="4" t="n">
        <f aca="false">IFERROR(__xludf.DUMMYFUNCTION("""COMPUTED_VALUE"""),411.113048)</f>
        <v>411.113048</v>
      </c>
      <c r="E18" s="4" t="n">
        <f aca="false">IFERROR(__xludf.DUMMYFUNCTION("""COMPUTED_VALUE"""),740.483966)</f>
        <v>740.483966</v>
      </c>
      <c r="F18" s="4" t="n">
        <f aca="false">IFERROR(__xludf.DUMMYFUNCTION("""COMPUTED_VALUE"""),1065.091715)</f>
        <v>1065.091715</v>
      </c>
      <c r="G18" s="4" t="n">
        <f aca="false">IFERROR(__xludf.DUMMYFUNCTION("""COMPUTED_VALUE"""),1415.084848)</f>
        <v>1415.084848</v>
      </c>
      <c r="H18" s="4" t="n">
        <f aca="false">IFERROR(__xludf.DUMMYFUNCTION("""COMPUTED_VALUE"""),1743.349833)</f>
        <v>1743.349833</v>
      </c>
      <c r="I18" s="4" t="n">
        <f aca="false">IFERROR(__xludf.DUMMYFUNCTION("""COMPUTED_VALUE"""),1957.290955)</f>
        <v>1957.290955</v>
      </c>
      <c r="J18" s="4" t="n">
        <f aca="false">IFERROR(__xludf.DUMMYFUNCTION("""COMPUTED_VALUE"""),2123.684441)</f>
        <v>2123.684441</v>
      </c>
      <c r="K18" s="4" t="n">
        <f aca="false">IFERROR(__xludf.DUMMYFUNCTION("""COMPUTED_VALUE"""),2292.267343)</f>
        <v>2292.267343</v>
      </c>
    </row>
    <row r="19" customFormat="false" ht="15" hidden="false" customHeight="false" outlineLevel="0" collapsed="false">
      <c r="A19" s="3" t="s">
        <v>17</v>
      </c>
      <c r="B19" s="4" t="n">
        <f aca="false">IFERROR(__xludf.DUMMYFUNCTION("""COMPUTED_VALUE"""),8.466121)</f>
        <v>8.466121</v>
      </c>
      <c r="C19" s="4" t="n">
        <f aca="false">IFERROR(__xludf.DUMMYFUNCTION("""COMPUTED_VALUE"""),41.274153)</f>
        <v>41.274153</v>
      </c>
      <c r="D19" s="4" t="n">
        <f aca="false">IFERROR(__xludf.DUMMYFUNCTION("""COMPUTED_VALUE"""),89.697392)</f>
        <v>89.697392</v>
      </c>
      <c r="E19" s="4" t="n">
        <f aca="false">IFERROR(__xludf.DUMMYFUNCTION("""COMPUTED_VALUE"""),161.560138)</f>
        <v>161.560138</v>
      </c>
      <c r="F19" s="4" t="n">
        <f aca="false">IFERROR(__xludf.DUMMYFUNCTION("""COMPUTED_VALUE"""),232.383647)</f>
        <v>232.383647</v>
      </c>
      <c r="G19" s="4" t="n">
        <f aca="false">IFERROR(__xludf.DUMMYFUNCTION("""COMPUTED_VALUE"""),308.745785)</f>
        <v>308.745785</v>
      </c>
      <c r="H19" s="4" t="n">
        <f aca="false">IFERROR(__xludf.DUMMYFUNCTION("""COMPUTED_VALUE"""),380.367236)</f>
        <v>380.367236</v>
      </c>
      <c r="I19" s="4" t="n">
        <f aca="false">IFERROR(__xludf.DUMMYFUNCTION("""COMPUTED_VALUE"""),427.045299)</f>
        <v>427.045299</v>
      </c>
      <c r="J19" s="4" t="n">
        <f aca="false">IFERROR(__xludf.DUMMYFUNCTION("""COMPUTED_VALUE"""),463.349333)</f>
        <v>463.349333</v>
      </c>
      <c r="K19" s="4" t="n">
        <f aca="false">IFERROR(__xludf.DUMMYFUNCTION("""COMPUTED_VALUE"""),500.131057)</f>
        <v>500.131057</v>
      </c>
    </row>
    <row r="20" customFormat="false" ht="15" hidden="false" customHeight="false" outlineLevel="0" collapsed="false">
      <c r="A20" s="3" t="s">
        <v>18</v>
      </c>
      <c r="B20" s="4" t="n">
        <f aca="false">IFERROR(__xludf.DUMMYFUNCTION("""COMPUTED_VALUE"""),5.644081)</f>
        <v>5.644081</v>
      </c>
      <c r="C20" s="4" t="n">
        <f aca="false">IFERROR(__xludf.DUMMYFUNCTION("""COMPUTED_VALUE"""),27.516102)</f>
        <v>27.516102</v>
      </c>
      <c r="D20" s="4" t="n">
        <f aca="false">IFERROR(__xludf.DUMMYFUNCTION("""COMPUTED_VALUE"""),59.798262)</f>
        <v>59.798262</v>
      </c>
      <c r="E20" s="4" t="n">
        <f aca="false">IFERROR(__xludf.DUMMYFUNCTION("""COMPUTED_VALUE"""),107.706759)</f>
        <v>107.706759</v>
      </c>
      <c r="F20" s="4" t="n">
        <f aca="false">IFERROR(__xludf.DUMMYFUNCTION("""COMPUTED_VALUE"""),154.922431)</f>
        <v>154.922431</v>
      </c>
      <c r="G20" s="4" t="n">
        <f aca="false">IFERROR(__xludf.DUMMYFUNCTION("""COMPUTED_VALUE"""),205.830523)</f>
        <v>205.830523</v>
      </c>
      <c r="H20" s="4" t="n">
        <f aca="false">IFERROR(__xludf.DUMMYFUNCTION("""COMPUTED_VALUE"""),253.578158)</f>
        <v>253.578158</v>
      </c>
      <c r="I20" s="4" t="n">
        <f aca="false">IFERROR(__xludf.DUMMYFUNCTION("""COMPUTED_VALUE"""),284.696866)</f>
        <v>284.696866</v>
      </c>
      <c r="J20" s="4" t="n">
        <f aca="false">IFERROR(__xludf.DUMMYFUNCTION("""COMPUTED_VALUE"""),308.899555)</f>
        <v>308.899555</v>
      </c>
      <c r="K20" s="4" t="n">
        <f aca="false">IFERROR(__xludf.DUMMYFUNCTION("""COMPUTED_VALUE"""),333.420704)</f>
        <v>333.420704</v>
      </c>
    </row>
    <row r="21" customFormat="false" ht="15" hidden="false" customHeight="false" outlineLevel="0" collapsed="false">
      <c r="A21" s="5" t="s">
        <v>19</v>
      </c>
      <c r="B21" s="6" t="n">
        <f aca="false">SUM(B4:B20)</f>
        <v>6829.793097</v>
      </c>
      <c r="C21" s="6" t="n">
        <f aca="false">SUM(C4:C20)</f>
        <v>30662.680914</v>
      </c>
      <c r="D21" s="6" t="n">
        <f aca="false">SUM(D4:D20)</f>
        <v>61483.057999</v>
      </c>
      <c r="E21" s="6" t="n">
        <f aca="false">SUM(E4:E20)</f>
        <v>114050.795434</v>
      </c>
      <c r="F21" s="6" t="n">
        <f aca="false">SUM(F4:F20)</f>
        <v>167870.395798</v>
      </c>
      <c r="G21" s="6" t="n">
        <f aca="false">SUM(G4:G20)</f>
        <v>228490.108109</v>
      </c>
      <c r="H21" s="6" t="n">
        <f aca="false">SUM(H4:H20)</f>
        <v>283777.782174</v>
      </c>
      <c r="I21" s="6" t="n">
        <f aca="false">SUM(I4:I20)</f>
        <v>322612.238225</v>
      </c>
      <c r="J21" s="6" t="n">
        <f aca="false">SUM(J4:J20)</f>
        <v>347003.715485</v>
      </c>
      <c r="K21" s="6" t="n">
        <f aca="false">SUM(K4:K20)</f>
        <v>371907.689582</v>
      </c>
    </row>
    <row r="23" customFormat="false" ht="15" hidden="false" customHeight="false" outlineLevel="0" collapsed="false">
      <c r="A23" s="1" t="s">
        <v>20</v>
      </c>
    </row>
    <row r="24" customFormat="false" ht="15" hidden="false" customHeight="false" outlineLevel="0" collapsed="false">
      <c r="A24" s="2" t="s">
        <v>21</v>
      </c>
      <c r="B24" s="2" t="s">
        <v>22</v>
      </c>
      <c r="C24" s="2" t="s">
        <v>23</v>
      </c>
    </row>
    <row r="25" customFormat="false" ht="15" hidden="false" customHeight="false" outlineLevel="0" collapsed="false">
      <c r="A25" s="3" t="s">
        <v>24</v>
      </c>
      <c r="B25" s="7" t="n">
        <f aca="false">IFERROR(__xludf.DUMMYFUNCTION("IMPORTRANGE(""https://docs.google.com/spreadsheets/d/1xc4xDAwSYT3l-RulPYtcePxiCninrbQGzaBUsgO0YEs/edit?gid=1764491891#gid=1764491891"",""Indexado Dim Técnico!u61:u74"")"),0.0521797399)</f>
        <v>0.0521797399</v>
      </c>
      <c r="C25" s="8" t="s">
        <v>25</v>
      </c>
    </row>
    <row r="26" customFormat="false" ht="15" hidden="false" customHeight="false" outlineLevel="0" collapsed="false">
      <c r="A26" s="3" t="s">
        <v>26</v>
      </c>
      <c r="B26" s="7" t="n">
        <f aca="false">IFERROR(__xludf.DUMMYFUNCTION("""COMPUTED_VALUE"""),0.0798836162)</f>
        <v>0.0798836162</v>
      </c>
      <c r="C26" s="8" t="s">
        <v>25</v>
      </c>
    </row>
    <row r="27" customFormat="false" ht="15" hidden="false" customHeight="false" outlineLevel="0" collapsed="false">
      <c r="A27" s="3" t="s">
        <v>27</v>
      </c>
      <c r="B27" s="7" t="n">
        <f aca="false">IFERROR(__xludf.DUMMYFUNCTION("""COMPUTED_VALUE"""),0.059817286)</f>
        <v>0.059817286</v>
      </c>
      <c r="C27" s="8" t="s">
        <v>28</v>
      </c>
    </row>
    <row r="28" customFormat="false" ht="15" hidden="false" customHeight="false" outlineLevel="0" collapsed="false">
      <c r="A28" s="3" t="s">
        <v>29</v>
      </c>
      <c r="B28" s="7" t="n">
        <f aca="false">IFERROR(__xludf.DUMMYFUNCTION("""COMPUTED_VALUE"""),0.0637650712)</f>
        <v>0.0637650712</v>
      </c>
      <c r="C28" s="8" t="s">
        <v>25</v>
      </c>
    </row>
    <row r="29" customFormat="false" ht="15" hidden="false" customHeight="false" outlineLevel="0" collapsed="false">
      <c r="A29" s="3" t="s">
        <v>30</v>
      </c>
      <c r="B29" s="7" t="n">
        <f aca="false">IFERROR(__xludf.DUMMYFUNCTION("""COMPUTED_VALUE"""),0.0676801452)</f>
        <v>0.0676801452</v>
      </c>
      <c r="C29" s="8" t="s">
        <v>28</v>
      </c>
    </row>
    <row r="30" customFormat="false" ht="15" hidden="false" customHeight="false" outlineLevel="0" collapsed="false">
      <c r="A30" s="3" t="s">
        <v>31</v>
      </c>
      <c r="B30" s="7" t="n">
        <f aca="false">IFERROR(__xludf.DUMMYFUNCTION("""COMPUTED_VALUE"""),0.0932172985)</f>
        <v>0.0932172985</v>
      </c>
      <c r="C30" s="8" t="s">
        <v>28</v>
      </c>
    </row>
    <row r="31" customFormat="false" ht="15" hidden="false" customHeight="false" outlineLevel="0" collapsed="false">
      <c r="A31" s="3" t="s">
        <v>32</v>
      </c>
      <c r="B31" s="7" t="n">
        <f aca="false">IFERROR(__xludf.DUMMYFUNCTION("""COMPUTED_VALUE"""),0.0675217758)</f>
        <v>0.0675217758</v>
      </c>
      <c r="C31" s="8" t="s">
        <v>28</v>
      </c>
    </row>
    <row r="32" customFormat="false" ht="15" hidden="false" customHeight="false" outlineLevel="0" collapsed="false">
      <c r="A32" s="3" t="s">
        <v>33</v>
      </c>
      <c r="B32" s="7" t="n">
        <f aca="false">IFERROR(__xludf.DUMMYFUNCTION("""COMPUTED_VALUE"""),0.0533558834)</f>
        <v>0.0533558834</v>
      </c>
      <c r="C32" s="8" t="s">
        <v>25</v>
      </c>
    </row>
    <row r="33" customFormat="false" ht="15" hidden="false" customHeight="false" outlineLevel="0" collapsed="false">
      <c r="A33" s="3" t="s">
        <v>34</v>
      </c>
      <c r="B33" s="7" t="n">
        <f aca="false">IFERROR(__xludf.DUMMYFUNCTION("""COMPUTED_VALUE"""),0.0885682049)</f>
        <v>0.0885682049</v>
      </c>
      <c r="C33" s="8" t="s">
        <v>25</v>
      </c>
    </row>
    <row r="34" customFormat="false" ht="15" hidden="false" customHeight="false" outlineLevel="0" collapsed="false">
      <c r="A34" s="3" t="s">
        <v>35</v>
      </c>
      <c r="B34" s="7" t="n">
        <f aca="false">IFERROR(__xludf.DUMMYFUNCTION("""COMPUTED_VALUE"""),0.0471361107)</f>
        <v>0.0471361107</v>
      </c>
      <c r="C34" s="8" t="s">
        <v>25</v>
      </c>
    </row>
    <row r="35" customFormat="false" ht="15" hidden="false" customHeight="false" outlineLevel="0" collapsed="false">
      <c r="A35" s="3" t="s">
        <v>36</v>
      </c>
      <c r="B35" s="7" t="n">
        <f aca="false">IFERROR(__xludf.DUMMYFUNCTION("""COMPUTED_VALUE"""),0.0848900664)</f>
        <v>0.0848900664</v>
      </c>
      <c r="C35" s="8" t="s">
        <v>25</v>
      </c>
    </row>
    <row r="36" customFormat="false" ht="15" hidden="false" customHeight="false" outlineLevel="0" collapsed="false">
      <c r="A36" s="3" t="s">
        <v>37</v>
      </c>
      <c r="B36" s="7" t="n">
        <f aca="false">IFERROR(__xludf.DUMMYFUNCTION("""COMPUTED_VALUE"""),0.0672643024)</f>
        <v>0.0672643024</v>
      </c>
      <c r="C36" s="8" t="s">
        <v>25</v>
      </c>
    </row>
    <row r="37" customFormat="false" ht="15" hidden="false" customHeight="false" outlineLevel="0" collapsed="false">
      <c r="A37" s="3" t="s">
        <v>38</v>
      </c>
      <c r="B37" s="7" t="n">
        <f aca="false">IFERROR(__xludf.DUMMYFUNCTION("""COMPUTED_VALUE"""),0.0174767438)</f>
        <v>0.0174767438</v>
      </c>
      <c r="C37" s="8" t="s">
        <v>25</v>
      </c>
    </row>
    <row r="38" customFormat="false" ht="15" hidden="false" customHeight="false" outlineLevel="0" collapsed="false">
      <c r="A38" s="3" t="s">
        <v>39</v>
      </c>
      <c r="B38" s="7" t="n">
        <f aca="false">IFERROR(__xludf.DUMMYFUNCTION("""COMPUTED_VALUE"""),0.1572437555)</f>
        <v>0.1572437555</v>
      </c>
      <c r="C38" s="8" t="s">
        <v>25</v>
      </c>
    </row>
    <row r="40" customFormat="false" ht="15" hidden="false" customHeight="false" outlineLevel="0" collapsed="false">
      <c r="A40" s="5" t="s">
        <v>40</v>
      </c>
      <c r="B40" s="9" t="n">
        <f aca="false">SUMIF($C$25:$C$38,"Comercial",$B$25:$B$38)</f>
        <v>0.7117634944</v>
      </c>
    </row>
    <row r="41" customFormat="false" ht="15" hidden="false" customHeight="false" outlineLevel="0" collapsed="false">
      <c r="A41" s="5" t="s">
        <v>41</v>
      </c>
      <c r="B41" s="9" t="n">
        <f aca="false">SUMIF($C$25:$C$38,"Industrial",$B$25:$B$38)</f>
        <v>0.2882365055</v>
      </c>
    </row>
    <row r="42" customFormat="false" ht="15" hidden="false" customHeight="false" outlineLevel="0" collapsed="false">
      <c r="A42" s="3" t="s">
        <v>42</v>
      </c>
      <c r="B42" s="7" t="n">
        <f aca="false">B40+B41</f>
        <v>0.9999999999</v>
      </c>
    </row>
    <row r="44" customFormat="false" ht="15" hidden="false" customHeight="false" outlineLevel="0" collapsed="false">
      <c r="A44" s="1" t="s">
        <v>43</v>
      </c>
    </row>
    <row r="45" customFormat="false" ht="15" hidden="false" customHeight="true" outlineLevel="0" collapsed="false">
      <c r="A45" s="2" t="s">
        <v>44</v>
      </c>
      <c r="B45" s="2" t="s">
        <v>45</v>
      </c>
      <c r="C45" s="2" t="s">
        <v>46</v>
      </c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5" hidden="false" customHeight="true" outlineLevel="0" collapsed="false">
      <c r="A46" s="3" t="s">
        <v>47</v>
      </c>
      <c r="B46" s="7" t="n">
        <v>0.05</v>
      </c>
      <c r="C46" s="3" t="s">
        <v>48</v>
      </c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true" outlineLevel="0" collapsed="false">
      <c r="A47" s="3" t="s">
        <v>49</v>
      </c>
      <c r="B47" s="7" t="n">
        <v>0.02</v>
      </c>
      <c r="C47" s="3" t="s">
        <v>50</v>
      </c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true" outlineLevel="0" collapsed="false">
      <c r="A48" s="3" t="s">
        <v>51</v>
      </c>
      <c r="B48" s="7" t="n">
        <v>0.01</v>
      </c>
      <c r="C48" s="3" t="s">
        <v>52</v>
      </c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true" outlineLevel="0" collapsed="false">
      <c r="A49" s="3" t="s">
        <v>53</v>
      </c>
      <c r="B49" s="7" t="n">
        <v>0.0330204131377009</v>
      </c>
      <c r="C49" s="3" t="s">
        <v>54</v>
      </c>
      <c r="D49" s="3"/>
      <c r="E49" s="3"/>
      <c r="F49" s="3"/>
      <c r="G49" s="3"/>
      <c r="H49" s="3"/>
      <c r="I49" s="3"/>
      <c r="J49" s="3"/>
      <c r="K49" s="3"/>
      <c r="L49" s="3"/>
    </row>
    <row r="51" customFormat="false" ht="15" hidden="false" customHeight="false" outlineLevel="0" collapsed="false">
      <c r="A51" s="5" t="s">
        <v>55</v>
      </c>
      <c r="B51" s="8" t="s">
        <v>28</v>
      </c>
    </row>
    <row r="52" customFormat="false" ht="15" hidden="false" customHeight="false" outlineLevel="0" collapsed="false">
      <c r="A52" s="5" t="s">
        <v>56</v>
      </c>
      <c r="B52" s="9" t="n">
        <f aca="false">IF(B51="Comercial",B40,B41)</f>
        <v>0.2882365055</v>
      </c>
    </row>
    <row r="54" customFormat="false" ht="15" hidden="false" customHeight="false" outlineLevel="0" collapsed="false">
      <c r="A54" s="1" t="s">
        <v>57</v>
      </c>
    </row>
    <row r="56" customFormat="false" ht="23.85" hidden="false" customHeight="false" outlineLevel="0" collapsed="false">
      <c r="A56" s="2" t="s">
        <v>58</v>
      </c>
      <c r="B56" s="2" t="s">
        <v>59</v>
      </c>
      <c r="C56" s="2" t="s">
        <v>60</v>
      </c>
      <c r="D56" s="2" t="s">
        <v>61</v>
      </c>
      <c r="E56" s="2" t="s">
        <v>62</v>
      </c>
      <c r="F56" s="2" t="s">
        <v>63</v>
      </c>
      <c r="G56" s="2" t="s">
        <v>64</v>
      </c>
      <c r="H56" s="2" t="s">
        <v>65</v>
      </c>
      <c r="I56" s="2" t="s">
        <v>66</v>
      </c>
    </row>
    <row r="57" customFormat="false" ht="15" hidden="false" customHeight="false" outlineLevel="0" collapsed="false">
      <c r="A57" s="8" t="str">
        <f aca="false">A4</f>
        <v>ABC 1 kg</v>
      </c>
      <c r="B57" s="4" t="n">
        <v>2787299</v>
      </c>
      <c r="C57" s="4" t="n">
        <v>0</v>
      </c>
      <c r="D57" s="4" t="n">
        <v>0</v>
      </c>
      <c r="E57" s="4" t="n">
        <v>3578.5</v>
      </c>
      <c r="F57" s="4" t="n">
        <v>0</v>
      </c>
      <c r="G57" s="4" t="n">
        <v>0</v>
      </c>
      <c r="H57" s="4" t="n">
        <v>612</v>
      </c>
      <c r="I57" s="6" t="n">
        <f aca="false">SUM(B57:H57)</f>
        <v>2791489.5</v>
      </c>
    </row>
    <row r="58" customFormat="false" ht="15" hidden="false" customHeight="false" outlineLevel="0" collapsed="false">
      <c r="A58" s="8" t="str">
        <f aca="false">A5</f>
        <v>ABC 2,5 kg</v>
      </c>
      <c r="B58" s="4" t="n">
        <v>0</v>
      </c>
      <c r="C58" s="4" t="n">
        <v>126747.3</v>
      </c>
      <c r="D58" s="4" t="n">
        <v>25545.6</v>
      </c>
      <c r="E58" s="4" t="n">
        <v>76743.6</v>
      </c>
      <c r="F58" s="4" t="n">
        <v>0</v>
      </c>
      <c r="G58" s="4" t="n">
        <v>12077.2</v>
      </c>
      <c r="H58" s="4" t="n">
        <v>7088</v>
      </c>
      <c r="I58" s="6" t="n">
        <f aca="false">SUM(B58:H58)</f>
        <v>248201.7</v>
      </c>
    </row>
    <row r="59" customFormat="false" ht="15" hidden="false" customHeight="false" outlineLevel="0" collapsed="false">
      <c r="A59" s="8" t="str">
        <f aca="false">A6</f>
        <v>ABC 5 kg</v>
      </c>
      <c r="B59" s="4" t="n">
        <v>85878</v>
      </c>
      <c r="C59" s="4" t="n">
        <v>924509.9</v>
      </c>
      <c r="D59" s="4" t="n">
        <v>95138.1</v>
      </c>
      <c r="E59" s="4" t="n">
        <v>29300.8</v>
      </c>
      <c r="F59" s="4" t="n">
        <v>137671.9</v>
      </c>
      <c r="G59" s="4" t="n">
        <v>77208.2</v>
      </c>
      <c r="H59" s="4" t="n">
        <v>6153</v>
      </c>
      <c r="I59" s="6" t="n">
        <f aca="false">SUM(B59:H59)</f>
        <v>1355859.9</v>
      </c>
    </row>
    <row r="60" customFormat="false" ht="15" hidden="false" customHeight="false" outlineLevel="0" collapsed="false">
      <c r="A60" s="8" t="str">
        <f aca="false">A7</f>
        <v>ABC 10 kg</v>
      </c>
      <c r="B60" s="4" t="n">
        <v>0</v>
      </c>
      <c r="C60" s="4" t="n">
        <v>56663.5</v>
      </c>
      <c r="D60" s="4" t="n">
        <v>10225</v>
      </c>
      <c r="E60" s="4" t="n">
        <v>7032.2</v>
      </c>
      <c r="F60" s="4" t="n">
        <v>0</v>
      </c>
      <c r="G60" s="4" t="n">
        <v>10321.9</v>
      </c>
      <c r="H60" s="4" t="n">
        <v>0</v>
      </c>
      <c r="I60" s="6" t="n">
        <f aca="false">SUM(B60:H60)</f>
        <v>84242.6</v>
      </c>
    </row>
    <row r="61" customFormat="false" ht="15" hidden="false" customHeight="false" outlineLevel="0" collapsed="false">
      <c r="A61" s="8" t="str">
        <f aca="false">A8</f>
        <v>Agua 10 l</v>
      </c>
      <c r="B61" s="4" t="n">
        <v>0</v>
      </c>
      <c r="C61" s="4" t="n">
        <v>71575</v>
      </c>
      <c r="D61" s="4" t="n">
        <v>8788.7</v>
      </c>
      <c r="E61" s="4" t="n">
        <v>4688.1</v>
      </c>
      <c r="F61" s="4" t="n">
        <v>15126.6</v>
      </c>
      <c r="G61" s="4" t="n">
        <v>14747.1</v>
      </c>
      <c r="H61" s="4" t="n">
        <v>647</v>
      </c>
      <c r="I61" s="6" t="n">
        <f aca="false">SUM(B61:H61)</f>
        <v>115572.5</v>
      </c>
    </row>
    <row r="62" customFormat="false" ht="15" hidden="false" customHeight="false" outlineLevel="0" collapsed="false">
      <c r="A62" s="8" t="str">
        <f aca="false">A9</f>
        <v>AFFF 10 l</v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19056.2</v>
      </c>
      <c r="G62" s="4" t="n">
        <v>0</v>
      </c>
      <c r="H62" s="4" t="n">
        <v>0</v>
      </c>
      <c r="I62" s="6" t="n">
        <f aca="false">SUM(B62:H62)</f>
        <v>19056.2</v>
      </c>
    </row>
    <row r="63" customFormat="false" ht="15" hidden="false" customHeight="false" outlineLevel="0" collapsed="false">
      <c r="A63" s="8" t="str">
        <f aca="false">A10</f>
        <v>AFFF 50 l s/ruedas</v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11022.6</v>
      </c>
      <c r="G63" s="4" t="n">
        <v>0</v>
      </c>
      <c r="H63" s="4" t="n">
        <v>0</v>
      </c>
      <c r="I63" s="6" t="n">
        <f aca="false">SUM(B63:H63)</f>
        <v>11022.6</v>
      </c>
    </row>
    <row r="64" customFormat="false" ht="15" hidden="false" customHeight="false" outlineLevel="0" collapsed="false">
      <c r="A64" s="8" t="str">
        <f aca="false">A11</f>
        <v>BC 5 kg</v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5628.9</v>
      </c>
      <c r="G64" s="4" t="n">
        <v>0</v>
      </c>
      <c r="H64" s="4" t="n">
        <v>0</v>
      </c>
      <c r="I64" s="6" t="n">
        <f aca="false">SUM(B64:H64)</f>
        <v>5628.9</v>
      </c>
    </row>
    <row r="65" customFormat="false" ht="15" hidden="false" customHeight="false" outlineLevel="0" collapsed="false">
      <c r="A65" s="8" t="str">
        <f aca="false">A12</f>
        <v>Sales K 6 l</v>
      </c>
      <c r="B65" s="4" t="n">
        <v>0</v>
      </c>
      <c r="C65" s="4" t="n">
        <v>25349.5</v>
      </c>
      <c r="D65" s="4" t="n">
        <v>8036.5</v>
      </c>
      <c r="E65" s="4" t="n">
        <v>11720.3</v>
      </c>
      <c r="F65" s="4" t="n">
        <v>9968.1</v>
      </c>
      <c r="G65" s="4" t="n">
        <v>4616.3</v>
      </c>
      <c r="H65" s="4" t="n">
        <v>0</v>
      </c>
      <c r="I65" s="6" t="n">
        <f aca="false">SUM(B65:H65)</f>
        <v>59690.7</v>
      </c>
    </row>
    <row r="66" customFormat="false" ht="15" hidden="false" customHeight="false" outlineLevel="0" collapsed="false">
      <c r="A66" s="8" t="str">
        <f aca="false">A13</f>
        <v>CO₂ 2 kg</v>
      </c>
      <c r="B66" s="4" t="n">
        <v>0</v>
      </c>
      <c r="C66" s="4" t="n">
        <v>231127.5</v>
      </c>
      <c r="D66" s="4" t="n">
        <v>34334.4</v>
      </c>
      <c r="E66" s="4" t="n">
        <v>11720.3</v>
      </c>
      <c r="F66" s="4" t="n">
        <v>7798.5</v>
      </c>
      <c r="G66" s="4" t="n">
        <v>17366.2</v>
      </c>
      <c r="H66" s="4" t="n">
        <v>0</v>
      </c>
      <c r="I66" s="6" t="n">
        <f aca="false">SUM(B66:H66)</f>
        <v>302346.9</v>
      </c>
    </row>
    <row r="67" customFormat="false" ht="15" hidden="false" customHeight="false" outlineLevel="0" collapsed="false">
      <c r="A67" s="8" t="str">
        <f aca="false">A14</f>
        <v>CO₂ 5 kg</v>
      </c>
      <c r="B67" s="4" t="n">
        <v>0</v>
      </c>
      <c r="C67" s="4" t="n">
        <v>32805.2</v>
      </c>
      <c r="D67" s="4" t="n">
        <v>1607.3</v>
      </c>
      <c r="E67" s="4" t="n">
        <v>5860.1</v>
      </c>
      <c r="F67" s="4" t="n">
        <v>39872.3</v>
      </c>
      <c r="G67" s="4" t="n">
        <v>19474.2</v>
      </c>
      <c r="H67" s="4" t="n">
        <v>2914</v>
      </c>
      <c r="I67" s="6" t="n">
        <f aca="false">SUM(B67:H67)</f>
        <v>102533.1</v>
      </c>
    </row>
    <row r="68" customFormat="false" ht="15" hidden="false" customHeight="false" outlineLevel="0" collapsed="false">
      <c r="A68" s="8" t="str">
        <f aca="false">A15</f>
        <v>HCFC/HFC 5 kg</v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11257.7</v>
      </c>
      <c r="G68" s="4" t="n">
        <v>3992.6</v>
      </c>
      <c r="H68" s="4" t="n">
        <v>0</v>
      </c>
      <c r="I68" s="6" t="n">
        <f aca="false">SUM(B68:H68)</f>
        <v>15250.3</v>
      </c>
    </row>
    <row r="69" customFormat="false" ht="15" hidden="false" customHeight="false" outlineLevel="0" collapsed="false">
      <c r="A69" s="8" t="str">
        <f aca="false">A16</f>
        <v>Clase D 9 l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4339.2</v>
      </c>
      <c r="G69" s="4" t="n">
        <v>0</v>
      </c>
      <c r="H69" s="4" t="n">
        <v>0</v>
      </c>
      <c r="I69" s="6" t="n">
        <f aca="false">SUM(B69:H69)</f>
        <v>4339.2</v>
      </c>
    </row>
    <row r="70" customFormat="false" ht="15" hidden="false" customHeight="false" outlineLevel="0" collapsed="false">
      <c r="A70" s="8" t="str">
        <f aca="false">A17</f>
        <v>ABC 25 kg s/ruedas</v>
      </c>
      <c r="B70" s="4" t="n">
        <v>0</v>
      </c>
      <c r="C70" s="4" t="n">
        <v>5591.8</v>
      </c>
      <c r="D70" s="4" t="n">
        <v>359.1</v>
      </c>
      <c r="E70" s="4" t="n">
        <v>586</v>
      </c>
      <c r="F70" s="4" t="n">
        <v>4925.3</v>
      </c>
      <c r="G70" s="4" t="n">
        <v>2245.9</v>
      </c>
      <c r="H70" s="4" t="n">
        <v>0</v>
      </c>
      <c r="I70" s="6" t="n">
        <f aca="false">SUM(B70:H70)</f>
        <v>13708.1</v>
      </c>
    </row>
    <row r="71" customFormat="false" ht="15" hidden="false" customHeight="false" outlineLevel="0" collapsed="false">
      <c r="A71" s="8" t="str">
        <f aca="false">A18</f>
        <v>ABC 50 kg s/ruedas</v>
      </c>
      <c r="B71" s="4" t="n">
        <v>0</v>
      </c>
      <c r="C71" s="4" t="n">
        <v>12301.9</v>
      </c>
      <c r="D71" s="4" t="n">
        <v>790</v>
      </c>
      <c r="E71" s="4" t="n">
        <v>1289.2</v>
      </c>
      <c r="F71" s="4" t="n">
        <v>10835.6</v>
      </c>
      <c r="G71" s="4" t="n">
        <v>4940.9</v>
      </c>
      <c r="H71" s="4" t="n">
        <v>0</v>
      </c>
      <c r="I71" s="6" t="n">
        <f aca="false">SUM(B71:H71)</f>
        <v>30157.6</v>
      </c>
    </row>
    <row r="72" customFormat="false" ht="15" hidden="false" customHeight="false" outlineLevel="0" collapsed="false">
      <c r="A72" s="8" t="str">
        <f aca="false">A19</f>
        <v>ABC 70 kg s/ruedas</v>
      </c>
      <c r="B72" s="4" t="n">
        <v>0</v>
      </c>
      <c r="C72" s="4" t="n">
        <v>2684.1</v>
      </c>
      <c r="D72" s="4" t="n">
        <v>172.4</v>
      </c>
      <c r="E72" s="4" t="n">
        <v>281.3</v>
      </c>
      <c r="F72" s="4" t="n">
        <v>2364.1</v>
      </c>
      <c r="G72" s="4" t="n">
        <v>1078</v>
      </c>
      <c r="H72" s="4" t="n">
        <v>0</v>
      </c>
      <c r="I72" s="6" t="n">
        <f aca="false">SUM(B72:H72)</f>
        <v>6579.9</v>
      </c>
    </row>
    <row r="73" customFormat="false" ht="15" hidden="false" customHeight="false" outlineLevel="0" collapsed="false">
      <c r="A73" s="8" t="str">
        <f aca="false">A20</f>
        <v>ABC 100 kg s/ruedas</v>
      </c>
      <c r="B73" s="4" t="n">
        <v>0</v>
      </c>
      <c r="C73" s="4" t="n">
        <v>1789.4</v>
      </c>
      <c r="D73" s="4" t="n">
        <v>114.9</v>
      </c>
      <c r="E73" s="4" t="n">
        <v>187.5</v>
      </c>
      <c r="F73" s="4" t="n">
        <v>1576.1</v>
      </c>
      <c r="G73" s="4" t="n">
        <v>718.7</v>
      </c>
      <c r="H73" s="4" t="n">
        <v>0</v>
      </c>
      <c r="I73" s="6" t="n">
        <f aca="false">SUM(B73:H73)</f>
        <v>4386.6</v>
      </c>
    </row>
    <row r="76" customFormat="false" ht="23.85" hidden="false" customHeight="false" outlineLevel="0" collapsed="false">
      <c r="A76" s="2" t="s">
        <v>67</v>
      </c>
      <c r="B76" s="2" t="s">
        <v>59</v>
      </c>
      <c r="C76" s="2" t="s">
        <v>60</v>
      </c>
      <c r="D76" s="2" t="s">
        <v>61</v>
      </c>
      <c r="E76" s="2" t="s">
        <v>62</v>
      </c>
      <c r="F76" s="2" t="s">
        <v>63</v>
      </c>
      <c r="G76" s="2" t="s">
        <v>64</v>
      </c>
      <c r="H76" s="2" t="s">
        <v>65</v>
      </c>
      <c r="I76" s="2" t="s">
        <v>66</v>
      </c>
    </row>
    <row r="77" customFormat="false" ht="15" hidden="false" customHeight="false" outlineLevel="0" collapsed="false">
      <c r="A77" s="8" t="str">
        <f aca="false">A4</f>
        <v>ABC 1 kg</v>
      </c>
      <c r="B77" s="4" t="n">
        <v>1188664</v>
      </c>
      <c r="C77" s="4" t="n">
        <v>0</v>
      </c>
      <c r="D77" s="4" t="n">
        <v>0</v>
      </c>
      <c r="E77" s="4" t="n">
        <v>1533.8</v>
      </c>
      <c r="F77" s="4" t="n">
        <v>0</v>
      </c>
      <c r="G77" s="4" t="n">
        <v>0</v>
      </c>
      <c r="H77" s="4" t="n">
        <v>331</v>
      </c>
      <c r="I77" s="6" t="n">
        <f aca="false">SUM(B77:H77)</f>
        <v>1190528.8</v>
      </c>
    </row>
    <row r="78" customFormat="false" ht="15" hidden="false" customHeight="false" outlineLevel="0" collapsed="false">
      <c r="A78" s="8" t="str">
        <f aca="false">A5</f>
        <v>ABC 2,5 kg</v>
      </c>
      <c r="B78" s="4" t="n">
        <v>0</v>
      </c>
      <c r="C78" s="4" t="n">
        <v>51231.6</v>
      </c>
      <c r="D78" s="4" t="n">
        <v>8719.2</v>
      </c>
      <c r="E78" s="4" t="n">
        <v>23764.4</v>
      </c>
      <c r="F78" s="4" t="n">
        <v>0</v>
      </c>
      <c r="G78" s="4" t="n">
        <v>4173.4</v>
      </c>
      <c r="H78" s="4" t="n">
        <v>3794</v>
      </c>
      <c r="I78" s="6" t="n">
        <f aca="false">SUM(B78:H78)</f>
        <v>91682.6</v>
      </c>
    </row>
    <row r="79" customFormat="false" ht="15" hidden="false" customHeight="false" outlineLevel="0" collapsed="false">
      <c r="A79" s="8" t="str">
        <f aca="false">A6</f>
        <v>ABC 5 kg</v>
      </c>
      <c r="B79" s="4" t="n">
        <v>36760</v>
      </c>
      <c r="C79" s="4" t="n">
        <v>373689.5</v>
      </c>
      <c r="D79" s="4" t="n">
        <v>32472.3</v>
      </c>
      <c r="E79" s="4" t="n">
        <v>6552.8</v>
      </c>
      <c r="F79" s="4" t="n">
        <v>44086.3</v>
      </c>
      <c r="G79" s="4" t="n">
        <v>26680.3</v>
      </c>
      <c r="H79" s="4" t="n">
        <v>3289</v>
      </c>
      <c r="I79" s="6" t="n">
        <f aca="false">SUM(B79:H79)</f>
        <v>523530.2</v>
      </c>
    </row>
    <row r="80" customFormat="false" ht="15" hidden="false" customHeight="false" outlineLevel="0" collapsed="false">
      <c r="A80" s="8" t="str">
        <f aca="false">A7</f>
        <v>ABC 10 kg</v>
      </c>
      <c r="B80" s="4" t="n">
        <v>0</v>
      </c>
      <c r="C80" s="4" t="n">
        <v>22903.5</v>
      </c>
      <c r="D80" s="4" t="n">
        <v>3490</v>
      </c>
      <c r="E80" s="4" t="n">
        <v>1572.7</v>
      </c>
      <c r="F80" s="4" t="n">
        <v>0</v>
      </c>
      <c r="G80" s="4" t="n">
        <v>3566.9</v>
      </c>
      <c r="H80" s="4" t="n">
        <v>0</v>
      </c>
      <c r="I80" s="6" t="n">
        <f aca="false">SUM(B80:H80)</f>
        <v>31533.1</v>
      </c>
    </row>
    <row r="81" customFormat="false" ht="15" hidden="false" customHeight="false" outlineLevel="0" collapsed="false">
      <c r="A81" s="8" t="str">
        <f aca="false">A8</f>
        <v>Agua 10 l</v>
      </c>
      <c r="B81" s="4" t="n">
        <v>0</v>
      </c>
      <c r="C81" s="4" t="n">
        <v>28930.8</v>
      </c>
      <c r="D81" s="4" t="n">
        <v>2999.8</v>
      </c>
      <c r="E81" s="4" t="n">
        <v>1048.4</v>
      </c>
      <c r="F81" s="4" t="n">
        <v>4377.3</v>
      </c>
      <c r="G81" s="4" t="n">
        <v>5096</v>
      </c>
      <c r="H81" s="4" t="n">
        <v>346</v>
      </c>
      <c r="I81" s="6" t="n">
        <f aca="false">SUM(B81:H81)</f>
        <v>42798.3</v>
      </c>
    </row>
    <row r="82" customFormat="false" ht="15" hidden="false" customHeight="false" outlineLevel="0" collapsed="false">
      <c r="A82" s="8" t="str">
        <f aca="false">A9</f>
        <v>AFFF 10 l</v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6232.7</v>
      </c>
      <c r="G82" s="4" t="n">
        <v>0</v>
      </c>
      <c r="H82" s="4" t="n">
        <v>0</v>
      </c>
      <c r="I82" s="6" t="n">
        <f aca="false">SUM(B82:H82)</f>
        <v>6232.7</v>
      </c>
    </row>
    <row r="83" customFormat="false" ht="15" hidden="false" customHeight="false" outlineLevel="0" collapsed="false">
      <c r="A83" s="8" t="str">
        <f aca="false">A10</f>
        <v>AFFF 50 l s/ruedas</v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3220.9</v>
      </c>
      <c r="G83" s="4" t="n">
        <v>0</v>
      </c>
      <c r="H83" s="4" t="n">
        <v>0</v>
      </c>
      <c r="I83" s="6" t="n">
        <f aca="false">SUM(B83:H83)</f>
        <v>3220.9</v>
      </c>
    </row>
    <row r="84" customFormat="false" ht="15" hidden="false" customHeight="false" outlineLevel="0" collapsed="false">
      <c r="A84" s="8" t="str">
        <f aca="false">A11</f>
        <v>BC 5 kg</v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1816.2</v>
      </c>
      <c r="G84" s="4" t="n">
        <v>0</v>
      </c>
      <c r="H84" s="4" t="n">
        <v>0</v>
      </c>
      <c r="I84" s="6" t="n">
        <f aca="false">SUM(B84:H84)</f>
        <v>1816.2</v>
      </c>
    </row>
    <row r="85" customFormat="false" ht="15" hidden="false" customHeight="false" outlineLevel="0" collapsed="false">
      <c r="A85" s="8" t="str">
        <f aca="false">A12</f>
        <v>Sales K 6 l</v>
      </c>
      <c r="B85" s="4" t="n">
        <v>0</v>
      </c>
      <c r="C85" s="4" t="n">
        <v>10246.3</v>
      </c>
      <c r="D85" s="4" t="n">
        <v>2743</v>
      </c>
      <c r="E85" s="4" t="n">
        <v>2621.1</v>
      </c>
      <c r="F85" s="4" t="n">
        <v>3384.2</v>
      </c>
      <c r="G85" s="4" t="n">
        <v>1595.2</v>
      </c>
      <c r="H85" s="4" t="n">
        <v>0</v>
      </c>
      <c r="I85" s="6" t="n">
        <f aca="false">SUM(B85:H85)</f>
        <v>20589.8</v>
      </c>
    </row>
    <row r="86" customFormat="false" ht="15" hidden="false" customHeight="false" outlineLevel="0" collapsed="false">
      <c r="A86" s="8" t="str">
        <f aca="false">A13</f>
        <v>CO₂ 2 kg</v>
      </c>
      <c r="B86" s="4" t="n">
        <v>0</v>
      </c>
      <c r="C86" s="4" t="n">
        <v>93422.4</v>
      </c>
      <c r="D86" s="4" t="n">
        <v>11718.9</v>
      </c>
      <c r="E86" s="4" t="n">
        <v>2621.1</v>
      </c>
      <c r="F86" s="4" t="n">
        <v>2600.2</v>
      </c>
      <c r="G86" s="4" t="n">
        <v>6001.1</v>
      </c>
      <c r="H86" s="4" t="n">
        <v>0</v>
      </c>
      <c r="I86" s="6" t="n">
        <f aca="false">SUM(B86:H86)</f>
        <v>116363.7</v>
      </c>
    </row>
    <row r="87" customFormat="false" ht="15" hidden="false" customHeight="false" outlineLevel="0" collapsed="false">
      <c r="A87" s="8" t="str">
        <f aca="false">A14</f>
        <v>CO₂ 5 kg</v>
      </c>
      <c r="B87" s="4" t="n">
        <v>0</v>
      </c>
      <c r="C87" s="4" t="n">
        <v>13260</v>
      </c>
      <c r="D87" s="4" t="n">
        <v>548.6</v>
      </c>
      <c r="E87" s="4" t="n">
        <v>1310.5</v>
      </c>
      <c r="F87" s="4" t="n">
        <v>13536.8</v>
      </c>
      <c r="G87" s="4" t="n">
        <v>6729.6</v>
      </c>
      <c r="H87" s="4" t="n">
        <v>1558</v>
      </c>
      <c r="I87" s="6" t="n">
        <f aca="false">SUM(B87:H87)</f>
        <v>36943.5</v>
      </c>
    </row>
    <row r="88" customFormat="false" ht="15" hidden="false" customHeight="false" outlineLevel="0" collapsed="false">
      <c r="A88" s="8" t="str">
        <f aca="false">A15</f>
        <v>HCFC/HFC 5 kg</v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3632.5</v>
      </c>
      <c r="G88" s="4" t="n">
        <v>1379.7</v>
      </c>
      <c r="H88" s="4" t="n">
        <v>0</v>
      </c>
      <c r="I88" s="6" t="n">
        <f aca="false">SUM(B88:H88)</f>
        <v>5012.2</v>
      </c>
    </row>
    <row r="89" customFormat="false" ht="15" hidden="false" customHeight="false" outlineLevel="0" collapsed="false">
      <c r="A89" s="8" t="str">
        <f aca="false">A16</f>
        <v>Clase D 9 l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1568</v>
      </c>
      <c r="G89" s="4" t="n">
        <v>0</v>
      </c>
      <c r="H89" s="4" t="n">
        <v>0</v>
      </c>
      <c r="I89" s="6" t="n">
        <f aca="false">SUM(B89:H89)</f>
        <v>1568</v>
      </c>
    </row>
    <row r="90" customFormat="false" ht="15" hidden="false" customHeight="false" outlineLevel="0" collapsed="false">
      <c r="A90" s="8" t="str">
        <f aca="false">A17</f>
        <v>ABC 25 kg s/ruedas</v>
      </c>
      <c r="B90" s="4" t="n">
        <v>0</v>
      </c>
      <c r="C90" s="4" t="n">
        <v>2260.2</v>
      </c>
      <c r="D90" s="4" t="n">
        <v>122.6</v>
      </c>
      <c r="E90" s="4" t="n">
        <v>131.1</v>
      </c>
      <c r="F90" s="4" t="n">
        <v>1589.2</v>
      </c>
      <c r="G90" s="4" t="n">
        <v>776.1</v>
      </c>
      <c r="H90" s="4" t="n">
        <v>0</v>
      </c>
      <c r="I90" s="6" t="n">
        <f aca="false">SUM(B90:H90)</f>
        <v>4879.2</v>
      </c>
    </row>
    <row r="91" customFormat="false" ht="15" hidden="false" customHeight="false" outlineLevel="0" collapsed="false">
      <c r="A91" s="8" t="str">
        <f aca="false">A18</f>
        <v>ABC 50 kg s/ruedas</v>
      </c>
      <c r="B91" s="4" t="n">
        <v>0</v>
      </c>
      <c r="C91" s="4" t="n">
        <v>4972.5</v>
      </c>
      <c r="D91" s="4" t="n">
        <v>269.6</v>
      </c>
      <c r="E91" s="4" t="n">
        <v>288.3</v>
      </c>
      <c r="F91" s="4" t="n">
        <v>3496.3</v>
      </c>
      <c r="G91" s="4" t="n">
        <v>1707.4</v>
      </c>
      <c r="H91" s="4" t="n">
        <v>0</v>
      </c>
      <c r="I91" s="6" t="n">
        <f aca="false">SUM(B91:H91)</f>
        <v>10734.1</v>
      </c>
    </row>
    <row r="92" customFormat="false" ht="15" hidden="false" customHeight="false" outlineLevel="0" collapsed="false">
      <c r="A92" s="8" t="str">
        <f aca="false">A19</f>
        <v>ABC 70 kg s/ruedas</v>
      </c>
      <c r="B92" s="4" t="n">
        <v>0</v>
      </c>
      <c r="C92" s="4" t="n">
        <v>1084.9</v>
      </c>
      <c r="D92" s="4" t="n">
        <v>58.8</v>
      </c>
      <c r="E92" s="4" t="n">
        <v>62.9</v>
      </c>
      <c r="F92" s="4" t="n">
        <v>762.8</v>
      </c>
      <c r="G92" s="4" t="n">
        <v>372.5</v>
      </c>
      <c r="H92" s="4" t="n">
        <v>0</v>
      </c>
      <c r="I92" s="6" t="n">
        <f aca="false">SUM(B92:H92)</f>
        <v>2341.9</v>
      </c>
    </row>
    <row r="93" customFormat="false" ht="15" hidden="false" customHeight="false" outlineLevel="0" collapsed="false">
      <c r="A93" s="8" t="str">
        <f aca="false">A20</f>
        <v>ABC 100 kg s/ruedas</v>
      </c>
      <c r="B93" s="4" t="n">
        <v>0</v>
      </c>
      <c r="C93" s="4" t="n">
        <v>723.3</v>
      </c>
      <c r="D93" s="4" t="n">
        <v>39.2</v>
      </c>
      <c r="E93" s="4" t="n">
        <v>41.9</v>
      </c>
      <c r="F93" s="4" t="n">
        <v>508.5</v>
      </c>
      <c r="G93" s="4" t="n">
        <v>248.3</v>
      </c>
      <c r="H93" s="4" t="n">
        <v>0</v>
      </c>
      <c r="I93" s="6" t="n">
        <f aca="false">SUM(B93:H93)</f>
        <v>1561.2</v>
      </c>
    </row>
    <row r="96" customFormat="false" ht="23.85" hidden="false" customHeight="false" outlineLevel="0" collapsed="false">
      <c r="A96" s="2" t="s">
        <v>68</v>
      </c>
      <c r="B96" s="2" t="s">
        <v>59</v>
      </c>
      <c r="C96" s="2" t="s">
        <v>60</v>
      </c>
      <c r="D96" s="2" t="s">
        <v>61</v>
      </c>
      <c r="E96" s="2" t="s">
        <v>62</v>
      </c>
      <c r="F96" s="2" t="s">
        <v>63</v>
      </c>
      <c r="G96" s="2" t="s">
        <v>64</v>
      </c>
      <c r="H96" s="2" t="s">
        <v>65</v>
      </c>
      <c r="I96" s="2" t="s">
        <v>66</v>
      </c>
    </row>
    <row r="97" customFormat="false" ht="15" hidden="false" customHeight="false" outlineLevel="0" collapsed="false">
      <c r="A97" s="8" t="str">
        <f aca="false">A4</f>
        <v>ABC 1 kg</v>
      </c>
      <c r="B97" s="4" t="n">
        <f aca="false">IF($B$51="Comercial",B57,B77)</f>
        <v>1188664</v>
      </c>
      <c r="C97" s="4" t="n">
        <f aca="false">IF($B$51="Comercial",C57,C77)</f>
        <v>0</v>
      </c>
      <c r="D97" s="4" t="n">
        <f aca="false">IF($B$51="Comercial",D57,D77)</f>
        <v>0</v>
      </c>
      <c r="E97" s="4" t="n">
        <f aca="false">IF($B$51="Comercial",E57,E77)</f>
        <v>1533.8</v>
      </c>
      <c r="F97" s="4" t="n">
        <f aca="false">IF($B$51="Comercial",F57,F77)</f>
        <v>0</v>
      </c>
      <c r="G97" s="4" t="n">
        <f aca="false">IF($B$51="Comercial",G57,G77)</f>
        <v>0</v>
      </c>
      <c r="H97" s="4" t="n">
        <f aca="false">IF($B$51="Comercial",H57,H77)</f>
        <v>331</v>
      </c>
      <c r="I97" s="6" t="n">
        <f aca="false">SUM(B97:H97)</f>
        <v>1190528.8</v>
      </c>
    </row>
    <row r="98" customFormat="false" ht="15" hidden="false" customHeight="false" outlineLevel="0" collapsed="false">
      <c r="A98" s="8" t="str">
        <f aca="false">A5</f>
        <v>ABC 2,5 kg</v>
      </c>
      <c r="B98" s="4" t="n">
        <f aca="false">IF($B$51="Comercial",B58,B78)</f>
        <v>0</v>
      </c>
      <c r="C98" s="4" t="n">
        <f aca="false">IF($B$51="Comercial",C58,C78)</f>
        <v>51231.6</v>
      </c>
      <c r="D98" s="4" t="n">
        <f aca="false">IF($B$51="Comercial",D58,D78)</f>
        <v>8719.2</v>
      </c>
      <c r="E98" s="4" t="n">
        <f aca="false">IF($B$51="Comercial",E58,E78)</f>
        <v>23764.4</v>
      </c>
      <c r="F98" s="4" t="n">
        <f aca="false">IF($B$51="Comercial",F58,F78)</f>
        <v>0</v>
      </c>
      <c r="G98" s="4" t="n">
        <f aca="false">IF($B$51="Comercial",G58,G78)</f>
        <v>4173.4</v>
      </c>
      <c r="H98" s="4" t="n">
        <f aca="false">IF($B$51="Comercial",H58,H78)</f>
        <v>3794</v>
      </c>
      <c r="I98" s="6" t="n">
        <f aca="false">SUM(B98:H98)</f>
        <v>91682.6</v>
      </c>
    </row>
    <row r="99" customFormat="false" ht="15" hidden="false" customHeight="false" outlineLevel="0" collapsed="false">
      <c r="A99" s="8" t="str">
        <f aca="false">A6</f>
        <v>ABC 5 kg</v>
      </c>
      <c r="B99" s="4" t="n">
        <f aca="false">IF($B$51="Comercial",B59,B79)</f>
        <v>36760</v>
      </c>
      <c r="C99" s="4" t="n">
        <f aca="false">IF($B$51="Comercial",C59,C79)</f>
        <v>373689.5</v>
      </c>
      <c r="D99" s="4" t="n">
        <f aca="false">IF($B$51="Comercial",D59,D79)</f>
        <v>32472.3</v>
      </c>
      <c r="E99" s="4" t="n">
        <f aca="false">IF($B$51="Comercial",E59,E79)</f>
        <v>6552.8</v>
      </c>
      <c r="F99" s="4" t="n">
        <f aca="false">IF($B$51="Comercial",F59,F79)</f>
        <v>44086.3</v>
      </c>
      <c r="G99" s="4" t="n">
        <f aca="false">IF($B$51="Comercial",G59,G79)</f>
        <v>26680.3</v>
      </c>
      <c r="H99" s="4" t="n">
        <f aca="false">IF($B$51="Comercial",H59,H79)</f>
        <v>3289</v>
      </c>
      <c r="I99" s="6" t="n">
        <f aca="false">SUM(B99:H99)</f>
        <v>523530.2</v>
      </c>
    </row>
    <row r="100" customFormat="false" ht="15" hidden="false" customHeight="false" outlineLevel="0" collapsed="false">
      <c r="A100" s="8" t="str">
        <f aca="false">A7</f>
        <v>ABC 10 kg</v>
      </c>
      <c r="B100" s="4" t="n">
        <f aca="false">IF($B$51="Comercial",B60,B80)</f>
        <v>0</v>
      </c>
      <c r="C100" s="4" t="n">
        <f aca="false">IF($B$51="Comercial",C60,C80)</f>
        <v>22903.5</v>
      </c>
      <c r="D100" s="4" t="n">
        <f aca="false">IF($B$51="Comercial",D60,D80)</f>
        <v>3490</v>
      </c>
      <c r="E100" s="4" t="n">
        <f aca="false">IF($B$51="Comercial",E60,E80)</f>
        <v>1572.7</v>
      </c>
      <c r="F100" s="4" t="n">
        <f aca="false">IF($B$51="Comercial",F60,F80)</f>
        <v>0</v>
      </c>
      <c r="G100" s="4" t="n">
        <f aca="false">IF($B$51="Comercial",G60,G80)</f>
        <v>3566.9</v>
      </c>
      <c r="H100" s="4" t="n">
        <f aca="false">IF($B$51="Comercial",H60,H80)</f>
        <v>0</v>
      </c>
      <c r="I100" s="6" t="n">
        <f aca="false">SUM(B100:H100)</f>
        <v>31533.1</v>
      </c>
    </row>
    <row r="101" customFormat="false" ht="15" hidden="false" customHeight="false" outlineLevel="0" collapsed="false">
      <c r="A101" s="8" t="str">
        <f aca="false">A8</f>
        <v>Agua 10 l</v>
      </c>
      <c r="B101" s="4" t="n">
        <f aca="false">IF($B$51="Comercial",B61,B81)</f>
        <v>0</v>
      </c>
      <c r="C101" s="4" t="n">
        <f aca="false">IF($B$51="Comercial",C61,C81)</f>
        <v>28930.8</v>
      </c>
      <c r="D101" s="4" t="n">
        <f aca="false">IF($B$51="Comercial",D61,D81)</f>
        <v>2999.8</v>
      </c>
      <c r="E101" s="4" t="n">
        <f aca="false">IF($B$51="Comercial",E61,E81)</f>
        <v>1048.4</v>
      </c>
      <c r="F101" s="4" t="n">
        <f aca="false">IF($B$51="Comercial",F61,F81)</f>
        <v>4377.3</v>
      </c>
      <c r="G101" s="4" t="n">
        <f aca="false">IF($B$51="Comercial",G61,G81)</f>
        <v>5096</v>
      </c>
      <c r="H101" s="4" t="n">
        <f aca="false">IF($B$51="Comercial",H61,H81)</f>
        <v>346</v>
      </c>
      <c r="I101" s="6" t="n">
        <f aca="false">SUM(B101:H101)</f>
        <v>42798.3</v>
      </c>
    </row>
    <row r="102" customFormat="false" ht="15" hidden="false" customHeight="false" outlineLevel="0" collapsed="false">
      <c r="A102" s="8" t="str">
        <f aca="false">A9</f>
        <v>AFFF 10 l</v>
      </c>
      <c r="B102" s="4" t="n">
        <f aca="false">IF($B$51="Comercial",B62,B82)</f>
        <v>0</v>
      </c>
      <c r="C102" s="4" t="n">
        <f aca="false">IF($B$51="Comercial",C62,C82)</f>
        <v>0</v>
      </c>
      <c r="D102" s="4" t="n">
        <f aca="false">IF($B$51="Comercial",D62,D82)</f>
        <v>0</v>
      </c>
      <c r="E102" s="4" t="n">
        <f aca="false">IF($B$51="Comercial",E62,E82)</f>
        <v>0</v>
      </c>
      <c r="F102" s="4" t="n">
        <f aca="false">IF($B$51="Comercial",F62,F82)</f>
        <v>6232.7</v>
      </c>
      <c r="G102" s="4" t="n">
        <f aca="false">IF($B$51="Comercial",G62,G82)</f>
        <v>0</v>
      </c>
      <c r="H102" s="4" t="n">
        <f aca="false">IF($B$51="Comercial",H62,H82)</f>
        <v>0</v>
      </c>
      <c r="I102" s="6" t="n">
        <f aca="false">SUM(B102:H102)</f>
        <v>6232.7</v>
      </c>
    </row>
    <row r="103" customFormat="false" ht="15" hidden="false" customHeight="false" outlineLevel="0" collapsed="false">
      <c r="A103" s="8" t="str">
        <f aca="false">A10</f>
        <v>AFFF 50 l s/ruedas</v>
      </c>
      <c r="B103" s="4" t="n">
        <f aca="false">IF($B$51="Comercial",B63,B83)</f>
        <v>0</v>
      </c>
      <c r="C103" s="4" t="n">
        <f aca="false">IF($B$51="Comercial",C63,C83)</f>
        <v>0</v>
      </c>
      <c r="D103" s="4" t="n">
        <f aca="false">IF($B$51="Comercial",D63,D83)</f>
        <v>0</v>
      </c>
      <c r="E103" s="4" t="n">
        <f aca="false">IF($B$51="Comercial",E63,E83)</f>
        <v>0</v>
      </c>
      <c r="F103" s="4" t="n">
        <f aca="false">IF($B$51="Comercial",F63,F83)</f>
        <v>3220.9</v>
      </c>
      <c r="G103" s="4" t="n">
        <f aca="false">IF($B$51="Comercial",G63,G83)</f>
        <v>0</v>
      </c>
      <c r="H103" s="4" t="n">
        <f aca="false">IF($B$51="Comercial",H63,H83)</f>
        <v>0</v>
      </c>
      <c r="I103" s="6" t="n">
        <f aca="false">SUM(B103:H103)</f>
        <v>3220.9</v>
      </c>
    </row>
    <row r="104" customFormat="false" ht="15" hidden="false" customHeight="false" outlineLevel="0" collapsed="false">
      <c r="A104" s="8" t="str">
        <f aca="false">A11</f>
        <v>BC 5 kg</v>
      </c>
      <c r="B104" s="4" t="n">
        <f aca="false">IF($B$51="Comercial",B64,B84)</f>
        <v>0</v>
      </c>
      <c r="C104" s="4" t="n">
        <f aca="false">IF($B$51="Comercial",C64,C84)</f>
        <v>0</v>
      </c>
      <c r="D104" s="4" t="n">
        <f aca="false">IF($B$51="Comercial",D64,D84)</f>
        <v>0</v>
      </c>
      <c r="E104" s="4" t="n">
        <f aca="false">IF($B$51="Comercial",E64,E84)</f>
        <v>0</v>
      </c>
      <c r="F104" s="4" t="n">
        <f aca="false">IF($B$51="Comercial",F64,F84)</f>
        <v>1816.2</v>
      </c>
      <c r="G104" s="4" t="n">
        <f aca="false">IF($B$51="Comercial",G64,G84)</f>
        <v>0</v>
      </c>
      <c r="H104" s="4" t="n">
        <f aca="false">IF($B$51="Comercial",H64,H84)</f>
        <v>0</v>
      </c>
      <c r="I104" s="6" t="n">
        <f aca="false">SUM(B104:H104)</f>
        <v>1816.2</v>
      </c>
    </row>
    <row r="105" customFormat="false" ht="15" hidden="false" customHeight="false" outlineLevel="0" collapsed="false">
      <c r="A105" s="8" t="str">
        <f aca="false">A12</f>
        <v>Sales K 6 l</v>
      </c>
      <c r="B105" s="4" t="n">
        <f aca="false">IF($B$51="Comercial",B65,B85)</f>
        <v>0</v>
      </c>
      <c r="C105" s="4" t="n">
        <f aca="false">IF($B$51="Comercial",C65,C85)</f>
        <v>10246.3</v>
      </c>
      <c r="D105" s="4" t="n">
        <f aca="false">IF($B$51="Comercial",D65,D85)</f>
        <v>2743</v>
      </c>
      <c r="E105" s="4" t="n">
        <f aca="false">IF($B$51="Comercial",E65,E85)</f>
        <v>2621.1</v>
      </c>
      <c r="F105" s="4" t="n">
        <f aca="false">IF($B$51="Comercial",F65,F85)</f>
        <v>3384.2</v>
      </c>
      <c r="G105" s="4" t="n">
        <f aca="false">IF($B$51="Comercial",G65,G85)</f>
        <v>1595.2</v>
      </c>
      <c r="H105" s="4" t="n">
        <f aca="false">IF($B$51="Comercial",H65,H85)</f>
        <v>0</v>
      </c>
      <c r="I105" s="6" t="n">
        <f aca="false">SUM(B105:H105)</f>
        <v>20589.8</v>
      </c>
    </row>
    <row r="106" customFormat="false" ht="15" hidden="false" customHeight="false" outlineLevel="0" collapsed="false">
      <c r="A106" s="8" t="str">
        <f aca="false">A13</f>
        <v>CO₂ 2 kg</v>
      </c>
      <c r="B106" s="4" t="n">
        <f aca="false">IF($B$51="Comercial",B66,B86)</f>
        <v>0</v>
      </c>
      <c r="C106" s="4" t="n">
        <f aca="false">IF($B$51="Comercial",C66,C86)</f>
        <v>93422.4</v>
      </c>
      <c r="D106" s="4" t="n">
        <f aca="false">IF($B$51="Comercial",D66,D86)</f>
        <v>11718.9</v>
      </c>
      <c r="E106" s="4" t="n">
        <f aca="false">IF($B$51="Comercial",E66,E86)</f>
        <v>2621.1</v>
      </c>
      <c r="F106" s="4" t="n">
        <f aca="false">IF($B$51="Comercial",F66,F86)</f>
        <v>2600.2</v>
      </c>
      <c r="G106" s="4" t="n">
        <f aca="false">IF($B$51="Comercial",G66,G86)</f>
        <v>6001.1</v>
      </c>
      <c r="H106" s="4" t="n">
        <f aca="false">IF($B$51="Comercial",H66,H86)</f>
        <v>0</v>
      </c>
      <c r="I106" s="6" t="n">
        <f aca="false">SUM(B106:H106)</f>
        <v>116363.7</v>
      </c>
    </row>
    <row r="107" customFormat="false" ht="15" hidden="false" customHeight="false" outlineLevel="0" collapsed="false">
      <c r="A107" s="8" t="str">
        <f aca="false">A14</f>
        <v>CO₂ 5 kg</v>
      </c>
      <c r="B107" s="4" t="n">
        <f aca="false">IF($B$51="Comercial",B67,B87)</f>
        <v>0</v>
      </c>
      <c r="C107" s="4" t="n">
        <f aca="false">IF($B$51="Comercial",C67,C87)</f>
        <v>13260</v>
      </c>
      <c r="D107" s="4" t="n">
        <f aca="false">IF($B$51="Comercial",D67,D87)</f>
        <v>548.6</v>
      </c>
      <c r="E107" s="4" t="n">
        <f aca="false">IF($B$51="Comercial",E67,E87)</f>
        <v>1310.5</v>
      </c>
      <c r="F107" s="4" t="n">
        <f aca="false">IF($B$51="Comercial",F67,F87)</f>
        <v>13536.8</v>
      </c>
      <c r="G107" s="4" t="n">
        <f aca="false">IF($B$51="Comercial",G67,G87)</f>
        <v>6729.6</v>
      </c>
      <c r="H107" s="4" t="n">
        <f aca="false">IF($B$51="Comercial",H67,H87)</f>
        <v>1558</v>
      </c>
      <c r="I107" s="6" t="n">
        <f aca="false">SUM(B107:H107)</f>
        <v>36943.5</v>
      </c>
    </row>
    <row r="108" customFormat="false" ht="15" hidden="false" customHeight="false" outlineLevel="0" collapsed="false">
      <c r="A108" s="8" t="str">
        <f aca="false">A15</f>
        <v>HCFC/HFC 5 kg</v>
      </c>
      <c r="B108" s="4" t="n">
        <f aca="false">IF($B$51="Comercial",B68,B88)</f>
        <v>0</v>
      </c>
      <c r="C108" s="4" t="n">
        <f aca="false">IF($B$51="Comercial",C68,C88)</f>
        <v>0</v>
      </c>
      <c r="D108" s="4" t="n">
        <f aca="false">IF($B$51="Comercial",D68,D88)</f>
        <v>0</v>
      </c>
      <c r="E108" s="4" t="n">
        <f aca="false">IF($B$51="Comercial",E68,E88)</f>
        <v>0</v>
      </c>
      <c r="F108" s="4" t="n">
        <f aca="false">IF($B$51="Comercial",F68,F88)</f>
        <v>3632.5</v>
      </c>
      <c r="G108" s="4" t="n">
        <f aca="false">IF($B$51="Comercial",G68,G88)</f>
        <v>1379.7</v>
      </c>
      <c r="H108" s="4" t="n">
        <f aca="false">IF($B$51="Comercial",H68,H88)</f>
        <v>0</v>
      </c>
      <c r="I108" s="6" t="n">
        <f aca="false">SUM(B108:H108)</f>
        <v>5012.2</v>
      </c>
    </row>
    <row r="109" customFormat="false" ht="15" hidden="false" customHeight="false" outlineLevel="0" collapsed="false">
      <c r="A109" s="8" t="str">
        <f aca="false">A16</f>
        <v>Clase D 9 l</v>
      </c>
      <c r="B109" s="4" t="n">
        <f aca="false">IF($B$51="Comercial",B69,B89)</f>
        <v>0</v>
      </c>
      <c r="C109" s="4" t="n">
        <f aca="false">IF($B$51="Comercial",C69,C89)</f>
        <v>0</v>
      </c>
      <c r="D109" s="4" t="n">
        <f aca="false">IF($B$51="Comercial",D69,D89)</f>
        <v>0</v>
      </c>
      <c r="E109" s="4" t="n">
        <f aca="false">IF($B$51="Comercial",E69,E89)</f>
        <v>0</v>
      </c>
      <c r="F109" s="4" t="n">
        <f aca="false">IF($B$51="Comercial",F69,F89)</f>
        <v>1568</v>
      </c>
      <c r="G109" s="4" t="n">
        <f aca="false">IF($B$51="Comercial",G69,G89)</f>
        <v>0</v>
      </c>
      <c r="H109" s="4" t="n">
        <f aca="false">IF($B$51="Comercial",H69,H89)</f>
        <v>0</v>
      </c>
      <c r="I109" s="6" t="n">
        <f aca="false">SUM(B109:H109)</f>
        <v>1568</v>
      </c>
    </row>
    <row r="110" customFormat="false" ht="15" hidden="false" customHeight="false" outlineLevel="0" collapsed="false">
      <c r="A110" s="8" t="str">
        <f aca="false">A17</f>
        <v>ABC 25 kg s/ruedas</v>
      </c>
      <c r="B110" s="4" t="n">
        <f aca="false">IF($B$51="Comercial",B70,B90)</f>
        <v>0</v>
      </c>
      <c r="C110" s="4" t="n">
        <f aca="false">IF($B$51="Comercial",C70,C90)</f>
        <v>2260.2</v>
      </c>
      <c r="D110" s="4" t="n">
        <f aca="false">IF($B$51="Comercial",D70,D90)</f>
        <v>122.6</v>
      </c>
      <c r="E110" s="4" t="n">
        <f aca="false">IF($B$51="Comercial",E70,E90)</f>
        <v>131.1</v>
      </c>
      <c r="F110" s="4" t="n">
        <f aca="false">IF($B$51="Comercial",F70,F90)</f>
        <v>1589.2</v>
      </c>
      <c r="G110" s="4" t="n">
        <f aca="false">IF($B$51="Comercial",G70,G90)</f>
        <v>776.1</v>
      </c>
      <c r="H110" s="4" t="n">
        <f aca="false">IF($B$51="Comercial",H70,H90)</f>
        <v>0</v>
      </c>
      <c r="I110" s="6" t="n">
        <f aca="false">SUM(B110:H110)</f>
        <v>4879.2</v>
      </c>
    </row>
    <row r="111" customFormat="false" ht="15" hidden="false" customHeight="false" outlineLevel="0" collapsed="false">
      <c r="A111" s="8" t="str">
        <f aca="false">A18</f>
        <v>ABC 50 kg s/ruedas</v>
      </c>
      <c r="B111" s="4" t="n">
        <f aca="false">IF($B$51="Comercial",B71,B91)</f>
        <v>0</v>
      </c>
      <c r="C111" s="4" t="n">
        <f aca="false">IF($B$51="Comercial",C71,C91)</f>
        <v>4972.5</v>
      </c>
      <c r="D111" s="4" t="n">
        <f aca="false">IF($B$51="Comercial",D71,D91)</f>
        <v>269.6</v>
      </c>
      <c r="E111" s="4" t="n">
        <f aca="false">IF($B$51="Comercial",E71,E91)</f>
        <v>288.3</v>
      </c>
      <c r="F111" s="4" t="n">
        <f aca="false">IF($B$51="Comercial",F71,F91)</f>
        <v>3496.3</v>
      </c>
      <c r="G111" s="4" t="n">
        <f aca="false">IF($B$51="Comercial",G71,G91)</f>
        <v>1707.4</v>
      </c>
      <c r="H111" s="4" t="n">
        <f aca="false">IF($B$51="Comercial",H71,H91)</f>
        <v>0</v>
      </c>
      <c r="I111" s="6" t="n">
        <f aca="false">SUM(B111:H111)</f>
        <v>10734.1</v>
      </c>
    </row>
    <row r="112" customFormat="false" ht="15" hidden="false" customHeight="false" outlineLevel="0" collapsed="false">
      <c r="A112" s="8" t="str">
        <f aca="false">A19</f>
        <v>ABC 70 kg s/ruedas</v>
      </c>
      <c r="B112" s="4" t="n">
        <f aca="false">IF($B$51="Comercial",B72,B92)</f>
        <v>0</v>
      </c>
      <c r="C112" s="4" t="n">
        <f aca="false">IF($B$51="Comercial",C72,C92)</f>
        <v>1084.9</v>
      </c>
      <c r="D112" s="4" t="n">
        <f aca="false">IF($B$51="Comercial",D72,D92)</f>
        <v>58.8</v>
      </c>
      <c r="E112" s="4" t="n">
        <f aca="false">IF($B$51="Comercial",E72,E92)</f>
        <v>62.9</v>
      </c>
      <c r="F112" s="4" t="n">
        <f aca="false">IF($B$51="Comercial",F72,F92)</f>
        <v>762.8</v>
      </c>
      <c r="G112" s="4" t="n">
        <f aca="false">IF($B$51="Comercial",G72,G92)</f>
        <v>372.5</v>
      </c>
      <c r="H112" s="4" t="n">
        <f aca="false">IF($B$51="Comercial",H72,H92)</f>
        <v>0</v>
      </c>
      <c r="I112" s="6" t="n">
        <f aca="false">SUM(B112:H112)</f>
        <v>2341.9</v>
      </c>
    </row>
    <row r="113" customFormat="false" ht="15" hidden="false" customHeight="false" outlineLevel="0" collapsed="false">
      <c r="A113" s="8" t="str">
        <f aca="false">A20</f>
        <v>ABC 100 kg s/ruedas</v>
      </c>
      <c r="B113" s="4" t="n">
        <f aca="false">IF($B$51="Comercial",B73,B93)</f>
        <v>0</v>
      </c>
      <c r="C113" s="4" t="n">
        <f aca="false">IF($B$51="Comercial",C73,C93)</f>
        <v>723.3</v>
      </c>
      <c r="D113" s="4" t="n">
        <f aca="false">IF($B$51="Comercial",D73,D93)</f>
        <v>39.2</v>
      </c>
      <c r="E113" s="4" t="n">
        <f aca="false">IF($B$51="Comercial",E73,E93)</f>
        <v>41.9</v>
      </c>
      <c r="F113" s="4" t="n">
        <f aca="false">IF($B$51="Comercial",F73,F93)</f>
        <v>508.5</v>
      </c>
      <c r="G113" s="4" t="n">
        <f aca="false">IF($B$51="Comercial",G73,G93)</f>
        <v>248.3</v>
      </c>
      <c r="H113" s="4" t="n">
        <f aca="false">IF($B$51="Comercial",H73,H93)</f>
        <v>0</v>
      </c>
      <c r="I113" s="6" t="n">
        <f aca="false">SUM(B113:H113)</f>
        <v>1561.2</v>
      </c>
    </row>
    <row r="115" customFormat="false" ht="15" hidden="false" customHeight="false" outlineLevel="0" collapsed="false">
      <c r="A115" s="10" t="s">
        <v>69</v>
      </c>
    </row>
  </sheetData>
  <mergeCells count="5">
    <mergeCell ref="C45:L45"/>
    <mergeCell ref="C46:L46"/>
    <mergeCell ref="C47:L47"/>
    <mergeCell ref="C48:L48"/>
    <mergeCell ref="C49:L49"/>
  </mergeCells>
  <dataValidations count="2">
    <dataValidation allowBlank="false" errorStyle="stop" operator="between" showDropDown="false" showErrorMessage="false" showInputMessage="false" sqref="C25:C38" type="list">
      <formula1>"Comercial,Industrial"</formula1>
      <formula2>0</formula2>
    </dataValidation>
    <dataValidation allowBlank="false" errorStyle="stop" operator="between" showDropDown="false" showErrorMessage="false" showInputMessage="false" sqref="B51" type="list">
      <formula1>"Comercial,Industrial"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1"/>
  </cols>
  <sheetData>
    <row r="1" customFormat="false" ht="15" hidden="false" customHeight="false" outlineLevel="0" collapsed="false">
      <c r="A1" s="2" t="s">
        <v>70</v>
      </c>
      <c r="B1" s="2" t="n">
        <f aca="false">PROY_Indexado!B3</f>
        <v>2026</v>
      </c>
      <c r="C1" s="2" t="n">
        <f aca="false">PROY_Indexado!C3</f>
        <v>2027</v>
      </c>
      <c r="D1" s="2" t="n">
        <f aca="false">PROY_Indexado!D3</f>
        <v>2028</v>
      </c>
      <c r="E1" s="2" t="n">
        <f aca="false">PROY_Indexado!E3</f>
        <v>2029</v>
      </c>
      <c r="F1" s="2" t="n">
        <f aca="false">PROY_Indexado!F3</f>
        <v>2030</v>
      </c>
      <c r="G1" s="2" t="n">
        <f aca="false">PROY_Indexado!G3</f>
        <v>2031</v>
      </c>
      <c r="H1" s="2" t="n">
        <f aca="false">PROY_Indexado!H3</f>
        <v>2032</v>
      </c>
      <c r="I1" s="2" t="n">
        <f aca="false">PROY_Indexado!I3</f>
        <v>2033</v>
      </c>
      <c r="J1" s="2" t="n">
        <f aca="false">PROY_Indexado!J3</f>
        <v>2034</v>
      </c>
      <c r="K1" s="2" t="n">
        <f aca="false">PROY_Indexado!K3</f>
        <v>2035</v>
      </c>
    </row>
    <row r="2" customFormat="false" ht="15" hidden="false" customHeight="false" outlineLevel="0" collapsed="false">
      <c r="A2" s="8" t="str">
        <f aca="false">PROY_Indexado!A4</f>
        <v>ABC 1 kg</v>
      </c>
      <c r="B2" s="4" t="n">
        <f aca="false">PROY_Indexado!B4*PROY_Indexado!$B$52</f>
        <v>1002.33729536048</v>
      </c>
      <c r="C2" s="4" t="n">
        <f aca="false">PROY_Indexado!C4*PROY_Indexado!$B$52</f>
        <v>4891.54230116208</v>
      </c>
      <c r="D2" s="4" t="n">
        <f aca="false">PROY_Indexado!D4*PROY_Indexado!$B$52</f>
        <v>8804.49809705261</v>
      </c>
      <c r="E2" s="4" t="n">
        <f aca="false">PROY_Indexado!E4*PROY_Indexado!$B$52</f>
        <v>16155.1693191114</v>
      </c>
      <c r="F2" s="4" t="n">
        <f aca="false">PROY_Indexado!F4*PROY_Indexado!$B$52</f>
        <v>24289.755497406</v>
      </c>
      <c r="G2" s="4" t="n">
        <f aca="false">PROY_Indexado!G4*PROY_Indexado!$B$52</f>
        <v>33841.2206487062</v>
      </c>
      <c r="H2" s="4" t="n">
        <f aca="false">PROY_Indexado!H4*PROY_Indexado!$B$52</f>
        <v>42546.7737799779</v>
      </c>
      <c r="I2" s="4" t="n">
        <f aca="false">PROY_Indexado!I4*PROY_Indexado!$B$52</f>
        <v>49404.9939556295</v>
      </c>
      <c r="J2" s="4" t="n">
        <f aca="false">PROY_Indexado!J4*PROY_Indexado!$B$52</f>
        <v>52946.3268371571</v>
      </c>
      <c r="K2" s="4" t="n">
        <f aca="false">PROY_Indexado!K4*PROY_Indexado!$B$52</f>
        <v>56575.8368575054</v>
      </c>
    </row>
    <row r="3" customFormat="false" ht="15" hidden="false" customHeight="false" outlineLevel="0" collapsed="false">
      <c r="A3" s="8" t="str">
        <f aca="false">PROY_Indexado!A5</f>
        <v>ABC 2,5 kg</v>
      </c>
      <c r="B3" s="4" t="n">
        <f aca="false">PROY_Indexado!B5*PROY_Indexado!$B$52</f>
        <v>95.1170864109637</v>
      </c>
      <c r="C3" s="4" t="n">
        <f aca="false">PROY_Indexado!C5*PROY_Indexado!$B$52</f>
        <v>371.079719409453</v>
      </c>
      <c r="D3" s="4" t="n">
        <f aca="false">PROY_Indexado!D5*PROY_Indexado!$B$52</f>
        <v>849.481755937015</v>
      </c>
      <c r="E3" s="4" t="n">
        <f aca="false">PROY_Indexado!E5*PROY_Indexado!$B$52</f>
        <v>1563.98375054836</v>
      </c>
      <c r="F3" s="4" t="n">
        <f aca="false">PROY_Indexado!F5*PROY_Indexado!$B$52</f>
        <v>2262.90900743594</v>
      </c>
      <c r="G3" s="4" t="n">
        <f aca="false">PROY_Indexado!G5*PROY_Indexado!$B$52</f>
        <v>3004.56109120492</v>
      </c>
      <c r="H3" s="4" t="n">
        <f aca="false">PROY_Indexado!H5*PROY_Indexado!$B$52</f>
        <v>3692.27957526984</v>
      </c>
      <c r="I3" s="4" t="n">
        <f aca="false">PROY_Indexado!I5*PROY_Indexado!$B$52</f>
        <v>4111.13696738219</v>
      </c>
      <c r="J3" s="4" t="n">
        <f aca="false">PROY_Indexado!J5*PROY_Indexado!$B$52</f>
        <v>4448.31646963558</v>
      </c>
      <c r="K3" s="4" t="n">
        <f aca="false">PROY_Indexado!K5*PROY_Indexado!$B$52</f>
        <v>4790.71011839089</v>
      </c>
    </row>
    <row r="4" customFormat="false" ht="15" hidden="false" customHeight="false" outlineLevel="0" collapsed="false">
      <c r="A4" s="8" t="str">
        <f aca="false">PROY_Indexado!A6</f>
        <v>ABC 5 kg</v>
      </c>
      <c r="B4" s="4" t="n">
        <f aca="false">PROY_Indexado!B6*PROY_Indexado!$B$52</f>
        <v>562.174778867108</v>
      </c>
      <c r="C4" s="4" t="n">
        <f aca="false">PROY_Indexado!C6*PROY_Indexado!$B$52</f>
        <v>2263.41132122938</v>
      </c>
      <c r="D4" s="4" t="n">
        <f aca="false">PROY_Indexado!D6*PROY_Indexado!$B$52</f>
        <v>5123.65090683008</v>
      </c>
      <c r="E4" s="4" t="n">
        <f aca="false">PROY_Indexado!E6*PROY_Indexado!$B$52</f>
        <v>9686.3515865454</v>
      </c>
      <c r="F4" s="4" t="n">
        <f aca="false">PROY_Indexado!F6*PROY_Indexado!$B$52</f>
        <v>13952.8293613136</v>
      </c>
      <c r="G4" s="4" t="n">
        <f aca="false">PROY_Indexado!G6*PROY_Indexado!$B$52</f>
        <v>18540.2490682695</v>
      </c>
      <c r="H4" s="4" t="n">
        <f aca="false">PROY_Indexado!H6*PROY_Indexado!$B$52</f>
        <v>22690.2948855283</v>
      </c>
      <c r="I4" s="4" t="n">
        <f aca="false">PROY_Indexado!I6*PROY_Indexado!$B$52</f>
        <v>25144.9492517373</v>
      </c>
      <c r="J4" s="4" t="n">
        <f aca="false">PROY_Indexado!J6*PROY_Indexado!$B$52</f>
        <v>27124.1123066399</v>
      </c>
      <c r="K4" s="4" t="n">
        <f aca="false">PROY_Indexado!K6*PROY_Indexado!$B$52</f>
        <v>29139.3203107948</v>
      </c>
    </row>
    <row r="5" customFormat="false" ht="15" hidden="false" customHeight="false" outlineLevel="0" collapsed="false">
      <c r="A5" s="8" t="str">
        <f aca="false">PROY_Indexado!A7</f>
        <v>ABC 10 kg</v>
      </c>
      <c r="B5" s="4" t="n">
        <f aca="false">PROY_Indexado!B7*PROY_Indexado!$B$52</f>
        <v>34.110954935858</v>
      </c>
      <c r="C5" s="4" t="n">
        <f aca="false">PROY_Indexado!C7*PROY_Indexado!$B$52</f>
        <v>126.165896842138</v>
      </c>
      <c r="D5" s="4" t="n">
        <f aca="false">PROY_Indexado!D7*PROY_Indexado!$B$52</f>
        <v>295.435160630528</v>
      </c>
      <c r="E5" s="4" t="n">
        <f aca="false">PROY_Indexado!E7*PROY_Indexado!$B$52</f>
        <v>565.061687970617</v>
      </c>
      <c r="F5" s="4" t="n">
        <f aca="false">PROY_Indexado!F7*PROY_Indexado!$B$52</f>
        <v>820.026184319452</v>
      </c>
      <c r="G5" s="4" t="n">
        <f aca="false">PROY_Indexado!G7*PROY_Indexado!$B$52</f>
        <v>1098.29367747525</v>
      </c>
      <c r="H5" s="4" t="n">
        <f aca="false">PROY_Indexado!H7*PROY_Indexado!$B$52</f>
        <v>1344.24226967378</v>
      </c>
      <c r="I5" s="4" t="n">
        <f aca="false">PROY_Indexado!I7*PROY_Indexado!$B$52</f>
        <v>1488.60163629595</v>
      </c>
      <c r="J5" s="4" t="n">
        <f aca="false">PROY_Indexado!J7*PROY_Indexado!$B$52</f>
        <v>1605.92246734107</v>
      </c>
      <c r="K5" s="4" t="n">
        <f aca="false">PROY_Indexado!K7*PROY_Indexado!$B$52</f>
        <v>1725.36955653994</v>
      </c>
    </row>
    <row r="6" customFormat="false" ht="15" hidden="false" customHeight="false" outlineLevel="0" collapsed="false">
      <c r="A6" s="8" t="str">
        <f aca="false">PROY_Indexado!A8</f>
        <v>Agua 10 l</v>
      </c>
      <c r="B6" s="4" t="n">
        <f aca="false">PROY_Indexado!B8*PROY_Indexado!$B$52</f>
        <v>45.9185933602621</v>
      </c>
      <c r="C6" s="4" t="n">
        <f aca="false">PROY_Indexado!C8*PROY_Indexado!$B$52</f>
        <v>185.458153302513</v>
      </c>
      <c r="D6" s="4" t="n">
        <f aca="false">PROY_Indexado!D8*PROY_Indexado!$B$52</f>
        <v>424.965164305242</v>
      </c>
      <c r="E6" s="4" t="n">
        <f aca="false">PROY_Indexado!E8*PROY_Indexado!$B$52</f>
        <v>797.392227965464</v>
      </c>
      <c r="F6" s="4" t="n">
        <f aca="false">PROY_Indexado!F8*PROY_Indexado!$B$52</f>
        <v>1150.48598712583</v>
      </c>
      <c r="G6" s="4" t="n">
        <f aca="false">PROY_Indexado!G8*PROY_Indexado!$B$52</f>
        <v>1537.95960022863</v>
      </c>
      <c r="H6" s="4" t="n">
        <f aca="false">PROY_Indexado!H8*PROY_Indexado!$B$52</f>
        <v>1884.76665919705</v>
      </c>
      <c r="I6" s="4" t="n">
        <f aca="false">PROY_Indexado!I8*PROY_Indexado!$B$52</f>
        <v>2095.42742046657</v>
      </c>
      <c r="J6" s="4" t="n">
        <f aca="false">PROY_Indexado!J8*PROY_Indexado!$B$52</f>
        <v>2264.22497541366</v>
      </c>
      <c r="K6" s="4" t="n">
        <f aca="false">PROY_Indexado!K8*PROY_Indexado!$B$52</f>
        <v>2435.83311933763</v>
      </c>
    </row>
    <row r="7" customFormat="false" ht="15" hidden="false" customHeight="false" outlineLevel="0" collapsed="false">
      <c r="A7" s="8" t="str">
        <f aca="false">PROY_Indexado!A9</f>
        <v>AFFF 10 l</v>
      </c>
      <c r="B7" s="4" t="n">
        <f aca="false">PROY_Indexado!B9*PROY_Indexado!$B$52</f>
        <v>6.55979909264265</v>
      </c>
      <c r="C7" s="4" t="n">
        <f aca="false">PROY_Indexado!C9*PROY_Indexado!$B$52</f>
        <v>46.4970883503481</v>
      </c>
      <c r="D7" s="4" t="n">
        <f aca="false">PROY_Indexado!D9*PROY_Indexado!$B$52</f>
        <v>91.257774850114</v>
      </c>
      <c r="E7" s="4" t="n">
        <f aca="false">PROY_Indexado!E9*PROY_Indexado!$B$52</f>
        <v>152.0143822883</v>
      </c>
      <c r="F7" s="4" t="n">
        <f aca="false">PROY_Indexado!F9*PROY_Indexado!$B$52</f>
        <v>214.387126624568</v>
      </c>
      <c r="G7" s="4" t="n">
        <f aca="false">PROY_Indexado!G9*PROY_Indexado!$B$52</f>
        <v>277.535533556036</v>
      </c>
      <c r="H7" s="4" t="n">
        <f aca="false">PROY_Indexado!H9*PROY_Indexado!$B$52</f>
        <v>344.425966020138</v>
      </c>
      <c r="I7" s="4" t="n">
        <f aca="false">PROY_Indexado!I9*PROY_Indexado!$B$52</f>
        <v>389.585413601674</v>
      </c>
      <c r="J7" s="4" t="n">
        <f aca="false">PROY_Indexado!J9*PROY_Indexado!$B$52</f>
        <v>425.883520111909</v>
      </c>
      <c r="K7" s="4" t="n">
        <f aca="false">PROY_Indexado!K9*PROY_Indexado!$B$52</f>
        <v>462.458588756731</v>
      </c>
    </row>
    <row r="8" customFormat="false" ht="15" hidden="false" customHeight="false" outlineLevel="0" collapsed="false">
      <c r="A8" s="8" t="str">
        <f aca="false">PROY_Indexado!A10</f>
        <v>AFFF 50 l s/ruedas</v>
      </c>
      <c r="B8" s="4" t="n">
        <f aca="false">PROY_Indexado!B10*PROY_Indexado!$B$52</f>
        <v>3.27989940220307</v>
      </c>
      <c r="C8" s="4" t="n">
        <f aca="false">PROY_Indexado!C10*PROY_Indexado!$B$52</f>
        <v>23.9880565802094</v>
      </c>
      <c r="D8" s="4" t="n">
        <f aca="false">PROY_Indexado!D10*PROY_Indexado!$B$52</f>
        <v>47.4044807932921</v>
      </c>
      <c r="E8" s="4" t="n">
        <f aca="false">PROY_Indexado!E10*PROY_Indexado!$B$52</f>
        <v>81.0927884881688</v>
      </c>
      <c r="F8" s="4" t="n">
        <f aca="false">PROY_Indexado!F10*PROY_Indexado!$B$52</f>
        <v>114.978265229342</v>
      </c>
      <c r="G8" s="4" t="n">
        <f aca="false">PROY_Indexado!G10*PROY_Indexado!$B$52</f>
        <v>148.305546324566</v>
      </c>
      <c r="H8" s="4" t="n">
        <f aca="false">PROY_Indexado!H10*PROY_Indexado!$B$52</f>
        <v>181.319642891793</v>
      </c>
      <c r="I8" s="4" t="n">
        <f aca="false">PROY_Indexado!I10*PROY_Indexado!$B$52</f>
        <v>204.987468426155</v>
      </c>
      <c r="J8" s="4" t="n">
        <f aca="false">PROY_Indexado!J10*PROY_Indexado!$B$52</f>
        <v>222.92527819053</v>
      </c>
      <c r="K8" s="4" t="n">
        <f aca="false">PROY_Indexado!K10*PROY_Indexado!$B$52</f>
        <v>241.066833405312</v>
      </c>
    </row>
    <row r="9" customFormat="false" ht="15" hidden="false" customHeight="false" outlineLevel="0" collapsed="false">
      <c r="A9" s="8" t="str">
        <f aca="false">PROY_Indexado!A11</f>
        <v>BC 5 kg</v>
      </c>
      <c r="B9" s="4" t="n">
        <f aca="false">PROY_Indexado!B11*PROY_Indexado!$B$52</f>
        <v>1.96793964132184</v>
      </c>
      <c r="C9" s="4" t="n">
        <f aca="false">PROY_Indexado!C11*PROY_Indexado!$B$52</f>
        <v>13.5681893058901</v>
      </c>
      <c r="D9" s="4" t="n">
        <f aca="false">PROY_Indexado!D11*PROY_Indexado!$B$52</f>
        <v>25.6212495852672</v>
      </c>
      <c r="E9" s="4" t="n">
        <f aca="false">PROY_Indexado!E11*PROY_Indexado!$B$52</f>
        <v>45.9744406243852</v>
      </c>
      <c r="F9" s="4" t="n">
        <f aca="false">PROY_Indexado!F11*PROY_Indexado!$B$52</f>
        <v>63.3532891866521</v>
      </c>
      <c r="G9" s="4" t="n">
        <f aca="false">PROY_Indexado!G11*PROY_Indexado!$B$52</f>
        <v>84.1275464895187</v>
      </c>
      <c r="H9" s="4" t="n">
        <f aca="false">PROY_Indexado!H11*PROY_Indexado!$B$52</f>
        <v>106.314354346611</v>
      </c>
      <c r="I9" s="4" t="n">
        <f aca="false">PROY_Indexado!I11*PROY_Indexado!$B$52</f>
        <v>117.718369427634</v>
      </c>
      <c r="J9" s="4" t="n">
        <f aca="false">PROY_Indexado!J11*PROY_Indexado!$B$52</f>
        <v>128.490629753557</v>
      </c>
      <c r="K9" s="4" t="n">
        <f aca="false">PROY_Indexado!K11*PROY_Indexado!$B$52</f>
        <v>139.356355954645</v>
      </c>
    </row>
    <row r="10" customFormat="false" ht="15" hidden="false" customHeight="false" outlineLevel="0" collapsed="false">
      <c r="A10" s="8" t="str">
        <f aca="false">PROY_Indexado!A12</f>
        <v>Sales K 6 l</v>
      </c>
      <c r="B10" s="4" t="n">
        <f aca="false">PROY_Indexado!B12*PROY_Indexado!$B$52</f>
        <v>23.6152765605716</v>
      </c>
      <c r="C10" s="4" t="n">
        <f aca="false">PROY_Indexado!C12*PROY_Indexado!$B$52</f>
        <v>96.6741939139012</v>
      </c>
      <c r="D10" s="4" t="n">
        <f aca="false">PROY_Indexado!D12*PROY_Indexado!$B$52</f>
        <v>215.196899992539</v>
      </c>
      <c r="E10" s="4" t="n">
        <f aca="false">PROY_Indexado!E12*PROY_Indexado!$B$52</f>
        <v>391.6845403414</v>
      </c>
      <c r="F10" s="4" t="n">
        <f aca="false">PROY_Indexado!F12*PROY_Indexado!$B$52</f>
        <v>565.267967308143</v>
      </c>
      <c r="G10" s="4" t="n">
        <f aca="false">PROY_Indexado!G12*PROY_Indexado!$B$52</f>
        <v>748.994495991916</v>
      </c>
      <c r="H10" s="4" t="n">
        <f aca="false">PROY_Indexado!H12*PROY_Indexado!$B$52</f>
        <v>921.56805177326</v>
      </c>
      <c r="I10" s="4" t="n">
        <f aca="false">PROY_Indexado!I12*PROY_Indexado!$B$52</f>
        <v>1031.46570643837</v>
      </c>
      <c r="J10" s="4" t="n">
        <f aca="false">PROY_Indexado!J12*PROY_Indexado!$B$52</f>
        <v>1115.6908763264</v>
      </c>
      <c r="K10" s="4" t="n">
        <f aca="false">PROY_Indexado!K12*PROY_Indexado!$B$52</f>
        <v>1201.24282190818</v>
      </c>
    </row>
    <row r="11" customFormat="false" ht="15" hidden="false" customHeight="false" outlineLevel="0" collapsed="false">
      <c r="A11" s="8" t="str">
        <f aca="false">PROY_Indexado!A13</f>
        <v>CO₂ 2 kg</v>
      </c>
      <c r="B11" s="4" t="n">
        <f aca="false">PROY_Indexado!B13*PROY_Indexado!$B$52</f>
        <v>129.884021227262</v>
      </c>
      <c r="C11" s="4" t="n">
        <f aca="false">PROY_Indexado!C13*PROY_Indexado!$B$52</f>
        <v>489.189661876883</v>
      </c>
      <c r="D11" s="4" t="n">
        <f aca="false">PROY_Indexado!D13*PROY_Indexado!$B$52</f>
        <v>1140.0321209145</v>
      </c>
      <c r="E11" s="4" t="n">
        <f aca="false">PROY_Indexado!E13*PROY_Indexado!$B$52</f>
        <v>2179.43125469498</v>
      </c>
      <c r="F11" s="4" t="n">
        <f aca="false">PROY_Indexado!F13*PROY_Indexado!$B$52</f>
        <v>3147.58437958836</v>
      </c>
      <c r="G11" s="4" t="n">
        <f aca="false">PROY_Indexado!G13*PROY_Indexado!$B$52</f>
        <v>4183.7197935464</v>
      </c>
      <c r="H11" s="4" t="n">
        <f aca="false">PROY_Indexado!H13*PROY_Indexado!$B$52</f>
        <v>5115.1889344431</v>
      </c>
      <c r="I11" s="4" t="n">
        <f aca="false">PROY_Indexado!I13*PROY_Indexado!$B$52</f>
        <v>5654.39474946592</v>
      </c>
      <c r="J11" s="4" t="n">
        <f aca="false">PROY_Indexado!J13*PROY_Indexado!$B$52</f>
        <v>6099.60508356806</v>
      </c>
      <c r="K11" s="4" t="n">
        <f aca="false">PROY_Indexado!K13*PROY_Indexado!$B$52</f>
        <v>6552.91332717418</v>
      </c>
    </row>
    <row r="12" customFormat="false" ht="15" hidden="false" customHeight="false" outlineLevel="0" collapsed="false">
      <c r="A12" s="8" t="str">
        <f aca="false">PROY_Indexado!A14</f>
        <v>CO₂ 5 kg</v>
      </c>
      <c r="B12" s="4" t="n">
        <f aca="false">PROY_Indexado!B14*PROY_Indexado!$B$52</f>
        <v>36.0788948654163</v>
      </c>
      <c r="C12" s="4" t="n">
        <f aca="false">PROY_Indexado!C14*PROY_Indexado!$B$52</f>
        <v>185.517768970709</v>
      </c>
      <c r="D12" s="4" t="n">
        <f aca="false">PROY_Indexado!D14*PROY_Indexado!$B$52</f>
        <v>396.505838356991</v>
      </c>
      <c r="E12" s="4" t="n">
        <f aca="false">PROY_Indexado!E14*PROY_Indexado!$B$52</f>
        <v>709.143739080236</v>
      </c>
      <c r="F12" s="4" t="n">
        <f aca="false">PROY_Indexado!F14*PROY_Indexado!$B$52</f>
        <v>1021.87268564495</v>
      </c>
      <c r="G12" s="4" t="n">
        <f aca="false">PROY_Indexado!G14*PROY_Indexado!$B$52</f>
        <v>1361.47411848296</v>
      </c>
      <c r="H12" s="4" t="n">
        <f aca="false">PROY_Indexado!H14*PROY_Indexado!$B$52</f>
        <v>1687.30917203508</v>
      </c>
      <c r="I12" s="4" t="n">
        <f aca="false">PROY_Indexado!I14*PROY_Indexado!$B$52</f>
        <v>1904.79939090701</v>
      </c>
      <c r="J12" s="4" t="n">
        <f aca="false">PROY_Indexado!J14*PROY_Indexado!$B$52</f>
        <v>2071.18347789329</v>
      </c>
      <c r="K12" s="4" t="n">
        <f aca="false">PROY_Indexado!K14*PROY_Indexado!$B$52</f>
        <v>2239.47576029921</v>
      </c>
    </row>
    <row r="13" customFormat="false" ht="15" hidden="false" customHeight="false" outlineLevel="0" collapsed="false">
      <c r="A13" s="8" t="str">
        <f aca="false">PROY_Indexado!A15</f>
        <v>HCFC/HFC 5 kg</v>
      </c>
      <c r="B13" s="4" t="n">
        <f aca="false">PROY_Indexado!B15*PROY_Indexado!$B$52</f>
        <v>5.24783933176142</v>
      </c>
      <c r="C13" s="4" t="n">
        <f aca="false">PROY_Indexado!C15*PROY_Indexado!$B$52</f>
        <v>32.3041415187662</v>
      </c>
      <c r="D13" s="4" t="n">
        <f aca="false">PROY_Indexado!D15*PROY_Indexado!$B$52</f>
        <v>66.5405620583937</v>
      </c>
      <c r="E13" s="4" t="n">
        <f aca="false">PROY_Indexado!E15*PROY_Indexado!$B$52</f>
        <v>115.500787572425</v>
      </c>
      <c r="F13" s="4" t="n">
        <f aca="false">PROY_Indexado!F15*PROY_Indexado!$B$52</f>
        <v>165.594117483891</v>
      </c>
      <c r="G13" s="4" t="n">
        <f aca="false">PROY_Indexado!G15*PROY_Indexado!$B$52</f>
        <v>217.42994631274</v>
      </c>
      <c r="H13" s="4" t="n">
        <f aca="false">PROY_Indexado!H15*PROY_Indexado!$B$52</f>
        <v>272.339927867329</v>
      </c>
      <c r="I13" s="4" t="n">
        <f aca="false">PROY_Indexado!I15*PROY_Indexado!$B$52</f>
        <v>309.057174644982</v>
      </c>
      <c r="J13" s="4" t="n">
        <f aca="false">PROY_Indexado!J15*PROY_Indexado!$B$52</f>
        <v>337.725489353911</v>
      </c>
      <c r="K13" s="4" t="n">
        <f aca="false">PROY_Indexado!K15*PROY_Indexado!$B$52</f>
        <v>366.61985757759</v>
      </c>
    </row>
    <row r="14" customFormat="false" ht="15" hidden="false" customHeight="false" outlineLevel="0" collapsed="false">
      <c r="A14" s="8" t="str">
        <f aca="false">PROY_Indexado!A16</f>
        <v>Clase D 9 l</v>
      </c>
      <c r="B14" s="4" t="n">
        <f aca="false">PROY_Indexado!B16*PROY_Indexado!$B$52</f>
        <v>1.96793964132184</v>
      </c>
      <c r="C14" s="4" t="n">
        <f aca="false">PROY_Indexado!C16*PROY_Indexado!$B$52</f>
        <v>13.5681893058901</v>
      </c>
      <c r="D14" s="4" t="n">
        <f aca="false">PROY_Indexado!D16*PROY_Indexado!$B$52</f>
        <v>25.6212495852672</v>
      </c>
      <c r="E14" s="4" t="n">
        <f aca="false">PROY_Indexado!E16*PROY_Indexado!$B$52</f>
        <v>42.7394732580785</v>
      </c>
      <c r="F14" s="4" t="n">
        <f aca="false">PROY_Indexado!F16*PROY_Indexado!$B$52</f>
        <v>59.1536403542778</v>
      </c>
      <c r="G14" s="4" t="n">
        <f aca="false">PROY_Indexado!G16*PROY_Indexado!$B$52</f>
        <v>73.7208516235008</v>
      </c>
      <c r="H14" s="4" t="n">
        <f aca="false">PROY_Indexado!H16*PROY_Indexado!$B$52</f>
        <v>94.6620284161215</v>
      </c>
      <c r="I14" s="4" t="n">
        <f aca="false">PROY_Indexado!I16*PROY_Indexado!$B$52</f>
        <v>105.756300224786</v>
      </c>
      <c r="J14" s="4" t="n">
        <f aca="false">PROY_Indexado!J16*PROY_Indexado!$B$52</f>
        <v>115.779331548955</v>
      </c>
      <c r="K14" s="4" t="n">
        <f aca="false">PROY_Indexado!K16*PROY_Indexado!$B$52</f>
        <v>125.86907204172</v>
      </c>
    </row>
    <row r="15" customFormat="false" ht="15" hidden="false" customHeight="false" outlineLevel="0" collapsed="false">
      <c r="A15" s="8" t="str">
        <f aca="false">PROY_Indexado!A17</f>
        <v>ABC 25 kg s/ruedas</v>
      </c>
      <c r="B15" s="4" t="n">
        <f aca="false">PROY_Indexado!B17*PROY_Indexado!$B$52</f>
        <v>5.08384428959214</v>
      </c>
      <c r="C15" s="4" t="n">
        <f aca="false">PROY_Indexado!C17*PROY_Indexado!$B$52</f>
        <v>24.7848284641265</v>
      </c>
      <c r="D15" s="4" t="n">
        <f aca="false">PROY_Indexado!D17*PROY_Indexado!$B$52</f>
        <v>53.8626309763781</v>
      </c>
      <c r="E15" s="4" t="n">
        <f aca="false">PROY_Indexado!E17*PROY_Indexado!$B$52</f>
        <v>97.0156867255764</v>
      </c>
      <c r="F15" s="4" t="n">
        <f aca="false">PROY_Indexado!F17*PROY_Indexado!$B$52</f>
        <v>139.544688246156</v>
      </c>
      <c r="G15" s="4" t="n">
        <f aca="false">PROY_Indexado!G17*PROY_Indexado!$B$52</f>
        <v>185.399596038765</v>
      </c>
      <c r="H15" s="4" t="n">
        <f aca="false">PROY_Indexado!H17*PROY_Indexado!$B$52</f>
        <v>228.407756161358</v>
      </c>
      <c r="I15" s="4" t="n">
        <f aca="false">PROY_Indexado!I17*PROY_Indexado!$B$52</f>
        <v>256.437593286933</v>
      </c>
      <c r="J15" s="4" t="n">
        <f aca="false">PROY_Indexado!J17*PROY_Indexado!$B$52</f>
        <v>278.237901066726</v>
      </c>
      <c r="K15" s="4" t="n">
        <f aca="false">PROY_Indexado!K17*PROY_Indexado!$B$52</f>
        <v>300.325058646191</v>
      </c>
    </row>
    <row r="16" customFormat="false" ht="15" hidden="false" customHeight="false" outlineLevel="0" collapsed="false">
      <c r="A16" s="8" t="str">
        <f aca="false">PROY_Indexado!A18</f>
        <v>ABC 50 kg s/ruedas</v>
      </c>
      <c r="B16" s="4" t="n">
        <f aca="false">PROY_Indexado!B18*PROY_Indexado!$B$52</f>
        <v>11.1844572641608</v>
      </c>
      <c r="C16" s="4" t="n">
        <f aca="false">PROY_Indexado!C18*PROY_Indexado!$B$52</f>
        <v>54.5266229669621</v>
      </c>
      <c r="D16" s="4" t="n">
        <f aca="false">PROY_Indexado!D18*PROY_Indexado!$B$52</f>
        <v>118.497788320974</v>
      </c>
      <c r="E16" s="4" t="n">
        <f aca="false">PROY_Indexado!E18*PROY_Indexado!$B$52</f>
        <v>213.434510738621</v>
      </c>
      <c r="F16" s="4" t="n">
        <f aca="false">PROY_Indexado!F18*PROY_Indexado!$B$52</f>
        <v>306.998313968602</v>
      </c>
      <c r="G16" s="4" t="n">
        <f aca="false">PROY_Indexado!G18*PROY_Indexado!$B$52</f>
        <v>407.879111573519</v>
      </c>
      <c r="H16" s="4" t="n">
        <f aca="false">PROY_Indexado!H18*PROY_Indexado!$B$52</f>
        <v>502.497063727929</v>
      </c>
      <c r="I16" s="4" t="n">
        <f aca="false">PROY_Indexado!I18*PROY_Indexado!$B$52</f>
        <v>564.162705115958</v>
      </c>
      <c r="J16" s="4" t="n">
        <f aca="false">PROY_Indexado!J18*PROY_Indexado!$B$52</f>
        <v>612.123382058561</v>
      </c>
      <c r="K16" s="4" t="n">
        <f aca="false">PROY_Indexado!K18*PROY_Indexado!$B$52</f>
        <v>660.71512861809</v>
      </c>
    </row>
    <row r="17" customFormat="false" ht="15" hidden="false" customHeight="false" outlineLevel="0" collapsed="false">
      <c r="A17" s="8" t="str">
        <f aca="false">PROY_Indexado!A19</f>
        <v>ABC 70 kg s/ruedas</v>
      </c>
      <c r="B17" s="4" t="n">
        <f aca="false">PROY_Indexado!B19*PROY_Indexado!$B$52</f>
        <v>2.44024513218017</v>
      </c>
      <c r="C17" s="4" t="n">
        <f aca="false">PROY_Indexado!C19*PROY_Indexado!$B$52</f>
        <v>11.8967176281923</v>
      </c>
      <c r="D17" s="4" t="n">
        <f aca="false">PROY_Indexado!D19*PROY_Indexado!$B$52</f>
        <v>25.8540628225437</v>
      </c>
      <c r="E17" s="4" t="n">
        <f aca="false">PROY_Indexado!E19*PROY_Indexado!$B$52</f>
        <v>46.5675296052178</v>
      </c>
      <c r="F17" s="4" t="n">
        <f aca="false">PROY_Indexado!F19*PROY_Indexado!$B$52</f>
        <v>66.9814503466256</v>
      </c>
      <c r="G17" s="4" t="n">
        <f aca="false">PROY_Indexado!G19*PROY_Indexado!$B$52</f>
        <v>88.9918061562543</v>
      </c>
      <c r="H17" s="4" t="n">
        <f aca="false">PROY_Indexado!H19*PROY_Indexado!$B$52</f>
        <v>109.635722911334</v>
      </c>
      <c r="I17" s="4" t="n">
        <f aca="false">PROY_Indexado!I19*PROY_Indexado!$B$52</f>
        <v>123.090044673963</v>
      </c>
      <c r="J17" s="4" t="n">
        <f aca="false">PROY_Indexado!J19*PROY_Indexado!$B$52</f>
        <v>133.554192569676</v>
      </c>
      <c r="K17" s="4" t="n">
        <f aca="false">PROY_Indexado!K19*PROY_Indexado!$B$52</f>
        <v>144.156028161701</v>
      </c>
    </row>
    <row r="18" customFormat="false" ht="15" hidden="false" customHeight="false" outlineLevel="0" collapsed="false">
      <c r="A18" s="8" t="str">
        <f aca="false">PROY_Indexado!A20</f>
        <v>ABC 100 kg s/ruedas</v>
      </c>
      <c r="B18" s="4" t="n">
        <f aca="false">PROY_Indexado!B20*PROY_Indexado!$B$52</f>
        <v>1.62683018419895</v>
      </c>
      <c r="C18" s="4" t="n">
        <f aca="false">PROY_Indexado!C20*PROY_Indexado!$B$52</f>
        <v>7.93114508546156</v>
      </c>
      <c r="D18" s="4" t="n">
        <f aca="false">PROY_Indexado!D20*PROY_Indexado!$B$52</f>
        <v>17.2360420738534</v>
      </c>
      <c r="E18" s="4" t="n">
        <f aca="false">PROY_Indexado!E20*PROY_Indexado!$B$52</f>
        <v>31.0450198328907</v>
      </c>
      <c r="F18" s="4" t="n">
        <f aca="false">PROY_Indexado!F20*PROY_Indexado!$B$52</f>
        <v>44.6543001350049</v>
      </c>
      <c r="G18" s="4" t="n">
        <f aca="false">PROY_Indexado!G20*PROY_Indexado!$B$52</f>
        <v>59.3278706747574</v>
      </c>
      <c r="H18" s="4" t="n">
        <f aca="false">PROY_Indexado!H20*PROY_Indexado!$B$52</f>
        <v>73.0904821330469</v>
      </c>
      <c r="I18" s="4" t="n">
        <f aca="false">PROY_Indexado!I20*PROY_Indexado!$B$52</f>
        <v>82.0600297826418</v>
      </c>
      <c r="J18" s="4" t="n">
        <f aca="false">PROY_Indexado!J20*PROY_Indexado!$B$52</f>
        <v>89.0361282837051</v>
      </c>
      <c r="K18" s="4" t="n">
        <f aca="false">PROY_Indexado!K20*PROY_Indexado!$B$52</f>
        <v>96.1040185823099</v>
      </c>
    </row>
    <row r="19" customFormat="false" ht="15" hidden="false" customHeight="false" outlineLevel="0" collapsed="false">
      <c r="A19" s="5" t="s">
        <v>71</v>
      </c>
      <c r="B19" s="6" t="n">
        <f aca="false">SUM(B2:B18)</f>
        <v>1968.5956955673</v>
      </c>
      <c r="C19" s="6" t="n">
        <f aca="false">SUM(C2:C18)</f>
        <v>8838.10399591291</v>
      </c>
      <c r="D19" s="6" t="n">
        <f aca="false">SUM(D2:D18)</f>
        <v>17721.6617850856</v>
      </c>
      <c r="E19" s="6" t="n">
        <f aca="false">SUM(E2:E18)</f>
        <v>32873.6027253915</v>
      </c>
      <c r="F19" s="6" t="n">
        <f aca="false">SUM(F2:F18)</f>
        <v>48386.3762617174</v>
      </c>
      <c r="G19" s="6" t="n">
        <f aca="false">SUM(G2:G18)</f>
        <v>65859.1903026554</v>
      </c>
      <c r="H19" s="6" t="n">
        <f aca="false">SUM(H2:H18)</f>
        <v>81795.116272374</v>
      </c>
      <c r="I19" s="6" t="n">
        <f aca="false">SUM(I2:I18)</f>
        <v>92988.6241775075</v>
      </c>
      <c r="J19" s="6" t="n">
        <f aca="false">SUM(J2:J18)</f>
        <v>100019.138346913</v>
      </c>
      <c r="K19" s="6" t="n">
        <f aca="false">SUM(K2:K18)</f>
        <v>107197.372813694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12" min="4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70"/>
    <col collapsed="false" customWidth="true" hidden="false" outlineLevel="0" max="17" min="17" style="0" width="60"/>
    <col collapsed="false" customWidth="true" hidden="false" outlineLevel="0" max="18" min="18" style="0" width="8"/>
  </cols>
  <sheetData>
    <row r="1" customFormat="false" ht="15" hidden="false" customHeight="true" outlineLevel="0" collapsed="false">
      <c r="A1" s="2" t="s">
        <v>72</v>
      </c>
      <c r="B1" s="2" t="s">
        <v>45</v>
      </c>
      <c r="C1" s="2" t="s">
        <v>73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3" t="s">
        <v>74</v>
      </c>
      <c r="B2" s="11" t="n">
        <v>20</v>
      </c>
      <c r="C2" s="3" t="s">
        <v>75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3" t="s">
        <v>76</v>
      </c>
      <c r="B3" s="11" t="n">
        <v>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3" t="s">
        <v>77</v>
      </c>
      <c r="B4" s="11" t="n">
        <v>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3" t="s">
        <v>78</v>
      </c>
      <c r="B5" s="12" t="n">
        <f aca="false">B3-B4/60</f>
        <v>7.5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5" hidden="false" customHeight="false" outlineLevel="0" collapsed="false">
      <c r="A6" s="3" t="s">
        <v>79</v>
      </c>
      <c r="B6" s="13" t="n">
        <f aca="false">B2*B5</f>
        <v>150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5" hidden="false" customHeight="true" outlineLevel="0" collapsed="false">
      <c r="A7" s="3" t="s">
        <v>80</v>
      </c>
      <c r="B7" s="14" t="n">
        <v>0.9</v>
      </c>
      <c r="C7" s="3" t="s">
        <v>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5" hidden="false" customHeight="true" outlineLevel="0" collapsed="false">
      <c r="A8" s="3" t="s">
        <v>82</v>
      </c>
      <c r="B8" s="11" t="n">
        <v>2</v>
      </c>
      <c r="C8" s="3" t="s">
        <v>83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5" hidden="false" customHeight="true" outlineLevel="0" collapsed="false">
      <c r="A9" s="3" t="s">
        <v>84</v>
      </c>
      <c r="B9" s="11" t="n">
        <v>3</v>
      </c>
      <c r="C9" s="3" t="s">
        <v>85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true" outlineLevel="0" collapsed="false">
      <c r="A10" s="3" t="s">
        <v>86</v>
      </c>
      <c r="B10" s="11" t="n">
        <v>2032</v>
      </c>
      <c r="C10" s="3" t="s">
        <v>87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5" hidden="false" customHeight="false" outlineLevel="0" collapsed="false">
      <c r="A11" s="1" t="s">
        <v>88</v>
      </c>
    </row>
    <row r="12" customFormat="false" ht="15" hidden="false" customHeight="true" outlineLevel="0" collapsed="false">
      <c r="A12" s="2" t="s">
        <v>72</v>
      </c>
      <c r="B12" s="2" t="s">
        <v>45</v>
      </c>
      <c r="C12" s="2" t="s">
        <v>73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5" hidden="false" customHeight="true" outlineLevel="0" collapsed="false">
      <c r="A13" s="3" t="s">
        <v>89</v>
      </c>
      <c r="B13" s="11" t="n">
        <v>5</v>
      </c>
      <c r="C13" s="3" t="s">
        <v>90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5" hidden="false" customHeight="true" outlineLevel="0" collapsed="false">
      <c r="A14" s="3" t="s">
        <v>91</v>
      </c>
      <c r="B14" s="11" t="n">
        <v>2</v>
      </c>
      <c r="C14" s="3" t="s">
        <v>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true" outlineLevel="0" collapsed="false">
      <c r="A15" s="3" t="s">
        <v>93</v>
      </c>
      <c r="B15" s="9" t="n">
        <f aca="false">1/B13</f>
        <v>0.2</v>
      </c>
      <c r="C15" s="3" t="s">
        <v>94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5" hidden="false" customHeight="true" outlineLevel="0" collapsed="false">
      <c r="A16" s="3" t="s">
        <v>95</v>
      </c>
      <c r="B16" s="9" t="n">
        <f aca="false">1/B14</f>
        <v>0.5</v>
      </c>
      <c r="C16" s="3" t="s">
        <v>96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5" hidden="false" customHeight="true" outlineLevel="0" collapsed="false">
      <c r="A17" s="3" t="s">
        <v>97</v>
      </c>
      <c r="B17" s="11" t="n">
        <v>30</v>
      </c>
      <c r="C17" s="3" t="s">
        <v>98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true" outlineLevel="0" collapsed="false">
      <c r="A18" s="3" t="s">
        <v>99</v>
      </c>
      <c r="B18" s="11" t="n">
        <v>20</v>
      </c>
      <c r="C18" s="3" t="s">
        <v>100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5" hidden="false" customHeight="true" outlineLevel="0" collapsed="false">
      <c r="A19" s="3" t="s">
        <v>101</v>
      </c>
      <c r="B19" s="9" t="n">
        <f aca="false">1/B17</f>
        <v>0.0333333333333333</v>
      </c>
      <c r="C19" s="3" t="s">
        <v>102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5" hidden="false" customHeight="true" outlineLevel="0" collapsed="false">
      <c r="A20" s="3" t="s">
        <v>103</v>
      </c>
      <c r="B20" s="9" t="n">
        <f aca="false">1/B18</f>
        <v>0.05</v>
      </c>
      <c r="C20" s="3" t="s">
        <v>104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5" hidden="false" customHeight="true" outlineLevel="0" collapsed="false">
      <c r="A21" s="3" t="s">
        <v>105</v>
      </c>
      <c r="B21" s="9" t="n">
        <f aca="false">PROY_Indexado!B47</f>
        <v>0.02</v>
      </c>
      <c r="C21" s="3" t="s">
        <v>106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" hidden="false" customHeight="true" outlineLevel="0" collapsed="false">
      <c r="A22" s="3" t="s">
        <v>107</v>
      </c>
      <c r="B22" s="9" t="n">
        <f aca="false">PROY_Indexado!B48</f>
        <v>0.01</v>
      </c>
      <c r="C22" s="3" t="s">
        <v>108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" hidden="false" customHeight="true" outlineLevel="0" collapsed="false">
      <c r="A23" s="3" t="s">
        <v>109</v>
      </c>
      <c r="B23" s="9" t="n">
        <f aca="false">B19+B21+B22</f>
        <v>0.0633333333333333</v>
      </c>
      <c r="C23" s="3" t="s">
        <v>110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" hidden="false" customHeight="true" outlineLevel="0" collapsed="false">
      <c r="A24" s="3" t="s">
        <v>111</v>
      </c>
      <c r="B24" s="9" t="n">
        <f aca="false">B20+B21+B22</f>
        <v>0.08</v>
      </c>
      <c r="C24" s="3" t="s">
        <v>110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" hidden="false" customHeight="true" outlineLevel="0" collapsed="false">
      <c r="A25" s="3" t="s">
        <v>112</v>
      </c>
      <c r="B25" s="9" t="n">
        <f aca="false">PROY_Indexado!B46</f>
        <v>0.05</v>
      </c>
      <c r="C25" s="3" t="s">
        <v>113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" hidden="false" customHeight="true" outlineLevel="0" collapsed="false">
      <c r="A26" s="3" t="s">
        <v>114</v>
      </c>
      <c r="B26" s="11" t="n">
        <v>10</v>
      </c>
      <c r="C26" s="3" t="s">
        <v>115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" hidden="false" customHeight="true" outlineLevel="0" collapsed="false">
      <c r="A27" s="3" t="s">
        <v>116</v>
      </c>
      <c r="B27" s="9" t="n">
        <f aca="false">1/B26</f>
        <v>0.1</v>
      </c>
      <c r="C27" s="3" t="s">
        <v>117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" hidden="false" customHeight="true" outlineLevel="0" collapsed="false">
      <c r="A28" s="3" t="s">
        <v>118</v>
      </c>
      <c r="B28" s="14" t="n">
        <v>1</v>
      </c>
      <c r="C28" s="3" t="s">
        <v>119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" hidden="false" customHeight="true" outlineLevel="0" collapsed="false">
      <c r="A29" s="3" t="s">
        <v>120</v>
      </c>
      <c r="B29" s="7" t="n">
        <v>0.05</v>
      </c>
      <c r="C29" s="3" t="s">
        <v>121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" hidden="false" customHeight="true" outlineLevel="0" collapsed="false">
      <c r="A30" s="3" t="s">
        <v>122</v>
      </c>
      <c r="B30" s="7" t="n">
        <v>0.1</v>
      </c>
      <c r="C30" s="3" t="s">
        <v>123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" hidden="false" customHeight="false" outlineLevel="0" collapsed="false">
      <c r="A31" s="3" t="s">
        <v>124</v>
      </c>
      <c r="B31" s="7" t="n">
        <v>0.01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" hidden="false" customHeight="true" outlineLevel="0" collapsed="false">
      <c r="A32" s="3" t="s">
        <v>125</v>
      </c>
      <c r="B32" s="15" t="n">
        <v>0.001</v>
      </c>
      <c r="C32" s="3" t="s">
        <v>126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4" customFormat="false" ht="15" hidden="false" customHeight="false" outlineLevel="0" collapsed="false">
      <c r="A34" s="1" t="s">
        <v>127</v>
      </c>
    </row>
    <row r="35" customFormat="false" ht="15" hidden="false" customHeight="false" outlineLevel="0" collapsed="false">
      <c r="A35" s="10" t="s">
        <v>128</v>
      </c>
    </row>
    <row r="36" customFormat="false" ht="15" hidden="false" customHeight="false" outlineLevel="0" collapsed="false">
      <c r="A36" s="2" t="s">
        <v>129</v>
      </c>
      <c r="B36" s="2" t="s">
        <v>130</v>
      </c>
      <c r="C36" s="2" t="s">
        <v>131</v>
      </c>
      <c r="D36" s="2" t="s">
        <v>132</v>
      </c>
      <c r="E36" s="2" t="s">
        <v>133</v>
      </c>
      <c r="F36" s="2" t="s">
        <v>134</v>
      </c>
      <c r="G36" s="2" t="s">
        <v>135</v>
      </c>
      <c r="H36" s="2" t="s">
        <v>136</v>
      </c>
      <c r="I36" s="2" t="s">
        <v>137</v>
      </c>
      <c r="J36" s="2" t="s">
        <v>138</v>
      </c>
      <c r="K36" s="2" t="s">
        <v>139</v>
      </c>
      <c r="L36" s="2" t="s">
        <v>140</v>
      </c>
      <c r="M36" s="2" t="s">
        <v>141</v>
      </c>
      <c r="N36" s="2" t="s">
        <v>66</v>
      </c>
    </row>
    <row r="37" customFormat="false" ht="15" hidden="false" customHeight="false" outlineLevel="0" collapsed="false">
      <c r="A37" s="16" t="n">
        <v>2026</v>
      </c>
      <c r="B37" s="7" t="n">
        <f aca="false">1/12</f>
        <v>0.0833333333333333</v>
      </c>
      <c r="C37" s="7" t="n">
        <f aca="false">1/12</f>
        <v>0.0833333333333333</v>
      </c>
      <c r="D37" s="7" t="n">
        <f aca="false">1/12</f>
        <v>0.0833333333333333</v>
      </c>
      <c r="E37" s="7" t="n">
        <f aca="false">1/12</f>
        <v>0.0833333333333333</v>
      </c>
      <c r="F37" s="7" t="n">
        <f aca="false">1/12</f>
        <v>0.0833333333333333</v>
      </c>
      <c r="G37" s="7" t="n">
        <f aca="false">1/12</f>
        <v>0.0833333333333333</v>
      </c>
      <c r="H37" s="7" t="n">
        <f aca="false">1/12</f>
        <v>0.0833333333333333</v>
      </c>
      <c r="I37" s="7" t="n">
        <f aca="false">1/12</f>
        <v>0.0833333333333333</v>
      </c>
      <c r="J37" s="7" t="n">
        <f aca="false">1/12</f>
        <v>0.0833333333333333</v>
      </c>
      <c r="K37" s="7" t="n">
        <f aca="false">1/12</f>
        <v>0.0833333333333333</v>
      </c>
      <c r="L37" s="7" t="n">
        <f aca="false">1/12</f>
        <v>0.0833333333333333</v>
      </c>
      <c r="M37" s="7" t="n">
        <f aca="false">1/12</f>
        <v>0.0833333333333333</v>
      </c>
      <c r="N37" s="9" t="n">
        <f aca="false">SUM(B37:M37)</f>
        <v>1</v>
      </c>
    </row>
    <row r="38" customFormat="false" ht="15" hidden="false" customHeight="false" outlineLevel="0" collapsed="false">
      <c r="A38" s="16" t="n">
        <v>2027</v>
      </c>
      <c r="B38" s="7" t="n">
        <f aca="false">1/12</f>
        <v>0.0833333333333333</v>
      </c>
      <c r="C38" s="7" t="n">
        <f aca="false">1/12</f>
        <v>0.0833333333333333</v>
      </c>
      <c r="D38" s="7" t="n">
        <f aca="false">1/12</f>
        <v>0.0833333333333333</v>
      </c>
      <c r="E38" s="7" t="n">
        <f aca="false">1/12</f>
        <v>0.0833333333333333</v>
      </c>
      <c r="F38" s="7" t="n">
        <f aca="false">1/12</f>
        <v>0.0833333333333333</v>
      </c>
      <c r="G38" s="7" t="n">
        <f aca="false">1/12</f>
        <v>0.0833333333333333</v>
      </c>
      <c r="H38" s="7" t="n">
        <f aca="false">1/12</f>
        <v>0.0833333333333333</v>
      </c>
      <c r="I38" s="7" t="n">
        <f aca="false">1/12</f>
        <v>0.0833333333333333</v>
      </c>
      <c r="J38" s="7" t="n">
        <f aca="false">1/12</f>
        <v>0.0833333333333333</v>
      </c>
      <c r="K38" s="7" t="n">
        <f aca="false">1/12</f>
        <v>0.0833333333333333</v>
      </c>
      <c r="L38" s="7" t="n">
        <f aca="false">1/12</f>
        <v>0.0833333333333333</v>
      </c>
      <c r="M38" s="7" t="n">
        <f aca="false">1/12</f>
        <v>0.0833333333333333</v>
      </c>
      <c r="N38" s="9" t="n">
        <f aca="false">SUM(B38:M38)</f>
        <v>1</v>
      </c>
    </row>
    <row r="39" customFormat="false" ht="15" hidden="false" customHeight="false" outlineLevel="0" collapsed="false">
      <c r="A39" s="16" t="n">
        <v>2028</v>
      </c>
      <c r="B39" s="7" t="n">
        <f aca="false">1/12</f>
        <v>0.0833333333333333</v>
      </c>
      <c r="C39" s="7" t="n">
        <f aca="false">1/12</f>
        <v>0.0833333333333333</v>
      </c>
      <c r="D39" s="7" t="n">
        <f aca="false">1/12</f>
        <v>0.0833333333333333</v>
      </c>
      <c r="E39" s="7" t="n">
        <f aca="false">1/12</f>
        <v>0.0833333333333333</v>
      </c>
      <c r="F39" s="7" t="n">
        <f aca="false">1/12</f>
        <v>0.0833333333333333</v>
      </c>
      <c r="G39" s="7" t="n">
        <f aca="false">1/12</f>
        <v>0.0833333333333333</v>
      </c>
      <c r="H39" s="7" t="n">
        <f aca="false">1/12</f>
        <v>0.0833333333333333</v>
      </c>
      <c r="I39" s="7" t="n">
        <f aca="false">1/12</f>
        <v>0.0833333333333333</v>
      </c>
      <c r="J39" s="7" t="n">
        <f aca="false">1/12</f>
        <v>0.0833333333333333</v>
      </c>
      <c r="K39" s="7" t="n">
        <f aca="false">1/12</f>
        <v>0.0833333333333333</v>
      </c>
      <c r="L39" s="7" t="n">
        <f aca="false">1/12</f>
        <v>0.0833333333333333</v>
      </c>
      <c r="M39" s="7" t="n">
        <f aca="false">1/12</f>
        <v>0.0833333333333333</v>
      </c>
      <c r="N39" s="9" t="n">
        <f aca="false">SUM(B39:M39)</f>
        <v>1</v>
      </c>
    </row>
    <row r="40" customFormat="false" ht="15" hidden="false" customHeight="false" outlineLevel="0" collapsed="false">
      <c r="A40" s="16" t="n">
        <v>2029</v>
      </c>
      <c r="B40" s="7" t="n">
        <f aca="false">1/12</f>
        <v>0.0833333333333333</v>
      </c>
      <c r="C40" s="7" t="n">
        <f aca="false">1/12</f>
        <v>0.0833333333333333</v>
      </c>
      <c r="D40" s="7" t="n">
        <f aca="false">1/12</f>
        <v>0.0833333333333333</v>
      </c>
      <c r="E40" s="7" t="n">
        <f aca="false">1/12</f>
        <v>0.0833333333333333</v>
      </c>
      <c r="F40" s="7" t="n">
        <f aca="false">1/12</f>
        <v>0.0833333333333333</v>
      </c>
      <c r="G40" s="7" t="n">
        <f aca="false">1/12</f>
        <v>0.0833333333333333</v>
      </c>
      <c r="H40" s="7" t="n">
        <f aca="false">1/12</f>
        <v>0.0833333333333333</v>
      </c>
      <c r="I40" s="7" t="n">
        <f aca="false">1/12</f>
        <v>0.0833333333333333</v>
      </c>
      <c r="J40" s="7" t="n">
        <f aca="false">1/12</f>
        <v>0.0833333333333333</v>
      </c>
      <c r="K40" s="7" t="n">
        <f aca="false">1/12</f>
        <v>0.0833333333333333</v>
      </c>
      <c r="L40" s="7" t="n">
        <f aca="false">1/12</f>
        <v>0.0833333333333333</v>
      </c>
      <c r="M40" s="7" t="n">
        <f aca="false">1/12</f>
        <v>0.0833333333333333</v>
      </c>
      <c r="N40" s="9" t="n">
        <f aca="false">SUM(B40:M40)</f>
        <v>1</v>
      </c>
    </row>
    <row r="41" customFormat="false" ht="15" hidden="false" customHeight="false" outlineLevel="0" collapsed="false">
      <c r="A41" s="16" t="n">
        <v>2030</v>
      </c>
      <c r="B41" s="7" t="n">
        <f aca="false">1/12</f>
        <v>0.0833333333333333</v>
      </c>
      <c r="C41" s="7" t="n">
        <f aca="false">1/12</f>
        <v>0.0833333333333333</v>
      </c>
      <c r="D41" s="7" t="n">
        <f aca="false">1/12</f>
        <v>0.0833333333333333</v>
      </c>
      <c r="E41" s="7" t="n">
        <f aca="false">1/12</f>
        <v>0.0833333333333333</v>
      </c>
      <c r="F41" s="7" t="n">
        <f aca="false">1/12</f>
        <v>0.0833333333333333</v>
      </c>
      <c r="G41" s="7" t="n">
        <f aca="false">1/12</f>
        <v>0.0833333333333333</v>
      </c>
      <c r="H41" s="7" t="n">
        <f aca="false">1/12</f>
        <v>0.0833333333333333</v>
      </c>
      <c r="I41" s="7" t="n">
        <f aca="false">1/12</f>
        <v>0.0833333333333333</v>
      </c>
      <c r="J41" s="7" t="n">
        <f aca="false">1/12</f>
        <v>0.0833333333333333</v>
      </c>
      <c r="K41" s="7" t="n">
        <f aca="false">1/12</f>
        <v>0.0833333333333333</v>
      </c>
      <c r="L41" s="7" t="n">
        <f aca="false">1/12</f>
        <v>0.0833333333333333</v>
      </c>
      <c r="M41" s="7" t="n">
        <f aca="false">1/12</f>
        <v>0.0833333333333333</v>
      </c>
      <c r="N41" s="9" t="n">
        <f aca="false">SUM(B41:M41)</f>
        <v>1</v>
      </c>
    </row>
    <row r="42" customFormat="false" ht="15" hidden="false" customHeight="false" outlineLevel="0" collapsed="false">
      <c r="A42" s="16" t="n">
        <v>2031</v>
      </c>
      <c r="B42" s="7" t="n">
        <f aca="false">1/12</f>
        <v>0.0833333333333333</v>
      </c>
      <c r="C42" s="7" t="n">
        <f aca="false">1/12</f>
        <v>0.0833333333333333</v>
      </c>
      <c r="D42" s="7" t="n">
        <f aca="false">1/12</f>
        <v>0.0833333333333333</v>
      </c>
      <c r="E42" s="7" t="n">
        <f aca="false">1/12</f>
        <v>0.0833333333333333</v>
      </c>
      <c r="F42" s="7" t="n">
        <f aca="false">1/12</f>
        <v>0.0833333333333333</v>
      </c>
      <c r="G42" s="7" t="n">
        <f aca="false">1/12</f>
        <v>0.0833333333333333</v>
      </c>
      <c r="H42" s="7" t="n">
        <f aca="false">1/12</f>
        <v>0.0833333333333333</v>
      </c>
      <c r="I42" s="7" t="n">
        <f aca="false">1/12</f>
        <v>0.0833333333333333</v>
      </c>
      <c r="J42" s="7" t="n">
        <f aca="false">1/12</f>
        <v>0.0833333333333333</v>
      </c>
      <c r="K42" s="7" t="n">
        <f aca="false">1/12</f>
        <v>0.0833333333333333</v>
      </c>
      <c r="L42" s="7" t="n">
        <f aca="false">1/12</f>
        <v>0.0833333333333333</v>
      </c>
      <c r="M42" s="7" t="n">
        <f aca="false">1/12</f>
        <v>0.0833333333333333</v>
      </c>
      <c r="N42" s="9" t="n">
        <f aca="false">SUM(B42:M42)</f>
        <v>1</v>
      </c>
    </row>
    <row r="43" customFormat="false" ht="15" hidden="false" customHeight="false" outlineLevel="0" collapsed="false">
      <c r="A43" s="16" t="n">
        <v>2032</v>
      </c>
      <c r="B43" s="7" t="n">
        <f aca="false">1/12</f>
        <v>0.0833333333333333</v>
      </c>
      <c r="C43" s="7" t="n">
        <f aca="false">1/12</f>
        <v>0.0833333333333333</v>
      </c>
      <c r="D43" s="7" t="n">
        <f aca="false">1/12</f>
        <v>0.0833333333333333</v>
      </c>
      <c r="E43" s="7" t="n">
        <f aca="false">1/12</f>
        <v>0.0833333333333333</v>
      </c>
      <c r="F43" s="7" t="n">
        <f aca="false">1/12</f>
        <v>0.0833333333333333</v>
      </c>
      <c r="G43" s="7" t="n">
        <f aca="false">1/12</f>
        <v>0.0833333333333333</v>
      </c>
      <c r="H43" s="7" t="n">
        <f aca="false">1/12</f>
        <v>0.0833333333333333</v>
      </c>
      <c r="I43" s="7" t="n">
        <f aca="false">1/12</f>
        <v>0.0833333333333333</v>
      </c>
      <c r="J43" s="7" t="n">
        <f aca="false">1/12</f>
        <v>0.0833333333333333</v>
      </c>
      <c r="K43" s="7" t="n">
        <f aca="false">1/12</f>
        <v>0.0833333333333333</v>
      </c>
      <c r="L43" s="7" t="n">
        <f aca="false">1/12</f>
        <v>0.0833333333333333</v>
      </c>
      <c r="M43" s="7" t="n">
        <f aca="false">1/12</f>
        <v>0.0833333333333333</v>
      </c>
      <c r="N43" s="9" t="n">
        <f aca="false">SUM(B43:M43)</f>
        <v>1</v>
      </c>
    </row>
    <row r="44" customFormat="false" ht="15" hidden="false" customHeight="false" outlineLevel="0" collapsed="false">
      <c r="A44" s="16" t="n">
        <v>2033</v>
      </c>
      <c r="B44" s="7" t="n">
        <f aca="false">1/12</f>
        <v>0.0833333333333333</v>
      </c>
      <c r="C44" s="7" t="n">
        <f aca="false">1/12</f>
        <v>0.0833333333333333</v>
      </c>
      <c r="D44" s="7" t="n">
        <f aca="false">1/12</f>
        <v>0.0833333333333333</v>
      </c>
      <c r="E44" s="7" t="n">
        <f aca="false">1/12</f>
        <v>0.0833333333333333</v>
      </c>
      <c r="F44" s="7" t="n">
        <f aca="false">1/12</f>
        <v>0.0833333333333333</v>
      </c>
      <c r="G44" s="7" t="n">
        <f aca="false">1/12</f>
        <v>0.0833333333333333</v>
      </c>
      <c r="H44" s="7" t="n">
        <f aca="false">1/12</f>
        <v>0.0833333333333333</v>
      </c>
      <c r="I44" s="7" t="n">
        <f aca="false">1/12</f>
        <v>0.0833333333333333</v>
      </c>
      <c r="J44" s="7" t="n">
        <f aca="false">1/12</f>
        <v>0.0833333333333333</v>
      </c>
      <c r="K44" s="7" t="n">
        <f aca="false">1/12</f>
        <v>0.0833333333333333</v>
      </c>
      <c r="L44" s="7" t="n">
        <f aca="false">1/12</f>
        <v>0.0833333333333333</v>
      </c>
      <c r="M44" s="7" t="n">
        <f aca="false">1/12</f>
        <v>0.0833333333333333</v>
      </c>
      <c r="N44" s="9" t="n">
        <f aca="false">SUM(B44:M44)</f>
        <v>1</v>
      </c>
    </row>
    <row r="45" customFormat="false" ht="15" hidden="false" customHeight="false" outlineLevel="0" collapsed="false">
      <c r="A45" s="16" t="n">
        <v>2034</v>
      </c>
      <c r="B45" s="7" t="n">
        <f aca="false">1/12</f>
        <v>0.0833333333333333</v>
      </c>
      <c r="C45" s="7" t="n">
        <f aca="false">1/12</f>
        <v>0.0833333333333333</v>
      </c>
      <c r="D45" s="7" t="n">
        <f aca="false">1/12</f>
        <v>0.0833333333333333</v>
      </c>
      <c r="E45" s="7" t="n">
        <f aca="false">1/12</f>
        <v>0.0833333333333333</v>
      </c>
      <c r="F45" s="7" t="n">
        <f aca="false">1/12</f>
        <v>0.0833333333333333</v>
      </c>
      <c r="G45" s="7" t="n">
        <f aca="false">1/12</f>
        <v>0.0833333333333333</v>
      </c>
      <c r="H45" s="7" t="n">
        <f aca="false">1/12</f>
        <v>0.0833333333333333</v>
      </c>
      <c r="I45" s="7" t="n">
        <f aca="false">1/12</f>
        <v>0.0833333333333333</v>
      </c>
      <c r="J45" s="7" t="n">
        <f aca="false">1/12</f>
        <v>0.0833333333333333</v>
      </c>
      <c r="K45" s="7" t="n">
        <f aca="false">1/12</f>
        <v>0.0833333333333333</v>
      </c>
      <c r="L45" s="7" t="n">
        <f aca="false">1/12</f>
        <v>0.0833333333333333</v>
      </c>
      <c r="M45" s="7" t="n">
        <f aca="false">1/12</f>
        <v>0.0833333333333333</v>
      </c>
      <c r="N45" s="9" t="n">
        <f aca="false">SUM(B45:M45)</f>
        <v>1</v>
      </c>
    </row>
    <row r="46" customFormat="false" ht="15" hidden="false" customHeight="false" outlineLevel="0" collapsed="false">
      <c r="A46" s="16" t="n">
        <v>2035</v>
      </c>
      <c r="B46" s="7" t="n">
        <f aca="false">1/12</f>
        <v>0.0833333333333333</v>
      </c>
      <c r="C46" s="7" t="n">
        <f aca="false">1/12</f>
        <v>0.0833333333333333</v>
      </c>
      <c r="D46" s="7" t="n">
        <f aca="false">1/12</f>
        <v>0.0833333333333333</v>
      </c>
      <c r="E46" s="7" t="n">
        <f aca="false">1/12</f>
        <v>0.0833333333333333</v>
      </c>
      <c r="F46" s="7" t="n">
        <f aca="false">1/12</f>
        <v>0.0833333333333333</v>
      </c>
      <c r="G46" s="7" t="n">
        <f aca="false">1/12</f>
        <v>0.0833333333333333</v>
      </c>
      <c r="H46" s="7" t="n">
        <f aca="false">1/12</f>
        <v>0.0833333333333333</v>
      </c>
      <c r="I46" s="7" t="n">
        <f aca="false">1/12</f>
        <v>0.0833333333333333</v>
      </c>
      <c r="J46" s="7" t="n">
        <f aca="false">1/12</f>
        <v>0.0833333333333333</v>
      </c>
      <c r="K46" s="7" t="n">
        <f aca="false">1/12</f>
        <v>0.0833333333333333</v>
      </c>
      <c r="L46" s="7" t="n">
        <f aca="false">1/12</f>
        <v>0.0833333333333333</v>
      </c>
      <c r="M46" s="7" t="n">
        <f aca="false">1/12</f>
        <v>0.0833333333333333</v>
      </c>
      <c r="N46" s="9" t="n">
        <f aca="false">SUM(B46:M46)</f>
        <v>1</v>
      </c>
    </row>
    <row r="49" customFormat="false" ht="15" hidden="false" customHeight="false" outlineLevel="0" collapsed="false">
      <c r="A49" s="1" t="s">
        <v>142</v>
      </c>
    </row>
    <row r="50" customFormat="false" ht="35.05" hidden="false" customHeight="true" outlineLevel="0" collapsed="false">
      <c r="A50" s="2" t="s">
        <v>143</v>
      </c>
      <c r="B50" s="2" t="s">
        <v>144</v>
      </c>
      <c r="C50" s="2" t="s">
        <v>145</v>
      </c>
      <c r="D50" s="2" t="s">
        <v>146</v>
      </c>
      <c r="E50" s="2" t="s">
        <v>147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true" outlineLevel="0" collapsed="false">
      <c r="A51" s="8" t="str">
        <f aca="false">datos_base!A2</f>
        <v>ABC 1 kg</v>
      </c>
      <c r="B51" s="8" t="s">
        <v>148</v>
      </c>
      <c r="C51" s="11" t="n">
        <v>1</v>
      </c>
      <c r="D51" s="11" t="n">
        <v>0</v>
      </c>
      <c r="E51" s="3" t="s">
        <v>149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" hidden="false" customHeight="true" outlineLevel="0" collapsed="false">
      <c r="A52" s="8" t="str">
        <f aca="false">datos_base!A3</f>
        <v>ABC 2,5 kg</v>
      </c>
      <c r="B52" s="8" t="s">
        <v>148</v>
      </c>
      <c r="C52" s="11" t="n">
        <v>1</v>
      </c>
      <c r="D52" s="11" t="n">
        <v>0</v>
      </c>
      <c r="E52" s="3" t="s">
        <v>150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" hidden="false" customHeight="true" outlineLevel="0" collapsed="false">
      <c r="A53" s="8" t="str">
        <f aca="false">datos_base!A4</f>
        <v>ABC 5 kg</v>
      </c>
      <c r="B53" s="8" t="s">
        <v>148</v>
      </c>
      <c r="C53" s="11" t="n">
        <v>1</v>
      </c>
      <c r="D53" s="11" t="n">
        <v>0</v>
      </c>
      <c r="E53" s="3" t="s">
        <v>150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" hidden="false" customHeight="true" outlineLevel="0" collapsed="false">
      <c r="A54" s="8" t="str">
        <f aca="false">datos_base!A5</f>
        <v>ABC 10 kg</v>
      </c>
      <c r="B54" s="8" t="s">
        <v>148</v>
      </c>
      <c r="C54" s="11" t="n">
        <v>1</v>
      </c>
      <c r="D54" s="11" t="n">
        <v>0</v>
      </c>
      <c r="E54" s="3" t="s">
        <v>150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" hidden="false" customHeight="true" outlineLevel="0" collapsed="false">
      <c r="A55" s="8" t="str">
        <f aca="false">datos_base!A6</f>
        <v>Agua 10 l</v>
      </c>
      <c r="B55" s="8" t="s">
        <v>151</v>
      </c>
      <c r="C55" s="11" t="n">
        <v>1</v>
      </c>
      <c r="D55" s="11" t="n">
        <v>0</v>
      </c>
      <c r="E55" s="3" t="s">
        <v>150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" hidden="false" customHeight="true" outlineLevel="0" collapsed="false">
      <c r="A56" s="8" t="str">
        <f aca="false">datos_base!A7</f>
        <v>AFFF 10 l</v>
      </c>
      <c r="B56" s="8" t="s">
        <v>152</v>
      </c>
      <c r="C56" s="11" t="n">
        <v>1</v>
      </c>
      <c r="D56" s="11" t="n">
        <v>0</v>
      </c>
      <c r="E56" s="3" t="s">
        <v>150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" hidden="false" customHeight="true" outlineLevel="0" collapsed="false">
      <c r="A57" s="8" t="str">
        <f aca="false">datos_base!A8</f>
        <v>AFFF 50 l s/ruedas</v>
      </c>
      <c r="B57" s="8" t="s">
        <v>152</v>
      </c>
      <c r="C57" s="13" t="n">
        <f aca="false">$B$9</f>
        <v>3</v>
      </c>
      <c r="D57" s="11" t="n">
        <v>1</v>
      </c>
      <c r="E57" s="3" t="s">
        <v>153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" hidden="false" customHeight="true" outlineLevel="0" collapsed="false">
      <c r="A58" s="8" t="str">
        <f aca="false">datos_base!A9</f>
        <v>BC 5 kg</v>
      </c>
      <c r="B58" s="8" t="s">
        <v>154</v>
      </c>
      <c r="C58" s="11" t="n">
        <v>1</v>
      </c>
      <c r="D58" s="11" t="n">
        <v>0</v>
      </c>
      <c r="E58" s="3" t="s">
        <v>150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5" hidden="false" customHeight="true" outlineLevel="0" collapsed="false">
      <c r="A59" s="8" t="str">
        <f aca="false">datos_base!A10</f>
        <v>Sales K 6 l</v>
      </c>
      <c r="B59" s="8" t="s">
        <v>155</v>
      </c>
      <c r="C59" s="11" t="n">
        <v>1</v>
      </c>
      <c r="D59" s="11" t="n">
        <v>0</v>
      </c>
      <c r="E59" s="3" t="s">
        <v>150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" hidden="false" customHeight="true" outlineLevel="0" collapsed="false">
      <c r="A60" s="8" t="str">
        <f aca="false">datos_base!A11</f>
        <v>CO₂ 2 kg</v>
      </c>
      <c r="B60" s="8" t="s">
        <v>156</v>
      </c>
      <c r="C60" s="11" t="n">
        <v>1</v>
      </c>
      <c r="D60" s="11" t="n">
        <v>0</v>
      </c>
      <c r="E60" s="3" t="s">
        <v>157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5" hidden="false" customHeight="true" outlineLevel="0" collapsed="false">
      <c r="A61" s="8" t="str">
        <f aca="false">datos_base!A12</f>
        <v>CO₂ 5 kg</v>
      </c>
      <c r="B61" s="8" t="s">
        <v>156</v>
      </c>
      <c r="C61" s="11" t="n">
        <v>1</v>
      </c>
      <c r="D61" s="11" t="n">
        <v>1</v>
      </c>
      <c r="E61" s="3" t="s">
        <v>158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5" hidden="false" customHeight="true" outlineLevel="0" collapsed="false">
      <c r="A62" s="8" t="str">
        <f aca="false">datos_base!A13</f>
        <v>HCFC/HFC 5 kg</v>
      </c>
      <c r="B62" s="8" t="s">
        <v>159</v>
      </c>
      <c r="C62" s="11" t="n">
        <v>1</v>
      </c>
      <c r="D62" s="11" t="n">
        <v>0</v>
      </c>
      <c r="E62" s="3" t="s">
        <v>150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5" hidden="false" customHeight="true" outlineLevel="0" collapsed="false">
      <c r="A63" s="8" t="str">
        <f aca="false">datos_base!A14</f>
        <v>Clase D 9 l</v>
      </c>
      <c r="B63" s="8" t="s">
        <v>160</v>
      </c>
      <c r="C63" s="11" t="n">
        <v>1</v>
      </c>
      <c r="D63" s="11" t="n">
        <v>0</v>
      </c>
      <c r="E63" s="3" t="s">
        <v>150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5" hidden="false" customHeight="true" outlineLevel="0" collapsed="false">
      <c r="A64" s="8" t="str">
        <f aca="false">datos_base!A15</f>
        <v>ABC 25 kg s/ruedas</v>
      </c>
      <c r="B64" s="8" t="s">
        <v>148</v>
      </c>
      <c r="C64" s="13" t="n">
        <f aca="false">$B$9</f>
        <v>3</v>
      </c>
      <c r="D64" s="11" t="n">
        <v>1</v>
      </c>
      <c r="E64" s="3" t="s">
        <v>161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5" hidden="false" customHeight="true" outlineLevel="0" collapsed="false">
      <c r="A65" s="8" t="str">
        <f aca="false">datos_base!A16</f>
        <v>ABC 50 kg s/ruedas</v>
      </c>
      <c r="B65" s="8" t="s">
        <v>148</v>
      </c>
      <c r="C65" s="13" t="n">
        <f aca="false">$B$9</f>
        <v>3</v>
      </c>
      <c r="D65" s="11" t="n">
        <v>1</v>
      </c>
      <c r="E65" s="3" t="s">
        <v>161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" hidden="false" customHeight="true" outlineLevel="0" collapsed="false">
      <c r="A66" s="8" t="str">
        <f aca="false">datos_base!A17</f>
        <v>ABC 70 kg s/ruedas</v>
      </c>
      <c r="B66" s="8" t="s">
        <v>148</v>
      </c>
      <c r="C66" s="13" t="n">
        <f aca="false">$B$9</f>
        <v>3</v>
      </c>
      <c r="D66" s="11" t="n">
        <v>1</v>
      </c>
      <c r="E66" s="3" t="s">
        <v>161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customFormat="false" ht="15" hidden="false" customHeight="true" outlineLevel="0" collapsed="false">
      <c r="A67" s="8" t="str">
        <f aca="false">datos_base!A18</f>
        <v>ABC 100 kg s/ruedas</v>
      </c>
      <c r="B67" s="8" t="s">
        <v>148</v>
      </c>
      <c r="C67" s="13" t="n">
        <f aca="false">$B$9</f>
        <v>3</v>
      </c>
      <c r="D67" s="11" t="n">
        <v>1</v>
      </c>
      <c r="E67" s="3" t="s">
        <v>161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70" customFormat="false" ht="15" hidden="false" customHeight="false" outlineLevel="0" collapsed="false">
      <c r="A70" s="1" t="s">
        <v>162</v>
      </c>
    </row>
    <row r="71" customFormat="false" ht="35.05" hidden="false" customHeight="false" outlineLevel="0" collapsed="false">
      <c r="A71" s="2" t="s">
        <v>163</v>
      </c>
      <c r="B71" s="2" t="s">
        <v>164</v>
      </c>
      <c r="C71" s="2" t="s">
        <v>165</v>
      </c>
      <c r="D71" s="2" t="s">
        <v>166</v>
      </c>
      <c r="E71" s="2" t="s">
        <v>148</v>
      </c>
      <c r="F71" s="2" t="s">
        <v>154</v>
      </c>
      <c r="G71" s="2" t="s">
        <v>160</v>
      </c>
      <c r="H71" s="2" t="s">
        <v>151</v>
      </c>
      <c r="I71" s="2" t="s">
        <v>152</v>
      </c>
      <c r="J71" s="2" t="s">
        <v>155</v>
      </c>
      <c r="K71" s="2" t="s">
        <v>156</v>
      </c>
      <c r="L71" s="2" t="s">
        <v>159</v>
      </c>
      <c r="M71" s="2" t="s">
        <v>167</v>
      </c>
      <c r="N71" s="2" t="s">
        <v>168</v>
      </c>
      <c r="O71" s="2" t="s">
        <v>169</v>
      </c>
      <c r="P71" s="2" t="s">
        <v>170</v>
      </c>
      <c r="Q71" s="2" t="s">
        <v>171</v>
      </c>
    </row>
    <row r="72" customFormat="false" ht="23.85" hidden="false" customHeight="false" outlineLevel="0" collapsed="false">
      <c r="A72" s="16" t="n">
        <v>1</v>
      </c>
      <c r="B72" s="3" t="s">
        <v>172</v>
      </c>
      <c r="C72" s="3" t="s">
        <v>173</v>
      </c>
      <c r="D72" s="8" t="s">
        <v>174</v>
      </c>
      <c r="E72" s="7" t="n">
        <v>1</v>
      </c>
      <c r="F72" s="7" t="n">
        <v>1</v>
      </c>
      <c r="G72" s="7" t="n">
        <v>1</v>
      </c>
      <c r="H72" s="7" t="n">
        <v>1</v>
      </c>
      <c r="I72" s="7" t="n">
        <v>1</v>
      </c>
      <c r="J72" s="7" t="n">
        <v>1</v>
      </c>
      <c r="K72" s="7" t="n">
        <v>1</v>
      </c>
      <c r="L72" s="7" t="n">
        <v>1</v>
      </c>
      <c r="M72" s="11" t="n">
        <f aca="false">12.5+12.5+40+10</f>
        <v>75</v>
      </c>
      <c r="N72" s="17" t="n">
        <f aca="false">IF(M72&gt;0,3600/M72,0)</f>
        <v>48</v>
      </c>
      <c r="O72" s="6" t="n">
        <f aca="false">N72*$B$6</f>
        <v>7200</v>
      </c>
      <c r="P72" s="3" t="s">
        <v>175</v>
      </c>
      <c r="Q72" s="3"/>
    </row>
    <row r="73" customFormat="false" ht="15" hidden="false" customHeight="false" outlineLevel="0" collapsed="false">
      <c r="A73" s="16" t="n">
        <v>2</v>
      </c>
      <c r="B73" s="3" t="s">
        <v>176</v>
      </c>
      <c r="C73" s="3" t="s">
        <v>177</v>
      </c>
      <c r="D73" s="8" t="s">
        <v>174</v>
      </c>
      <c r="E73" s="7" t="n">
        <v>1</v>
      </c>
      <c r="F73" s="7" t="n">
        <v>1</v>
      </c>
      <c r="G73" s="7" t="n">
        <v>1</v>
      </c>
      <c r="H73" s="7" t="n">
        <v>1</v>
      </c>
      <c r="I73" s="7" t="n">
        <v>1</v>
      </c>
      <c r="J73" s="7" t="n">
        <v>1</v>
      </c>
      <c r="K73" s="7" t="n">
        <v>1</v>
      </c>
      <c r="L73" s="7" t="n">
        <v>1</v>
      </c>
      <c r="M73" s="11" t="n">
        <f aca="false">5+30+25+10+15+5</f>
        <v>90</v>
      </c>
      <c r="N73" s="17" t="n">
        <f aca="false">IF(M73&gt;0,3600/M73,0)</f>
        <v>40</v>
      </c>
      <c r="O73" s="6" t="n">
        <f aca="false">N73*$B$6</f>
        <v>6000</v>
      </c>
      <c r="P73" s="3" t="s">
        <v>178</v>
      </c>
      <c r="Q73" s="3" t="s">
        <v>179</v>
      </c>
    </row>
    <row r="74" customFormat="false" ht="15" hidden="false" customHeight="false" outlineLevel="0" collapsed="false">
      <c r="A74" s="16" t="n">
        <v>3</v>
      </c>
      <c r="B74" s="3" t="s">
        <v>180</v>
      </c>
      <c r="C74" s="3" t="s">
        <v>181</v>
      </c>
      <c r="D74" s="8" t="s">
        <v>182</v>
      </c>
      <c r="E74" s="7" t="n">
        <f aca="false">1-$B$25-$B$27</f>
        <v>0.85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11" t="n">
        <f aca="false">15+60+10</f>
        <v>85</v>
      </c>
      <c r="N74" s="17" t="n">
        <f aca="false">IF(M74&gt;0,3600/M74,0)</f>
        <v>42.3529411764706</v>
      </c>
      <c r="O74" s="6" t="n">
        <f aca="false">N74*$B$6</f>
        <v>6352.94117647059</v>
      </c>
      <c r="P74" s="3" t="s">
        <v>183</v>
      </c>
      <c r="Q74" s="3"/>
    </row>
    <row r="75" customFormat="false" ht="15" hidden="false" customHeight="false" outlineLevel="0" collapsed="false">
      <c r="A75" s="16" t="n">
        <v>4</v>
      </c>
      <c r="B75" s="3" t="s">
        <v>184</v>
      </c>
      <c r="C75" s="3" t="s">
        <v>185</v>
      </c>
      <c r="D75" s="8" t="s">
        <v>182</v>
      </c>
      <c r="E75" s="7" t="n">
        <f aca="false">$B$27</f>
        <v>0.1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11" t="n">
        <f aca="false">15+60+10</f>
        <v>85</v>
      </c>
      <c r="N75" s="17" t="n">
        <f aca="false">IF(M75&gt;0,3600/M75,0)</f>
        <v>42.3529411764706</v>
      </c>
      <c r="O75" s="6" t="n">
        <f aca="false">N75*$B$6</f>
        <v>6352.94117647059</v>
      </c>
      <c r="P75" s="3" t="s">
        <v>186</v>
      </c>
      <c r="Q75" s="3"/>
    </row>
    <row r="76" customFormat="false" ht="15" hidden="false" customHeight="false" outlineLevel="0" collapsed="false">
      <c r="A76" s="16" t="n">
        <v>5</v>
      </c>
      <c r="B76" s="3" t="s">
        <v>187</v>
      </c>
      <c r="C76" s="3" t="s">
        <v>188</v>
      </c>
      <c r="D76" s="8" t="s">
        <v>182</v>
      </c>
      <c r="E76" s="7" t="n">
        <v>0</v>
      </c>
      <c r="F76" s="7" t="n">
        <v>1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11" t="n">
        <f aca="false">15+60+10</f>
        <v>85</v>
      </c>
      <c r="N76" s="17" t="n">
        <f aca="false">IF(M76&gt;0,3600/M76,0)</f>
        <v>42.3529411764706</v>
      </c>
      <c r="O76" s="6" t="n">
        <f aca="false">N76*$B$6</f>
        <v>6352.94117647059</v>
      </c>
      <c r="P76" s="3" t="s">
        <v>189</v>
      </c>
      <c r="Q76" s="3"/>
    </row>
    <row r="77" customFormat="false" ht="15" hidden="false" customHeight="false" outlineLevel="0" collapsed="false">
      <c r="A77" s="16" t="n">
        <v>6</v>
      </c>
      <c r="B77" s="3" t="s">
        <v>190</v>
      </c>
      <c r="C77" s="3" t="s">
        <v>191</v>
      </c>
      <c r="D77" s="8" t="s">
        <v>182</v>
      </c>
      <c r="E77" s="7" t="n">
        <v>0</v>
      </c>
      <c r="F77" s="7" t="n">
        <v>0</v>
      </c>
      <c r="G77" s="7" t="n">
        <v>0</v>
      </c>
      <c r="H77" s="7" t="n">
        <f aca="false">$B$28</f>
        <v>1</v>
      </c>
      <c r="I77" s="7" t="n">
        <f aca="false">$B$28</f>
        <v>1</v>
      </c>
      <c r="J77" s="7" t="n">
        <f aca="false">$B$28</f>
        <v>1</v>
      </c>
      <c r="K77" s="7" t="n">
        <v>0</v>
      </c>
      <c r="L77" s="7" t="n">
        <v>0</v>
      </c>
      <c r="M77" s="11" t="n">
        <f aca="false">10+10+15+60+10</f>
        <v>105</v>
      </c>
      <c r="N77" s="17" t="n">
        <f aca="false">IF(M77&gt;0,3600/M77,0)</f>
        <v>34.2857142857143</v>
      </c>
      <c r="O77" s="6" t="n">
        <f aca="false">N77*$B$6</f>
        <v>5142.85714285714</v>
      </c>
      <c r="P77" s="3" t="s">
        <v>192</v>
      </c>
      <c r="Q77" s="3" t="s">
        <v>193</v>
      </c>
    </row>
    <row r="78" customFormat="false" ht="23.85" hidden="false" customHeight="false" outlineLevel="0" collapsed="false">
      <c r="A78" s="16" t="n">
        <v>7</v>
      </c>
      <c r="B78" s="3" t="s">
        <v>194</v>
      </c>
      <c r="C78" s="3" t="s">
        <v>195</v>
      </c>
      <c r="D78" s="8" t="s">
        <v>182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f aca="false">$B$15+$B$29</f>
        <v>0.25</v>
      </c>
      <c r="L78" s="7" t="n">
        <v>0</v>
      </c>
      <c r="M78" s="11" t="n">
        <f aca="false">20+20+120+20+15+10</f>
        <v>205</v>
      </c>
      <c r="N78" s="17" t="n">
        <f aca="false">IF(M78&gt;0,3600/M78,0)</f>
        <v>17.5609756097561</v>
      </c>
      <c r="O78" s="6" t="n">
        <f aca="false">N78*$B$6</f>
        <v>2634.14634146342</v>
      </c>
      <c r="P78" s="3" t="s">
        <v>196</v>
      </c>
      <c r="Q78" s="3"/>
    </row>
    <row r="79" customFormat="false" ht="23.85" hidden="false" customHeight="false" outlineLevel="0" collapsed="false">
      <c r="A79" s="16" t="n">
        <v>8</v>
      </c>
      <c r="B79" s="3" t="s">
        <v>197</v>
      </c>
      <c r="C79" s="3" t="s">
        <v>198</v>
      </c>
      <c r="D79" s="8" t="s">
        <v>182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f aca="false">$B$15+$B$25</f>
        <v>0.25</v>
      </c>
      <c r="M79" s="11" t="n">
        <f aca="false">60+20+30+300+40+15</f>
        <v>465</v>
      </c>
      <c r="N79" s="17" t="n">
        <f aca="false">IF(M79&gt;0,3600/M79,0)</f>
        <v>7.74193548387097</v>
      </c>
      <c r="O79" s="6" t="n">
        <f aca="false">N79*$B$6</f>
        <v>1161.29032258065</v>
      </c>
      <c r="P79" s="3" t="s">
        <v>199</v>
      </c>
      <c r="Q79" s="3"/>
    </row>
    <row r="80" customFormat="false" ht="23.85" hidden="false" customHeight="false" outlineLevel="0" collapsed="false">
      <c r="A80" s="16" t="n">
        <v>9</v>
      </c>
      <c r="B80" s="3" t="s">
        <v>200</v>
      </c>
      <c r="C80" s="3" t="s">
        <v>201</v>
      </c>
      <c r="D80" s="8" t="s">
        <v>174</v>
      </c>
      <c r="E80" s="7" t="n">
        <v>1</v>
      </c>
      <c r="F80" s="7" t="n">
        <v>1</v>
      </c>
      <c r="G80" s="7" t="n">
        <v>1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11" t="n">
        <f aca="false">5+30+5+10+20+120*$B$15+5</f>
        <v>99</v>
      </c>
      <c r="N80" s="17" t="n">
        <f aca="false">IF(M80&gt;0,3600/M80,0)</f>
        <v>36.3636363636364</v>
      </c>
      <c r="O80" s="6" t="n">
        <f aca="false">N80*$B$6</f>
        <v>5454.54545454546</v>
      </c>
      <c r="P80" s="3" t="s">
        <v>202</v>
      </c>
      <c r="Q80" s="3" t="s">
        <v>203</v>
      </c>
    </row>
    <row r="81" customFormat="false" ht="15" hidden="false" customHeight="false" outlineLevel="0" collapsed="false">
      <c r="A81" s="16" t="n">
        <v>10</v>
      </c>
      <c r="B81" s="3" t="s">
        <v>204</v>
      </c>
      <c r="C81" s="3" t="s">
        <v>205</v>
      </c>
      <c r="D81" s="8" t="s">
        <v>174</v>
      </c>
      <c r="E81" s="7" t="n">
        <v>0</v>
      </c>
      <c r="F81" s="7" t="n">
        <v>0</v>
      </c>
      <c r="G81" s="7" t="n">
        <v>0</v>
      </c>
      <c r="H81" s="7" t="n">
        <f aca="false">$B$28</f>
        <v>1</v>
      </c>
      <c r="I81" s="7" t="n">
        <f aca="false">$B$28</f>
        <v>1</v>
      </c>
      <c r="J81" s="7" t="n">
        <f aca="false">$B$28</f>
        <v>1</v>
      </c>
      <c r="K81" s="7" t="n">
        <f aca="false">$B$15+$B$29</f>
        <v>0.25</v>
      </c>
      <c r="L81" s="7" t="n">
        <f aca="false">$B$15+$B$25</f>
        <v>0.25</v>
      </c>
      <c r="M81" s="11" t="n">
        <f aca="false">10+40+60+90*0.4+15+15</f>
        <v>176</v>
      </c>
      <c r="N81" s="17" t="n">
        <f aca="false">IF(M81&gt;0,3600/M81,0)</f>
        <v>20.4545454545455</v>
      </c>
      <c r="O81" s="6" t="n">
        <f aca="false">N81*$B$6</f>
        <v>3068.18181818182</v>
      </c>
      <c r="P81" s="3" t="s">
        <v>206</v>
      </c>
      <c r="Q81" s="3"/>
    </row>
    <row r="82" customFormat="false" ht="15" hidden="false" customHeight="false" outlineLevel="0" collapsed="false">
      <c r="A82" s="16" t="n">
        <v>11</v>
      </c>
      <c r="B82" s="3" t="s">
        <v>207</v>
      </c>
      <c r="C82" s="3" t="s">
        <v>208</v>
      </c>
      <c r="D82" s="8" t="s">
        <v>182</v>
      </c>
      <c r="E82" s="7" t="n">
        <f aca="false">$B$32</f>
        <v>0.001</v>
      </c>
      <c r="F82" s="7" t="n">
        <f aca="false">$B$32</f>
        <v>0.001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11" t="n">
        <f aca="false">300+600+1800+60+120+300</f>
        <v>3180</v>
      </c>
      <c r="N82" s="17" t="n">
        <f aca="false">IF(M82&gt;0,3600/M82,0)</f>
        <v>1.13207547169811</v>
      </c>
      <c r="O82" s="6" t="n">
        <f aca="false">N82*$B$6</f>
        <v>169.811320754717</v>
      </c>
      <c r="P82" s="3" t="s">
        <v>209</v>
      </c>
      <c r="Q82" s="3"/>
    </row>
    <row r="83" customFormat="false" ht="23.85" hidden="false" customHeight="false" outlineLevel="0" collapsed="false">
      <c r="A83" s="16" t="n">
        <v>12</v>
      </c>
      <c r="B83" s="3" t="s">
        <v>210</v>
      </c>
      <c r="C83" s="3" t="s">
        <v>211</v>
      </c>
      <c r="D83" s="8" t="s">
        <v>182</v>
      </c>
      <c r="E83" s="7" t="n">
        <f aca="false">$B$15</f>
        <v>0.2</v>
      </c>
      <c r="F83" s="7" t="n">
        <f aca="false">$B$15</f>
        <v>0.2</v>
      </c>
      <c r="G83" s="7" t="n">
        <f aca="false">$B$15</f>
        <v>0.2</v>
      </c>
      <c r="H83" s="7" t="n">
        <f aca="false">$B$16</f>
        <v>0.5</v>
      </c>
      <c r="I83" s="7" t="n">
        <f aca="false">$B$16</f>
        <v>0.5</v>
      </c>
      <c r="J83" s="7" t="n">
        <f aca="false">$B$16</f>
        <v>0.5</v>
      </c>
      <c r="K83" s="7" t="n">
        <f aca="false">$B$15</f>
        <v>0.2</v>
      </c>
      <c r="L83" s="7" t="n">
        <f aca="false">$B$15</f>
        <v>0.2</v>
      </c>
      <c r="M83" s="11" t="n">
        <f aca="false">12+20+90+90+75+15</f>
        <v>302</v>
      </c>
      <c r="N83" s="17" t="n">
        <f aca="false">IF(M83&gt;0,3600/M83,0)</f>
        <v>11.9205298013245</v>
      </c>
      <c r="O83" s="6" t="n">
        <f aca="false">N83*$B$6</f>
        <v>1788.07947019868</v>
      </c>
      <c r="P83" s="3" t="s">
        <v>212</v>
      </c>
      <c r="Q83" s="3"/>
    </row>
    <row r="84" customFormat="false" ht="15" hidden="false" customHeight="false" outlineLevel="0" collapsed="false">
      <c r="A84" s="16" t="n">
        <v>13</v>
      </c>
      <c r="B84" s="3" t="s">
        <v>213</v>
      </c>
      <c r="C84" s="3" t="s">
        <v>214</v>
      </c>
      <c r="D84" s="8" t="s">
        <v>182</v>
      </c>
      <c r="E84" s="7" t="n">
        <f aca="false">$B$15+$B$31</f>
        <v>0.21</v>
      </c>
      <c r="F84" s="7" t="n">
        <f aca="false">$B$15+$B$31</f>
        <v>0.21</v>
      </c>
      <c r="G84" s="7" t="n">
        <f aca="false">$B$15+$B$31</f>
        <v>0.21</v>
      </c>
      <c r="H84" s="7" t="n">
        <v>0</v>
      </c>
      <c r="I84" s="7" t="n">
        <v>0</v>
      </c>
      <c r="J84" s="7" t="n">
        <v>0</v>
      </c>
      <c r="K84" s="7" t="n">
        <f aca="false">$B$15</f>
        <v>0.2</v>
      </c>
      <c r="L84" s="7" t="n">
        <f aca="false">$B$15</f>
        <v>0.2</v>
      </c>
      <c r="M84" s="11" t="n">
        <f aca="false">15+15*60/6+15</f>
        <v>180</v>
      </c>
      <c r="N84" s="17" t="n">
        <f aca="false">IF(M84&gt;0,3600/M84,0)</f>
        <v>20</v>
      </c>
      <c r="O84" s="6" t="n">
        <f aca="false">N84*$B$6</f>
        <v>3000</v>
      </c>
      <c r="P84" s="3" t="s">
        <v>215</v>
      </c>
      <c r="Q84" s="3" t="s">
        <v>216</v>
      </c>
    </row>
    <row r="85" customFormat="false" ht="15" hidden="false" customHeight="false" outlineLevel="0" collapsed="false">
      <c r="A85" s="16" t="n">
        <v>14</v>
      </c>
      <c r="B85" s="3" t="s">
        <v>217</v>
      </c>
      <c r="C85" s="3" t="s">
        <v>218</v>
      </c>
      <c r="D85" s="8" t="s">
        <v>174</v>
      </c>
      <c r="E85" s="7" t="n">
        <f aca="false">$B$15+$B$31</f>
        <v>0.21</v>
      </c>
      <c r="F85" s="7" t="n">
        <f aca="false">$B$15+$B$31</f>
        <v>0.21</v>
      </c>
      <c r="G85" s="7" t="n">
        <f aca="false">$B$15+$B$31</f>
        <v>0.21</v>
      </c>
      <c r="H85" s="7" t="n">
        <v>0</v>
      </c>
      <c r="I85" s="7" t="n">
        <v>0</v>
      </c>
      <c r="J85" s="7" t="n">
        <v>0</v>
      </c>
      <c r="K85" s="7" t="n">
        <f aca="false">$B$15</f>
        <v>0.2</v>
      </c>
      <c r="L85" s="7" t="n">
        <f aca="false">$B$15</f>
        <v>0.2</v>
      </c>
      <c r="M85" s="11" t="n">
        <f aca="false">60+15+10</f>
        <v>85</v>
      </c>
      <c r="N85" s="17" t="n">
        <f aca="false">IF(M85&gt;0,3600/M85,0)</f>
        <v>42.3529411764706</v>
      </c>
      <c r="O85" s="6" t="n">
        <f aca="false">N85*$B$6</f>
        <v>6352.94117647059</v>
      </c>
      <c r="P85" s="3" t="s">
        <v>219</v>
      </c>
      <c r="Q85" s="3"/>
    </row>
    <row r="86" customFormat="false" ht="23.85" hidden="false" customHeight="false" outlineLevel="0" collapsed="false">
      <c r="A86" s="16" t="n">
        <v>15</v>
      </c>
      <c r="B86" s="3" t="s">
        <v>220</v>
      </c>
      <c r="C86" s="3" t="s">
        <v>221</v>
      </c>
      <c r="D86" s="8" t="s">
        <v>182</v>
      </c>
      <c r="E86" s="7" t="n">
        <f aca="false">$B$30</f>
        <v>0.1</v>
      </c>
      <c r="F86" s="7" t="n">
        <f aca="false">$B$30</f>
        <v>0.1</v>
      </c>
      <c r="G86" s="7" t="n">
        <f aca="false">$B$30</f>
        <v>0.1</v>
      </c>
      <c r="H86" s="7" t="n">
        <f aca="false">$B$30</f>
        <v>0.1</v>
      </c>
      <c r="I86" s="7" t="n">
        <f aca="false">$B$30</f>
        <v>0.1</v>
      </c>
      <c r="J86" s="7" t="n">
        <f aca="false">$B$30</f>
        <v>0.1</v>
      </c>
      <c r="K86" s="7" t="n">
        <f aca="false">$B$30</f>
        <v>0.1</v>
      </c>
      <c r="L86" s="7" t="n">
        <f aca="false">$B$30</f>
        <v>0.1</v>
      </c>
      <c r="M86" s="11" t="n">
        <v>750</v>
      </c>
      <c r="N86" s="17" t="n">
        <f aca="false">IF(M86&gt;0,3600/M86,0)</f>
        <v>4.8</v>
      </c>
      <c r="O86" s="6" t="n">
        <f aca="false">N86*$B$6</f>
        <v>720</v>
      </c>
      <c r="P86" s="3"/>
      <c r="Q86" s="3" t="s">
        <v>222</v>
      </c>
    </row>
    <row r="87" customFormat="false" ht="15" hidden="false" customHeight="false" outlineLevel="0" collapsed="false">
      <c r="A87" s="16" t="n">
        <v>16</v>
      </c>
      <c r="B87" s="3" t="s">
        <v>223</v>
      </c>
      <c r="C87" s="3" t="s">
        <v>224</v>
      </c>
      <c r="D87" s="8" t="s">
        <v>182</v>
      </c>
      <c r="E87" s="7" t="n">
        <v>1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11" t="n">
        <f aca="false">6+15+45+15+15+10</f>
        <v>106</v>
      </c>
      <c r="N87" s="17" t="n">
        <f aca="false">IF(M87&gt;0,3600/M87,0)</f>
        <v>33.9622641509434</v>
      </c>
      <c r="O87" s="6" t="n">
        <f aca="false">N87*$B$6</f>
        <v>5094.33962264151</v>
      </c>
      <c r="P87" s="3" t="s">
        <v>225</v>
      </c>
      <c r="Q87" s="3" t="s">
        <v>226</v>
      </c>
    </row>
    <row r="88" customFormat="false" ht="15" hidden="false" customHeight="false" outlineLevel="0" collapsed="false">
      <c r="A88" s="16" t="n">
        <v>17</v>
      </c>
      <c r="B88" s="3" t="s">
        <v>227</v>
      </c>
      <c r="C88" s="3" t="s">
        <v>228</v>
      </c>
      <c r="D88" s="8" t="s">
        <v>182</v>
      </c>
      <c r="E88" s="7" t="n">
        <v>0</v>
      </c>
      <c r="F88" s="7" t="n">
        <v>1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11" t="n">
        <f aca="false">10+15+75+15+15+10</f>
        <v>140</v>
      </c>
      <c r="N88" s="17" t="n">
        <f aca="false">IF(M88&gt;0,3600/M88,0)</f>
        <v>25.7142857142857</v>
      </c>
      <c r="O88" s="6" t="n">
        <f aca="false">N88*$B$6</f>
        <v>3857.14285714286</v>
      </c>
      <c r="P88" s="3" t="s">
        <v>229</v>
      </c>
      <c r="Q88" s="3"/>
    </row>
    <row r="89" customFormat="false" ht="15" hidden="false" customHeight="false" outlineLevel="0" collapsed="false">
      <c r="A89" s="16" t="n">
        <v>18</v>
      </c>
      <c r="B89" s="3" t="s">
        <v>230</v>
      </c>
      <c r="C89" s="3" t="s">
        <v>231</v>
      </c>
      <c r="D89" s="8" t="s">
        <v>174</v>
      </c>
      <c r="E89" s="7" t="n">
        <v>0</v>
      </c>
      <c r="F89" s="7" t="n">
        <v>0</v>
      </c>
      <c r="G89" s="7" t="n">
        <v>1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11" t="n">
        <f aca="false">180+15+240+30+15+10</f>
        <v>490</v>
      </c>
      <c r="N89" s="17" t="n">
        <f aca="false">IF(M89&gt;0,3600/M89,0)</f>
        <v>7.3469387755102</v>
      </c>
      <c r="O89" s="6" t="n">
        <f aca="false">N89*$B$6</f>
        <v>1102.04081632653</v>
      </c>
      <c r="P89" s="3" t="s">
        <v>232</v>
      </c>
      <c r="Q89" s="3" t="s">
        <v>233</v>
      </c>
    </row>
    <row r="90" customFormat="false" ht="23.85" hidden="false" customHeight="false" outlineLevel="0" collapsed="false">
      <c r="A90" s="16" t="n">
        <v>19</v>
      </c>
      <c r="B90" s="3" t="s">
        <v>234</v>
      </c>
      <c r="C90" s="3" t="s">
        <v>235</v>
      </c>
      <c r="D90" s="8" t="s">
        <v>182</v>
      </c>
      <c r="E90" s="7" t="n">
        <v>0</v>
      </c>
      <c r="F90" s="7" t="n">
        <v>0</v>
      </c>
      <c r="G90" s="7" t="n">
        <v>0</v>
      </c>
      <c r="H90" s="7" t="n">
        <f aca="false">$B$28</f>
        <v>1</v>
      </c>
      <c r="I90" s="7" t="n">
        <f aca="false">$B$28</f>
        <v>1</v>
      </c>
      <c r="J90" s="7" t="n">
        <f aca="false">$B$28</f>
        <v>1</v>
      </c>
      <c r="K90" s="7" t="n">
        <v>0</v>
      </c>
      <c r="L90" s="7" t="n">
        <v>0</v>
      </c>
      <c r="M90" s="11" t="n">
        <f aca="false">20+10+30+15+15+10</f>
        <v>100</v>
      </c>
      <c r="N90" s="17" t="n">
        <f aca="false">IF(M90&gt;0,3600/M90,0)</f>
        <v>36</v>
      </c>
      <c r="O90" s="6" t="n">
        <f aca="false">N90*$B$6</f>
        <v>5400</v>
      </c>
      <c r="P90" s="3" t="s">
        <v>236</v>
      </c>
      <c r="Q90" s="3"/>
    </row>
    <row r="91" customFormat="false" ht="15" hidden="false" customHeight="false" outlineLevel="0" collapsed="false">
      <c r="A91" s="16" t="n">
        <v>20</v>
      </c>
      <c r="B91" s="3" t="s">
        <v>237</v>
      </c>
      <c r="C91" s="3" t="s">
        <v>238</v>
      </c>
      <c r="D91" s="8" t="s">
        <v>182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f aca="false">$B$15+$B$29+$B$25</f>
        <v>0.3</v>
      </c>
      <c r="L91" s="7" t="n">
        <v>0</v>
      </c>
      <c r="M91" s="11" t="n">
        <f aca="false">30+10+15+150+25+10</f>
        <v>240</v>
      </c>
      <c r="N91" s="17" t="n">
        <f aca="false">IF(M91&gt;0,3600/M91,0)</f>
        <v>15</v>
      </c>
      <c r="O91" s="6" t="n">
        <f aca="false">N91*$B$6</f>
        <v>2250</v>
      </c>
      <c r="P91" s="3" t="s">
        <v>239</v>
      </c>
      <c r="Q91" s="3"/>
    </row>
    <row r="92" customFormat="false" ht="15" hidden="false" customHeight="false" outlineLevel="0" collapsed="false">
      <c r="A92" s="16" t="n">
        <v>21</v>
      </c>
      <c r="B92" s="3" t="s">
        <v>240</v>
      </c>
      <c r="C92" s="3" t="s">
        <v>241</v>
      </c>
      <c r="D92" s="8" t="s">
        <v>174</v>
      </c>
      <c r="E92" s="7" t="n">
        <v>1</v>
      </c>
      <c r="F92" s="7" t="n">
        <v>1</v>
      </c>
      <c r="G92" s="7" t="n">
        <v>1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11" t="n">
        <f aca="false">10+30+20+10+30+20</f>
        <v>120</v>
      </c>
      <c r="N92" s="17" t="n">
        <f aca="false">IF(M92&gt;0,3600/M92,0)</f>
        <v>30</v>
      </c>
      <c r="O92" s="6" t="n">
        <f aca="false">N92*$B$6</f>
        <v>4500</v>
      </c>
      <c r="P92" s="3" t="s">
        <v>242</v>
      </c>
      <c r="Q92" s="3"/>
    </row>
    <row r="93" customFormat="false" ht="15" hidden="false" customHeight="false" outlineLevel="0" collapsed="false">
      <c r="A93" s="16" t="n">
        <v>22</v>
      </c>
      <c r="B93" s="3" t="s">
        <v>243</v>
      </c>
      <c r="C93" s="3" t="s">
        <v>244</v>
      </c>
      <c r="D93" s="8" t="s">
        <v>182</v>
      </c>
      <c r="E93" s="7" t="n">
        <v>1</v>
      </c>
      <c r="F93" s="7" t="n">
        <v>1</v>
      </c>
      <c r="G93" s="7" t="n">
        <v>1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11" t="n">
        <f aca="false">3+15+10+20+15+10</f>
        <v>73</v>
      </c>
      <c r="N93" s="17" t="n">
        <f aca="false">IF(M93&gt;0,3600/M93,0)</f>
        <v>49.3150684931507</v>
      </c>
      <c r="O93" s="6" t="n">
        <f aca="false">N93*$B$6</f>
        <v>7397.2602739726</v>
      </c>
      <c r="P93" s="3" t="s">
        <v>245</v>
      </c>
      <c r="Q93" s="3"/>
    </row>
    <row r="94" customFormat="false" ht="15" hidden="false" customHeight="false" outlineLevel="0" collapsed="false">
      <c r="A94" s="16" t="n">
        <v>23</v>
      </c>
      <c r="B94" s="3" t="s">
        <v>246</v>
      </c>
      <c r="C94" s="3" t="s">
        <v>247</v>
      </c>
      <c r="D94" s="8" t="s">
        <v>174</v>
      </c>
      <c r="E94" s="7" t="n">
        <v>0</v>
      </c>
      <c r="F94" s="7" t="n">
        <v>0</v>
      </c>
      <c r="G94" s="7" t="n">
        <v>0</v>
      </c>
      <c r="H94" s="7" t="n">
        <f aca="false">$B$28</f>
        <v>1</v>
      </c>
      <c r="I94" s="7" t="n">
        <f aca="false">$B$28</f>
        <v>1</v>
      </c>
      <c r="J94" s="7" t="n">
        <f aca="false">$B$28</f>
        <v>1</v>
      </c>
      <c r="K94" s="7" t="n">
        <f aca="false">$B$15+$B$29</f>
        <v>0.25</v>
      </c>
      <c r="L94" s="7" t="n">
        <f aca="false">$B$15+$B$25</f>
        <v>0.25</v>
      </c>
      <c r="M94" s="11" t="n">
        <f aca="false">120+50</f>
        <v>170</v>
      </c>
      <c r="N94" s="17" t="n">
        <f aca="false">IF(M94&gt;0,3600/M94,0)</f>
        <v>21.1764705882353</v>
      </c>
      <c r="O94" s="6" t="n">
        <f aca="false">N94*$B$6</f>
        <v>3176.47058823529</v>
      </c>
      <c r="P94" s="3" t="s">
        <v>248</v>
      </c>
      <c r="Q94" s="3"/>
    </row>
    <row r="95" customFormat="false" ht="15" hidden="false" customHeight="false" outlineLevel="0" collapsed="false">
      <c r="A95" s="16" t="n">
        <v>24</v>
      </c>
      <c r="B95" s="3" t="s">
        <v>249</v>
      </c>
      <c r="C95" s="3" t="s">
        <v>250</v>
      </c>
      <c r="D95" s="8" t="s">
        <v>182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f aca="false">$B$15+$B$25</f>
        <v>0.25</v>
      </c>
      <c r="M95" s="11" t="n">
        <f aca="false">300+40+60+30</f>
        <v>430</v>
      </c>
      <c r="N95" s="17" t="n">
        <f aca="false">IF(M95&gt;0,3600/M95,0)</f>
        <v>8.37209302325582</v>
      </c>
      <c r="O95" s="6" t="n">
        <f aca="false">N95*$B$6</f>
        <v>1255.81395348837</v>
      </c>
      <c r="P95" s="3" t="s">
        <v>251</v>
      </c>
      <c r="Q95" s="3"/>
    </row>
    <row r="96" customFormat="false" ht="23.85" hidden="false" customHeight="false" outlineLevel="0" collapsed="false">
      <c r="A96" s="16" t="n">
        <v>25</v>
      </c>
      <c r="B96" s="3" t="s">
        <v>252</v>
      </c>
      <c r="C96" s="3" t="s">
        <v>253</v>
      </c>
      <c r="D96" s="8" t="s">
        <v>174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f aca="false">1-($B$15+$B$29+$B$25)</f>
        <v>0.7</v>
      </c>
      <c r="L96" s="7" t="n">
        <f aca="false">1-($B$15+$B$25)</f>
        <v>0.75</v>
      </c>
      <c r="M96" s="11" t="n">
        <f aca="false">30+10</f>
        <v>40</v>
      </c>
      <c r="N96" s="17" t="n">
        <f aca="false">IF(M96&gt;0,3600/M96,0)</f>
        <v>90</v>
      </c>
      <c r="O96" s="6" t="n">
        <f aca="false">N96*$B$6</f>
        <v>13500</v>
      </c>
      <c r="P96" s="3" t="s">
        <v>254</v>
      </c>
      <c r="Q96" s="3" t="s">
        <v>255</v>
      </c>
    </row>
    <row r="97" customFormat="false" ht="23.85" hidden="false" customHeight="false" outlineLevel="0" collapsed="false">
      <c r="A97" s="16" t="n">
        <v>26</v>
      </c>
      <c r="B97" s="3" t="s">
        <v>256</v>
      </c>
      <c r="C97" s="3" t="s">
        <v>257</v>
      </c>
      <c r="D97" s="8" t="s">
        <v>182</v>
      </c>
      <c r="E97" s="7" t="n">
        <v>1</v>
      </c>
      <c r="F97" s="7" t="n">
        <v>1</v>
      </c>
      <c r="G97" s="7" t="n">
        <v>1</v>
      </c>
      <c r="H97" s="7" t="n">
        <v>1</v>
      </c>
      <c r="I97" s="7" t="n">
        <v>1</v>
      </c>
      <c r="J97" s="7" t="n">
        <v>1</v>
      </c>
      <c r="K97" s="7" t="n">
        <v>1</v>
      </c>
      <c r="L97" s="7" t="n">
        <v>1</v>
      </c>
      <c r="M97" s="11" t="n">
        <f aca="false">5+45+10+10+10</f>
        <v>80</v>
      </c>
      <c r="N97" s="17" t="n">
        <f aca="false">IF(M97&gt;0,3600/M97,0)</f>
        <v>45</v>
      </c>
      <c r="O97" s="6" t="n">
        <f aca="false">N97*$B$6</f>
        <v>6750</v>
      </c>
      <c r="P97" s="3" t="s">
        <v>258</v>
      </c>
      <c r="Q97" s="3"/>
    </row>
    <row r="98" customFormat="false" ht="15" hidden="false" customHeight="false" outlineLevel="0" collapsed="false">
      <c r="A98" s="16" t="n">
        <v>27</v>
      </c>
      <c r="B98" s="3" t="s">
        <v>259</v>
      </c>
      <c r="C98" s="3" t="s">
        <v>260</v>
      </c>
      <c r="D98" s="8" t="s">
        <v>174</v>
      </c>
      <c r="E98" s="7" t="n">
        <v>1</v>
      </c>
      <c r="F98" s="7" t="n">
        <v>1</v>
      </c>
      <c r="G98" s="7" t="n">
        <v>1</v>
      </c>
      <c r="H98" s="7" t="n">
        <v>1</v>
      </c>
      <c r="I98" s="7" t="n">
        <v>1</v>
      </c>
      <c r="J98" s="7" t="n">
        <v>1</v>
      </c>
      <c r="K98" s="7" t="n">
        <v>1</v>
      </c>
      <c r="L98" s="7" t="n">
        <v>1</v>
      </c>
      <c r="M98" s="11" t="n">
        <f aca="false">15+25+15+10+15+6</f>
        <v>86</v>
      </c>
      <c r="N98" s="17" t="n">
        <f aca="false">IF(M98&gt;0,3600/M98,0)</f>
        <v>41.8604651162791</v>
      </c>
      <c r="O98" s="6" t="n">
        <f aca="false">N98*$B$6</f>
        <v>6279.06976744186</v>
      </c>
      <c r="P98" s="3" t="s">
        <v>261</v>
      </c>
      <c r="Q98" s="3" t="s">
        <v>262</v>
      </c>
    </row>
    <row r="99" customFormat="false" ht="15" hidden="false" customHeight="false" outlineLevel="0" collapsed="false">
      <c r="A99" s="16" t="n">
        <v>28</v>
      </c>
      <c r="B99" s="3" t="s">
        <v>263</v>
      </c>
      <c r="C99" s="3" t="s">
        <v>264</v>
      </c>
      <c r="D99" s="8" t="s">
        <v>182</v>
      </c>
      <c r="E99" s="7" t="n">
        <f aca="false">$B$24</f>
        <v>0.08</v>
      </c>
      <c r="F99" s="7" t="n">
        <f aca="false">$B$24</f>
        <v>0.08</v>
      </c>
      <c r="G99" s="7" t="n">
        <f aca="false">$B$24</f>
        <v>0.08</v>
      </c>
      <c r="H99" s="7" t="n">
        <f aca="false">$B$24</f>
        <v>0.08</v>
      </c>
      <c r="I99" s="7" t="n">
        <f aca="false">$B$24</f>
        <v>0.08</v>
      </c>
      <c r="J99" s="7" t="n">
        <f aca="false">$B$24</f>
        <v>0.08</v>
      </c>
      <c r="K99" s="7" t="n">
        <f aca="false">$B$23</f>
        <v>0.0633333333333333</v>
      </c>
      <c r="L99" s="7" t="n">
        <f aca="false">$B$24</f>
        <v>0.08</v>
      </c>
      <c r="M99" s="11" t="n">
        <f aca="false">30+120+90+60+90</f>
        <v>390</v>
      </c>
      <c r="N99" s="17" t="n">
        <f aca="false">IF(M99&gt;0,3600/M99,0)</f>
        <v>9.23076923076923</v>
      </c>
      <c r="O99" s="6" t="n">
        <f aca="false">N99*$B$6</f>
        <v>1384.61538461538</v>
      </c>
      <c r="P99" s="3" t="s">
        <v>265</v>
      </c>
      <c r="Q99" s="3" t="s">
        <v>266</v>
      </c>
    </row>
    <row r="100" customFormat="false" ht="35.05" hidden="false" customHeight="false" outlineLevel="0" collapsed="false">
      <c r="A100" s="16" t="n">
        <v>29</v>
      </c>
      <c r="B100" s="3" t="s">
        <v>267</v>
      </c>
      <c r="C100" s="3" t="s">
        <v>268</v>
      </c>
      <c r="D100" s="8" t="s">
        <v>182</v>
      </c>
      <c r="E100" s="8" t="s">
        <v>269</v>
      </c>
      <c r="F100" s="8" t="s">
        <v>269</v>
      </c>
      <c r="G100" s="8" t="s">
        <v>269</v>
      </c>
      <c r="H100" s="8" t="s">
        <v>269</v>
      </c>
      <c r="I100" s="8" t="s">
        <v>269</v>
      </c>
      <c r="J100" s="8" t="s">
        <v>269</v>
      </c>
      <c r="K100" s="8" t="s">
        <v>269</v>
      </c>
      <c r="L100" s="8" t="s">
        <v>269</v>
      </c>
      <c r="M100" s="11" t="n">
        <f aca="false">12+20+90+90+75+15</f>
        <v>302</v>
      </c>
      <c r="N100" s="17" t="n">
        <f aca="false">IF(M100&gt;0,3600/M100,0)</f>
        <v>11.9205298013245</v>
      </c>
      <c r="O100" s="6" t="n">
        <f aca="false">N100*$B$6</f>
        <v>1788.07947019868</v>
      </c>
      <c r="P100" s="3" t="s">
        <v>270</v>
      </c>
      <c r="Q100" s="3" t="s">
        <v>271</v>
      </c>
    </row>
    <row r="102" customFormat="false" ht="23.85" hidden="false" customHeight="false" outlineLevel="0" collapsed="false">
      <c r="A102" s="8" t="s">
        <v>269</v>
      </c>
      <c r="B102" s="3" t="s">
        <v>272</v>
      </c>
      <c r="C102" s="3" t="s">
        <v>273</v>
      </c>
      <c r="M102" s="11" t="n">
        <v>60</v>
      </c>
      <c r="N102" s="17" t="n">
        <f aca="false">IF(M102&gt;0,3600/M102,0)</f>
        <v>60</v>
      </c>
      <c r="Q102" s="3" t="s">
        <v>274</v>
      </c>
    </row>
  </sheetData>
  <mergeCells count="49">
    <mergeCell ref="C1:P1"/>
    <mergeCell ref="C2:P2"/>
    <mergeCell ref="C3:P3"/>
    <mergeCell ref="C4:P4"/>
    <mergeCell ref="C5:P5"/>
    <mergeCell ref="C6:P6"/>
    <mergeCell ref="C7:P7"/>
    <mergeCell ref="C8:P8"/>
    <mergeCell ref="C9:P9"/>
    <mergeCell ref="C10:P10"/>
    <mergeCell ref="C12:P12"/>
    <mergeCell ref="C13:P13"/>
    <mergeCell ref="C14:P14"/>
    <mergeCell ref="C15:P15"/>
    <mergeCell ref="C16:P16"/>
    <mergeCell ref="C17:P17"/>
    <mergeCell ref="C18:P18"/>
    <mergeCell ref="C19:P19"/>
    <mergeCell ref="C20:P20"/>
    <mergeCell ref="C21:P21"/>
    <mergeCell ref="C22:P22"/>
    <mergeCell ref="C23:P23"/>
    <mergeCell ref="C24:P24"/>
    <mergeCell ref="C25:P25"/>
    <mergeCell ref="C26:P26"/>
    <mergeCell ref="C27:P27"/>
    <mergeCell ref="C28:P28"/>
    <mergeCell ref="C29:P29"/>
    <mergeCell ref="C30:P30"/>
    <mergeCell ref="C31:P31"/>
    <mergeCell ref="C32:P32"/>
    <mergeCell ref="E50:P50"/>
    <mergeCell ref="E51:P51"/>
    <mergeCell ref="E52:P52"/>
    <mergeCell ref="E53:P53"/>
    <mergeCell ref="E54:P54"/>
    <mergeCell ref="E55:P55"/>
    <mergeCell ref="E56:P56"/>
    <mergeCell ref="E57:P57"/>
    <mergeCell ref="E58:P58"/>
    <mergeCell ref="E59:P59"/>
    <mergeCell ref="E60:P60"/>
    <mergeCell ref="E61:P61"/>
    <mergeCell ref="E62:P62"/>
    <mergeCell ref="E63:P63"/>
    <mergeCell ref="E64:P64"/>
    <mergeCell ref="E65:P65"/>
    <mergeCell ref="E66:P66"/>
    <mergeCell ref="E67:P67"/>
  </mergeCells>
  <dataValidations count="2">
    <dataValidation allowBlank="false" errorStyle="stop" operator="between" showDropDown="false" showErrorMessage="false" showInputMessage="false" sqref="B51:B67" type="list">
      <formula1>$E$71:$L$71</formula1>
      <formula2>0</formula2>
    </dataValidation>
    <dataValidation allowBlank="false" errorStyle="stop" operator="between" showDropDown="false" showErrorMessage="false" showInputMessage="false" sqref="D72:D100" type="list">
      <formula1>"Máquina,Manual,Tercerizado"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2"/>
    <col collapsed="false" customWidth="true" hidden="false" outlineLevel="0" max="11" min="9" style="0" width="11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10" t="s">
        <v>276</v>
      </c>
    </row>
    <row r="4" customFormat="false" ht="15" hidden="false" customHeight="true" outlineLevel="0" collapsed="false">
      <c r="A4" s="2" t="s">
        <v>72</v>
      </c>
      <c r="B4" s="2" t="s">
        <v>45</v>
      </c>
      <c r="C4" s="2" t="s">
        <v>73</v>
      </c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3" t="s">
        <v>74</v>
      </c>
      <c r="B5" s="18" t="n">
        <f aca="false">parametros_recargas!B2</f>
        <v>20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3" t="s">
        <v>277</v>
      </c>
      <c r="B6" s="16" t="n">
        <v>1</v>
      </c>
      <c r="C6" s="3" t="s">
        <v>278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3" t="s">
        <v>279</v>
      </c>
      <c r="B7" s="16" t="n">
        <v>1</v>
      </c>
      <c r="C7" s="3" t="s">
        <v>280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3" t="s">
        <v>281</v>
      </c>
      <c r="B8" s="18" t="n">
        <f aca="false">parametros_recargas!B5*60</f>
        <v>450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3" t="s">
        <v>23</v>
      </c>
      <c r="B9" s="19" t="str">
        <f aca="false">PROY_Indexado!B51</f>
        <v>Industrial</v>
      </c>
      <c r="C9" s="3" t="s">
        <v>282</v>
      </c>
      <c r="D9" s="3"/>
      <c r="E9" s="3"/>
      <c r="F9" s="3"/>
      <c r="G9" s="3"/>
      <c r="H9" s="3"/>
      <c r="I9" s="3"/>
      <c r="J9" s="3"/>
      <c r="K9" s="3"/>
      <c r="L9" s="3"/>
    </row>
    <row r="11" customFormat="false" ht="15" hidden="false" customHeight="false" outlineLevel="0" collapsed="false">
      <c r="A11" s="1" t="s">
        <v>283</v>
      </c>
    </row>
    <row r="12" customFormat="false" ht="15" hidden="false" customHeight="false" outlineLevel="0" collapsed="false">
      <c r="A12" s="10" t="s">
        <v>284</v>
      </c>
    </row>
    <row r="13" customFormat="false" ht="23.85" hidden="false" customHeight="false" outlineLevel="0" collapsed="false">
      <c r="A13" s="2" t="s">
        <v>44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65</v>
      </c>
    </row>
    <row r="14" customFormat="false" ht="15" hidden="false" customHeight="false" outlineLevel="0" collapsed="false">
      <c r="A14" s="3" t="s">
        <v>285</v>
      </c>
      <c r="B14" s="7" t="n">
        <f aca="false">SUM(PROY_Indexado!B$97:B$113)/SUM(PROY_Indexado!$B$97:$H$113)</f>
        <v>0.58595259949571</v>
      </c>
      <c r="C14" s="7" t="n">
        <f aca="false">SUM(PROY_Indexado!C$97:C$113)/SUM(PROY_Indexado!$B$97:$H$113)</f>
        <v>0.288200884372309</v>
      </c>
      <c r="D14" s="7" t="n">
        <f aca="false">SUM(PROY_Indexado!D$97:D$113)/SUM(PROY_Indexado!$B$97:$H$113)</f>
        <v>0.0302113041211352</v>
      </c>
      <c r="E14" s="7" t="n">
        <f aca="false">SUM(PROY_Indexado!E$97:E$113)/SUM(PROY_Indexado!$B$97:$H$113)</f>
        <v>0.0198672007047742</v>
      </c>
      <c r="F14" s="7" t="n">
        <f aca="false">SUM(PROY_Indexado!F$97:F$113)/SUM(PROY_Indexado!$B$97:$H$113)</f>
        <v>0.0434229041296274</v>
      </c>
      <c r="G14" s="7" t="n">
        <f aca="false">SUM(PROY_Indexado!G$97:G$113)/SUM(PROY_Indexado!$B$97:$H$113)</f>
        <v>0.0278895829480135</v>
      </c>
      <c r="H14" s="7" t="n">
        <f aca="false">SUM(PROY_Indexado!H$97:H$113)/SUM(PROY_Indexado!$B$97:$H$113)</f>
        <v>0.00445552422843116</v>
      </c>
    </row>
    <row r="15" customFormat="false" ht="15" hidden="false" customHeight="false" outlineLevel="0" collapsed="false">
      <c r="A15" s="3" t="s">
        <v>286</v>
      </c>
      <c r="B15" s="20" t="n">
        <f aca="false">IF(SUM(PROY_Indexado!B$97:B$113)=0,0,SUMPRODUCT(PROY_Indexado!B$97:B$113,$C$21:$C$37)/SUM(PROY_Indexado!B$97:B$113))</f>
        <v>17.253</v>
      </c>
      <c r="C15" s="20" t="n">
        <f aca="false">IF(SUM(PROY_Indexado!C$97:C$113)=0,0,SUMPRODUCT(PROY_Indexado!C$97:C$113,$C$21:$C$37)/SUM(PROY_Indexado!C$97:C$113))</f>
        <v>17.3221896269443</v>
      </c>
      <c r="D15" s="20" t="n">
        <f aca="false">IF(SUM(PROY_Indexado!D$97:D$113)=0,0,SUMPRODUCT(PROY_Indexado!D$97:D$113,$C$21:$C$37)/SUM(PROY_Indexado!D$97:D$113))</f>
        <v>16.9412678487016</v>
      </c>
      <c r="E15" s="20" t="n">
        <f aca="false">IF(SUM(PROY_Indexado!E$97:E$113)=0,0,SUMPRODUCT(PROY_Indexado!E$97:E$113,$C$21:$C$37)/SUM(PROY_Indexado!E$97:E$113))</f>
        <v>17.6641897093392</v>
      </c>
      <c r="F15" s="20" t="n">
        <f aca="false">IF(SUM(PROY_Indexado!F$97:F$113)=0,0,SUMPRODUCT(PROY_Indexado!F$97:F$113,$C$21:$C$37)/SUM(PROY_Indexado!F$97:F$113))</f>
        <v>21.8776455925196</v>
      </c>
      <c r="G15" s="20" t="n">
        <f aca="false">IF(SUM(PROY_Indexado!G$97:G$113)=0,0,SUMPRODUCT(PROY_Indexado!G$97:G$113,$C$21:$C$37)/SUM(PROY_Indexado!G$97:G$113))</f>
        <v>19.1585588340348</v>
      </c>
      <c r="H15" s="20" t="n">
        <f aca="false">IF(SUM(PROY_Indexado!H$97:H$113)=0,0,SUMPRODUCT(PROY_Indexado!H$97:H$113,$C$21:$C$37)/SUM(PROY_Indexado!H$97:H$113))</f>
        <v>17.4530049724547</v>
      </c>
    </row>
    <row r="16" customFormat="false" ht="15" hidden="false" customHeight="false" outlineLevel="0" collapsed="false">
      <c r="A16" s="3" t="s">
        <v>287</v>
      </c>
      <c r="B16" s="11" t="n">
        <f aca="false">MAX(1,ROUNDUP(B15/$B$8,0))</f>
        <v>1</v>
      </c>
      <c r="C16" s="11" t="n">
        <f aca="false">MAX(1,ROUNDUP(C15/$B$8,0))</f>
        <v>1</v>
      </c>
      <c r="D16" s="11" t="n">
        <f aca="false">MAX(1,ROUNDUP(D15/$B$8,0))</f>
        <v>1</v>
      </c>
      <c r="E16" s="11" t="n">
        <f aca="false">MAX(1,ROUNDUP(E15/$B$8,0))</f>
        <v>1</v>
      </c>
      <c r="F16" s="11" t="n">
        <f aca="false">MAX(1,ROUNDUP(F15/$B$8,0))</f>
        <v>1</v>
      </c>
      <c r="G16" s="11" t="n">
        <f aca="false">MAX(1,ROUNDUP(G15/$B$8,0))</f>
        <v>1</v>
      </c>
      <c r="H16" s="11" t="n">
        <f aca="false">MAX(1,ROUNDUP(H15/$B$8,0))</f>
        <v>1</v>
      </c>
    </row>
    <row r="17" customFormat="false" ht="15" hidden="false" customHeight="false" outlineLevel="0" collapsed="false">
      <c r="A17" s="5" t="s">
        <v>288</v>
      </c>
      <c r="B17" s="13" t="n">
        <f aca="false">$B$6+B16+$B$7</f>
        <v>3</v>
      </c>
      <c r="C17" s="13" t="n">
        <f aca="false">$B$6+C16+$B$7</f>
        <v>3</v>
      </c>
      <c r="D17" s="13" t="n">
        <f aca="false">$B$6+D16+$B$7</f>
        <v>3</v>
      </c>
      <c r="E17" s="13" t="n">
        <f aca="false">$B$6+E16+$B$7</f>
        <v>3</v>
      </c>
      <c r="F17" s="13" t="n">
        <f aca="false">$B$6+F16+$B$7</f>
        <v>3</v>
      </c>
      <c r="G17" s="13" t="n">
        <f aca="false">$B$6+G16+$B$7</f>
        <v>3</v>
      </c>
      <c r="H17" s="13" t="n">
        <f aca="false">$B$6+H16+$B$7</f>
        <v>3</v>
      </c>
    </row>
    <row r="18" customFormat="false" ht="15" hidden="false" customHeight="false" outlineLevel="0" collapsed="false">
      <c r="A18" s="3" t="s">
        <v>289</v>
      </c>
      <c r="B18" s="20" t="n">
        <f aca="false">datos_base!$K$19*B14/(12*$B$5)*B15/60</f>
        <v>75.2573215250428</v>
      </c>
      <c r="C18" s="20" t="n">
        <f aca="false">datos_base!$K$19*C14/(12*$B$5)*C15/60</f>
        <v>37.1637686120049</v>
      </c>
      <c r="D18" s="20" t="n">
        <f aca="false">datos_base!$K$19*D14/(12*$B$5)*D15/60</f>
        <v>3.8101057640298</v>
      </c>
      <c r="E18" s="20" t="n">
        <f aca="false">datos_base!$K$19*E14/(12*$B$5)*E15/60</f>
        <v>2.61247443478461</v>
      </c>
      <c r="F18" s="20" t="n">
        <f aca="false">datos_base!$K$19*F14/(12*$B$5)*F15/60</f>
        <v>7.07198121131553</v>
      </c>
      <c r="G18" s="20" t="n">
        <f aca="false">datos_base!$K$19*G14/(12*$B$5)*G15/60</f>
        <v>3.97764945561636</v>
      </c>
      <c r="H18" s="20" t="n">
        <f aca="false">datos_base!$K$19*H14/(12*$B$5)*H15/60</f>
        <v>0.578882834601014</v>
      </c>
    </row>
    <row r="19" customFormat="false" ht="15" hidden="false" customHeight="false" outlineLevel="0" collapsed="false">
      <c r="A19" s="1" t="s">
        <v>290</v>
      </c>
    </row>
    <row r="20" customFormat="false" ht="35.05" hidden="false" customHeight="true" outlineLevel="0" collapsed="false">
      <c r="A20" s="2" t="s">
        <v>143</v>
      </c>
      <c r="B20" s="2" t="s">
        <v>291</v>
      </c>
      <c r="C20" s="2" t="s">
        <v>286</v>
      </c>
      <c r="D20" s="2" t="s">
        <v>288</v>
      </c>
      <c r="E20" s="2" t="s">
        <v>292</v>
      </c>
      <c r="F20" s="2"/>
      <c r="G20" s="2" t="s">
        <v>171</v>
      </c>
      <c r="H20" s="2"/>
      <c r="I20" s="2"/>
      <c r="J20" s="2"/>
      <c r="K20" s="2"/>
      <c r="L20" s="2"/>
    </row>
    <row r="21" customFormat="false" ht="15" hidden="false" customHeight="true" outlineLevel="0" collapsed="false">
      <c r="A21" s="8" t="str">
        <f aca="false">datos_base!A2</f>
        <v>ABC 1 kg</v>
      </c>
      <c r="B21" s="11" t="n">
        <v>0</v>
      </c>
      <c r="C21" s="20" t="n">
        <f aca="false" t="array" ref="C21:C21">(SUMPRODUCT(INDEX(parametros_recargas!$E$72:$L$99,0,MATCH(parametros_recargas!$B$51,parametros_recargas!$E$71:$L$71,0)),parametros_recargas!$M$72:$M$99)*parametros_recargas!$C$51+parametros_recargas!$D$51*parametros_recargas!$M$100)/60</f>
        <v>17.253</v>
      </c>
      <c r="D21" s="17" t="n">
        <f aca="false">IF(SUM(PROY_Indexado!$B$97:$H$97)=0,$B$6+1+$B$7,SUMPRODUCT(PROY_Indexado!$B$97:$H$97,$B$17:$H$17)/SUM(PROY_Indexado!$B$97:$H$97))</f>
        <v>3</v>
      </c>
      <c r="E21" s="8" t="str">
        <f aca="false">IF(AND($B$9="Industrial",LEFT(A21,3)="ABC"),"Fabrica","Compra")</f>
        <v>Fabrica</v>
      </c>
      <c r="F21" s="8"/>
      <c r="G21" s="3" t="s">
        <v>293</v>
      </c>
      <c r="H21" s="3"/>
      <c r="I21" s="3"/>
      <c r="J21" s="3"/>
      <c r="K21" s="3"/>
      <c r="L21" s="3"/>
    </row>
    <row r="22" customFormat="false" ht="15" hidden="false" customHeight="false" outlineLevel="0" collapsed="false">
      <c r="A22" s="8" t="str">
        <f aca="false">datos_base!A3</f>
        <v>ABC 2,5 kg</v>
      </c>
      <c r="B22" s="11" t="n">
        <v>1</v>
      </c>
      <c r="C22" s="20" t="n">
        <f aca="false" t="array" ref="C22:C22">(SUMPRODUCT(INDEX(parametros_recargas!$E$72:$L$99,0,MATCH(parametros_recargas!$B$52,parametros_recargas!$E$71:$L$71,0)),parametros_recargas!$M$72:$M$99)*parametros_recargas!$C$52+parametros_recargas!$D$52*parametros_recargas!$M$100)/60</f>
        <v>17.253</v>
      </c>
      <c r="D22" s="17" t="n">
        <f aca="false">IF(SUM(PROY_Indexado!$B$98:$H$98)=0,$B$6+1+$B$7,SUMPRODUCT(PROY_Indexado!$B$98:$H$98,$B$17:$H$17)/SUM(PROY_Indexado!$B$98:$H$98))</f>
        <v>3</v>
      </c>
      <c r="E22" s="8" t="str">
        <f aca="false">IF(AND($B$9="Industrial",LEFT(A22,3)="ABC"),"Fabrica","Compra")</f>
        <v>Fabrica</v>
      </c>
      <c r="F22" s="8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8" t="str">
        <f aca="false">datos_base!A4</f>
        <v>ABC 5 kg</v>
      </c>
      <c r="B23" s="11" t="n">
        <v>1</v>
      </c>
      <c r="C23" s="20" t="n">
        <f aca="false" t="array" ref="C23:C23">(SUMPRODUCT(INDEX(parametros_recargas!$E$72:$L$99,0,MATCH(parametros_recargas!$B$53,parametros_recargas!$E$71:$L$71,0)),parametros_recargas!$M$72:$M$99)*parametros_recargas!$C$53+parametros_recargas!$D$53*parametros_recargas!$M$100)/60</f>
        <v>17.253</v>
      </c>
      <c r="D23" s="17" t="n">
        <f aca="false">IF(SUM(PROY_Indexado!$B$99:$H$99)=0,$B$6+1+$B$7,SUMPRODUCT(PROY_Indexado!$B$99:$H$99,$B$17:$H$17)/SUM(PROY_Indexado!$B$99:$H$99))</f>
        <v>3</v>
      </c>
      <c r="E23" s="8" t="str">
        <f aca="false">IF(AND($B$9="Industrial",LEFT(A23,3)="ABC"),"Fabrica","Compra")</f>
        <v>Fabrica</v>
      </c>
      <c r="F23" s="8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8" t="str">
        <f aca="false">datos_base!A5</f>
        <v>ABC 10 kg</v>
      </c>
      <c r="B24" s="11" t="n">
        <v>1</v>
      </c>
      <c r="C24" s="20" t="n">
        <f aca="false" t="array" ref="C24:C24">(SUMPRODUCT(INDEX(parametros_recargas!$E$72:$L$99,0,MATCH(parametros_recargas!$B$54,parametros_recargas!$E$71:$L$71,0)),parametros_recargas!$M$72:$M$99)*parametros_recargas!$C$54+parametros_recargas!$D$54*parametros_recargas!$M$100)/60</f>
        <v>17.253</v>
      </c>
      <c r="D24" s="17" t="n">
        <f aca="false">IF(SUM(PROY_Indexado!$B$100:$H$100)=0,$B$6+1+$B$7,SUMPRODUCT(PROY_Indexado!$B$100:$H$100,$B$17:$H$17)/SUM(PROY_Indexado!$B$100:$H$100))</f>
        <v>3</v>
      </c>
      <c r="E24" s="8" t="str">
        <f aca="false">IF(AND($B$9="Industrial",LEFT(A24,3)="ABC"),"Fabrica","Compra")</f>
        <v>Fabrica</v>
      </c>
      <c r="F24" s="8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8" t="str">
        <f aca="false">datos_base!A6</f>
        <v>Agua 10 l</v>
      </c>
      <c r="B25" s="11" t="n">
        <v>1</v>
      </c>
      <c r="C25" s="20" t="n">
        <f aca="false" t="array" ref="C25:C25">(SUMPRODUCT(INDEX(parametros_recargas!$E$72:$L$99,0,MATCH(parametros_recargas!$B$55,parametros_recargas!$E$71:$L$71,0)),parametros_recargas!$M$72:$M$99)*parametros_recargas!$C$55+parametros_recargas!$D$55*parametros_recargas!$M$100)/60</f>
        <v>18.9866666666667</v>
      </c>
      <c r="D25" s="17" t="n">
        <f aca="false">IF(SUM(PROY_Indexado!$B$101:$H$101)=0,$B$6+1+$B$7,SUMPRODUCT(PROY_Indexado!$B$101:$H$101,$B$17:$H$17)/SUM(PROY_Indexado!$B$101:$H$101))</f>
        <v>3</v>
      </c>
      <c r="E25" s="8" t="str">
        <f aca="false">IF(AND($B$9="Industrial",LEFT(A25,3)="ABC"),"Fabrica","Compra")</f>
        <v>Compra</v>
      </c>
      <c r="F25" s="8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8" t="str">
        <f aca="false">datos_base!A7</f>
        <v>AFFF 10 l</v>
      </c>
      <c r="B26" s="11" t="n">
        <v>1</v>
      </c>
      <c r="C26" s="20" t="n">
        <f aca="false" t="array" ref="C26:C26">(SUMPRODUCT(INDEX(parametros_recargas!$E$72:$L$99,0,MATCH(parametros_recargas!$B$56,parametros_recargas!$E$71:$L$71,0)),parametros_recargas!$M$72:$M$99)*parametros_recargas!$C$56+parametros_recargas!$D$56*parametros_recargas!$M$100)/60</f>
        <v>18.9866666666667</v>
      </c>
      <c r="D26" s="17" t="n">
        <f aca="false">IF(SUM(PROY_Indexado!$B$102:$H$102)=0,$B$6+1+$B$7,SUMPRODUCT(PROY_Indexado!$B$102:$H$102,$B$17:$H$17)/SUM(PROY_Indexado!$B$102:$H$102))</f>
        <v>3</v>
      </c>
      <c r="E26" s="8" t="str">
        <f aca="false">IF(AND($B$9="Industrial",LEFT(A26,3)="ABC"),"Fabrica","Compra")</f>
        <v>Compra</v>
      </c>
      <c r="F26" s="8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8" t="str">
        <f aca="false">datos_base!A8</f>
        <v>AFFF 50 l s/ruedas</v>
      </c>
      <c r="B27" s="11" t="n">
        <v>1</v>
      </c>
      <c r="C27" s="20" t="n">
        <f aca="false" t="array" ref="C27:C27">(SUMPRODUCT(INDEX(parametros_recargas!$E$72:$L$99,0,MATCH(parametros_recargas!$B$57,parametros_recargas!$E$71:$L$71,0)),parametros_recargas!$M$72:$M$99)*parametros_recargas!$C$57+parametros_recargas!$D$57*parametros_recargas!$M$100)/60</f>
        <v>61.9933333333333</v>
      </c>
      <c r="D27" s="17" t="n">
        <f aca="false">IF(SUM(PROY_Indexado!$B$103:$H$103)=0,$B$6+1+$B$7,SUMPRODUCT(PROY_Indexado!$B$103:$H$103,$B$17:$H$17)/SUM(PROY_Indexado!$B$103:$H$103))</f>
        <v>3</v>
      </c>
      <c r="E27" s="8" t="str">
        <f aca="false">IF(AND($B$9="Industrial",LEFT(A27,3)="ABC"),"Fabrica","Compra")</f>
        <v>Compra</v>
      </c>
      <c r="F27" s="8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8" t="str">
        <f aca="false">datos_base!A9</f>
        <v>BC 5 kg</v>
      </c>
      <c r="B28" s="11" t="n">
        <v>1</v>
      </c>
      <c r="C28" s="20" t="n">
        <f aca="false" t="array" ref="C28:C28">(SUMPRODUCT(INDEX(parametros_recargas!$E$72:$L$99,0,MATCH(parametros_recargas!$B$58,parametros_recargas!$E$71:$L$71,0)),parametros_recargas!$M$72:$M$99)*parametros_recargas!$C$58+parametros_recargas!$D$58*parametros_recargas!$M$100)/60</f>
        <v>17.8905</v>
      </c>
      <c r="D28" s="17" t="n">
        <f aca="false">IF(SUM(PROY_Indexado!$B$104:$H$104)=0,$B$6+1+$B$7,SUMPRODUCT(PROY_Indexado!$B$104:$H$104,$B$17:$H$17)/SUM(PROY_Indexado!$B$104:$H$104))</f>
        <v>3</v>
      </c>
      <c r="E28" s="8" t="str">
        <f aca="false">IF(AND($B$9="Industrial",LEFT(A28,3)="ABC"),"Fabrica","Compra")</f>
        <v>Compra</v>
      </c>
      <c r="F28" s="8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8" t="str">
        <f aca="false">datos_base!A10</f>
        <v>Sales K 6 l</v>
      </c>
      <c r="B29" s="11" t="n">
        <v>1</v>
      </c>
      <c r="C29" s="20" t="n">
        <f aca="false" t="array" ref="C29:C29">(SUMPRODUCT(INDEX(parametros_recargas!$E$72:$L$99,0,MATCH(parametros_recargas!$B$59,parametros_recargas!$E$71:$L$71,0)),parametros_recargas!$M$72:$M$99)*parametros_recargas!$C$59+parametros_recargas!$D$59*parametros_recargas!$M$100)/60</f>
        <v>18.9866666666667</v>
      </c>
      <c r="D29" s="17" t="n">
        <f aca="false">IF(SUM(PROY_Indexado!$B$105:$H$105)=0,$B$6+1+$B$7,SUMPRODUCT(PROY_Indexado!$B$105:$H$105,$B$17:$H$17)/SUM(PROY_Indexado!$B$105:$H$105))</f>
        <v>3</v>
      </c>
      <c r="E29" s="8" t="str">
        <f aca="false">IF(AND($B$9="Industrial",LEFT(A29,3)="ABC"),"Fabrica","Compra")</f>
        <v>Compra</v>
      </c>
      <c r="F29" s="8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8" t="str">
        <f aca="false">datos_base!A11</f>
        <v>CO₂ 2 kg</v>
      </c>
      <c r="B30" s="11" t="n">
        <v>1</v>
      </c>
      <c r="C30" s="20" t="n">
        <f aca="false" t="array" ref="C30:C30">(SUMPRODUCT(INDEX(parametros_recargas!$E$72:$L$99,0,MATCH(parametros_recargas!$B$60,parametros_recargas!$E$71:$L$71,0)),parametros_recargas!$M$72:$M$99)*parametros_recargas!$C$60+parametros_recargas!$D$60*parametros_recargas!$M$100)/60</f>
        <v>13.0308333333333</v>
      </c>
      <c r="D30" s="17" t="n">
        <f aca="false">IF(SUM(PROY_Indexado!$B$106:$H$106)=0,$B$6+1+$B$7,SUMPRODUCT(PROY_Indexado!$B$106:$H$106,$B$17:$H$17)/SUM(PROY_Indexado!$B$106:$H$106))</f>
        <v>3</v>
      </c>
      <c r="E30" s="8" t="str">
        <f aca="false">IF(AND($B$9="Industrial",LEFT(A30,3)="ABC"),"Fabrica","Compra")</f>
        <v>Compra</v>
      </c>
      <c r="F30" s="8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8" t="str">
        <f aca="false">datos_base!A12</f>
        <v>CO₂ 5 kg</v>
      </c>
      <c r="B31" s="11" t="n">
        <v>1</v>
      </c>
      <c r="C31" s="20" t="n">
        <f aca="false" t="array" ref="C31:C31">(SUMPRODUCT(INDEX(parametros_recargas!$E$72:$L$99,0,MATCH(parametros_recargas!$B$61,parametros_recargas!$E$71:$L$71,0)),parametros_recargas!$M$72:$M$99)*parametros_recargas!$C$61+parametros_recargas!$D$61*parametros_recargas!$M$100)/60</f>
        <v>18.0641666666667</v>
      </c>
      <c r="D31" s="17" t="n">
        <f aca="false">IF(SUM(PROY_Indexado!$B$107:$H$107)=0,$B$6+1+$B$7,SUMPRODUCT(PROY_Indexado!$B$107:$H$107,$B$17:$H$17)/SUM(PROY_Indexado!$B$107:$H$107))</f>
        <v>3</v>
      </c>
      <c r="E31" s="8" t="str">
        <f aca="false">IF(AND($B$9="Industrial",LEFT(A31,3)="ABC"),"Fabrica","Compra")</f>
        <v>Compra</v>
      </c>
      <c r="F31" s="8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8" t="str">
        <f aca="false">datos_base!A13</f>
        <v>HCFC/HFC 5 kg</v>
      </c>
      <c r="B32" s="11" t="n">
        <v>1</v>
      </c>
      <c r="C32" s="20" t="n">
        <f aca="false" t="array" ref="C32:C32">(SUMPRODUCT(INDEX(parametros_recargas!$E$72:$L$99,0,MATCH(parametros_recargas!$B$62,parametros_recargas!$E$71:$L$71,0)),parametros_recargas!$M$72:$M$99)*parametros_recargas!$C$62+parametros_recargas!$D$62*parametros_recargas!$M$100)/60</f>
        <v>14.8475</v>
      </c>
      <c r="D32" s="17" t="n">
        <f aca="false">IF(SUM(PROY_Indexado!$B$108:$H$108)=0,$B$6+1+$B$7,SUMPRODUCT(PROY_Indexado!$B$108:$H$108,$B$17:$H$17)/SUM(PROY_Indexado!$B$108:$H$108))</f>
        <v>3</v>
      </c>
      <c r="E32" s="8" t="str">
        <f aca="false">IF(AND($B$9="Industrial",LEFT(A32,3)="ABC"),"Fabrica","Compra")</f>
        <v>Compra</v>
      </c>
      <c r="F32" s="8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8" t="str">
        <f aca="false">datos_base!A14</f>
        <v>Clase D 9 l</v>
      </c>
      <c r="B33" s="11" t="n">
        <v>1</v>
      </c>
      <c r="C33" s="20" t="n">
        <f aca="false" t="array" ref="C33:C33">(SUMPRODUCT(INDEX(parametros_recargas!$E$72:$L$99,0,MATCH(parametros_recargas!$B$63,parametros_recargas!$E$71:$L$71,0)),parametros_recargas!$M$72:$M$99)*parametros_recargas!$C$63+parametros_recargas!$D$63*parametros_recargas!$M$100)/60</f>
        <v>22.2541666666667</v>
      </c>
      <c r="D33" s="17" t="n">
        <f aca="false">IF(SUM(PROY_Indexado!$B$109:$H$109)=0,$B$6+1+$B$7,SUMPRODUCT(PROY_Indexado!$B$109:$H$109,$B$17:$H$17)/SUM(PROY_Indexado!$B$109:$H$109))</f>
        <v>3</v>
      </c>
      <c r="E33" s="8" t="str">
        <f aca="false">IF(AND($B$9="Industrial",LEFT(A33,3)="ABC"),"Fabrica","Compra")</f>
        <v>Compra</v>
      </c>
      <c r="F33" s="8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8" t="str">
        <f aca="false">datos_base!A15</f>
        <v>ABC 25 kg s/ruedas</v>
      </c>
      <c r="B34" s="11" t="n">
        <v>1</v>
      </c>
      <c r="C34" s="20" t="n">
        <f aca="false" t="array" ref="C34:C34">(SUMPRODUCT(INDEX(parametros_recargas!$E$72:$L$99,0,MATCH(parametros_recargas!$B$64,parametros_recargas!$E$71:$L$71,0)),parametros_recargas!$M$72:$M$99)*parametros_recargas!$C$64+parametros_recargas!$D$64*parametros_recargas!$M$100)/60</f>
        <v>56.7923333333333</v>
      </c>
      <c r="D34" s="17" t="n">
        <f aca="false">IF(SUM(PROY_Indexado!$B$110:$H$110)=0,$B$6+1+$B$7,SUMPRODUCT(PROY_Indexado!$B$110:$H$110,$B$17:$H$17)/SUM(PROY_Indexado!$B$110:$H$110))</f>
        <v>3</v>
      </c>
      <c r="E34" s="8" t="str">
        <f aca="false">IF(AND($B$9="Industrial",LEFT(A34,3)="ABC"),"Fabrica","Compra")</f>
        <v>Fabrica</v>
      </c>
      <c r="F34" s="8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8" t="str">
        <f aca="false">datos_base!A16</f>
        <v>ABC 50 kg s/ruedas</v>
      </c>
      <c r="B35" s="11" t="n">
        <v>1</v>
      </c>
      <c r="C35" s="20" t="n">
        <f aca="false" t="array" ref="C35:C35">(SUMPRODUCT(INDEX(parametros_recargas!$E$72:$L$99,0,MATCH(parametros_recargas!$B$65,parametros_recargas!$E$71:$L$71,0)),parametros_recargas!$M$72:$M$99)*parametros_recargas!$C$65+parametros_recargas!$D$65*parametros_recargas!$M$100)/60</f>
        <v>56.7923333333333</v>
      </c>
      <c r="D35" s="17" t="n">
        <f aca="false">IF(SUM(PROY_Indexado!$B$111:$H$111)=0,$B$6+1+$B$7,SUMPRODUCT(PROY_Indexado!$B$111:$H$111,$B$17:$H$17)/SUM(PROY_Indexado!$B$111:$H$111))</f>
        <v>3</v>
      </c>
      <c r="E35" s="8" t="str">
        <f aca="false">IF(AND($B$9="Industrial",LEFT(A35,3)="ABC"),"Fabrica","Compra")</f>
        <v>Fabrica</v>
      </c>
      <c r="F35" s="8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8" t="str">
        <f aca="false">datos_base!A17</f>
        <v>ABC 70 kg s/ruedas</v>
      </c>
      <c r="B36" s="11" t="n">
        <v>1</v>
      </c>
      <c r="C36" s="20" t="n">
        <f aca="false" t="array" ref="C36:C36">(SUMPRODUCT(INDEX(parametros_recargas!$E$72:$L$99,0,MATCH(parametros_recargas!$B$66,parametros_recargas!$E$71:$L$71,0)),parametros_recargas!$M$72:$M$99)*parametros_recargas!$C$66+parametros_recargas!$D$66*parametros_recargas!$M$100)/60</f>
        <v>56.7923333333333</v>
      </c>
      <c r="D36" s="17" t="n">
        <f aca="false">IF(SUM(PROY_Indexado!$B$112:$H$112)=0,$B$6+1+$B$7,SUMPRODUCT(PROY_Indexado!$B$112:$H$112,$B$17:$H$17)/SUM(PROY_Indexado!$B$112:$H$112))</f>
        <v>3</v>
      </c>
      <c r="E36" s="8" t="str">
        <f aca="false">IF(AND($B$9="Industrial",LEFT(A36,3)="ABC"),"Fabrica","Compra")</f>
        <v>Fabrica</v>
      </c>
      <c r="F36" s="8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8" t="str">
        <f aca="false">datos_base!A18</f>
        <v>ABC 100 kg s/ruedas</v>
      </c>
      <c r="B37" s="11" t="n">
        <v>1</v>
      </c>
      <c r="C37" s="20" t="n">
        <f aca="false" t="array" ref="C37:C37">(SUMPRODUCT(INDEX(parametros_recargas!$E$72:$L$99,0,MATCH(parametros_recargas!$B$67,parametros_recargas!$E$71:$L$71,0)),parametros_recargas!$M$72:$M$99)*parametros_recargas!$C$67+parametros_recargas!$D$67*parametros_recargas!$M$100)/60</f>
        <v>56.7923333333333</v>
      </c>
      <c r="D37" s="17" t="n">
        <f aca="false">IF(SUM(PROY_Indexado!$B$113:$H$113)=0,$B$6+1+$B$7,SUMPRODUCT(PROY_Indexado!$B$113:$H$113,$B$17:$H$17)/SUM(PROY_Indexado!$B$113:$H$113))</f>
        <v>3</v>
      </c>
      <c r="E37" s="8" t="str">
        <f aca="false">IF(AND($B$9="Industrial",LEFT(A37,3)="ABC"),"Fabrica","Compra")</f>
        <v>Fabrica</v>
      </c>
      <c r="F37" s="8"/>
      <c r="G37" s="3"/>
      <c r="H37" s="3"/>
      <c r="I37" s="3"/>
      <c r="J37" s="3"/>
      <c r="K37" s="3"/>
      <c r="L37" s="3"/>
    </row>
    <row r="39" customFormat="false" ht="15" hidden="false" customHeight="false" outlineLevel="0" collapsed="false">
      <c r="A39" s="1" t="s">
        <v>294</v>
      </c>
    </row>
    <row r="40" customFormat="false" ht="15" hidden="false" customHeight="false" outlineLevel="0" collapsed="false">
      <c r="A40" s="10" t="s">
        <v>295</v>
      </c>
    </row>
    <row r="41" customFormat="false" ht="15" hidden="false" customHeight="false" outlineLevel="0" collapsed="false">
      <c r="A41" s="2" t="s">
        <v>143</v>
      </c>
      <c r="B41" s="2" t="n">
        <v>2026</v>
      </c>
      <c r="C41" s="2" t="n">
        <v>2027</v>
      </c>
      <c r="D41" s="2" t="n">
        <v>2028</v>
      </c>
      <c r="E41" s="2" t="n">
        <v>2029</v>
      </c>
      <c r="F41" s="2" t="n">
        <v>2030</v>
      </c>
      <c r="G41" s="2" t="n">
        <v>2031</v>
      </c>
      <c r="H41" s="2" t="n">
        <v>2032</v>
      </c>
      <c r="I41" s="2" t="n">
        <v>2033</v>
      </c>
      <c r="J41" s="2" t="n">
        <v>2034</v>
      </c>
      <c r="K41" s="2" t="n">
        <v>2035</v>
      </c>
    </row>
    <row r="42" customFormat="false" ht="15" hidden="false" customHeight="false" outlineLevel="0" collapsed="false">
      <c r="A42" s="8" t="str">
        <f aca="false">datos_base!A2</f>
        <v>ABC 1 kg</v>
      </c>
      <c r="B42" s="4" t="n">
        <f aca="false">ROUNDUP(datos_base!B2*$B$21*$D$21*MAX(parametros_recargas!$B$37:$M$37)/$B$5,0)</f>
        <v>0</v>
      </c>
      <c r="C42" s="4" t="n">
        <f aca="false">ROUNDUP(datos_base!C2*$B$21*$D$21*MAX(parametros_recargas!$B$38:$M$38)/$B$5,0)</f>
        <v>0</v>
      </c>
      <c r="D42" s="4" t="n">
        <f aca="false">ROUNDUP(datos_base!D2*$B$21*$D$21*MAX(parametros_recargas!$B$39:$M$39)/$B$5,0)</f>
        <v>0</v>
      </c>
      <c r="E42" s="4" t="n">
        <f aca="false">ROUNDUP(datos_base!E2*$B$21*$D$21*MAX(parametros_recargas!$B$40:$M$40)/$B$5,0)</f>
        <v>0</v>
      </c>
      <c r="F42" s="4" t="n">
        <f aca="false">ROUNDUP(datos_base!F2*$B$21*$D$21*MAX(parametros_recargas!$B$41:$M$41)/$B$5,0)</f>
        <v>0</v>
      </c>
      <c r="G42" s="4" t="n">
        <f aca="false">ROUNDUP(datos_base!G2*$B$21*$D$21*MAX(parametros_recargas!$B$42:$M$42)/$B$5,0)</f>
        <v>0</v>
      </c>
      <c r="H42" s="4" t="n">
        <f aca="false">ROUNDUP(datos_base!H2*$B$21*$D$21*MAX(parametros_recargas!$B$43:$M$43)/$B$5,0)</f>
        <v>0</v>
      </c>
      <c r="I42" s="4" t="n">
        <f aca="false">ROUNDUP(datos_base!I2*$B$21*$D$21*MAX(parametros_recargas!$B$44:$M$44)/$B$5,0)</f>
        <v>0</v>
      </c>
      <c r="J42" s="4" t="n">
        <f aca="false">ROUNDUP(datos_base!J2*$B$21*$D$21*MAX(parametros_recargas!$B$45:$M$45)/$B$5,0)</f>
        <v>0</v>
      </c>
      <c r="K42" s="4" t="n">
        <f aca="false">ROUNDUP(datos_base!K2*$B$21*$D$21*MAX(parametros_recargas!$B$46:$M$46)/$B$5,0)</f>
        <v>0</v>
      </c>
    </row>
    <row r="43" customFormat="false" ht="15" hidden="false" customHeight="false" outlineLevel="0" collapsed="false">
      <c r="A43" s="8" t="str">
        <f aca="false">datos_base!A3</f>
        <v>ABC 2,5 kg</v>
      </c>
      <c r="B43" s="4" t="n">
        <f aca="false">ROUNDUP(datos_base!B3*$B$22*$D$22*MAX(parametros_recargas!$B$37:$M$37)/$B$5,0)</f>
        <v>2</v>
      </c>
      <c r="C43" s="4" t="n">
        <f aca="false">ROUNDUP(datos_base!C3*$B$22*$D$22*MAX(parametros_recargas!$B$38:$M$38)/$B$5,0)</f>
        <v>5</v>
      </c>
      <c r="D43" s="4" t="n">
        <f aca="false">ROUNDUP(datos_base!D3*$B$22*$D$22*MAX(parametros_recargas!$B$39:$M$39)/$B$5,0)</f>
        <v>11</v>
      </c>
      <c r="E43" s="4" t="n">
        <f aca="false">ROUNDUP(datos_base!E3*$B$22*$D$22*MAX(parametros_recargas!$B$40:$M$40)/$B$5,0)</f>
        <v>20</v>
      </c>
      <c r="F43" s="4" t="n">
        <f aca="false">ROUNDUP(datos_base!F3*$B$22*$D$22*MAX(parametros_recargas!$B$41:$M$41)/$B$5,0)</f>
        <v>29</v>
      </c>
      <c r="G43" s="4" t="n">
        <f aca="false">ROUNDUP(datos_base!G3*$B$22*$D$22*MAX(parametros_recargas!$B$42:$M$42)/$B$5,0)</f>
        <v>38</v>
      </c>
      <c r="H43" s="4" t="n">
        <f aca="false">ROUNDUP(datos_base!H3*$B$22*$D$22*MAX(parametros_recargas!$B$43:$M$43)/$B$5,0)</f>
        <v>47</v>
      </c>
      <c r="I43" s="4" t="n">
        <f aca="false">ROUNDUP(datos_base!I3*$B$22*$D$22*MAX(parametros_recargas!$B$44:$M$44)/$B$5,0)</f>
        <v>52</v>
      </c>
      <c r="J43" s="4" t="n">
        <f aca="false">ROUNDUP(datos_base!J3*$B$22*$D$22*MAX(parametros_recargas!$B$45:$M$45)/$B$5,0)</f>
        <v>56</v>
      </c>
      <c r="K43" s="4" t="n">
        <f aca="false">ROUNDUP(datos_base!K3*$B$22*$D$22*MAX(parametros_recargas!$B$46:$M$46)/$B$5,0)</f>
        <v>60</v>
      </c>
    </row>
    <row r="44" customFormat="false" ht="15" hidden="false" customHeight="false" outlineLevel="0" collapsed="false">
      <c r="A44" s="8" t="str">
        <f aca="false">datos_base!A4</f>
        <v>ABC 5 kg</v>
      </c>
      <c r="B44" s="4" t="n">
        <f aca="false">ROUNDUP(datos_base!B4*$B$23*$D$23*MAX(parametros_recargas!$B$37:$M$37)/$B$5,0)</f>
        <v>8</v>
      </c>
      <c r="C44" s="4" t="n">
        <f aca="false">ROUNDUP(datos_base!C4*$B$23*$D$23*MAX(parametros_recargas!$B$38:$M$38)/$B$5,0)</f>
        <v>29</v>
      </c>
      <c r="D44" s="4" t="n">
        <f aca="false">ROUNDUP(datos_base!D4*$B$23*$D$23*MAX(parametros_recargas!$B$39:$M$39)/$B$5,0)</f>
        <v>65</v>
      </c>
      <c r="E44" s="4" t="n">
        <f aca="false">ROUNDUP(datos_base!E4*$B$23*$D$23*MAX(parametros_recargas!$B$40:$M$40)/$B$5,0)</f>
        <v>122</v>
      </c>
      <c r="F44" s="4" t="n">
        <f aca="false">ROUNDUP(datos_base!F4*$B$23*$D$23*MAX(parametros_recargas!$B$41:$M$41)/$B$5,0)</f>
        <v>175</v>
      </c>
      <c r="G44" s="4" t="n">
        <f aca="false">ROUNDUP(datos_base!G4*$B$23*$D$23*MAX(parametros_recargas!$B$42:$M$42)/$B$5,0)</f>
        <v>232</v>
      </c>
      <c r="H44" s="4" t="n">
        <f aca="false">ROUNDUP(datos_base!H4*$B$23*$D$23*MAX(parametros_recargas!$B$43:$M$43)/$B$5,0)</f>
        <v>284</v>
      </c>
      <c r="I44" s="4" t="n">
        <f aca="false">ROUNDUP(datos_base!I4*$B$23*$D$23*MAX(parametros_recargas!$B$44:$M$44)/$B$5,0)</f>
        <v>315</v>
      </c>
      <c r="J44" s="4" t="n">
        <f aca="false">ROUNDUP(datos_base!J4*$B$23*$D$23*MAX(parametros_recargas!$B$45:$M$45)/$B$5,0)</f>
        <v>340</v>
      </c>
      <c r="K44" s="4" t="n">
        <f aca="false">ROUNDUP(datos_base!K4*$B$23*$D$23*MAX(parametros_recargas!$B$46:$M$46)/$B$5,0)</f>
        <v>365</v>
      </c>
    </row>
    <row r="45" customFormat="false" ht="15" hidden="false" customHeight="false" outlineLevel="0" collapsed="false">
      <c r="A45" s="8" t="str">
        <f aca="false">datos_base!A5</f>
        <v>ABC 10 kg</v>
      </c>
      <c r="B45" s="4" t="n">
        <f aca="false">ROUNDUP(datos_base!B5*$B$24*$D$24*MAX(parametros_recargas!$B$37:$M$37)/$B$5,0)</f>
        <v>1</v>
      </c>
      <c r="C45" s="4" t="n">
        <f aca="false">ROUNDUP(datos_base!C5*$B$24*$D$24*MAX(parametros_recargas!$B$38:$M$38)/$B$5,0)</f>
        <v>2</v>
      </c>
      <c r="D45" s="4" t="n">
        <f aca="false">ROUNDUP(datos_base!D5*$B$24*$D$24*MAX(parametros_recargas!$B$39:$M$39)/$B$5,0)</f>
        <v>4</v>
      </c>
      <c r="E45" s="4" t="n">
        <f aca="false">ROUNDUP(datos_base!E5*$B$24*$D$24*MAX(parametros_recargas!$B$40:$M$40)/$B$5,0)</f>
        <v>8</v>
      </c>
      <c r="F45" s="4" t="n">
        <f aca="false">ROUNDUP(datos_base!F5*$B$24*$D$24*MAX(parametros_recargas!$B$41:$M$41)/$B$5,0)</f>
        <v>11</v>
      </c>
      <c r="G45" s="4" t="n">
        <f aca="false">ROUNDUP(datos_base!G5*$B$24*$D$24*MAX(parametros_recargas!$B$42:$M$42)/$B$5,0)</f>
        <v>14</v>
      </c>
      <c r="H45" s="4" t="n">
        <f aca="false">ROUNDUP(datos_base!H5*$B$24*$D$24*MAX(parametros_recargas!$B$43:$M$43)/$B$5,0)</f>
        <v>17</v>
      </c>
      <c r="I45" s="4" t="n">
        <f aca="false">ROUNDUP(datos_base!I5*$B$24*$D$24*MAX(parametros_recargas!$B$44:$M$44)/$B$5,0)</f>
        <v>19</v>
      </c>
      <c r="J45" s="4" t="n">
        <f aca="false">ROUNDUP(datos_base!J5*$B$24*$D$24*MAX(parametros_recargas!$B$45:$M$45)/$B$5,0)</f>
        <v>21</v>
      </c>
      <c r="K45" s="4" t="n">
        <f aca="false">ROUNDUP(datos_base!K5*$B$24*$D$24*MAX(parametros_recargas!$B$46:$M$46)/$B$5,0)</f>
        <v>22</v>
      </c>
    </row>
    <row r="46" customFormat="false" ht="15" hidden="false" customHeight="false" outlineLevel="0" collapsed="false">
      <c r="A46" s="8" t="str">
        <f aca="false">datos_base!A6</f>
        <v>Agua 10 l</v>
      </c>
      <c r="B46" s="4" t="n">
        <f aca="false">ROUNDUP(datos_base!B6*$B$25*$D$25*MAX(parametros_recargas!$B$37:$M$37)/$B$5,0)</f>
        <v>1</v>
      </c>
      <c r="C46" s="4" t="n">
        <f aca="false">ROUNDUP(datos_base!C6*$B$25*$D$25*MAX(parametros_recargas!$B$38:$M$38)/$B$5,0)</f>
        <v>3</v>
      </c>
      <c r="D46" s="4" t="n">
        <f aca="false">ROUNDUP(datos_base!D6*$B$25*$D$25*MAX(parametros_recargas!$B$39:$M$39)/$B$5,0)</f>
        <v>6</v>
      </c>
      <c r="E46" s="4" t="n">
        <f aca="false">ROUNDUP(datos_base!E6*$B$25*$D$25*MAX(parametros_recargas!$B$40:$M$40)/$B$5,0)</f>
        <v>10</v>
      </c>
      <c r="F46" s="4" t="n">
        <f aca="false">ROUNDUP(datos_base!F6*$B$25*$D$25*MAX(parametros_recargas!$B$41:$M$41)/$B$5,0)</f>
        <v>15</v>
      </c>
      <c r="G46" s="4" t="n">
        <f aca="false">ROUNDUP(datos_base!G6*$B$25*$D$25*MAX(parametros_recargas!$B$42:$M$42)/$B$5,0)</f>
        <v>20</v>
      </c>
      <c r="H46" s="4" t="n">
        <f aca="false">ROUNDUP(datos_base!H6*$B$25*$D$25*MAX(parametros_recargas!$B$43:$M$43)/$B$5,0)</f>
        <v>24</v>
      </c>
      <c r="I46" s="4" t="n">
        <f aca="false">ROUNDUP(datos_base!I6*$B$25*$D$25*MAX(parametros_recargas!$B$44:$M$44)/$B$5,0)</f>
        <v>27</v>
      </c>
      <c r="J46" s="4" t="n">
        <f aca="false">ROUNDUP(datos_base!J6*$B$25*$D$25*MAX(parametros_recargas!$B$45:$M$45)/$B$5,0)</f>
        <v>29</v>
      </c>
      <c r="K46" s="4" t="n">
        <f aca="false">ROUNDUP(datos_base!K6*$B$25*$D$25*MAX(parametros_recargas!$B$46:$M$46)/$B$5,0)</f>
        <v>31</v>
      </c>
    </row>
    <row r="47" customFormat="false" ht="15" hidden="false" customHeight="false" outlineLevel="0" collapsed="false">
      <c r="A47" s="8" t="str">
        <f aca="false">datos_base!A7</f>
        <v>AFFF 10 l</v>
      </c>
      <c r="B47" s="4" t="n">
        <f aca="false">ROUNDUP(datos_base!B7*$B$26*$D$26*MAX(parametros_recargas!$B$37:$M$37)/$B$5,0)</f>
        <v>1</v>
      </c>
      <c r="C47" s="4" t="n">
        <f aca="false">ROUNDUP(datos_base!C7*$B$26*$D$26*MAX(parametros_recargas!$B$38:$M$38)/$B$5,0)</f>
        <v>1</v>
      </c>
      <c r="D47" s="4" t="n">
        <f aca="false">ROUNDUP(datos_base!D7*$B$26*$D$26*MAX(parametros_recargas!$B$39:$M$39)/$B$5,0)</f>
        <v>2</v>
      </c>
      <c r="E47" s="4" t="n">
        <f aca="false">ROUNDUP(datos_base!E7*$B$26*$D$26*MAX(parametros_recargas!$B$40:$M$40)/$B$5,0)</f>
        <v>2</v>
      </c>
      <c r="F47" s="4" t="n">
        <f aca="false">ROUNDUP(datos_base!F7*$B$26*$D$26*MAX(parametros_recargas!$B$41:$M$41)/$B$5,0)</f>
        <v>3</v>
      </c>
      <c r="G47" s="4" t="n">
        <f aca="false">ROUNDUP(datos_base!G7*$B$26*$D$26*MAX(parametros_recargas!$B$42:$M$42)/$B$5,0)</f>
        <v>4</v>
      </c>
      <c r="H47" s="4" t="n">
        <f aca="false">ROUNDUP(datos_base!H7*$B$26*$D$26*MAX(parametros_recargas!$B$43:$M$43)/$B$5,0)</f>
        <v>5</v>
      </c>
      <c r="I47" s="4" t="n">
        <f aca="false">ROUNDUP(datos_base!I7*$B$26*$D$26*MAX(parametros_recargas!$B$44:$M$44)/$B$5,0)</f>
        <v>5</v>
      </c>
      <c r="J47" s="4" t="n">
        <f aca="false">ROUNDUP(datos_base!J7*$B$26*$D$26*MAX(parametros_recargas!$B$45:$M$45)/$B$5,0)</f>
        <v>6</v>
      </c>
      <c r="K47" s="4" t="n">
        <f aca="false">ROUNDUP(datos_base!K7*$B$26*$D$26*MAX(parametros_recargas!$B$46:$M$46)/$B$5,0)</f>
        <v>6</v>
      </c>
    </row>
    <row r="48" customFormat="false" ht="15" hidden="false" customHeight="false" outlineLevel="0" collapsed="false">
      <c r="A48" s="8" t="str">
        <f aca="false">datos_base!A8</f>
        <v>AFFF 50 l s/ruedas</v>
      </c>
      <c r="B48" s="4" t="n">
        <f aca="false">ROUNDUP(datos_base!B8*$B$27*$D$27*MAX(parametros_recargas!$B$37:$M$37)/$B$5,0)</f>
        <v>1</v>
      </c>
      <c r="C48" s="4" t="n">
        <f aca="false">ROUNDUP(datos_base!C8*$B$27*$D$27*MAX(parametros_recargas!$B$38:$M$38)/$B$5,0)</f>
        <v>1</v>
      </c>
      <c r="D48" s="4" t="n">
        <f aca="false">ROUNDUP(datos_base!D8*$B$27*$D$27*MAX(parametros_recargas!$B$39:$M$39)/$B$5,0)</f>
        <v>1</v>
      </c>
      <c r="E48" s="4" t="n">
        <f aca="false">ROUNDUP(datos_base!E8*$B$27*$D$27*MAX(parametros_recargas!$B$40:$M$40)/$B$5,0)</f>
        <v>2</v>
      </c>
      <c r="F48" s="4" t="n">
        <f aca="false">ROUNDUP(datos_base!F8*$B$27*$D$27*MAX(parametros_recargas!$B$41:$M$41)/$B$5,0)</f>
        <v>2</v>
      </c>
      <c r="G48" s="4" t="n">
        <f aca="false">ROUNDUP(datos_base!G8*$B$27*$D$27*MAX(parametros_recargas!$B$42:$M$42)/$B$5,0)</f>
        <v>2</v>
      </c>
      <c r="H48" s="4" t="n">
        <f aca="false">ROUNDUP(datos_base!H8*$B$27*$D$27*MAX(parametros_recargas!$B$43:$M$43)/$B$5,0)</f>
        <v>3</v>
      </c>
      <c r="I48" s="4" t="n">
        <f aca="false">ROUNDUP(datos_base!I8*$B$27*$D$27*MAX(parametros_recargas!$B$44:$M$44)/$B$5,0)</f>
        <v>3</v>
      </c>
      <c r="J48" s="4" t="n">
        <f aca="false">ROUNDUP(datos_base!J8*$B$27*$D$27*MAX(parametros_recargas!$B$45:$M$45)/$B$5,0)</f>
        <v>3</v>
      </c>
      <c r="K48" s="4" t="n">
        <f aca="false">ROUNDUP(datos_base!K8*$B$27*$D$27*MAX(parametros_recargas!$B$46:$M$46)/$B$5,0)</f>
        <v>4</v>
      </c>
    </row>
    <row r="49" customFormat="false" ht="15" hidden="false" customHeight="false" outlineLevel="0" collapsed="false">
      <c r="A49" s="8" t="str">
        <f aca="false">datos_base!A9</f>
        <v>BC 5 kg</v>
      </c>
      <c r="B49" s="4" t="n">
        <f aca="false">ROUNDUP(datos_base!B9*$B$28*$D$28*MAX(parametros_recargas!$B$37:$M$37)/$B$5,0)</f>
        <v>1</v>
      </c>
      <c r="C49" s="4" t="n">
        <f aca="false">ROUNDUP(datos_base!C9*$B$28*$D$28*MAX(parametros_recargas!$B$38:$M$38)/$B$5,0)</f>
        <v>1</v>
      </c>
      <c r="D49" s="4" t="n">
        <f aca="false">ROUNDUP(datos_base!D9*$B$28*$D$28*MAX(parametros_recargas!$B$39:$M$39)/$B$5,0)</f>
        <v>1</v>
      </c>
      <c r="E49" s="4" t="n">
        <f aca="false">ROUNDUP(datos_base!E9*$B$28*$D$28*MAX(parametros_recargas!$B$40:$M$40)/$B$5,0)</f>
        <v>1</v>
      </c>
      <c r="F49" s="4" t="n">
        <f aca="false">ROUNDUP(datos_base!F9*$B$28*$D$28*MAX(parametros_recargas!$B$41:$M$41)/$B$5,0)</f>
        <v>1</v>
      </c>
      <c r="G49" s="4" t="n">
        <f aca="false">ROUNDUP(datos_base!G9*$B$28*$D$28*MAX(parametros_recargas!$B$42:$M$42)/$B$5,0)</f>
        <v>2</v>
      </c>
      <c r="H49" s="4" t="n">
        <f aca="false">ROUNDUP(datos_base!H9*$B$28*$D$28*MAX(parametros_recargas!$B$43:$M$43)/$B$5,0)</f>
        <v>2</v>
      </c>
      <c r="I49" s="4" t="n">
        <f aca="false">ROUNDUP(datos_base!I9*$B$28*$D$28*MAX(parametros_recargas!$B$44:$M$44)/$B$5,0)</f>
        <v>2</v>
      </c>
      <c r="J49" s="4" t="n">
        <f aca="false">ROUNDUP(datos_base!J9*$B$28*$D$28*MAX(parametros_recargas!$B$45:$M$45)/$B$5,0)</f>
        <v>2</v>
      </c>
      <c r="K49" s="4" t="n">
        <f aca="false">ROUNDUP(datos_base!K9*$B$28*$D$28*MAX(parametros_recargas!$B$46:$M$46)/$B$5,0)</f>
        <v>2</v>
      </c>
    </row>
    <row r="50" customFormat="false" ht="15" hidden="false" customHeight="false" outlineLevel="0" collapsed="false">
      <c r="A50" s="8" t="str">
        <f aca="false">datos_base!A10</f>
        <v>Sales K 6 l</v>
      </c>
      <c r="B50" s="4" t="n">
        <f aca="false">ROUNDUP(datos_base!B10*$B$29*$D$29*MAX(parametros_recargas!$B$37:$M$37)/$B$5,0)</f>
        <v>1</v>
      </c>
      <c r="C50" s="4" t="n">
        <f aca="false">ROUNDUP(datos_base!C10*$B$29*$D$29*MAX(parametros_recargas!$B$38:$M$38)/$B$5,0)</f>
        <v>2</v>
      </c>
      <c r="D50" s="4" t="n">
        <f aca="false">ROUNDUP(datos_base!D10*$B$29*$D$29*MAX(parametros_recargas!$B$39:$M$39)/$B$5,0)</f>
        <v>3</v>
      </c>
      <c r="E50" s="4" t="n">
        <f aca="false">ROUNDUP(datos_base!E10*$B$29*$D$29*MAX(parametros_recargas!$B$40:$M$40)/$B$5,0)</f>
        <v>5</v>
      </c>
      <c r="F50" s="4" t="n">
        <f aca="false">ROUNDUP(datos_base!F10*$B$29*$D$29*MAX(parametros_recargas!$B$41:$M$41)/$B$5,0)</f>
        <v>8</v>
      </c>
      <c r="G50" s="4" t="n">
        <f aca="false">ROUNDUP(datos_base!G10*$B$29*$D$29*MAX(parametros_recargas!$B$42:$M$42)/$B$5,0)</f>
        <v>10</v>
      </c>
      <c r="H50" s="4" t="n">
        <f aca="false">ROUNDUP(datos_base!H10*$B$29*$D$29*MAX(parametros_recargas!$B$43:$M$43)/$B$5,0)</f>
        <v>12</v>
      </c>
      <c r="I50" s="4" t="n">
        <f aca="false">ROUNDUP(datos_base!I10*$B$29*$D$29*MAX(parametros_recargas!$B$44:$M$44)/$B$5,0)</f>
        <v>13</v>
      </c>
      <c r="J50" s="4" t="n">
        <f aca="false">ROUNDUP(datos_base!J10*$B$29*$D$29*MAX(parametros_recargas!$B$45:$M$45)/$B$5,0)</f>
        <v>14</v>
      </c>
      <c r="K50" s="4" t="n">
        <f aca="false">ROUNDUP(datos_base!K10*$B$29*$D$29*MAX(parametros_recargas!$B$46:$M$46)/$B$5,0)</f>
        <v>16</v>
      </c>
    </row>
    <row r="51" customFormat="false" ht="15" hidden="false" customHeight="false" outlineLevel="0" collapsed="false">
      <c r="A51" s="8" t="str">
        <f aca="false">datos_base!A11</f>
        <v>CO₂ 2 kg</v>
      </c>
      <c r="B51" s="4" t="n">
        <f aca="false">ROUNDUP(datos_base!B11*$B$30*$D$30*MAX(parametros_recargas!$B$37:$M$37)/$B$5,0)</f>
        <v>2</v>
      </c>
      <c r="C51" s="4" t="n">
        <f aca="false">ROUNDUP(datos_base!C11*$B$30*$D$30*MAX(parametros_recargas!$B$38:$M$38)/$B$5,0)</f>
        <v>7</v>
      </c>
      <c r="D51" s="4" t="n">
        <f aca="false">ROUNDUP(datos_base!D11*$B$30*$D$30*MAX(parametros_recargas!$B$39:$M$39)/$B$5,0)</f>
        <v>15</v>
      </c>
      <c r="E51" s="4" t="n">
        <f aca="false">ROUNDUP(datos_base!E11*$B$30*$D$30*MAX(parametros_recargas!$B$40:$M$40)/$B$5,0)</f>
        <v>28</v>
      </c>
      <c r="F51" s="4" t="n">
        <f aca="false">ROUNDUP(datos_base!F11*$B$30*$D$30*MAX(parametros_recargas!$B$41:$M$41)/$B$5,0)</f>
        <v>40</v>
      </c>
      <c r="G51" s="4" t="n">
        <f aca="false">ROUNDUP(datos_base!G11*$B$30*$D$30*MAX(parametros_recargas!$B$42:$M$42)/$B$5,0)</f>
        <v>53</v>
      </c>
      <c r="H51" s="4" t="n">
        <f aca="false">ROUNDUP(datos_base!H11*$B$30*$D$30*MAX(parametros_recargas!$B$43:$M$43)/$B$5,0)</f>
        <v>64</v>
      </c>
      <c r="I51" s="4" t="n">
        <f aca="false">ROUNDUP(datos_base!I11*$B$30*$D$30*MAX(parametros_recargas!$B$44:$M$44)/$B$5,0)</f>
        <v>71</v>
      </c>
      <c r="J51" s="4" t="n">
        <f aca="false">ROUNDUP(datos_base!J11*$B$30*$D$30*MAX(parametros_recargas!$B$45:$M$45)/$B$5,0)</f>
        <v>77</v>
      </c>
      <c r="K51" s="4" t="n">
        <f aca="false">ROUNDUP(datos_base!K11*$B$30*$D$30*MAX(parametros_recargas!$B$46:$M$46)/$B$5,0)</f>
        <v>82</v>
      </c>
    </row>
    <row r="52" customFormat="false" ht="15" hidden="false" customHeight="false" outlineLevel="0" collapsed="false">
      <c r="A52" s="8" t="str">
        <f aca="false">datos_base!A12</f>
        <v>CO₂ 5 kg</v>
      </c>
      <c r="B52" s="4" t="n">
        <f aca="false">ROUNDUP(datos_base!B12*$B$31*$D$31*MAX(parametros_recargas!$B$37:$M$37)/$B$5,0)</f>
        <v>1</v>
      </c>
      <c r="C52" s="4" t="n">
        <f aca="false">ROUNDUP(datos_base!C12*$B$31*$D$31*MAX(parametros_recargas!$B$38:$M$38)/$B$5,0)</f>
        <v>3</v>
      </c>
      <c r="D52" s="4" t="n">
        <f aca="false">ROUNDUP(datos_base!D12*$B$31*$D$31*MAX(parametros_recargas!$B$39:$M$39)/$B$5,0)</f>
        <v>5</v>
      </c>
      <c r="E52" s="4" t="n">
        <f aca="false">ROUNDUP(datos_base!E12*$B$31*$D$31*MAX(parametros_recargas!$B$40:$M$40)/$B$5,0)</f>
        <v>9</v>
      </c>
      <c r="F52" s="4" t="n">
        <f aca="false">ROUNDUP(datos_base!F12*$B$31*$D$31*MAX(parametros_recargas!$B$41:$M$41)/$B$5,0)</f>
        <v>13</v>
      </c>
      <c r="G52" s="4" t="n">
        <f aca="false">ROUNDUP(datos_base!G12*$B$31*$D$31*MAX(parametros_recargas!$B$42:$M$42)/$B$5,0)</f>
        <v>18</v>
      </c>
      <c r="H52" s="4" t="n">
        <f aca="false">ROUNDUP(datos_base!H12*$B$31*$D$31*MAX(parametros_recargas!$B$43:$M$43)/$B$5,0)</f>
        <v>22</v>
      </c>
      <c r="I52" s="4" t="n">
        <f aca="false">ROUNDUP(datos_base!I12*$B$31*$D$31*MAX(parametros_recargas!$B$44:$M$44)/$B$5,0)</f>
        <v>24</v>
      </c>
      <c r="J52" s="4" t="n">
        <f aca="false">ROUNDUP(datos_base!J12*$B$31*$D$31*MAX(parametros_recargas!$B$45:$M$45)/$B$5,0)</f>
        <v>26</v>
      </c>
      <c r="K52" s="4" t="n">
        <f aca="false">ROUNDUP(datos_base!K12*$B$31*$D$31*MAX(parametros_recargas!$B$46:$M$46)/$B$5,0)</f>
        <v>28</v>
      </c>
    </row>
    <row r="53" customFormat="false" ht="15" hidden="false" customHeight="false" outlineLevel="0" collapsed="false">
      <c r="A53" s="8" t="str">
        <f aca="false">datos_base!A13</f>
        <v>HCFC/HFC 5 kg</v>
      </c>
      <c r="B53" s="4" t="n">
        <f aca="false">ROUNDUP(datos_base!B13*$B$32*$D$32*MAX(parametros_recargas!$B$37:$M$37)/$B$5,0)</f>
        <v>1</v>
      </c>
      <c r="C53" s="4" t="n">
        <f aca="false">ROUNDUP(datos_base!C13*$B$32*$D$32*MAX(parametros_recargas!$B$38:$M$38)/$B$5,0)</f>
        <v>1</v>
      </c>
      <c r="D53" s="4" t="n">
        <f aca="false">ROUNDUP(datos_base!D13*$B$32*$D$32*MAX(parametros_recargas!$B$39:$M$39)/$B$5,0)</f>
        <v>1</v>
      </c>
      <c r="E53" s="4" t="n">
        <f aca="false">ROUNDUP(datos_base!E13*$B$32*$D$32*MAX(parametros_recargas!$B$40:$M$40)/$B$5,0)</f>
        <v>2</v>
      </c>
      <c r="F53" s="4" t="n">
        <f aca="false">ROUNDUP(datos_base!F13*$B$32*$D$32*MAX(parametros_recargas!$B$41:$M$41)/$B$5,0)</f>
        <v>3</v>
      </c>
      <c r="G53" s="4" t="n">
        <f aca="false">ROUNDUP(datos_base!G13*$B$32*$D$32*MAX(parametros_recargas!$B$42:$M$42)/$B$5,0)</f>
        <v>3</v>
      </c>
      <c r="H53" s="4" t="n">
        <f aca="false">ROUNDUP(datos_base!H13*$B$32*$D$32*MAX(parametros_recargas!$B$43:$M$43)/$B$5,0)</f>
        <v>4</v>
      </c>
      <c r="I53" s="4" t="n">
        <f aca="false">ROUNDUP(datos_base!I13*$B$32*$D$32*MAX(parametros_recargas!$B$44:$M$44)/$B$5,0)</f>
        <v>4</v>
      </c>
      <c r="J53" s="4" t="n">
        <f aca="false">ROUNDUP(datos_base!J13*$B$32*$D$32*MAX(parametros_recargas!$B$45:$M$45)/$B$5,0)</f>
        <v>5</v>
      </c>
      <c r="K53" s="4" t="n">
        <f aca="false">ROUNDUP(datos_base!K13*$B$32*$D$32*MAX(parametros_recargas!$B$46:$M$46)/$B$5,0)</f>
        <v>5</v>
      </c>
    </row>
    <row r="54" customFormat="false" ht="15" hidden="false" customHeight="false" outlineLevel="0" collapsed="false">
      <c r="A54" s="8" t="str">
        <f aca="false">datos_base!A14</f>
        <v>Clase D 9 l</v>
      </c>
      <c r="B54" s="4" t="n">
        <f aca="false">ROUNDUP(datos_base!B14*$B$33*$D$33*MAX(parametros_recargas!$B$37:$M$37)/$B$5,0)</f>
        <v>1</v>
      </c>
      <c r="C54" s="4" t="n">
        <f aca="false">ROUNDUP(datos_base!C14*$B$33*$D$33*MAX(parametros_recargas!$B$38:$M$38)/$B$5,0)</f>
        <v>1</v>
      </c>
      <c r="D54" s="4" t="n">
        <f aca="false">ROUNDUP(datos_base!D14*$B$33*$D$33*MAX(parametros_recargas!$B$39:$M$39)/$B$5,0)</f>
        <v>1</v>
      </c>
      <c r="E54" s="4" t="n">
        <f aca="false">ROUNDUP(datos_base!E14*$B$33*$D$33*MAX(parametros_recargas!$B$40:$M$40)/$B$5,0)</f>
        <v>1</v>
      </c>
      <c r="F54" s="4" t="n">
        <f aca="false">ROUNDUP(datos_base!F14*$B$33*$D$33*MAX(parametros_recargas!$B$41:$M$41)/$B$5,0)</f>
        <v>1</v>
      </c>
      <c r="G54" s="4" t="n">
        <f aca="false">ROUNDUP(datos_base!G14*$B$33*$D$33*MAX(parametros_recargas!$B$42:$M$42)/$B$5,0)</f>
        <v>1</v>
      </c>
      <c r="H54" s="4" t="n">
        <f aca="false">ROUNDUP(datos_base!H14*$B$33*$D$33*MAX(parametros_recargas!$B$43:$M$43)/$B$5,0)</f>
        <v>2</v>
      </c>
      <c r="I54" s="4" t="n">
        <f aca="false">ROUNDUP(datos_base!I14*$B$33*$D$33*MAX(parametros_recargas!$B$44:$M$44)/$B$5,0)</f>
        <v>2</v>
      </c>
      <c r="J54" s="4" t="n">
        <f aca="false">ROUNDUP(datos_base!J14*$B$33*$D$33*MAX(parametros_recargas!$B$45:$M$45)/$B$5,0)</f>
        <v>2</v>
      </c>
      <c r="K54" s="4" t="n">
        <f aca="false">ROUNDUP(datos_base!K14*$B$33*$D$33*MAX(parametros_recargas!$B$46:$M$46)/$B$5,0)</f>
        <v>2</v>
      </c>
    </row>
    <row r="55" customFormat="false" ht="15" hidden="false" customHeight="false" outlineLevel="0" collapsed="false">
      <c r="A55" s="8" t="str">
        <f aca="false">datos_base!A15</f>
        <v>ABC 25 kg s/ruedas</v>
      </c>
      <c r="B55" s="4" t="n">
        <f aca="false">ROUNDUP(datos_base!B15*$B$34*$D$34*MAX(parametros_recargas!$B$37:$M$37)/$B$5,0)</f>
        <v>1</v>
      </c>
      <c r="C55" s="4" t="n">
        <f aca="false">ROUNDUP(datos_base!C15*$B$34*$D$34*MAX(parametros_recargas!$B$38:$M$38)/$B$5,0)</f>
        <v>1</v>
      </c>
      <c r="D55" s="4" t="n">
        <f aca="false">ROUNDUP(datos_base!D15*$B$34*$D$34*MAX(parametros_recargas!$B$39:$M$39)/$B$5,0)</f>
        <v>1</v>
      </c>
      <c r="E55" s="4" t="n">
        <f aca="false">ROUNDUP(datos_base!E15*$B$34*$D$34*MAX(parametros_recargas!$B$40:$M$40)/$B$5,0)</f>
        <v>2</v>
      </c>
      <c r="F55" s="4" t="n">
        <f aca="false">ROUNDUP(datos_base!F15*$B$34*$D$34*MAX(parametros_recargas!$B$41:$M$41)/$B$5,0)</f>
        <v>2</v>
      </c>
      <c r="G55" s="4" t="n">
        <f aca="false">ROUNDUP(datos_base!G15*$B$34*$D$34*MAX(parametros_recargas!$B$42:$M$42)/$B$5,0)</f>
        <v>3</v>
      </c>
      <c r="H55" s="4" t="n">
        <f aca="false">ROUNDUP(datos_base!H15*$B$34*$D$34*MAX(parametros_recargas!$B$43:$M$43)/$B$5,0)</f>
        <v>3</v>
      </c>
      <c r="I55" s="4" t="n">
        <f aca="false">ROUNDUP(datos_base!I15*$B$34*$D$34*MAX(parametros_recargas!$B$44:$M$44)/$B$5,0)</f>
        <v>4</v>
      </c>
      <c r="J55" s="4" t="n">
        <f aca="false">ROUNDUP(datos_base!J15*$B$34*$D$34*MAX(parametros_recargas!$B$45:$M$45)/$B$5,0)</f>
        <v>4</v>
      </c>
      <c r="K55" s="4" t="n">
        <f aca="false">ROUNDUP(datos_base!K15*$B$34*$D$34*MAX(parametros_recargas!$B$46:$M$46)/$B$5,0)</f>
        <v>4</v>
      </c>
    </row>
    <row r="56" customFormat="false" ht="15" hidden="false" customHeight="false" outlineLevel="0" collapsed="false">
      <c r="A56" s="8" t="str">
        <f aca="false">datos_base!A16</f>
        <v>ABC 50 kg s/ruedas</v>
      </c>
      <c r="B56" s="4" t="n">
        <f aca="false">ROUNDUP(datos_base!B16*$B$35*$D$35*MAX(parametros_recargas!$B$37:$M$37)/$B$5,0)</f>
        <v>1</v>
      </c>
      <c r="C56" s="4" t="n">
        <f aca="false">ROUNDUP(datos_base!C16*$B$35*$D$35*MAX(parametros_recargas!$B$38:$M$38)/$B$5,0)</f>
        <v>1</v>
      </c>
      <c r="D56" s="4" t="n">
        <f aca="false">ROUNDUP(datos_base!D16*$B$35*$D$35*MAX(parametros_recargas!$B$39:$M$39)/$B$5,0)</f>
        <v>2</v>
      </c>
      <c r="E56" s="4" t="n">
        <f aca="false">ROUNDUP(datos_base!E16*$B$35*$D$35*MAX(parametros_recargas!$B$40:$M$40)/$B$5,0)</f>
        <v>3</v>
      </c>
      <c r="F56" s="4" t="n">
        <f aca="false">ROUNDUP(datos_base!F16*$B$35*$D$35*MAX(parametros_recargas!$B$41:$M$41)/$B$5,0)</f>
        <v>4</v>
      </c>
      <c r="G56" s="4" t="n">
        <f aca="false">ROUNDUP(datos_base!G16*$B$35*$D$35*MAX(parametros_recargas!$B$42:$M$42)/$B$5,0)</f>
        <v>6</v>
      </c>
      <c r="H56" s="4" t="n">
        <f aca="false">ROUNDUP(datos_base!H16*$B$35*$D$35*MAX(parametros_recargas!$B$43:$M$43)/$B$5,0)</f>
        <v>7</v>
      </c>
      <c r="I56" s="4" t="n">
        <f aca="false">ROUNDUP(datos_base!I16*$B$35*$D$35*MAX(parametros_recargas!$B$44:$M$44)/$B$5,0)</f>
        <v>8</v>
      </c>
      <c r="J56" s="4" t="n">
        <f aca="false">ROUNDUP(datos_base!J16*$B$35*$D$35*MAX(parametros_recargas!$B$45:$M$45)/$B$5,0)</f>
        <v>8</v>
      </c>
      <c r="K56" s="4" t="n">
        <f aca="false">ROUNDUP(datos_base!K16*$B$35*$D$35*MAX(parametros_recargas!$B$46:$M$46)/$B$5,0)</f>
        <v>9</v>
      </c>
    </row>
    <row r="57" customFormat="false" ht="15" hidden="false" customHeight="false" outlineLevel="0" collapsed="false">
      <c r="A57" s="8" t="str">
        <f aca="false">datos_base!A17</f>
        <v>ABC 70 kg s/ruedas</v>
      </c>
      <c r="B57" s="4" t="n">
        <f aca="false">ROUNDUP(datos_base!B17*$B$36*$D$36*MAX(parametros_recargas!$B$37:$M$37)/$B$5,0)</f>
        <v>1</v>
      </c>
      <c r="C57" s="4" t="n">
        <f aca="false">ROUNDUP(datos_base!C17*$B$36*$D$36*MAX(parametros_recargas!$B$38:$M$38)/$B$5,0)</f>
        <v>1</v>
      </c>
      <c r="D57" s="4" t="n">
        <f aca="false">ROUNDUP(datos_base!D17*$B$36*$D$36*MAX(parametros_recargas!$B$39:$M$39)/$B$5,0)</f>
        <v>1</v>
      </c>
      <c r="E57" s="4" t="n">
        <f aca="false">ROUNDUP(datos_base!E17*$B$36*$D$36*MAX(parametros_recargas!$B$40:$M$40)/$B$5,0)</f>
        <v>1</v>
      </c>
      <c r="F57" s="4" t="n">
        <f aca="false">ROUNDUP(datos_base!F17*$B$36*$D$36*MAX(parametros_recargas!$B$41:$M$41)/$B$5,0)</f>
        <v>1</v>
      </c>
      <c r="G57" s="4" t="n">
        <f aca="false">ROUNDUP(datos_base!G17*$B$36*$D$36*MAX(parametros_recargas!$B$42:$M$42)/$B$5,0)</f>
        <v>2</v>
      </c>
      <c r="H57" s="4" t="n">
        <f aca="false">ROUNDUP(datos_base!H17*$B$36*$D$36*MAX(parametros_recargas!$B$43:$M$43)/$B$5,0)</f>
        <v>2</v>
      </c>
      <c r="I57" s="4" t="n">
        <f aca="false">ROUNDUP(datos_base!I17*$B$36*$D$36*MAX(parametros_recargas!$B$44:$M$44)/$B$5,0)</f>
        <v>2</v>
      </c>
      <c r="J57" s="4" t="n">
        <f aca="false">ROUNDUP(datos_base!J17*$B$36*$D$36*MAX(parametros_recargas!$B$45:$M$45)/$B$5,0)</f>
        <v>2</v>
      </c>
      <c r="K57" s="4" t="n">
        <f aca="false">ROUNDUP(datos_base!K17*$B$36*$D$36*MAX(parametros_recargas!$B$46:$M$46)/$B$5,0)</f>
        <v>2</v>
      </c>
    </row>
    <row r="58" customFormat="false" ht="15" hidden="false" customHeight="false" outlineLevel="0" collapsed="false">
      <c r="A58" s="8" t="str">
        <f aca="false">datos_base!A18</f>
        <v>ABC 100 kg s/ruedas</v>
      </c>
      <c r="B58" s="4" t="n">
        <f aca="false">ROUNDUP(datos_base!B18*$B$37*$D$37*MAX(parametros_recargas!$B$37:$M$37)/$B$5,0)</f>
        <v>1</v>
      </c>
      <c r="C58" s="4" t="n">
        <f aca="false">ROUNDUP(datos_base!C18*$B$37*$D$37*MAX(parametros_recargas!$B$38:$M$38)/$B$5,0)</f>
        <v>1</v>
      </c>
      <c r="D58" s="4" t="n">
        <f aca="false">ROUNDUP(datos_base!D18*$B$37*$D$37*MAX(parametros_recargas!$B$39:$M$39)/$B$5,0)</f>
        <v>1</v>
      </c>
      <c r="E58" s="4" t="n">
        <f aca="false">ROUNDUP(datos_base!E18*$B$37*$D$37*MAX(parametros_recargas!$B$40:$M$40)/$B$5,0)</f>
        <v>1</v>
      </c>
      <c r="F58" s="4" t="n">
        <f aca="false">ROUNDUP(datos_base!F18*$B$37*$D$37*MAX(parametros_recargas!$B$41:$M$41)/$B$5,0)</f>
        <v>1</v>
      </c>
      <c r="G58" s="4" t="n">
        <f aca="false">ROUNDUP(datos_base!G18*$B$37*$D$37*MAX(parametros_recargas!$B$42:$M$42)/$B$5,0)</f>
        <v>1</v>
      </c>
      <c r="H58" s="4" t="n">
        <f aca="false">ROUNDUP(datos_base!H18*$B$37*$D$37*MAX(parametros_recargas!$B$43:$M$43)/$B$5,0)</f>
        <v>1</v>
      </c>
      <c r="I58" s="4" t="n">
        <f aca="false">ROUNDUP(datos_base!I18*$B$37*$D$37*MAX(parametros_recargas!$B$44:$M$44)/$B$5,0)</f>
        <v>2</v>
      </c>
      <c r="J58" s="4" t="n">
        <f aca="false">ROUNDUP(datos_base!J18*$B$37*$D$37*MAX(parametros_recargas!$B$45:$M$45)/$B$5,0)</f>
        <v>2</v>
      </c>
      <c r="K58" s="4" t="n">
        <f aca="false">ROUNDUP(datos_base!K18*$B$37*$D$37*MAX(parametros_recargas!$B$46:$M$46)/$B$5,0)</f>
        <v>2</v>
      </c>
    </row>
    <row r="59" customFormat="false" ht="15" hidden="false" customHeight="false" outlineLevel="0" collapsed="false">
      <c r="A59" s="5" t="s">
        <v>66</v>
      </c>
      <c r="B59" s="6" t="n">
        <f aca="false">SUM(B42:B58)</f>
        <v>25</v>
      </c>
      <c r="C59" s="6" t="n">
        <f aca="false">SUM(C42:C58)</f>
        <v>60</v>
      </c>
      <c r="D59" s="6" t="n">
        <f aca="false">SUM(D42:D58)</f>
        <v>120</v>
      </c>
      <c r="E59" s="6" t="n">
        <f aca="false">SUM(E42:E58)</f>
        <v>217</v>
      </c>
      <c r="F59" s="6" t="n">
        <f aca="false">SUM(F42:F58)</f>
        <v>309</v>
      </c>
      <c r="G59" s="6" t="n">
        <f aca="false">SUM(G42:G58)</f>
        <v>409</v>
      </c>
      <c r="H59" s="6" t="n">
        <f aca="false">SUM(H42:H58)</f>
        <v>499</v>
      </c>
      <c r="I59" s="6" t="n">
        <f aca="false">SUM(I42:I58)</f>
        <v>553</v>
      </c>
      <c r="J59" s="6" t="n">
        <f aca="false">SUM(J42:J58)</f>
        <v>597</v>
      </c>
      <c r="K59" s="6" t="n">
        <f aca="false">SUM(K42:K58)</f>
        <v>640</v>
      </c>
    </row>
    <row r="61" customFormat="false" ht="15" hidden="false" customHeight="false" outlineLevel="0" collapsed="false">
      <c r="A61" s="1" t="s">
        <v>296</v>
      </c>
    </row>
    <row r="62" customFormat="false" ht="15" hidden="false" customHeight="false" outlineLevel="0" collapsed="false">
      <c r="A62" s="10" t="s">
        <v>297</v>
      </c>
    </row>
    <row r="63" customFormat="false" ht="15" hidden="false" customHeight="false" outlineLevel="0" collapsed="false">
      <c r="A63" s="2" t="s">
        <v>143</v>
      </c>
      <c r="B63" s="2" t="n">
        <v>2026</v>
      </c>
      <c r="C63" s="2" t="n">
        <v>2027</v>
      </c>
      <c r="D63" s="2" t="n">
        <v>2028</v>
      </c>
      <c r="E63" s="2" t="n">
        <v>2029</v>
      </c>
      <c r="F63" s="2" t="n">
        <v>2030</v>
      </c>
      <c r="G63" s="2" t="n">
        <v>2031</v>
      </c>
      <c r="H63" s="2" t="n">
        <v>2032</v>
      </c>
      <c r="I63" s="2" t="n">
        <v>2033</v>
      </c>
      <c r="J63" s="2" t="n">
        <v>2034</v>
      </c>
      <c r="K63" s="2" t="n">
        <v>2035</v>
      </c>
    </row>
    <row r="64" customFormat="false" ht="15" hidden="false" customHeight="false" outlineLevel="0" collapsed="false">
      <c r="A64" s="8" t="str">
        <f aca="false">datos_base!A2</f>
        <v>ABC 1 kg</v>
      </c>
      <c r="B64" s="21" t="n">
        <f aca="false">B42</f>
        <v>0</v>
      </c>
      <c r="C64" s="21" t="n">
        <f aca="false">MAX(0,C42-B42)+B42*IF(parametros_recargas!$B$51="CO₂",parametros_recargas!$B$23,parametros_recargas!$B$24)</f>
        <v>0</v>
      </c>
      <c r="D64" s="21" t="n">
        <f aca="false">MAX(0,D42-C42)+C42*IF(parametros_recargas!$B$51="CO₂",parametros_recargas!$B$23,parametros_recargas!$B$24)</f>
        <v>0</v>
      </c>
      <c r="E64" s="21" t="n">
        <f aca="false">MAX(0,E42-D42)+D42*IF(parametros_recargas!$B$51="CO₂",parametros_recargas!$B$23,parametros_recargas!$B$24)</f>
        <v>0</v>
      </c>
      <c r="F64" s="21" t="n">
        <f aca="false">MAX(0,F42-E42)+E42*IF(parametros_recargas!$B$51="CO₂",parametros_recargas!$B$23,parametros_recargas!$B$24)</f>
        <v>0</v>
      </c>
      <c r="G64" s="21" t="n">
        <f aca="false">MAX(0,G42-F42)+F42*IF(parametros_recargas!$B$51="CO₂",parametros_recargas!$B$23,parametros_recargas!$B$24)</f>
        <v>0</v>
      </c>
      <c r="H64" s="21" t="n">
        <f aca="false">MAX(0,H42-G42)+G42*IF(parametros_recargas!$B$51="CO₂",parametros_recargas!$B$23,parametros_recargas!$B$24)</f>
        <v>0</v>
      </c>
      <c r="I64" s="21" t="n">
        <f aca="false">MAX(0,I42-H42)+H42*IF(parametros_recargas!$B$51="CO₂",parametros_recargas!$B$23,parametros_recargas!$B$24)</f>
        <v>0</v>
      </c>
      <c r="J64" s="21" t="n">
        <f aca="false">MAX(0,J42-I42)+I42*IF(parametros_recargas!$B$51="CO₂",parametros_recargas!$B$23,parametros_recargas!$B$24)</f>
        <v>0</v>
      </c>
      <c r="K64" s="21" t="n">
        <f aca="false">MAX(0,K42-J42)+J42*IF(parametros_recargas!$B$51="CO₂",parametros_recargas!$B$23,parametros_recargas!$B$24)</f>
        <v>0</v>
      </c>
    </row>
    <row r="65" customFormat="false" ht="15" hidden="false" customHeight="false" outlineLevel="0" collapsed="false">
      <c r="A65" s="8" t="str">
        <f aca="false">datos_base!A3</f>
        <v>ABC 2,5 kg</v>
      </c>
      <c r="B65" s="21" t="n">
        <f aca="false">B43</f>
        <v>2</v>
      </c>
      <c r="C65" s="21" t="n">
        <f aca="false">MAX(0,C43-B43)+B43*IF(parametros_recargas!$B$52="CO₂",parametros_recargas!$B$23,parametros_recargas!$B$24)</f>
        <v>3.16</v>
      </c>
      <c r="D65" s="21" t="n">
        <f aca="false">MAX(0,D43-C43)+C43*IF(parametros_recargas!$B$52="CO₂",parametros_recargas!$B$23,parametros_recargas!$B$24)</f>
        <v>6.4</v>
      </c>
      <c r="E65" s="21" t="n">
        <f aca="false">MAX(0,E43-D43)+D43*IF(parametros_recargas!$B$52="CO₂",parametros_recargas!$B$23,parametros_recargas!$B$24)</f>
        <v>9.88</v>
      </c>
      <c r="F65" s="21" t="n">
        <f aca="false">MAX(0,F43-E43)+E43*IF(parametros_recargas!$B$52="CO₂",parametros_recargas!$B$23,parametros_recargas!$B$24)</f>
        <v>10.6</v>
      </c>
      <c r="G65" s="21" t="n">
        <f aca="false">MAX(0,G43-F43)+F43*IF(parametros_recargas!$B$52="CO₂",parametros_recargas!$B$23,parametros_recargas!$B$24)</f>
        <v>11.32</v>
      </c>
      <c r="H65" s="21" t="n">
        <f aca="false">MAX(0,H43-G43)+G43*IF(parametros_recargas!$B$52="CO₂",parametros_recargas!$B$23,parametros_recargas!$B$24)</f>
        <v>12.04</v>
      </c>
      <c r="I65" s="21" t="n">
        <f aca="false">MAX(0,I43-H43)+H43*IF(parametros_recargas!$B$52="CO₂",parametros_recargas!$B$23,parametros_recargas!$B$24)</f>
        <v>8.76</v>
      </c>
      <c r="J65" s="21" t="n">
        <f aca="false">MAX(0,J43-I43)+I43*IF(parametros_recargas!$B$52="CO₂",parametros_recargas!$B$23,parametros_recargas!$B$24)</f>
        <v>8.16</v>
      </c>
      <c r="K65" s="21" t="n">
        <f aca="false">MAX(0,K43-J43)+J43*IF(parametros_recargas!$B$52="CO₂",parametros_recargas!$B$23,parametros_recargas!$B$24)</f>
        <v>8.48</v>
      </c>
    </row>
    <row r="66" customFormat="false" ht="15" hidden="false" customHeight="false" outlineLevel="0" collapsed="false">
      <c r="A66" s="8" t="str">
        <f aca="false">datos_base!A4</f>
        <v>ABC 5 kg</v>
      </c>
      <c r="B66" s="21" t="n">
        <f aca="false">B44</f>
        <v>8</v>
      </c>
      <c r="C66" s="21" t="n">
        <f aca="false">MAX(0,C44-B44)+B44*IF(parametros_recargas!$B$53="CO₂",parametros_recargas!$B$23,parametros_recargas!$B$24)</f>
        <v>21.64</v>
      </c>
      <c r="D66" s="21" t="n">
        <f aca="false">MAX(0,D44-C44)+C44*IF(parametros_recargas!$B$53="CO₂",parametros_recargas!$B$23,parametros_recargas!$B$24)</f>
        <v>38.32</v>
      </c>
      <c r="E66" s="21" t="n">
        <f aca="false">MAX(0,E44-D44)+D44*IF(parametros_recargas!$B$53="CO₂",parametros_recargas!$B$23,parametros_recargas!$B$24)</f>
        <v>62.2</v>
      </c>
      <c r="F66" s="21" t="n">
        <f aca="false">MAX(0,F44-E44)+E44*IF(parametros_recargas!$B$53="CO₂",parametros_recargas!$B$23,parametros_recargas!$B$24)</f>
        <v>62.76</v>
      </c>
      <c r="G66" s="21" t="n">
        <f aca="false">MAX(0,G44-F44)+F44*IF(parametros_recargas!$B$53="CO₂",parametros_recargas!$B$23,parametros_recargas!$B$24)</f>
        <v>71</v>
      </c>
      <c r="H66" s="21" t="n">
        <f aca="false">MAX(0,H44-G44)+G44*IF(parametros_recargas!$B$53="CO₂",parametros_recargas!$B$23,parametros_recargas!$B$24)</f>
        <v>70.56</v>
      </c>
      <c r="I66" s="21" t="n">
        <f aca="false">MAX(0,I44-H44)+H44*IF(parametros_recargas!$B$53="CO₂",parametros_recargas!$B$23,parametros_recargas!$B$24)</f>
        <v>53.72</v>
      </c>
      <c r="J66" s="21" t="n">
        <f aca="false">MAX(0,J44-I44)+I44*IF(parametros_recargas!$B$53="CO₂",parametros_recargas!$B$23,parametros_recargas!$B$24)</f>
        <v>50.2</v>
      </c>
      <c r="K66" s="21" t="n">
        <f aca="false">MAX(0,K44-J44)+J44*IF(parametros_recargas!$B$53="CO₂",parametros_recargas!$B$23,parametros_recargas!$B$24)</f>
        <v>52.2</v>
      </c>
    </row>
    <row r="67" customFormat="false" ht="15" hidden="false" customHeight="false" outlineLevel="0" collapsed="false">
      <c r="A67" s="8" t="str">
        <f aca="false">datos_base!A5</f>
        <v>ABC 10 kg</v>
      </c>
      <c r="B67" s="21" t="n">
        <f aca="false">B45</f>
        <v>1</v>
      </c>
      <c r="C67" s="21" t="n">
        <f aca="false">MAX(0,C45-B45)+B45*IF(parametros_recargas!$B$54="CO₂",parametros_recargas!$B$23,parametros_recargas!$B$24)</f>
        <v>1.08</v>
      </c>
      <c r="D67" s="21" t="n">
        <f aca="false">MAX(0,D45-C45)+C45*IF(parametros_recargas!$B$54="CO₂",parametros_recargas!$B$23,parametros_recargas!$B$24)</f>
        <v>2.16</v>
      </c>
      <c r="E67" s="21" t="n">
        <f aca="false">MAX(0,E45-D45)+D45*IF(parametros_recargas!$B$54="CO₂",parametros_recargas!$B$23,parametros_recargas!$B$24)</f>
        <v>4.32</v>
      </c>
      <c r="F67" s="21" t="n">
        <f aca="false">MAX(0,F45-E45)+E45*IF(parametros_recargas!$B$54="CO₂",parametros_recargas!$B$23,parametros_recargas!$B$24)</f>
        <v>3.64</v>
      </c>
      <c r="G67" s="21" t="n">
        <f aca="false">MAX(0,G45-F45)+F45*IF(parametros_recargas!$B$54="CO₂",parametros_recargas!$B$23,parametros_recargas!$B$24)</f>
        <v>3.88</v>
      </c>
      <c r="H67" s="21" t="n">
        <f aca="false">MAX(0,H45-G45)+G45*IF(parametros_recargas!$B$54="CO₂",parametros_recargas!$B$23,parametros_recargas!$B$24)</f>
        <v>4.12</v>
      </c>
      <c r="I67" s="21" t="n">
        <f aca="false">MAX(0,I45-H45)+H45*IF(parametros_recargas!$B$54="CO₂",parametros_recargas!$B$23,parametros_recargas!$B$24)</f>
        <v>3.36</v>
      </c>
      <c r="J67" s="21" t="n">
        <f aca="false">MAX(0,J45-I45)+I45*IF(parametros_recargas!$B$54="CO₂",parametros_recargas!$B$23,parametros_recargas!$B$24)</f>
        <v>3.52</v>
      </c>
      <c r="K67" s="21" t="n">
        <f aca="false">MAX(0,K45-J45)+J45*IF(parametros_recargas!$B$54="CO₂",parametros_recargas!$B$23,parametros_recargas!$B$24)</f>
        <v>2.68</v>
      </c>
    </row>
    <row r="68" customFormat="false" ht="15" hidden="false" customHeight="false" outlineLevel="0" collapsed="false">
      <c r="A68" s="8" t="str">
        <f aca="false">datos_base!A6</f>
        <v>Agua 10 l</v>
      </c>
      <c r="B68" s="21" t="n">
        <f aca="false">B46</f>
        <v>1</v>
      </c>
      <c r="C68" s="21" t="n">
        <f aca="false">MAX(0,C46-B46)+B46*IF(parametros_recargas!$B$55="CO₂",parametros_recargas!$B$23,parametros_recargas!$B$24)</f>
        <v>2.08</v>
      </c>
      <c r="D68" s="21" t="n">
        <f aca="false">MAX(0,D46-C46)+C46*IF(parametros_recargas!$B$55="CO₂",parametros_recargas!$B$23,parametros_recargas!$B$24)</f>
        <v>3.24</v>
      </c>
      <c r="E68" s="21" t="n">
        <f aca="false">MAX(0,E46-D46)+D46*IF(parametros_recargas!$B$55="CO₂",parametros_recargas!$B$23,parametros_recargas!$B$24)</f>
        <v>4.48</v>
      </c>
      <c r="F68" s="21" t="n">
        <f aca="false">MAX(0,F46-E46)+E46*IF(parametros_recargas!$B$55="CO₂",parametros_recargas!$B$23,parametros_recargas!$B$24)</f>
        <v>5.8</v>
      </c>
      <c r="G68" s="21" t="n">
        <f aca="false">MAX(0,G46-F46)+F46*IF(parametros_recargas!$B$55="CO₂",parametros_recargas!$B$23,parametros_recargas!$B$24)</f>
        <v>6.2</v>
      </c>
      <c r="H68" s="21" t="n">
        <f aca="false">MAX(0,H46-G46)+G46*IF(parametros_recargas!$B$55="CO₂",parametros_recargas!$B$23,parametros_recargas!$B$24)</f>
        <v>5.6</v>
      </c>
      <c r="I68" s="21" t="n">
        <f aca="false">MAX(0,I46-H46)+H46*IF(parametros_recargas!$B$55="CO₂",parametros_recargas!$B$23,parametros_recargas!$B$24)</f>
        <v>4.92</v>
      </c>
      <c r="J68" s="21" t="n">
        <f aca="false">MAX(0,J46-I46)+I46*IF(parametros_recargas!$B$55="CO₂",parametros_recargas!$B$23,parametros_recargas!$B$24)</f>
        <v>4.16</v>
      </c>
      <c r="K68" s="21" t="n">
        <f aca="false">MAX(0,K46-J46)+J46*IF(parametros_recargas!$B$55="CO₂",parametros_recargas!$B$23,parametros_recargas!$B$24)</f>
        <v>4.32</v>
      </c>
    </row>
    <row r="69" customFormat="false" ht="15" hidden="false" customHeight="false" outlineLevel="0" collapsed="false">
      <c r="A69" s="8" t="str">
        <f aca="false">datos_base!A7</f>
        <v>AFFF 10 l</v>
      </c>
      <c r="B69" s="21" t="n">
        <f aca="false">B47</f>
        <v>1</v>
      </c>
      <c r="C69" s="21" t="n">
        <f aca="false">MAX(0,C47-B47)+B47*IF(parametros_recargas!$B$56="CO₂",parametros_recargas!$B$23,parametros_recargas!$B$24)</f>
        <v>0.08</v>
      </c>
      <c r="D69" s="21" t="n">
        <f aca="false">MAX(0,D47-C47)+C47*IF(parametros_recargas!$B$56="CO₂",parametros_recargas!$B$23,parametros_recargas!$B$24)</f>
        <v>1.08</v>
      </c>
      <c r="E69" s="21" t="n">
        <f aca="false">MAX(0,E47-D47)+D47*IF(parametros_recargas!$B$56="CO₂",parametros_recargas!$B$23,parametros_recargas!$B$24)</f>
        <v>0.16</v>
      </c>
      <c r="F69" s="21" t="n">
        <f aca="false">MAX(0,F47-E47)+E47*IF(parametros_recargas!$B$56="CO₂",parametros_recargas!$B$23,parametros_recargas!$B$24)</f>
        <v>1.16</v>
      </c>
      <c r="G69" s="21" t="n">
        <f aca="false">MAX(0,G47-F47)+F47*IF(parametros_recargas!$B$56="CO₂",parametros_recargas!$B$23,parametros_recargas!$B$24)</f>
        <v>1.24</v>
      </c>
      <c r="H69" s="21" t="n">
        <f aca="false">MAX(0,H47-G47)+G47*IF(parametros_recargas!$B$56="CO₂",parametros_recargas!$B$23,parametros_recargas!$B$24)</f>
        <v>1.32</v>
      </c>
      <c r="I69" s="21" t="n">
        <f aca="false">MAX(0,I47-H47)+H47*IF(parametros_recargas!$B$56="CO₂",parametros_recargas!$B$23,parametros_recargas!$B$24)</f>
        <v>0.4</v>
      </c>
      <c r="J69" s="21" t="n">
        <f aca="false">MAX(0,J47-I47)+I47*IF(parametros_recargas!$B$56="CO₂",parametros_recargas!$B$23,parametros_recargas!$B$24)</f>
        <v>1.4</v>
      </c>
      <c r="K69" s="21" t="n">
        <f aca="false">MAX(0,K47-J47)+J47*IF(parametros_recargas!$B$56="CO₂",parametros_recargas!$B$23,parametros_recargas!$B$24)</f>
        <v>0.48</v>
      </c>
    </row>
    <row r="70" customFormat="false" ht="15" hidden="false" customHeight="false" outlineLevel="0" collapsed="false">
      <c r="A70" s="8" t="str">
        <f aca="false">datos_base!A8</f>
        <v>AFFF 50 l s/ruedas</v>
      </c>
      <c r="B70" s="21" t="n">
        <f aca="false">B48</f>
        <v>1</v>
      </c>
      <c r="C70" s="21" t="n">
        <f aca="false">MAX(0,C48-B48)+B48*IF(parametros_recargas!$B$57="CO₂",parametros_recargas!$B$23,parametros_recargas!$B$24)</f>
        <v>0.08</v>
      </c>
      <c r="D70" s="21" t="n">
        <f aca="false">MAX(0,D48-C48)+C48*IF(parametros_recargas!$B$57="CO₂",parametros_recargas!$B$23,parametros_recargas!$B$24)</f>
        <v>0.08</v>
      </c>
      <c r="E70" s="21" t="n">
        <f aca="false">MAX(0,E48-D48)+D48*IF(parametros_recargas!$B$57="CO₂",parametros_recargas!$B$23,parametros_recargas!$B$24)</f>
        <v>1.08</v>
      </c>
      <c r="F70" s="21" t="n">
        <f aca="false">MAX(0,F48-E48)+E48*IF(parametros_recargas!$B$57="CO₂",parametros_recargas!$B$23,parametros_recargas!$B$24)</f>
        <v>0.16</v>
      </c>
      <c r="G70" s="21" t="n">
        <f aca="false">MAX(0,G48-F48)+F48*IF(parametros_recargas!$B$57="CO₂",parametros_recargas!$B$23,parametros_recargas!$B$24)</f>
        <v>0.16</v>
      </c>
      <c r="H70" s="21" t="n">
        <f aca="false">MAX(0,H48-G48)+G48*IF(parametros_recargas!$B$57="CO₂",parametros_recargas!$B$23,parametros_recargas!$B$24)</f>
        <v>1.16</v>
      </c>
      <c r="I70" s="21" t="n">
        <f aca="false">MAX(0,I48-H48)+H48*IF(parametros_recargas!$B$57="CO₂",parametros_recargas!$B$23,parametros_recargas!$B$24)</f>
        <v>0.24</v>
      </c>
      <c r="J70" s="21" t="n">
        <f aca="false">MAX(0,J48-I48)+I48*IF(parametros_recargas!$B$57="CO₂",parametros_recargas!$B$23,parametros_recargas!$B$24)</f>
        <v>0.24</v>
      </c>
      <c r="K70" s="21" t="n">
        <f aca="false">MAX(0,K48-J48)+J48*IF(parametros_recargas!$B$57="CO₂",parametros_recargas!$B$23,parametros_recargas!$B$24)</f>
        <v>1.24</v>
      </c>
    </row>
    <row r="71" customFormat="false" ht="15" hidden="false" customHeight="false" outlineLevel="0" collapsed="false">
      <c r="A71" s="8" t="str">
        <f aca="false">datos_base!A9</f>
        <v>BC 5 kg</v>
      </c>
      <c r="B71" s="21" t="n">
        <f aca="false">B49</f>
        <v>1</v>
      </c>
      <c r="C71" s="21" t="n">
        <f aca="false">MAX(0,C49-B49)+B49*IF(parametros_recargas!$B$58="CO₂",parametros_recargas!$B$23,parametros_recargas!$B$24)</f>
        <v>0.08</v>
      </c>
      <c r="D71" s="21" t="n">
        <f aca="false">MAX(0,D49-C49)+C49*IF(parametros_recargas!$B$58="CO₂",parametros_recargas!$B$23,parametros_recargas!$B$24)</f>
        <v>0.08</v>
      </c>
      <c r="E71" s="21" t="n">
        <f aca="false">MAX(0,E49-D49)+D49*IF(parametros_recargas!$B$58="CO₂",parametros_recargas!$B$23,parametros_recargas!$B$24)</f>
        <v>0.08</v>
      </c>
      <c r="F71" s="21" t="n">
        <f aca="false">MAX(0,F49-E49)+E49*IF(parametros_recargas!$B$58="CO₂",parametros_recargas!$B$23,parametros_recargas!$B$24)</f>
        <v>0.08</v>
      </c>
      <c r="G71" s="21" t="n">
        <f aca="false">MAX(0,G49-F49)+F49*IF(parametros_recargas!$B$58="CO₂",parametros_recargas!$B$23,parametros_recargas!$B$24)</f>
        <v>1.08</v>
      </c>
      <c r="H71" s="21" t="n">
        <f aca="false">MAX(0,H49-G49)+G49*IF(parametros_recargas!$B$58="CO₂",parametros_recargas!$B$23,parametros_recargas!$B$24)</f>
        <v>0.16</v>
      </c>
      <c r="I71" s="21" t="n">
        <f aca="false">MAX(0,I49-H49)+H49*IF(parametros_recargas!$B$58="CO₂",parametros_recargas!$B$23,parametros_recargas!$B$24)</f>
        <v>0.16</v>
      </c>
      <c r="J71" s="21" t="n">
        <f aca="false">MAX(0,J49-I49)+I49*IF(parametros_recargas!$B$58="CO₂",parametros_recargas!$B$23,parametros_recargas!$B$24)</f>
        <v>0.16</v>
      </c>
      <c r="K71" s="21" t="n">
        <f aca="false">MAX(0,K49-J49)+J49*IF(parametros_recargas!$B$58="CO₂",parametros_recargas!$B$23,parametros_recargas!$B$24)</f>
        <v>0.16</v>
      </c>
    </row>
    <row r="72" customFormat="false" ht="15" hidden="false" customHeight="false" outlineLevel="0" collapsed="false">
      <c r="A72" s="8" t="str">
        <f aca="false">datos_base!A10</f>
        <v>Sales K 6 l</v>
      </c>
      <c r="B72" s="21" t="n">
        <f aca="false">B50</f>
        <v>1</v>
      </c>
      <c r="C72" s="21" t="n">
        <f aca="false">MAX(0,C50-B50)+B50*IF(parametros_recargas!$B$59="CO₂",parametros_recargas!$B$23,parametros_recargas!$B$24)</f>
        <v>1.08</v>
      </c>
      <c r="D72" s="21" t="n">
        <f aca="false">MAX(0,D50-C50)+C50*IF(parametros_recargas!$B$59="CO₂",parametros_recargas!$B$23,parametros_recargas!$B$24)</f>
        <v>1.16</v>
      </c>
      <c r="E72" s="21" t="n">
        <f aca="false">MAX(0,E50-D50)+D50*IF(parametros_recargas!$B$59="CO₂",parametros_recargas!$B$23,parametros_recargas!$B$24)</f>
        <v>2.24</v>
      </c>
      <c r="F72" s="21" t="n">
        <f aca="false">MAX(0,F50-E50)+E50*IF(parametros_recargas!$B$59="CO₂",parametros_recargas!$B$23,parametros_recargas!$B$24)</f>
        <v>3.4</v>
      </c>
      <c r="G72" s="21" t="n">
        <f aca="false">MAX(0,G50-F50)+F50*IF(parametros_recargas!$B$59="CO₂",parametros_recargas!$B$23,parametros_recargas!$B$24)</f>
        <v>2.64</v>
      </c>
      <c r="H72" s="21" t="n">
        <f aca="false">MAX(0,H50-G50)+G50*IF(parametros_recargas!$B$59="CO₂",parametros_recargas!$B$23,parametros_recargas!$B$24)</f>
        <v>2.8</v>
      </c>
      <c r="I72" s="21" t="n">
        <f aca="false">MAX(0,I50-H50)+H50*IF(parametros_recargas!$B$59="CO₂",parametros_recargas!$B$23,parametros_recargas!$B$24)</f>
        <v>1.96</v>
      </c>
      <c r="J72" s="21" t="n">
        <f aca="false">MAX(0,J50-I50)+I50*IF(parametros_recargas!$B$59="CO₂",parametros_recargas!$B$23,parametros_recargas!$B$24)</f>
        <v>2.04</v>
      </c>
      <c r="K72" s="21" t="n">
        <f aca="false">MAX(0,K50-J50)+J50*IF(parametros_recargas!$B$59="CO₂",parametros_recargas!$B$23,parametros_recargas!$B$24)</f>
        <v>3.12</v>
      </c>
    </row>
    <row r="73" customFormat="false" ht="15" hidden="false" customHeight="false" outlineLevel="0" collapsed="false">
      <c r="A73" s="8" t="str">
        <f aca="false">datos_base!A11</f>
        <v>CO₂ 2 kg</v>
      </c>
      <c r="B73" s="21" t="n">
        <f aca="false">B51</f>
        <v>2</v>
      </c>
      <c r="C73" s="21" t="n">
        <f aca="false">MAX(0,C51-B51)+B51*IF(parametros_recargas!$B$60="CO₂",parametros_recargas!$B$23,parametros_recargas!$B$24)</f>
        <v>5.12666666666667</v>
      </c>
      <c r="D73" s="21" t="n">
        <f aca="false">MAX(0,D51-C51)+C51*IF(parametros_recargas!$B$60="CO₂",parametros_recargas!$B$23,parametros_recargas!$B$24)</f>
        <v>8.44333333333333</v>
      </c>
      <c r="E73" s="21" t="n">
        <f aca="false">MAX(0,E51-D51)+D51*IF(parametros_recargas!$B$60="CO₂",parametros_recargas!$B$23,parametros_recargas!$B$24)</f>
        <v>13.95</v>
      </c>
      <c r="F73" s="21" t="n">
        <f aca="false">MAX(0,F51-E51)+E51*IF(parametros_recargas!$B$60="CO₂",parametros_recargas!$B$23,parametros_recargas!$B$24)</f>
        <v>13.7733333333333</v>
      </c>
      <c r="G73" s="21" t="n">
        <f aca="false">MAX(0,G51-F51)+F51*IF(parametros_recargas!$B$60="CO₂",parametros_recargas!$B$23,parametros_recargas!$B$24)</f>
        <v>15.5333333333333</v>
      </c>
      <c r="H73" s="21" t="n">
        <f aca="false">MAX(0,H51-G51)+G51*IF(parametros_recargas!$B$60="CO₂",parametros_recargas!$B$23,parametros_recargas!$B$24)</f>
        <v>14.3566666666667</v>
      </c>
      <c r="I73" s="21" t="n">
        <f aca="false">MAX(0,I51-H51)+H51*IF(parametros_recargas!$B$60="CO₂",parametros_recargas!$B$23,parametros_recargas!$B$24)</f>
        <v>11.0533333333333</v>
      </c>
      <c r="J73" s="21" t="n">
        <f aca="false">MAX(0,J51-I51)+I51*IF(parametros_recargas!$B$60="CO₂",parametros_recargas!$B$23,parametros_recargas!$B$24)</f>
        <v>10.4966666666667</v>
      </c>
      <c r="K73" s="21" t="n">
        <f aca="false">MAX(0,K51-J51)+J51*IF(parametros_recargas!$B$60="CO₂",parametros_recargas!$B$23,parametros_recargas!$B$24)</f>
        <v>9.87666666666667</v>
      </c>
    </row>
    <row r="74" customFormat="false" ht="15" hidden="false" customHeight="false" outlineLevel="0" collapsed="false">
      <c r="A74" s="8" t="str">
        <f aca="false">datos_base!A12</f>
        <v>CO₂ 5 kg</v>
      </c>
      <c r="B74" s="21" t="n">
        <f aca="false">B52</f>
        <v>1</v>
      </c>
      <c r="C74" s="21" t="n">
        <f aca="false">MAX(0,C52-B52)+B52*IF(parametros_recargas!$B$61="CO₂",parametros_recargas!$B$23,parametros_recargas!$B$24)</f>
        <v>2.06333333333333</v>
      </c>
      <c r="D74" s="21" t="n">
        <f aca="false">MAX(0,D52-C52)+C52*IF(parametros_recargas!$B$61="CO₂",parametros_recargas!$B$23,parametros_recargas!$B$24)</f>
        <v>2.19</v>
      </c>
      <c r="E74" s="21" t="n">
        <f aca="false">MAX(0,E52-D52)+D52*IF(parametros_recargas!$B$61="CO₂",parametros_recargas!$B$23,parametros_recargas!$B$24)</f>
        <v>4.31666666666667</v>
      </c>
      <c r="F74" s="21" t="n">
        <f aca="false">MAX(0,F52-E52)+E52*IF(parametros_recargas!$B$61="CO₂",parametros_recargas!$B$23,parametros_recargas!$B$24)</f>
        <v>4.57</v>
      </c>
      <c r="G74" s="21" t="n">
        <f aca="false">MAX(0,G52-F52)+F52*IF(parametros_recargas!$B$61="CO₂",parametros_recargas!$B$23,parametros_recargas!$B$24)</f>
        <v>5.82333333333333</v>
      </c>
      <c r="H74" s="21" t="n">
        <f aca="false">MAX(0,H52-G52)+G52*IF(parametros_recargas!$B$61="CO₂",parametros_recargas!$B$23,parametros_recargas!$B$24)</f>
        <v>5.14</v>
      </c>
      <c r="I74" s="21" t="n">
        <f aca="false">MAX(0,I52-H52)+H52*IF(parametros_recargas!$B$61="CO₂",parametros_recargas!$B$23,parametros_recargas!$B$24)</f>
        <v>3.39333333333333</v>
      </c>
      <c r="J74" s="21" t="n">
        <f aca="false">MAX(0,J52-I52)+I52*IF(parametros_recargas!$B$61="CO₂",parametros_recargas!$B$23,parametros_recargas!$B$24)</f>
        <v>3.52</v>
      </c>
      <c r="K74" s="21" t="n">
        <f aca="false">MAX(0,K52-J52)+J52*IF(parametros_recargas!$B$61="CO₂",parametros_recargas!$B$23,parametros_recargas!$B$24)</f>
        <v>3.64666666666667</v>
      </c>
    </row>
    <row r="75" customFormat="false" ht="15" hidden="false" customHeight="false" outlineLevel="0" collapsed="false">
      <c r="A75" s="8" t="str">
        <f aca="false">datos_base!A13</f>
        <v>HCFC/HFC 5 kg</v>
      </c>
      <c r="B75" s="21" t="n">
        <f aca="false">B53</f>
        <v>1</v>
      </c>
      <c r="C75" s="21" t="n">
        <f aca="false">MAX(0,C53-B53)+B53*IF(parametros_recargas!$B$62="CO₂",parametros_recargas!$B$23,parametros_recargas!$B$24)</f>
        <v>0.08</v>
      </c>
      <c r="D75" s="21" t="n">
        <f aca="false">MAX(0,D53-C53)+C53*IF(parametros_recargas!$B$62="CO₂",parametros_recargas!$B$23,parametros_recargas!$B$24)</f>
        <v>0.08</v>
      </c>
      <c r="E75" s="21" t="n">
        <f aca="false">MAX(0,E53-D53)+D53*IF(parametros_recargas!$B$62="CO₂",parametros_recargas!$B$23,parametros_recargas!$B$24)</f>
        <v>1.08</v>
      </c>
      <c r="F75" s="21" t="n">
        <f aca="false">MAX(0,F53-E53)+E53*IF(parametros_recargas!$B$62="CO₂",parametros_recargas!$B$23,parametros_recargas!$B$24)</f>
        <v>1.16</v>
      </c>
      <c r="G75" s="21" t="n">
        <f aca="false">MAX(0,G53-F53)+F53*IF(parametros_recargas!$B$62="CO₂",parametros_recargas!$B$23,parametros_recargas!$B$24)</f>
        <v>0.24</v>
      </c>
      <c r="H75" s="21" t="n">
        <f aca="false">MAX(0,H53-G53)+G53*IF(parametros_recargas!$B$62="CO₂",parametros_recargas!$B$23,parametros_recargas!$B$24)</f>
        <v>1.24</v>
      </c>
      <c r="I75" s="21" t="n">
        <f aca="false">MAX(0,I53-H53)+H53*IF(parametros_recargas!$B$62="CO₂",parametros_recargas!$B$23,parametros_recargas!$B$24)</f>
        <v>0.32</v>
      </c>
      <c r="J75" s="21" t="n">
        <f aca="false">MAX(0,J53-I53)+I53*IF(parametros_recargas!$B$62="CO₂",parametros_recargas!$B$23,parametros_recargas!$B$24)</f>
        <v>1.32</v>
      </c>
      <c r="K75" s="21" t="n">
        <f aca="false">MAX(0,K53-J53)+J53*IF(parametros_recargas!$B$62="CO₂",parametros_recargas!$B$23,parametros_recargas!$B$24)</f>
        <v>0.4</v>
      </c>
    </row>
    <row r="76" customFormat="false" ht="15" hidden="false" customHeight="false" outlineLevel="0" collapsed="false">
      <c r="A76" s="8" t="str">
        <f aca="false">datos_base!A14</f>
        <v>Clase D 9 l</v>
      </c>
      <c r="B76" s="21" t="n">
        <f aca="false">B54</f>
        <v>1</v>
      </c>
      <c r="C76" s="21" t="n">
        <f aca="false">MAX(0,C54-B54)+B54*IF(parametros_recargas!$B$63="CO₂",parametros_recargas!$B$23,parametros_recargas!$B$24)</f>
        <v>0.08</v>
      </c>
      <c r="D76" s="21" t="n">
        <f aca="false">MAX(0,D54-C54)+C54*IF(parametros_recargas!$B$63="CO₂",parametros_recargas!$B$23,parametros_recargas!$B$24)</f>
        <v>0.08</v>
      </c>
      <c r="E76" s="21" t="n">
        <f aca="false">MAX(0,E54-D54)+D54*IF(parametros_recargas!$B$63="CO₂",parametros_recargas!$B$23,parametros_recargas!$B$24)</f>
        <v>0.08</v>
      </c>
      <c r="F76" s="21" t="n">
        <f aca="false">MAX(0,F54-E54)+E54*IF(parametros_recargas!$B$63="CO₂",parametros_recargas!$B$23,parametros_recargas!$B$24)</f>
        <v>0.08</v>
      </c>
      <c r="G76" s="21" t="n">
        <f aca="false">MAX(0,G54-F54)+F54*IF(parametros_recargas!$B$63="CO₂",parametros_recargas!$B$23,parametros_recargas!$B$24)</f>
        <v>0.08</v>
      </c>
      <c r="H76" s="21" t="n">
        <f aca="false">MAX(0,H54-G54)+G54*IF(parametros_recargas!$B$63="CO₂",parametros_recargas!$B$23,parametros_recargas!$B$24)</f>
        <v>1.08</v>
      </c>
      <c r="I76" s="21" t="n">
        <f aca="false">MAX(0,I54-H54)+H54*IF(parametros_recargas!$B$63="CO₂",parametros_recargas!$B$23,parametros_recargas!$B$24)</f>
        <v>0.16</v>
      </c>
      <c r="J76" s="21" t="n">
        <f aca="false">MAX(0,J54-I54)+I54*IF(parametros_recargas!$B$63="CO₂",parametros_recargas!$B$23,parametros_recargas!$B$24)</f>
        <v>0.16</v>
      </c>
      <c r="K76" s="21" t="n">
        <f aca="false">MAX(0,K54-J54)+J54*IF(parametros_recargas!$B$63="CO₂",parametros_recargas!$B$23,parametros_recargas!$B$24)</f>
        <v>0.16</v>
      </c>
    </row>
    <row r="77" customFormat="false" ht="15" hidden="false" customHeight="false" outlineLevel="0" collapsed="false">
      <c r="A77" s="8" t="str">
        <f aca="false">datos_base!A15</f>
        <v>ABC 25 kg s/ruedas</v>
      </c>
      <c r="B77" s="21" t="n">
        <f aca="false">B55</f>
        <v>1</v>
      </c>
      <c r="C77" s="21" t="n">
        <f aca="false">MAX(0,C55-B55)+B55*IF(parametros_recargas!$B$64="CO₂",parametros_recargas!$B$23,parametros_recargas!$B$24)</f>
        <v>0.08</v>
      </c>
      <c r="D77" s="21" t="n">
        <f aca="false">MAX(0,D55-C55)+C55*IF(parametros_recargas!$B$64="CO₂",parametros_recargas!$B$23,parametros_recargas!$B$24)</f>
        <v>0.08</v>
      </c>
      <c r="E77" s="21" t="n">
        <f aca="false">MAX(0,E55-D55)+D55*IF(parametros_recargas!$B$64="CO₂",parametros_recargas!$B$23,parametros_recargas!$B$24)</f>
        <v>1.08</v>
      </c>
      <c r="F77" s="21" t="n">
        <f aca="false">MAX(0,F55-E55)+E55*IF(parametros_recargas!$B$64="CO₂",parametros_recargas!$B$23,parametros_recargas!$B$24)</f>
        <v>0.16</v>
      </c>
      <c r="G77" s="21" t="n">
        <f aca="false">MAX(0,G55-F55)+F55*IF(parametros_recargas!$B$64="CO₂",parametros_recargas!$B$23,parametros_recargas!$B$24)</f>
        <v>1.16</v>
      </c>
      <c r="H77" s="21" t="n">
        <f aca="false">MAX(0,H55-G55)+G55*IF(parametros_recargas!$B$64="CO₂",parametros_recargas!$B$23,parametros_recargas!$B$24)</f>
        <v>0.24</v>
      </c>
      <c r="I77" s="21" t="n">
        <f aca="false">MAX(0,I55-H55)+H55*IF(parametros_recargas!$B$64="CO₂",parametros_recargas!$B$23,parametros_recargas!$B$24)</f>
        <v>1.24</v>
      </c>
      <c r="J77" s="21" t="n">
        <f aca="false">MAX(0,J55-I55)+I55*IF(parametros_recargas!$B$64="CO₂",parametros_recargas!$B$23,parametros_recargas!$B$24)</f>
        <v>0.32</v>
      </c>
      <c r="K77" s="21" t="n">
        <f aca="false">MAX(0,K55-J55)+J55*IF(parametros_recargas!$B$64="CO₂",parametros_recargas!$B$23,parametros_recargas!$B$24)</f>
        <v>0.32</v>
      </c>
    </row>
    <row r="78" customFormat="false" ht="15" hidden="false" customHeight="false" outlineLevel="0" collapsed="false">
      <c r="A78" s="8" t="str">
        <f aca="false">datos_base!A16</f>
        <v>ABC 50 kg s/ruedas</v>
      </c>
      <c r="B78" s="21" t="n">
        <f aca="false">B56</f>
        <v>1</v>
      </c>
      <c r="C78" s="21" t="n">
        <f aca="false">MAX(0,C56-B56)+B56*IF(parametros_recargas!$B$65="CO₂",parametros_recargas!$B$23,parametros_recargas!$B$24)</f>
        <v>0.08</v>
      </c>
      <c r="D78" s="21" t="n">
        <f aca="false">MAX(0,D56-C56)+C56*IF(parametros_recargas!$B$65="CO₂",parametros_recargas!$B$23,parametros_recargas!$B$24)</f>
        <v>1.08</v>
      </c>
      <c r="E78" s="21" t="n">
        <f aca="false">MAX(0,E56-D56)+D56*IF(parametros_recargas!$B$65="CO₂",parametros_recargas!$B$23,parametros_recargas!$B$24)</f>
        <v>1.16</v>
      </c>
      <c r="F78" s="21" t="n">
        <f aca="false">MAX(0,F56-E56)+E56*IF(parametros_recargas!$B$65="CO₂",parametros_recargas!$B$23,parametros_recargas!$B$24)</f>
        <v>1.24</v>
      </c>
      <c r="G78" s="21" t="n">
        <f aca="false">MAX(0,G56-F56)+F56*IF(parametros_recargas!$B$65="CO₂",parametros_recargas!$B$23,parametros_recargas!$B$24)</f>
        <v>2.32</v>
      </c>
      <c r="H78" s="21" t="n">
        <f aca="false">MAX(0,H56-G56)+G56*IF(parametros_recargas!$B$65="CO₂",parametros_recargas!$B$23,parametros_recargas!$B$24)</f>
        <v>1.48</v>
      </c>
      <c r="I78" s="21" t="n">
        <f aca="false">MAX(0,I56-H56)+H56*IF(parametros_recargas!$B$65="CO₂",parametros_recargas!$B$23,parametros_recargas!$B$24)</f>
        <v>1.56</v>
      </c>
      <c r="J78" s="21" t="n">
        <f aca="false">MAX(0,J56-I56)+I56*IF(parametros_recargas!$B$65="CO₂",parametros_recargas!$B$23,parametros_recargas!$B$24)</f>
        <v>0.64</v>
      </c>
      <c r="K78" s="21" t="n">
        <f aca="false">MAX(0,K56-J56)+J56*IF(parametros_recargas!$B$65="CO₂",parametros_recargas!$B$23,parametros_recargas!$B$24)</f>
        <v>1.64</v>
      </c>
    </row>
    <row r="79" customFormat="false" ht="15" hidden="false" customHeight="false" outlineLevel="0" collapsed="false">
      <c r="A79" s="8" t="str">
        <f aca="false">datos_base!A17</f>
        <v>ABC 70 kg s/ruedas</v>
      </c>
      <c r="B79" s="21" t="n">
        <f aca="false">B57</f>
        <v>1</v>
      </c>
      <c r="C79" s="21" t="n">
        <f aca="false">MAX(0,C57-B57)+B57*IF(parametros_recargas!$B$66="CO₂",parametros_recargas!$B$23,parametros_recargas!$B$24)</f>
        <v>0.08</v>
      </c>
      <c r="D79" s="21" t="n">
        <f aca="false">MAX(0,D57-C57)+C57*IF(parametros_recargas!$B$66="CO₂",parametros_recargas!$B$23,parametros_recargas!$B$24)</f>
        <v>0.08</v>
      </c>
      <c r="E79" s="21" t="n">
        <f aca="false">MAX(0,E57-D57)+D57*IF(parametros_recargas!$B$66="CO₂",parametros_recargas!$B$23,parametros_recargas!$B$24)</f>
        <v>0.08</v>
      </c>
      <c r="F79" s="21" t="n">
        <f aca="false">MAX(0,F57-E57)+E57*IF(parametros_recargas!$B$66="CO₂",parametros_recargas!$B$23,parametros_recargas!$B$24)</f>
        <v>0.08</v>
      </c>
      <c r="G79" s="21" t="n">
        <f aca="false">MAX(0,G57-F57)+F57*IF(parametros_recargas!$B$66="CO₂",parametros_recargas!$B$23,parametros_recargas!$B$24)</f>
        <v>1.08</v>
      </c>
      <c r="H79" s="21" t="n">
        <f aca="false">MAX(0,H57-G57)+G57*IF(parametros_recargas!$B$66="CO₂",parametros_recargas!$B$23,parametros_recargas!$B$24)</f>
        <v>0.16</v>
      </c>
      <c r="I79" s="21" t="n">
        <f aca="false">MAX(0,I57-H57)+H57*IF(parametros_recargas!$B$66="CO₂",parametros_recargas!$B$23,parametros_recargas!$B$24)</f>
        <v>0.16</v>
      </c>
      <c r="J79" s="21" t="n">
        <f aca="false">MAX(0,J57-I57)+I57*IF(parametros_recargas!$B$66="CO₂",parametros_recargas!$B$23,parametros_recargas!$B$24)</f>
        <v>0.16</v>
      </c>
      <c r="K79" s="21" t="n">
        <f aca="false">MAX(0,K57-J57)+J57*IF(parametros_recargas!$B$66="CO₂",parametros_recargas!$B$23,parametros_recargas!$B$24)</f>
        <v>0.16</v>
      </c>
    </row>
    <row r="80" customFormat="false" ht="15" hidden="false" customHeight="false" outlineLevel="0" collapsed="false">
      <c r="A80" s="8" t="str">
        <f aca="false">datos_base!A18</f>
        <v>ABC 100 kg s/ruedas</v>
      </c>
      <c r="B80" s="21" t="n">
        <f aca="false">B58</f>
        <v>1</v>
      </c>
      <c r="C80" s="21" t="n">
        <f aca="false">MAX(0,C58-B58)+B58*IF(parametros_recargas!$B$67="CO₂",parametros_recargas!$B$23,parametros_recargas!$B$24)</f>
        <v>0.08</v>
      </c>
      <c r="D80" s="21" t="n">
        <f aca="false">MAX(0,D58-C58)+C58*IF(parametros_recargas!$B$67="CO₂",parametros_recargas!$B$23,parametros_recargas!$B$24)</f>
        <v>0.08</v>
      </c>
      <c r="E80" s="21" t="n">
        <f aca="false">MAX(0,E58-D58)+D58*IF(parametros_recargas!$B$67="CO₂",parametros_recargas!$B$23,parametros_recargas!$B$24)</f>
        <v>0.08</v>
      </c>
      <c r="F80" s="21" t="n">
        <f aca="false">MAX(0,F58-E58)+E58*IF(parametros_recargas!$B$67="CO₂",parametros_recargas!$B$23,parametros_recargas!$B$24)</f>
        <v>0.08</v>
      </c>
      <c r="G80" s="21" t="n">
        <f aca="false">MAX(0,G58-F58)+F58*IF(parametros_recargas!$B$67="CO₂",parametros_recargas!$B$23,parametros_recargas!$B$24)</f>
        <v>0.08</v>
      </c>
      <c r="H80" s="21" t="n">
        <f aca="false">MAX(0,H58-G58)+G58*IF(parametros_recargas!$B$67="CO₂",parametros_recargas!$B$23,parametros_recargas!$B$24)</f>
        <v>0.08</v>
      </c>
      <c r="I80" s="21" t="n">
        <f aca="false">MAX(0,I58-H58)+H58*IF(parametros_recargas!$B$67="CO₂",parametros_recargas!$B$23,parametros_recargas!$B$24)</f>
        <v>1.08</v>
      </c>
      <c r="J80" s="21" t="n">
        <f aca="false">MAX(0,J58-I58)+I58*IF(parametros_recargas!$B$67="CO₂",parametros_recargas!$B$23,parametros_recargas!$B$24)</f>
        <v>0.16</v>
      </c>
      <c r="K80" s="21" t="n">
        <f aca="false">MAX(0,K58-J58)+J58*IF(parametros_recargas!$B$67="CO₂",parametros_recargas!$B$23,parametros_recargas!$B$24)</f>
        <v>0.16</v>
      </c>
    </row>
    <row r="81" customFormat="false" ht="15" hidden="false" customHeight="false" outlineLevel="0" collapsed="false">
      <c r="A81" s="5" t="s">
        <v>298</v>
      </c>
      <c r="B81" s="22" t="n">
        <f aca="false">SUMIF($E$21:$E$37,"Fabrica",B64:B80)</f>
        <v>15</v>
      </c>
      <c r="C81" s="22" t="n">
        <f aca="false">SUMIF($E$21:$E$37,"Fabrica",C64:C80)</f>
        <v>26.2</v>
      </c>
      <c r="D81" s="22" t="n">
        <f aca="false">SUMIF($E$21:$E$37,"Fabrica",D64:D80)</f>
        <v>48.2</v>
      </c>
      <c r="E81" s="22" t="n">
        <f aca="false">SUMIF($E$21:$E$37,"Fabrica",E64:E80)</f>
        <v>78.8</v>
      </c>
      <c r="F81" s="22" t="n">
        <f aca="false">SUMIF($E$21:$E$37,"Fabrica",F64:F80)</f>
        <v>78.56</v>
      </c>
      <c r="G81" s="22" t="n">
        <f aca="false">SUMIF($E$21:$E$37,"Fabrica",G64:G80)</f>
        <v>90.84</v>
      </c>
      <c r="H81" s="22" t="n">
        <f aca="false">SUMIF($E$21:$E$37,"Fabrica",H64:H80)</f>
        <v>88.68</v>
      </c>
      <c r="I81" s="22" t="n">
        <f aca="false">SUMIF($E$21:$E$37,"Fabrica",I64:I80)</f>
        <v>69.88</v>
      </c>
      <c r="J81" s="22" t="n">
        <f aca="false">SUMIF($E$21:$E$37,"Fabrica",J64:J80)</f>
        <v>63.16</v>
      </c>
      <c r="K81" s="22" t="n">
        <f aca="false">SUMIF($E$21:$E$37,"Fabrica",K64:K80)</f>
        <v>65.64</v>
      </c>
    </row>
    <row r="82" customFormat="false" ht="15" hidden="false" customHeight="false" outlineLevel="0" collapsed="false">
      <c r="A82" s="5" t="s">
        <v>299</v>
      </c>
      <c r="B82" s="22" t="n">
        <f aca="false">SUMIF($E$21:$E$37,"Compra",B64:B80)</f>
        <v>10</v>
      </c>
      <c r="C82" s="22" t="n">
        <f aca="false">SUMIF($E$21:$E$37,"Compra",C64:C80)</f>
        <v>10.75</v>
      </c>
      <c r="D82" s="22" t="n">
        <f aca="false">SUMIF($E$21:$E$37,"Compra",D64:D80)</f>
        <v>16.4333333333333</v>
      </c>
      <c r="E82" s="22" t="n">
        <f aca="false">SUMIF($E$21:$E$37,"Compra",E64:E80)</f>
        <v>27.4666666666667</v>
      </c>
      <c r="F82" s="22" t="n">
        <f aca="false">SUMIF($E$21:$E$37,"Compra",F64:F80)</f>
        <v>30.1833333333333</v>
      </c>
      <c r="G82" s="22" t="n">
        <f aca="false">SUMIF($E$21:$E$37,"Compra",G64:G80)</f>
        <v>32.9966666666667</v>
      </c>
      <c r="H82" s="22" t="n">
        <f aca="false">SUMIF($E$21:$E$37,"Compra",H64:H80)</f>
        <v>32.8566666666667</v>
      </c>
      <c r="I82" s="22" t="n">
        <f aca="false">SUMIF($E$21:$E$37,"Compra",I64:I80)</f>
        <v>22.6066666666667</v>
      </c>
      <c r="J82" s="22" t="n">
        <f aca="false">SUMIF($E$21:$E$37,"Compra",J64:J80)</f>
        <v>23.4966666666667</v>
      </c>
      <c r="K82" s="22" t="n">
        <f aca="false">SUMIF($E$21:$E$37,"Compra",K64:K80)</f>
        <v>23.4033333333333</v>
      </c>
    </row>
    <row r="83" customFormat="false" ht="15" hidden="false" customHeight="false" outlineLevel="0" collapsed="false">
      <c r="A83" s="5" t="s">
        <v>300</v>
      </c>
      <c r="B83" s="22" t="n">
        <f aca="false">SUM(B64:B80)</f>
        <v>25</v>
      </c>
      <c r="C83" s="22" t="n">
        <f aca="false">SUM(C64:C80)</f>
        <v>36.95</v>
      </c>
      <c r="D83" s="22" t="n">
        <f aca="false">SUM(D64:D80)</f>
        <v>64.6333333333333</v>
      </c>
      <c r="E83" s="22" t="n">
        <f aca="false">SUM(E64:E80)</f>
        <v>106.266666666667</v>
      </c>
      <c r="F83" s="22" t="n">
        <f aca="false">SUM(F64:F80)</f>
        <v>108.743333333333</v>
      </c>
      <c r="G83" s="22" t="n">
        <f aca="false">SUM(G64:G80)</f>
        <v>123.836666666667</v>
      </c>
      <c r="H83" s="22" t="n">
        <f aca="false">SUM(H64:H80)</f>
        <v>121.536666666667</v>
      </c>
      <c r="I83" s="22" t="n">
        <f aca="false">SUM(I64:I80)</f>
        <v>92.4866666666667</v>
      </c>
      <c r="J83" s="22" t="n">
        <f aca="false">SUM(J64:J80)</f>
        <v>86.6566666666667</v>
      </c>
      <c r="K83" s="22" t="n">
        <f aca="false">SUM(K64:K80)</f>
        <v>89.0433333333333</v>
      </c>
    </row>
    <row r="85" customFormat="false" ht="15" hidden="false" customHeight="false" outlineLevel="0" collapsed="false">
      <c r="A85" s="1" t="s">
        <v>301</v>
      </c>
    </row>
    <row r="86" customFormat="false" ht="15" hidden="false" customHeight="false" outlineLevel="0" collapsed="false">
      <c r="A86" s="10" t="s">
        <v>302</v>
      </c>
    </row>
    <row r="87" customFormat="false" ht="15" hidden="false" customHeight="false" outlineLevel="0" collapsed="false">
      <c r="A87" s="2" t="s">
        <v>143</v>
      </c>
      <c r="B87" s="2" t="n">
        <v>2026</v>
      </c>
      <c r="C87" s="2" t="n">
        <v>2027</v>
      </c>
      <c r="D87" s="2" t="n">
        <v>2028</v>
      </c>
      <c r="E87" s="2" t="n">
        <v>2029</v>
      </c>
      <c r="F87" s="2" t="n">
        <v>2030</v>
      </c>
      <c r="G87" s="2" t="n">
        <v>2031</v>
      </c>
      <c r="H87" s="2" t="n">
        <v>2032</v>
      </c>
      <c r="I87" s="2" t="n">
        <v>2033</v>
      </c>
      <c r="J87" s="2" t="n">
        <v>2034</v>
      </c>
      <c r="K87" s="2" t="n">
        <v>2035</v>
      </c>
    </row>
    <row r="88" customFormat="false" ht="15" hidden="false" customHeight="false" outlineLevel="0" collapsed="false">
      <c r="A88" s="8" t="str">
        <f aca="false">datos_base!A2</f>
        <v>ABC 1 kg</v>
      </c>
      <c r="B88" s="4" t="n">
        <v>0</v>
      </c>
      <c r="C88" s="4" t="n">
        <f aca="false">B42</f>
        <v>0</v>
      </c>
      <c r="D88" s="4" t="n">
        <f aca="false">C42</f>
        <v>0</v>
      </c>
      <c r="E88" s="4" t="n">
        <f aca="false">D42</f>
        <v>0</v>
      </c>
      <c r="F88" s="4" t="n">
        <f aca="false">E42</f>
        <v>0</v>
      </c>
      <c r="G88" s="4" t="n">
        <f aca="false">F42</f>
        <v>0</v>
      </c>
      <c r="H88" s="4" t="n">
        <f aca="false">G42</f>
        <v>0</v>
      </c>
      <c r="I88" s="4" t="n">
        <f aca="false">H42</f>
        <v>0</v>
      </c>
      <c r="J88" s="4" t="n">
        <f aca="false">I42</f>
        <v>0</v>
      </c>
      <c r="K88" s="4" t="n">
        <f aca="false">J42</f>
        <v>0</v>
      </c>
    </row>
    <row r="89" customFormat="false" ht="15" hidden="false" customHeight="false" outlineLevel="0" collapsed="false">
      <c r="A89" s="8" t="str">
        <f aca="false">datos_base!A3</f>
        <v>ABC 2,5 kg</v>
      </c>
      <c r="B89" s="4" t="n">
        <v>0</v>
      </c>
      <c r="C89" s="4" t="n">
        <f aca="false">B43</f>
        <v>2</v>
      </c>
      <c r="D89" s="4" t="n">
        <f aca="false">C43</f>
        <v>5</v>
      </c>
      <c r="E89" s="4" t="n">
        <f aca="false">D43</f>
        <v>11</v>
      </c>
      <c r="F89" s="4" t="n">
        <f aca="false">E43</f>
        <v>20</v>
      </c>
      <c r="G89" s="4" t="n">
        <f aca="false">F43</f>
        <v>29</v>
      </c>
      <c r="H89" s="4" t="n">
        <f aca="false">G43</f>
        <v>38</v>
      </c>
      <c r="I89" s="4" t="n">
        <f aca="false">H43</f>
        <v>47</v>
      </c>
      <c r="J89" s="4" t="n">
        <f aca="false">I43</f>
        <v>52</v>
      </c>
      <c r="K89" s="4" t="n">
        <f aca="false">J43</f>
        <v>56</v>
      </c>
    </row>
    <row r="90" customFormat="false" ht="15" hidden="false" customHeight="false" outlineLevel="0" collapsed="false">
      <c r="A90" s="8" t="str">
        <f aca="false">datos_base!A4</f>
        <v>ABC 5 kg</v>
      </c>
      <c r="B90" s="4" t="n">
        <v>0</v>
      </c>
      <c r="C90" s="4" t="n">
        <f aca="false">B44</f>
        <v>8</v>
      </c>
      <c r="D90" s="4" t="n">
        <f aca="false">C44</f>
        <v>29</v>
      </c>
      <c r="E90" s="4" t="n">
        <f aca="false">D44</f>
        <v>65</v>
      </c>
      <c r="F90" s="4" t="n">
        <f aca="false">E44</f>
        <v>122</v>
      </c>
      <c r="G90" s="4" t="n">
        <f aca="false">F44</f>
        <v>175</v>
      </c>
      <c r="H90" s="4" t="n">
        <f aca="false">G44</f>
        <v>232</v>
      </c>
      <c r="I90" s="4" t="n">
        <f aca="false">H44</f>
        <v>284</v>
      </c>
      <c r="J90" s="4" t="n">
        <f aca="false">I44</f>
        <v>315</v>
      </c>
      <c r="K90" s="4" t="n">
        <f aca="false">J44</f>
        <v>340</v>
      </c>
    </row>
    <row r="91" customFormat="false" ht="15" hidden="false" customHeight="false" outlineLevel="0" collapsed="false">
      <c r="A91" s="8" t="str">
        <f aca="false">datos_base!A5</f>
        <v>ABC 10 kg</v>
      </c>
      <c r="B91" s="4" t="n">
        <v>0</v>
      </c>
      <c r="C91" s="4" t="n">
        <f aca="false">B45</f>
        <v>1</v>
      </c>
      <c r="D91" s="4" t="n">
        <f aca="false">C45</f>
        <v>2</v>
      </c>
      <c r="E91" s="4" t="n">
        <f aca="false">D45</f>
        <v>4</v>
      </c>
      <c r="F91" s="4" t="n">
        <f aca="false">E45</f>
        <v>8</v>
      </c>
      <c r="G91" s="4" t="n">
        <f aca="false">F45</f>
        <v>11</v>
      </c>
      <c r="H91" s="4" t="n">
        <f aca="false">G45</f>
        <v>14</v>
      </c>
      <c r="I91" s="4" t="n">
        <f aca="false">H45</f>
        <v>17</v>
      </c>
      <c r="J91" s="4" t="n">
        <f aca="false">I45</f>
        <v>19</v>
      </c>
      <c r="K91" s="4" t="n">
        <f aca="false">J45</f>
        <v>21</v>
      </c>
    </row>
    <row r="92" customFormat="false" ht="15" hidden="false" customHeight="false" outlineLevel="0" collapsed="false">
      <c r="A92" s="8" t="str">
        <f aca="false">datos_base!A6</f>
        <v>Agua 10 l</v>
      </c>
      <c r="B92" s="4" t="n">
        <v>0</v>
      </c>
      <c r="C92" s="4" t="n">
        <f aca="false">B46</f>
        <v>1</v>
      </c>
      <c r="D92" s="4" t="n">
        <f aca="false">C46</f>
        <v>3</v>
      </c>
      <c r="E92" s="4" t="n">
        <f aca="false">D46</f>
        <v>6</v>
      </c>
      <c r="F92" s="4" t="n">
        <f aca="false">E46</f>
        <v>10</v>
      </c>
      <c r="G92" s="4" t="n">
        <f aca="false">F46</f>
        <v>15</v>
      </c>
      <c r="H92" s="4" t="n">
        <f aca="false">G46</f>
        <v>20</v>
      </c>
      <c r="I92" s="4" t="n">
        <f aca="false">H46</f>
        <v>24</v>
      </c>
      <c r="J92" s="4" t="n">
        <f aca="false">I46</f>
        <v>27</v>
      </c>
      <c r="K92" s="4" t="n">
        <f aca="false">J46</f>
        <v>29</v>
      </c>
    </row>
    <row r="93" customFormat="false" ht="15" hidden="false" customHeight="false" outlineLevel="0" collapsed="false">
      <c r="A93" s="8" t="str">
        <f aca="false">datos_base!A7</f>
        <v>AFFF 10 l</v>
      </c>
      <c r="B93" s="4" t="n">
        <v>0</v>
      </c>
      <c r="C93" s="4" t="n">
        <f aca="false">B47</f>
        <v>1</v>
      </c>
      <c r="D93" s="4" t="n">
        <f aca="false">C47</f>
        <v>1</v>
      </c>
      <c r="E93" s="4" t="n">
        <f aca="false">D47</f>
        <v>2</v>
      </c>
      <c r="F93" s="4" t="n">
        <f aca="false">E47</f>
        <v>2</v>
      </c>
      <c r="G93" s="4" t="n">
        <f aca="false">F47</f>
        <v>3</v>
      </c>
      <c r="H93" s="4" t="n">
        <f aca="false">G47</f>
        <v>4</v>
      </c>
      <c r="I93" s="4" t="n">
        <f aca="false">H47</f>
        <v>5</v>
      </c>
      <c r="J93" s="4" t="n">
        <f aca="false">I47</f>
        <v>5</v>
      </c>
      <c r="K93" s="4" t="n">
        <f aca="false">J47</f>
        <v>6</v>
      </c>
    </row>
    <row r="94" customFormat="false" ht="15" hidden="false" customHeight="false" outlineLevel="0" collapsed="false">
      <c r="A94" s="8" t="str">
        <f aca="false">datos_base!A8</f>
        <v>AFFF 50 l s/ruedas</v>
      </c>
      <c r="B94" s="4" t="n">
        <v>0</v>
      </c>
      <c r="C94" s="4" t="n">
        <f aca="false">B48</f>
        <v>1</v>
      </c>
      <c r="D94" s="4" t="n">
        <f aca="false">C48</f>
        <v>1</v>
      </c>
      <c r="E94" s="4" t="n">
        <f aca="false">D48</f>
        <v>1</v>
      </c>
      <c r="F94" s="4" t="n">
        <f aca="false">E48</f>
        <v>2</v>
      </c>
      <c r="G94" s="4" t="n">
        <f aca="false">F48</f>
        <v>2</v>
      </c>
      <c r="H94" s="4" t="n">
        <f aca="false">G48</f>
        <v>2</v>
      </c>
      <c r="I94" s="4" t="n">
        <f aca="false">H48</f>
        <v>3</v>
      </c>
      <c r="J94" s="4" t="n">
        <f aca="false">I48</f>
        <v>3</v>
      </c>
      <c r="K94" s="4" t="n">
        <f aca="false">J48</f>
        <v>3</v>
      </c>
    </row>
    <row r="95" customFormat="false" ht="15" hidden="false" customHeight="false" outlineLevel="0" collapsed="false">
      <c r="A95" s="8" t="str">
        <f aca="false">datos_base!A9</f>
        <v>BC 5 kg</v>
      </c>
      <c r="B95" s="4" t="n">
        <v>0</v>
      </c>
      <c r="C95" s="4" t="n">
        <f aca="false">B49</f>
        <v>1</v>
      </c>
      <c r="D95" s="4" t="n">
        <f aca="false">C49</f>
        <v>1</v>
      </c>
      <c r="E95" s="4" t="n">
        <f aca="false">D49</f>
        <v>1</v>
      </c>
      <c r="F95" s="4" t="n">
        <f aca="false">E49</f>
        <v>1</v>
      </c>
      <c r="G95" s="4" t="n">
        <f aca="false">F49</f>
        <v>1</v>
      </c>
      <c r="H95" s="4" t="n">
        <f aca="false">G49</f>
        <v>2</v>
      </c>
      <c r="I95" s="4" t="n">
        <f aca="false">H49</f>
        <v>2</v>
      </c>
      <c r="J95" s="4" t="n">
        <f aca="false">I49</f>
        <v>2</v>
      </c>
      <c r="K95" s="4" t="n">
        <f aca="false">J49</f>
        <v>2</v>
      </c>
    </row>
    <row r="96" customFormat="false" ht="15" hidden="false" customHeight="false" outlineLevel="0" collapsed="false">
      <c r="A96" s="8" t="str">
        <f aca="false">datos_base!A10</f>
        <v>Sales K 6 l</v>
      </c>
      <c r="B96" s="4" t="n">
        <v>0</v>
      </c>
      <c r="C96" s="4" t="n">
        <f aca="false">B50</f>
        <v>1</v>
      </c>
      <c r="D96" s="4" t="n">
        <f aca="false">C50</f>
        <v>2</v>
      </c>
      <c r="E96" s="4" t="n">
        <f aca="false">D50</f>
        <v>3</v>
      </c>
      <c r="F96" s="4" t="n">
        <f aca="false">E50</f>
        <v>5</v>
      </c>
      <c r="G96" s="4" t="n">
        <f aca="false">F50</f>
        <v>8</v>
      </c>
      <c r="H96" s="4" t="n">
        <f aca="false">G50</f>
        <v>10</v>
      </c>
      <c r="I96" s="4" t="n">
        <f aca="false">H50</f>
        <v>12</v>
      </c>
      <c r="J96" s="4" t="n">
        <f aca="false">I50</f>
        <v>13</v>
      </c>
      <c r="K96" s="4" t="n">
        <f aca="false">J50</f>
        <v>14</v>
      </c>
    </row>
    <row r="97" customFormat="false" ht="15" hidden="false" customHeight="false" outlineLevel="0" collapsed="false">
      <c r="A97" s="8" t="str">
        <f aca="false">datos_base!A11</f>
        <v>CO₂ 2 kg</v>
      </c>
      <c r="B97" s="4" t="n">
        <v>0</v>
      </c>
      <c r="C97" s="4" t="n">
        <f aca="false">B51</f>
        <v>2</v>
      </c>
      <c r="D97" s="4" t="n">
        <f aca="false">C51</f>
        <v>7</v>
      </c>
      <c r="E97" s="4" t="n">
        <f aca="false">D51</f>
        <v>15</v>
      </c>
      <c r="F97" s="4" t="n">
        <f aca="false">E51</f>
        <v>28</v>
      </c>
      <c r="G97" s="4" t="n">
        <f aca="false">F51</f>
        <v>40</v>
      </c>
      <c r="H97" s="4" t="n">
        <f aca="false">G51</f>
        <v>53</v>
      </c>
      <c r="I97" s="4" t="n">
        <f aca="false">H51</f>
        <v>64</v>
      </c>
      <c r="J97" s="4" t="n">
        <f aca="false">I51</f>
        <v>71</v>
      </c>
      <c r="K97" s="4" t="n">
        <f aca="false">J51</f>
        <v>77</v>
      </c>
    </row>
    <row r="98" customFormat="false" ht="15" hidden="false" customHeight="false" outlineLevel="0" collapsed="false">
      <c r="A98" s="8" t="str">
        <f aca="false">datos_base!A12</f>
        <v>CO₂ 5 kg</v>
      </c>
      <c r="B98" s="4" t="n">
        <v>0</v>
      </c>
      <c r="C98" s="4" t="n">
        <f aca="false">B52</f>
        <v>1</v>
      </c>
      <c r="D98" s="4" t="n">
        <f aca="false">C52</f>
        <v>3</v>
      </c>
      <c r="E98" s="4" t="n">
        <f aca="false">D52</f>
        <v>5</v>
      </c>
      <c r="F98" s="4" t="n">
        <f aca="false">E52</f>
        <v>9</v>
      </c>
      <c r="G98" s="4" t="n">
        <f aca="false">F52</f>
        <v>13</v>
      </c>
      <c r="H98" s="4" t="n">
        <f aca="false">G52</f>
        <v>18</v>
      </c>
      <c r="I98" s="4" t="n">
        <f aca="false">H52</f>
        <v>22</v>
      </c>
      <c r="J98" s="4" t="n">
        <f aca="false">I52</f>
        <v>24</v>
      </c>
      <c r="K98" s="4" t="n">
        <f aca="false">J52</f>
        <v>26</v>
      </c>
    </row>
    <row r="99" customFormat="false" ht="15" hidden="false" customHeight="false" outlineLevel="0" collapsed="false">
      <c r="A99" s="8" t="str">
        <f aca="false">datos_base!A13</f>
        <v>HCFC/HFC 5 kg</v>
      </c>
      <c r="B99" s="4" t="n">
        <v>0</v>
      </c>
      <c r="C99" s="4" t="n">
        <f aca="false">B53</f>
        <v>1</v>
      </c>
      <c r="D99" s="4" t="n">
        <f aca="false">C53</f>
        <v>1</v>
      </c>
      <c r="E99" s="4" t="n">
        <f aca="false">D53</f>
        <v>1</v>
      </c>
      <c r="F99" s="4" t="n">
        <f aca="false">E53</f>
        <v>2</v>
      </c>
      <c r="G99" s="4" t="n">
        <f aca="false">F53</f>
        <v>3</v>
      </c>
      <c r="H99" s="4" t="n">
        <f aca="false">G53</f>
        <v>3</v>
      </c>
      <c r="I99" s="4" t="n">
        <f aca="false">H53</f>
        <v>4</v>
      </c>
      <c r="J99" s="4" t="n">
        <f aca="false">I53</f>
        <v>4</v>
      </c>
      <c r="K99" s="4" t="n">
        <f aca="false">J53</f>
        <v>5</v>
      </c>
    </row>
    <row r="100" customFormat="false" ht="15" hidden="false" customHeight="false" outlineLevel="0" collapsed="false">
      <c r="A100" s="8" t="str">
        <f aca="false">datos_base!A14</f>
        <v>Clase D 9 l</v>
      </c>
      <c r="B100" s="4" t="n">
        <v>0</v>
      </c>
      <c r="C100" s="4" t="n">
        <f aca="false">B54</f>
        <v>1</v>
      </c>
      <c r="D100" s="4" t="n">
        <f aca="false">C54</f>
        <v>1</v>
      </c>
      <c r="E100" s="4" t="n">
        <f aca="false">D54</f>
        <v>1</v>
      </c>
      <c r="F100" s="4" t="n">
        <f aca="false">E54</f>
        <v>1</v>
      </c>
      <c r="G100" s="4" t="n">
        <f aca="false">F54</f>
        <v>1</v>
      </c>
      <c r="H100" s="4" t="n">
        <f aca="false">G54</f>
        <v>1</v>
      </c>
      <c r="I100" s="4" t="n">
        <f aca="false">H54</f>
        <v>2</v>
      </c>
      <c r="J100" s="4" t="n">
        <f aca="false">I54</f>
        <v>2</v>
      </c>
      <c r="K100" s="4" t="n">
        <f aca="false">J54</f>
        <v>2</v>
      </c>
    </row>
    <row r="101" customFormat="false" ht="15" hidden="false" customHeight="false" outlineLevel="0" collapsed="false">
      <c r="A101" s="8" t="str">
        <f aca="false">datos_base!A15</f>
        <v>ABC 25 kg s/ruedas</v>
      </c>
      <c r="B101" s="4" t="n">
        <v>0</v>
      </c>
      <c r="C101" s="4" t="n">
        <f aca="false">B55</f>
        <v>1</v>
      </c>
      <c r="D101" s="4" t="n">
        <f aca="false">C55</f>
        <v>1</v>
      </c>
      <c r="E101" s="4" t="n">
        <f aca="false">D55</f>
        <v>1</v>
      </c>
      <c r="F101" s="4" t="n">
        <f aca="false">E55</f>
        <v>2</v>
      </c>
      <c r="G101" s="4" t="n">
        <f aca="false">F55</f>
        <v>2</v>
      </c>
      <c r="H101" s="4" t="n">
        <f aca="false">G55</f>
        <v>3</v>
      </c>
      <c r="I101" s="4" t="n">
        <f aca="false">H55</f>
        <v>3</v>
      </c>
      <c r="J101" s="4" t="n">
        <f aca="false">I55</f>
        <v>4</v>
      </c>
      <c r="K101" s="4" t="n">
        <f aca="false">J55</f>
        <v>4</v>
      </c>
    </row>
    <row r="102" customFormat="false" ht="15" hidden="false" customHeight="false" outlineLevel="0" collapsed="false">
      <c r="A102" s="8" t="str">
        <f aca="false">datos_base!A16</f>
        <v>ABC 50 kg s/ruedas</v>
      </c>
      <c r="B102" s="4" t="n">
        <v>0</v>
      </c>
      <c r="C102" s="4" t="n">
        <f aca="false">B56</f>
        <v>1</v>
      </c>
      <c r="D102" s="4" t="n">
        <f aca="false">C56</f>
        <v>1</v>
      </c>
      <c r="E102" s="4" t="n">
        <f aca="false">D56</f>
        <v>2</v>
      </c>
      <c r="F102" s="4" t="n">
        <f aca="false">E56</f>
        <v>3</v>
      </c>
      <c r="G102" s="4" t="n">
        <f aca="false">F56</f>
        <v>4</v>
      </c>
      <c r="H102" s="4" t="n">
        <f aca="false">G56</f>
        <v>6</v>
      </c>
      <c r="I102" s="4" t="n">
        <f aca="false">H56</f>
        <v>7</v>
      </c>
      <c r="J102" s="4" t="n">
        <f aca="false">I56</f>
        <v>8</v>
      </c>
      <c r="K102" s="4" t="n">
        <f aca="false">J56</f>
        <v>8</v>
      </c>
    </row>
    <row r="103" customFormat="false" ht="15" hidden="false" customHeight="false" outlineLevel="0" collapsed="false">
      <c r="A103" s="8" t="str">
        <f aca="false">datos_base!A17</f>
        <v>ABC 70 kg s/ruedas</v>
      </c>
      <c r="B103" s="4" t="n">
        <v>0</v>
      </c>
      <c r="C103" s="4" t="n">
        <f aca="false">B57</f>
        <v>1</v>
      </c>
      <c r="D103" s="4" t="n">
        <f aca="false">C57</f>
        <v>1</v>
      </c>
      <c r="E103" s="4" t="n">
        <f aca="false">D57</f>
        <v>1</v>
      </c>
      <c r="F103" s="4" t="n">
        <f aca="false">E57</f>
        <v>1</v>
      </c>
      <c r="G103" s="4" t="n">
        <f aca="false">F57</f>
        <v>1</v>
      </c>
      <c r="H103" s="4" t="n">
        <f aca="false">G57</f>
        <v>2</v>
      </c>
      <c r="I103" s="4" t="n">
        <f aca="false">H57</f>
        <v>2</v>
      </c>
      <c r="J103" s="4" t="n">
        <f aca="false">I57</f>
        <v>2</v>
      </c>
      <c r="K103" s="4" t="n">
        <f aca="false">J57</f>
        <v>2</v>
      </c>
    </row>
    <row r="104" customFormat="false" ht="15" hidden="false" customHeight="false" outlineLevel="0" collapsed="false">
      <c r="A104" s="8" t="str">
        <f aca="false">datos_base!A18</f>
        <v>ABC 100 kg s/ruedas</v>
      </c>
      <c r="B104" s="4" t="n">
        <v>0</v>
      </c>
      <c r="C104" s="4" t="n">
        <f aca="false">B58</f>
        <v>1</v>
      </c>
      <c r="D104" s="4" t="n">
        <f aca="false">C58</f>
        <v>1</v>
      </c>
      <c r="E104" s="4" t="n">
        <f aca="false">D58</f>
        <v>1</v>
      </c>
      <c r="F104" s="4" t="n">
        <f aca="false">E58</f>
        <v>1</v>
      </c>
      <c r="G104" s="4" t="n">
        <f aca="false">F58</f>
        <v>1</v>
      </c>
      <c r="H104" s="4" t="n">
        <f aca="false">G58</f>
        <v>1</v>
      </c>
      <c r="I104" s="4" t="n">
        <f aca="false">H58</f>
        <v>1</v>
      </c>
      <c r="J104" s="4" t="n">
        <f aca="false">I58</f>
        <v>2</v>
      </c>
      <c r="K104" s="4" t="n">
        <f aca="false">J58</f>
        <v>2</v>
      </c>
    </row>
    <row r="105" customFormat="false" ht="15" hidden="false" customHeight="false" outlineLevel="0" collapsed="false">
      <c r="A105" s="5" t="s">
        <v>66</v>
      </c>
      <c r="B105" s="6" t="n">
        <f aca="false">SUM(B88:B104)</f>
        <v>0</v>
      </c>
      <c r="C105" s="6" t="n">
        <f aca="false">SUM(C88:C104)</f>
        <v>25</v>
      </c>
      <c r="D105" s="6" t="n">
        <f aca="false">SUM(D88:D104)</f>
        <v>60</v>
      </c>
      <c r="E105" s="6" t="n">
        <f aca="false">SUM(E88:E104)</f>
        <v>120</v>
      </c>
      <c r="F105" s="6" t="n">
        <f aca="false">SUM(F88:F104)</f>
        <v>217</v>
      </c>
      <c r="G105" s="6" t="n">
        <f aca="false">SUM(G88:G104)</f>
        <v>309</v>
      </c>
      <c r="H105" s="6" t="n">
        <f aca="false">SUM(H88:H104)</f>
        <v>409</v>
      </c>
      <c r="I105" s="6" t="n">
        <f aca="false">SUM(I88:I104)</f>
        <v>499</v>
      </c>
      <c r="J105" s="6" t="n">
        <f aca="false">SUM(J88:J104)</f>
        <v>553</v>
      </c>
      <c r="K105" s="6" t="n">
        <f aca="false">SUM(K88:K104)</f>
        <v>597</v>
      </c>
    </row>
  </sheetData>
  <mergeCells count="42">
    <mergeCell ref="C4:L4"/>
    <mergeCell ref="C5:L5"/>
    <mergeCell ref="C6:L6"/>
    <mergeCell ref="C7:L7"/>
    <mergeCell ref="C8:L8"/>
    <mergeCell ref="C9:L9"/>
    <mergeCell ref="E20:F20"/>
    <mergeCell ref="G20:L20"/>
    <mergeCell ref="E21:F21"/>
    <mergeCell ref="G21:L21"/>
    <mergeCell ref="E22:F22"/>
    <mergeCell ref="G22:L22"/>
    <mergeCell ref="E23:F23"/>
    <mergeCell ref="G23:L23"/>
    <mergeCell ref="E24:F24"/>
    <mergeCell ref="G24:L24"/>
    <mergeCell ref="E25:F25"/>
    <mergeCell ref="G25:L25"/>
    <mergeCell ref="E26:F26"/>
    <mergeCell ref="G26:L26"/>
    <mergeCell ref="E27:F27"/>
    <mergeCell ref="G27:L27"/>
    <mergeCell ref="E28:F28"/>
    <mergeCell ref="G28:L28"/>
    <mergeCell ref="E29:F29"/>
    <mergeCell ref="G29:L29"/>
    <mergeCell ref="E30:F30"/>
    <mergeCell ref="G30:L30"/>
    <mergeCell ref="E31:F31"/>
    <mergeCell ref="G31:L31"/>
    <mergeCell ref="E32:F32"/>
    <mergeCell ref="G32:L32"/>
    <mergeCell ref="E33:F33"/>
    <mergeCell ref="G33:L33"/>
    <mergeCell ref="E34:F34"/>
    <mergeCell ref="G34:L34"/>
    <mergeCell ref="E35:F35"/>
    <mergeCell ref="G35:L35"/>
    <mergeCell ref="E36:F36"/>
    <mergeCell ref="G36:L36"/>
    <mergeCell ref="E37:F37"/>
    <mergeCell ref="G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15" min="3" style="0" width="9"/>
    <col collapsed="false" customWidth="true" hidden="false" outlineLevel="0" max="16" min="16" style="0" width="10"/>
    <col collapsed="false" customWidth="true" hidden="false" outlineLevel="0" max="17" min="17" style="0" width="14"/>
  </cols>
  <sheetData>
    <row r="1" customFormat="false" ht="23.85" hidden="false" customHeight="false" outlineLevel="0" collapsed="false">
      <c r="A1" s="23" t="n">
        <v>2026</v>
      </c>
      <c r="B1" s="2" t="s">
        <v>303</v>
      </c>
      <c r="C1" s="2" t="s">
        <v>304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  <c r="K1" s="2" t="s">
        <v>137</v>
      </c>
      <c r="L1" s="2" t="s">
        <v>138</v>
      </c>
      <c r="M1" s="2" t="s">
        <v>139</v>
      </c>
      <c r="N1" s="2" t="s">
        <v>140</v>
      </c>
      <c r="O1" s="2" t="s">
        <v>141</v>
      </c>
      <c r="P1" s="2" t="s">
        <v>66</v>
      </c>
      <c r="Q1" s="2" t="s">
        <v>305</v>
      </c>
    </row>
    <row r="2" customFormat="false" ht="15" hidden="false" customHeight="false" outlineLevel="0" collapsed="false">
      <c r="A2" s="8" t="str">
        <f aca="false">parametros_recargas!A51</f>
        <v>ABC 1 kg</v>
      </c>
      <c r="B2" s="8" t="str">
        <f aca="false">parametros_recargas!B51</f>
        <v>ABC</v>
      </c>
      <c r="C2" s="11" t="n">
        <f aca="false">parametros_recargas!C51</f>
        <v>1</v>
      </c>
      <c r="D2" s="21" t="n">
        <f aca="false">datos_base!$B$2*parametros_recargas!$B$37+sobrestock_sustitutos!$B$88/12</f>
        <v>83.5281079467065</v>
      </c>
      <c r="E2" s="21" t="n">
        <f aca="false">datos_base!$B$2*parametros_recargas!$C$37+sobrestock_sustitutos!$B$88/12</f>
        <v>83.5281079467065</v>
      </c>
      <c r="F2" s="21" t="n">
        <f aca="false">datos_base!$B$2*parametros_recargas!$D$37+sobrestock_sustitutos!$B$88/12</f>
        <v>83.5281079467065</v>
      </c>
      <c r="G2" s="21" t="n">
        <f aca="false">datos_base!$B$2*parametros_recargas!$E$37+sobrestock_sustitutos!$B$88/12</f>
        <v>83.5281079467065</v>
      </c>
      <c r="H2" s="21" t="n">
        <f aca="false">datos_base!$B$2*parametros_recargas!$F$37+sobrestock_sustitutos!$B$88/12</f>
        <v>83.5281079467065</v>
      </c>
      <c r="I2" s="21" t="n">
        <f aca="false">datos_base!$B$2*parametros_recargas!$G$37+sobrestock_sustitutos!$B$88/12</f>
        <v>83.5281079467065</v>
      </c>
      <c r="J2" s="21" t="n">
        <f aca="false">datos_base!$B$2*parametros_recargas!$H$37+sobrestock_sustitutos!$B$88/12</f>
        <v>83.5281079467065</v>
      </c>
      <c r="K2" s="21" t="n">
        <f aca="false">datos_base!$B$2*parametros_recargas!$I$37+sobrestock_sustitutos!$B$88/12</f>
        <v>83.5281079467065</v>
      </c>
      <c r="L2" s="21" t="n">
        <f aca="false">datos_base!$B$2*parametros_recargas!$J$37+sobrestock_sustitutos!$B$88/12</f>
        <v>83.5281079467065</v>
      </c>
      <c r="M2" s="21" t="n">
        <f aca="false">datos_base!$B$2*parametros_recargas!$K$37+sobrestock_sustitutos!$B$88/12</f>
        <v>83.5281079467065</v>
      </c>
      <c r="N2" s="21" t="n">
        <f aca="false">datos_base!$B$2*parametros_recargas!$L$37+sobrestock_sustitutos!$B$88/12</f>
        <v>83.5281079467065</v>
      </c>
      <c r="O2" s="21" t="n">
        <f aca="false">datos_base!$B$2*parametros_recargas!$M$37+sobrestock_sustitutos!$B$88/12</f>
        <v>83.5281079467065</v>
      </c>
      <c r="P2" s="6" t="n">
        <f aca="false">SUM(D2:O2)</f>
        <v>1002.33729536048</v>
      </c>
      <c r="Q2" s="4" t="n">
        <f aca="false">sobrestock_sustitutos!$B$88</f>
        <v>0</v>
      </c>
    </row>
    <row r="3" customFormat="false" ht="15" hidden="false" customHeight="false" outlineLevel="0" collapsed="false">
      <c r="A3" s="8" t="str">
        <f aca="false">parametros_recargas!A52</f>
        <v>ABC 2,5 kg</v>
      </c>
      <c r="B3" s="8" t="str">
        <f aca="false">parametros_recargas!B52</f>
        <v>ABC</v>
      </c>
      <c r="C3" s="11" t="n">
        <f aca="false">parametros_recargas!C52</f>
        <v>1</v>
      </c>
      <c r="D3" s="21" t="n">
        <f aca="false">datos_base!$B$3*parametros_recargas!$B$37+sobrestock_sustitutos!$B$89/12</f>
        <v>7.92642386758031</v>
      </c>
      <c r="E3" s="21" t="n">
        <f aca="false">datos_base!$B$3*parametros_recargas!$C$37+sobrestock_sustitutos!$B$89/12</f>
        <v>7.92642386758031</v>
      </c>
      <c r="F3" s="21" t="n">
        <f aca="false">datos_base!$B$3*parametros_recargas!$D$37+sobrestock_sustitutos!$B$89/12</f>
        <v>7.92642386758031</v>
      </c>
      <c r="G3" s="21" t="n">
        <f aca="false">datos_base!$B$3*parametros_recargas!$E$37+sobrestock_sustitutos!$B$89/12</f>
        <v>7.92642386758031</v>
      </c>
      <c r="H3" s="21" t="n">
        <f aca="false">datos_base!$B$3*parametros_recargas!$F$37+sobrestock_sustitutos!$B$89/12</f>
        <v>7.92642386758031</v>
      </c>
      <c r="I3" s="21" t="n">
        <f aca="false">datos_base!$B$3*parametros_recargas!$G$37+sobrestock_sustitutos!$B$89/12</f>
        <v>7.92642386758031</v>
      </c>
      <c r="J3" s="21" t="n">
        <f aca="false">datos_base!$B$3*parametros_recargas!$H$37+sobrestock_sustitutos!$B$89/12</f>
        <v>7.92642386758031</v>
      </c>
      <c r="K3" s="21" t="n">
        <f aca="false">datos_base!$B$3*parametros_recargas!$I$37+sobrestock_sustitutos!$B$89/12</f>
        <v>7.92642386758031</v>
      </c>
      <c r="L3" s="21" t="n">
        <f aca="false">datos_base!$B$3*parametros_recargas!$J$37+sobrestock_sustitutos!$B$89/12</f>
        <v>7.92642386758031</v>
      </c>
      <c r="M3" s="21" t="n">
        <f aca="false">datos_base!$B$3*parametros_recargas!$K$37+sobrestock_sustitutos!$B$89/12</f>
        <v>7.92642386758031</v>
      </c>
      <c r="N3" s="21" t="n">
        <f aca="false">datos_base!$B$3*parametros_recargas!$L$37+sobrestock_sustitutos!$B$89/12</f>
        <v>7.92642386758031</v>
      </c>
      <c r="O3" s="21" t="n">
        <f aca="false">datos_base!$B$3*parametros_recargas!$M$37+sobrestock_sustitutos!$B$89/12</f>
        <v>7.92642386758031</v>
      </c>
      <c r="P3" s="6" t="n">
        <f aca="false">SUM(D3:O3)</f>
        <v>95.1170864109637</v>
      </c>
      <c r="Q3" s="4" t="n">
        <f aca="false">sobrestock_sustitutos!$B$89</f>
        <v>0</v>
      </c>
    </row>
    <row r="4" customFormat="false" ht="15" hidden="false" customHeight="false" outlineLevel="0" collapsed="false">
      <c r="A4" s="8" t="str">
        <f aca="false">parametros_recargas!A53</f>
        <v>ABC 5 kg</v>
      </c>
      <c r="B4" s="8" t="str">
        <f aca="false">parametros_recargas!B53</f>
        <v>ABC</v>
      </c>
      <c r="C4" s="11" t="n">
        <f aca="false">parametros_recargas!C53</f>
        <v>1</v>
      </c>
      <c r="D4" s="21" t="n">
        <f aca="false">datos_base!$B$4*parametros_recargas!$B$37+sobrestock_sustitutos!$B$90/12</f>
        <v>46.8478982389257</v>
      </c>
      <c r="E4" s="21" t="n">
        <f aca="false">datos_base!$B$4*parametros_recargas!$C$37+sobrestock_sustitutos!$B$90/12</f>
        <v>46.8478982389257</v>
      </c>
      <c r="F4" s="21" t="n">
        <f aca="false">datos_base!$B$4*parametros_recargas!$D$37+sobrestock_sustitutos!$B$90/12</f>
        <v>46.8478982389257</v>
      </c>
      <c r="G4" s="21" t="n">
        <f aca="false">datos_base!$B$4*parametros_recargas!$E$37+sobrestock_sustitutos!$B$90/12</f>
        <v>46.8478982389257</v>
      </c>
      <c r="H4" s="21" t="n">
        <f aca="false">datos_base!$B$4*parametros_recargas!$F$37+sobrestock_sustitutos!$B$90/12</f>
        <v>46.8478982389257</v>
      </c>
      <c r="I4" s="21" t="n">
        <f aca="false">datos_base!$B$4*parametros_recargas!$G$37+sobrestock_sustitutos!$B$90/12</f>
        <v>46.8478982389257</v>
      </c>
      <c r="J4" s="21" t="n">
        <f aca="false">datos_base!$B$4*parametros_recargas!$H$37+sobrestock_sustitutos!$B$90/12</f>
        <v>46.8478982389257</v>
      </c>
      <c r="K4" s="21" t="n">
        <f aca="false">datos_base!$B$4*parametros_recargas!$I$37+sobrestock_sustitutos!$B$90/12</f>
        <v>46.8478982389257</v>
      </c>
      <c r="L4" s="21" t="n">
        <f aca="false">datos_base!$B$4*parametros_recargas!$J$37+sobrestock_sustitutos!$B$90/12</f>
        <v>46.8478982389257</v>
      </c>
      <c r="M4" s="21" t="n">
        <f aca="false">datos_base!$B$4*parametros_recargas!$K$37+sobrestock_sustitutos!$B$90/12</f>
        <v>46.8478982389257</v>
      </c>
      <c r="N4" s="21" t="n">
        <f aca="false">datos_base!$B$4*parametros_recargas!$L$37+sobrestock_sustitutos!$B$90/12</f>
        <v>46.8478982389257</v>
      </c>
      <c r="O4" s="21" t="n">
        <f aca="false">datos_base!$B$4*parametros_recargas!$M$37+sobrestock_sustitutos!$B$90/12</f>
        <v>46.8478982389257</v>
      </c>
      <c r="P4" s="6" t="n">
        <f aca="false">SUM(D4:O4)</f>
        <v>562.174778867108</v>
      </c>
      <c r="Q4" s="4" t="n">
        <f aca="false">sobrestock_sustitutos!$B$90</f>
        <v>0</v>
      </c>
    </row>
    <row r="5" customFormat="false" ht="15" hidden="false" customHeight="false" outlineLevel="0" collapsed="false">
      <c r="A5" s="8" t="str">
        <f aca="false">parametros_recargas!A54</f>
        <v>ABC 10 kg</v>
      </c>
      <c r="B5" s="8" t="str">
        <f aca="false">parametros_recargas!B54</f>
        <v>ABC</v>
      </c>
      <c r="C5" s="11" t="n">
        <f aca="false">parametros_recargas!C54</f>
        <v>1</v>
      </c>
      <c r="D5" s="21" t="n">
        <f aca="false">datos_base!$B$5*parametros_recargas!$B$37+sobrestock_sustitutos!$B$91/12</f>
        <v>2.84257957798816</v>
      </c>
      <c r="E5" s="21" t="n">
        <f aca="false">datos_base!$B$5*parametros_recargas!$C$37+sobrestock_sustitutos!$B$91/12</f>
        <v>2.84257957798816</v>
      </c>
      <c r="F5" s="21" t="n">
        <f aca="false">datos_base!$B$5*parametros_recargas!$D$37+sobrestock_sustitutos!$B$91/12</f>
        <v>2.84257957798816</v>
      </c>
      <c r="G5" s="21" t="n">
        <f aca="false">datos_base!$B$5*parametros_recargas!$E$37+sobrestock_sustitutos!$B$91/12</f>
        <v>2.84257957798816</v>
      </c>
      <c r="H5" s="21" t="n">
        <f aca="false">datos_base!$B$5*parametros_recargas!$F$37+sobrestock_sustitutos!$B$91/12</f>
        <v>2.84257957798816</v>
      </c>
      <c r="I5" s="21" t="n">
        <f aca="false">datos_base!$B$5*parametros_recargas!$G$37+sobrestock_sustitutos!$B$91/12</f>
        <v>2.84257957798816</v>
      </c>
      <c r="J5" s="21" t="n">
        <f aca="false">datos_base!$B$5*parametros_recargas!$H$37+sobrestock_sustitutos!$B$91/12</f>
        <v>2.84257957798816</v>
      </c>
      <c r="K5" s="21" t="n">
        <f aca="false">datos_base!$B$5*parametros_recargas!$I$37+sobrestock_sustitutos!$B$91/12</f>
        <v>2.84257957798816</v>
      </c>
      <c r="L5" s="21" t="n">
        <f aca="false">datos_base!$B$5*parametros_recargas!$J$37+sobrestock_sustitutos!$B$91/12</f>
        <v>2.84257957798816</v>
      </c>
      <c r="M5" s="21" t="n">
        <f aca="false">datos_base!$B$5*parametros_recargas!$K$37+sobrestock_sustitutos!$B$91/12</f>
        <v>2.84257957798816</v>
      </c>
      <c r="N5" s="21" t="n">
        <f aca="false">datos_base!$B$5*parametros_recargas!$L$37+sobrestock_sustitutos!$B$91/12</f>
        <v>2.84257957798816</v>
      </c>
      <c r="O5" s="21" t="n">
        <f aca="false">datos_base!$B$5*parametros_recargas!$M$37+sobrestock_sustitutos!$B$91/12</f>
        <v>2.84257957798816</v>
      </c>
      <c r="P5" s="6" t="n">
        <f aca="false">SUM(D5:O5)</f>
        <v>34.110954935858</v>
      </c>
      <c r="Q5" s="4" t="n">
        <f aca="false">sobrestock_sustitutos!$B$91</f>
        <v>0</v>
      </c>
    </row>
    <row r="6" customFormat="false" ht="15" hidden="false" customHeight="false" outlineLevel="0" collapsed="false">
      <c r="A6" s="8" t="str">
        <f aca="false">parametros_recargas!A55</f>
        <v>Agua 10 l</v>
      </c>
      <c r="B6" s="8" t="str">
        <f aca="false">parametros_recargas!B55</f>
        <v>Agua</v>
      </c>
      <c r="C6" s="11" t="n">
        <f aca="false">parametros_recargas!C55</f>
        <v>1</v>
      </c>
      <c r="D6" s="21" t="n">
        <f aca="false">datos_base!$B$6*parametros_recargas!$B$37+sobrestock_sustitutos!$B$92/12</f>
        <v>3.8265494466885</v>
      </c>
      <c r="E6" s="21" t="n">
        <f aca="false">datos_base!$B$6*parametros_recargas!$C$37+sobrestock_sustitutos!$B$92/12</f>
        <v>3.8265494466885</v>
      </c>
      <c r="F6" s="21" t="n">
        <f aca="false">datos_base!$B$6*parametros_recargas!$D$37+sobrestock_sustitutos!$B$92/12</f>
        <v>3.8265494466885</v>
      </c>
      <c r="G6" s="21" t="n">
        <f aca="false">datos_base!$B$6*parametros_recargas!$E$37+sobrestock_sustitutos!$B$92/12</f>
        <v>3.8265494466885</v>
      </c>
      <c r="H6" s="21" t="n">
        <f aca="false">datos_base!$B$6*parametros_recargas!$F$37+sobrestock_sustitutos!$B$92/12</f>
        <v>3.8265494466885</v>
      </c>
      <c r="I6" s="21" t="n">
        <f aca="false">datos_base!$B$6*parametros_recargas!$G$37+sobrestock_sustitutos!$B$92/12</f>
        <v>3.8265494466885</v>
      </c>
      <c r="J6" s="21" t="n">
        <f aca="false">datos_base!$B$6*parametros_recargas!$H$37+sobrestock_sustitutos!$B$92/12</f>
        <v>3.8265494466885</v>
      </c>
      <c r="K6" s="21" t="n">
        <f aca="false">datos_base!$B$6*parametros_recargas!$I$37+sobrestock_sustitutos!$B$92/12</f>
        <v>3.8265494466885</v>
      </c>
      <c r="L6" s="21" t="n">
        <f aca="false">datos_base!$B$6*parametros_recargas!$J$37+sobrestock_sustitutos!$B$92/12</f>
        <v>3.8265494466885</v>
      </c>
      <c r="M6" s="21" t="n">
        <f aca="false">datos_base!$B$6*parametros_recargas!$K$37+sobrestock_sustitutos!$B$92/12</f>
        <v>3.8265494466885</v>
      </c>
      <c r="N6" s="21" t="n">
        <f aca="false">datos_base!$B$6*parametros_recargas!$L$37+sobrestock_sustitutos!$B$92/12</f>
        <v>3.8265494466885</v>
      </c>
      <c r="O6" s="21" t="n">
        <f aca="false">datos_base!$B$6*parametros_recargas!$M$37+sobrestock_sustitutos!$B$92/12</f>
        <v>3.8265494466885</v>
      </c>
      <c r="P6" s="6" t="n">
        <f aca="false">SUM(D6:O6)</f>
        <v>45.918593360262</v>
      </c>
      <c r="Q6" s="4" t="n">
        <f aca="false">sobrestock_sustitutos!$B$92</f>
        <v>0</v>
      </c>
    </row>
    <row r="7" customFormat="false" ht="15" hidden="false" customHeight="false" outlineLevel="0" collapsed="false">
      <c r="A7" s="8" t="str">
        <f aca="false">parametros_recargas!A56</f>
        <v>AFFF 10 l</v>
      </c>
      <c r="B7" s="8" t="str">
        <f aca="false">parametros_recargas!B56</f>
        <v>AFFF</v>
      </c>
      <c r="C7" s="11" t="n">
        <f aca="false">parametros_recargas!C56</f>
        <v>1</v>
      </c>
      <c r="D7" s="21" t="n">
        <f aca="false">datos_base!$B$7*parametros_recargas!$B$37+sobrestock_sustitutos!$B$93/12</f>
        <v>0.546649924386888</v>
      </c>
      <c r="E7" s="21" t="n">
        <f aca="false">datos_base!$B$7*parametros_recargas!$C$37+sobrestock_sustitutos!$B$93/12</f>
        <v>0.546649924386888</v>
      </c>
      <c r="F7" s="21" t="n">
        <f aca="false">datos_base!$B$7*parametros_recargas!$D$37+sobrestock_sustitutos!$B$93/12</f>
        <v>0.546649924386888</v>
      </c>
      <c r="G7" s="21" t="n">
        <f aca="false">datos_base!$B$7*parametros_recargas!$E$37+sobrestock_sustitutos!$B$93/12</f>
        <v>0.546649924386888</v>
      </c>
      <c r="H7" s="21" t="n">
        <f aca="false">datos_base!$B$7*parametros_recargas!$F$37+sobrestock_sustitutos!$B$93/12</f>
        <v>0.546649924386888</v>
      </c>
      <c r="I7" s="21" t="n">
        <f aca="false">datos_base!$B$7*parametros_recargas!$G$37+sobrestock_sustitutos!$B$93/12</f>
        <v>0.546649924386888</v>
      </c>
      <c r="J7" s="21" t="n">
        <f aca="false">datos_base!$B$7*parametros_recargas!$H$37+sobrestock_sustitutos!$B$93/12</f>
        <v>0.546649924386888</v>
      </c>
      <c r="K7" s="21" t="n">
        <f aca="false">datos_base!$B$7*parametros_recargas!$I$37+sobrestock_sustitutos!$B$93/12</f>
        <v>0.546649924386888</v>
      </c>
      <c r="L7" s="21" t="n">
        <f aca="false">datos_base!$B$7*parametros_recargas!$J$37+sobrestock_sustitutos!$B$93/12</f>
        <v>0.546649924386888</v>
      </c>
      <c r="M7" s="21" t="n">
        <f aca="false">datos_base!$B$7*parametros_recargas!$K$37+sobrestock_sustitutos!$B$93/12</f>
        <v>0.546649924386888</v>
      </c>
      <c r="N7" s="21" t="n">
        <f aca="false">datos_base!$B$7*parametros_recargas!$L$37+sobrestock_sustitutos!$B$93/12</f>
        <v>0.546649924386888</v>
      </c>
      <c r="O7" s="21" t="n">
        <f aca="false">datos_base!$B$7*parametros_recargas!$M$37+sobrestock_sustitutos!$B$93/12</f>
        <v>0.546649924386888</v>
      </c>
      <c r="P7" s="6" t="n">
        <f aca="false">SUM(D7:O7)</f>
        <v>6.55979909264265</v>
      </c>
      <c r="Q7" s="4" t="n">
        <f aca="false">sobrestock_sustitutos!$B$93</f>
        <v>0</v>
      </c>
    </row>
    <row r="8" customFormat="false" ht="15" hidden="false" customHeight="false" outlineLevel="0" collapsed="false">
      <c r="A8" s="8" t="str">
        <f aca="false">parametros_recargas!A57</f>
        <v>AFFF 50 l s/ruedas</v>
      </c>
      <c r="B8" s="8" t="str">
        <f aca="false">parametros_recargas!B57</f>
        <v>AFFF</v>
      </c>
      <c r="C8" s="11" t="n">
        <f aca="false">parametros_recargas!C57</f>
        <v>3</v>
      </c>
      <c r="D8" s="21" t="n">
        <f aca="false">datos_base!$B$8*parametros_recargas!$B$37+sobrestock_sustitutos!$B$94/12</f>
        <v>0.273324950183589</v>
      </c>
      <c r="E8" s="21" t="n">
        <f aca="false">datos_base!$B$8*parametros_recargas!$C$37+sobrestock_sustitutos!$B$94/12</f>
        <v>0.273324950183589</v>
      </c>
      <c r="F8" s="21" t="n">
        <f aca="false">datos_base!$B$8*parametros_recargas!$D$37+sobrestock_sustitutos!$B$94/12</f>
        <v>0.273324950183589</v>
      </c>
      <c r="G8" s="21" t="n">
        <f aca="false">datos_base!$B$8*parametros_recargas!$E$37+sobrestock_sustitutos!$B$94/12</f>
        <v>0.273324950183589</v>
      </c>
      <c r="H8" s="21" t="n">
        <f aca="false">datos_base!$B$8*parametros_recargas!$F$37+sobrestock_sustitutos!$B$94/12</f>
        <v>0.273324950183589</v>
      </c>
      <c r="I8" s="21" t="n">
        <f aca="false">datos_base!$B$8*parametros_recargas!$G$37+sobrestock_sustitutos!$B$94/12</f>
        <v>0.273324950183589</v>
      </c>
      <c r="J8" s="21" t="n">
        <f aca="false">datos_base!$B$8*parametros_recargas!$H$37+sobrestock_sustitutos!$B$94/12</f>
        <v>0.273324950183589</v>
      </c>
      <c r="K8" s="21" t="n">
        <f aca="false">datos_base!$B$8*parametros_recargas!$I$37+sobrestock_sustitutos!$B$94/12</f>
        <v>0.273324950183589</v>
      </c>
      <c r="L8" s="21" t="n">
        <f aca="false">datos_base!$B$8*parametros_recargas!$J$37+sobrestock_sustitutos!$B$94/12</f>
        <v>0.273324950183589</v>
      </c>
      <c r="M8" s="21" t="n">
        <f aca="false">datos_base!$B$8*parametros_recargas!$K$37+sobrestock_sustitutos!$B$94/12</f>
        <v>0.273324950183589</v>
      </c>
      <c r="N8" s="21" t="n">
        <f aca="false">datos_base!$B$8*parametros_recargas!$L$37+sobrestock_sustitutos!$B$94/12</f>
        <v>0.273324950183589</v>
      </c>
      <c r="O8" s="21" t="n">
        <f aca="false">datos_base!$B$8*parametros_recargas!$M$37+sobrestock_sustitutos!$B$94/12</f>
        <v>0.273324950183589</v>
      </c>
      <c r="P8" s="6" t="n">
        <f aca="false">SUM(D8:O8)</f>
        <v>3.27989940220307</v>
      </c>
      <c r="Q8" s="4" t="n">
        <f aca="false">sobrestock_sustitutos!$B$94</f>
        <v>0</v>
      </c>
    </row>
    <row r="9" customFormat="false" ht="15" hidden="false" customHeight="false" outlineLevel="0" collapsed="false">
      <c r="A9" s="8" t="str">
        <f aca="false">parametros_recargas!A58</f>
        <v>BC 5 kg</v>
      </c>
      <c r="B9" s="8" t="str">
        <f aca="false">parametros_recargas!B58</f>
        <v>BC</v>
      </c>
      <c r="C9" s="11" t="n">
        <f aca="false">parametros_recargas!C58</f>
        <v>1</v>
      </c>
      <c r="D9" s="21" t="n">
        <f aca="false">datos_base!$B$9*parametros_recargas!$B$37+sobrestock_sustitutos!$B$95/12</f>
        <v>0.163994970110154</v>
      </c>
      <c r="E9" s="21" t="n">
        <f aca="false">datos_base!$B$9*parametros_recargas!$C$37+sobrestock_sustitutos!$B$95/12</f>
        <v>0.163994970110154</v>
      </c>
      <c r="F9" s="21" t="n">
        <f aca="false">datos_base!$B$9*parametros_recargas!$D$37+sobrestock_sustitutos!$B$95/12</f>
        <v>0.163994970110154</v>
      </c>
      <c r="G9" s="21" t="n">
        <f aca="false">datos_base!$B$9*parametros_recargas!$E$37+sobrestock_sustitutos!$B$95/12</f>
        <v>0.163994970110154</v>
      </c>
      <c r="H9" s="21" t="n">
        <f aca="false">datos_base!$B$9*parametros_recargas!$F$37+sobrestock_sustitutos!$B$95/12</f>
        <v>0.163994970110154</v>
      </c>
      <c r="I9" s="21" t="n">
        <f aca="false">datos_base!$B$9*parametros_recargas!$G$37+sobrestock_sustitutos!$B$95/12</f>
        <v>0.163994970110154</v>
      </c>
      <c r="J9" s="21" t="n">
        <f aca="false">datos_base!$B$9*parametros_recargas!$H$37+sobrestock_sustitutos!$B$95/12</f>
        <v>0.163994970110154</v>
      </c>
      <c r="K9" s="21" t="n">
        <f aca="false">datos_base!$B$9*parametros_recargas!$I$37+sobrestock_sustitutos!$B$95/12</f>
        <v>0.163994970110154</v>
      </c>
      <c r="L9" s="21" t="n">
        <f aca="false">datos_base!$B$9*parametros_recargas!$J$37+sobrestock_sustitutos!$B$95/12</f>
        <v>0.163994970110154</v>
      </c>
      <c r="M9" s="21" t="n">
        <f aca="false">datos_base!$B$9*parametros_recargas!$K$37+sobrestock_sustitutos!$B$95/12</f>
        <v>0.163994970110154</v>
      </c>
      <c r="N9" s="21" t="n">
        <f aca="false">datos_base!$B$9*parametros_recargas!$L$37+sobrestock_sustitutos!$B$95/12</f>
        <v>0.163994970110154</v>
      </c>
      <c r="O9" s="21" t="n">
        <f aca="false">datos_base!$B$9*parametros_recargas!$M$37+sobrestock_sustitutos!$B$95/12</f>
        <v>0.163994970110154</v>
      </c>
      <c r="P9" s="6" t="n">
        <f aca="false">SUM(D9:O9)</f>
        <v>1.96793964132184</v>
      </c>
      <c r="Q9" s="4" t="n">
        <f aca="false">sobrestock_sustitutos!$B$95</f>
        <v>0</v>
      </c>
    </row>
    <row r="10" customFormat="false" ht="15" hidden="false" customHeight="false" outlineLevel="0" collapsed="false">
      <c r="A10" s="8" t="str">
        <f aca="false">parametros_recargas!A59</f>
        <v>Sales K 6 l</v>
      </c>
      <c r="B10" s="8" t="str">
        <f aca="false">parametros_recargas!B59</f>
        <v>Sales K</v>
      </c>
      <c r="C10" s="11" t="n">
        <f aca="false">parametros_recargas!C59</f>
        <v>1</v>
      </c>
      <c r="D10" s="21" t="n">
        <f aca="false">datos_base!$B$10*parametros_recargas!$B$37+sobrestock_sustitutos!$B$96/12</f>
        <v>1.96793971338097</v>
      </c>
      <c r="E10" s="21" t="n">
        <f aca="false">datos_base!$B$10*parametros_recargas!$C$37+sobrestock_sustitutos!$B$96/12</f>
        <v>1.96793971338097</v>
      </c>
      <c r="F10" s="21" t="n">
        <f aca="false">datos_base!$B$10*parametros_recargas!$D$37+sobrestock_sustitutos!$B$96/12</f>
        <v>1.96793971338097</v>
      </c>
      <c r="G10" s="21" t="n">
        <f aca="false">datos_base!$B$10*parametros_recargas!$E$37+sobrestock_sustitutos!$B$96/12</f>
        <v>1.96793971338097</v>
      </c>
      <c r="H10" s="21" t="n">
        <f aca="false">datos_base!$B$10*parametros_recargas!$F$37+sobrestock_sustitutos!$B$96/12</f>
        <v>1.96793971338097</v>
      </c>
      <c r="I10" s="21" t="n">
        <f aca="false">datos_base!$B$10*parametros_recargas!$G$37+sobrestock_sustitutos!$B$96/12</f>
        <v>1.96793971338097</v>
      </c>
      <c r="J10" s="21" t="n">
        <f aca="false">datos_base!$B$10*parametros_recargas!$H$37+sobrestock_sustitutos!$B$96/12</f>
        <v>1.96793971338097</v>
      </c>
      <c r="K10" s="21" t="n">
        <f aca="false">datos_base!$B$10*parametros_recargas!$I$37+sobrestock_sustitutos!$B$96/12</f>
        <v>1.96793971338097</v>
      </c>
      <c r="L10" s="21" t="n">
        <f aca="false">datos_base!$B$10*parametros_recargas!$J$37+sobrestock_sustitutos!$B$96/12</f>
        <v>1.96793971338097</v>
      </c>
      <c r="M10" s="21" t="n">
        <f aca="false">datos_base!$B$10*parametros_recargas!$K$37+sobrestock_sustitutos!$B$96/12</f>
        <v>1.96793971338097</v>
      </c>
      <c r="N10" s="21" t="n">
        <f aca="false">datos_base!$B$10*parametros_recargas!$L$37+sobrestock_sustitutos!$B$96/12</f>
        <v>1.96793971338097</v>
      </c>
      <c r="O10" s="21" t="n">
        <f aca="false">datos_base!$B$10*parametros_recargas!$M$37+sobrestock_sustitutos!$B$96/12</f>
        <v>1.96793971338097</v>
      </c>
      <c r="P10" s="6" t="n">
        <f aca="false">SUM(D10:O10)</f>
        <v>23.6152765605716</v>
      </c>
      <c r="Q10" s="4" t="n">
        <f aca="false">sobrestock_sustitutos!$B$96</f>
        <v>0</v>
      </c>
    </row>
    <row r="11" customFormat="false" ht="15" hidden="false" customHeight="false" outlineLevel="0" collapsed="false">
      <c r="A11" s="8" t="str">
        <f aca="false">parametros_recargas!A60</f>
        <v>CO₂ 2 kg</v>
      </c>
      <c r="B11" s="8" t="str">
        <f aca="false">parametros_recargas!B60</f>
        <v>CO₂</v>
      </c>
      <c r="C11" s="11" t="n">
        <f aca="false">parametros_recargas!C60</f>
        <v>1</v>
      </c>
      <c r="D11" s="21" t="n">
        <f aca="false">datos_base!$B$11*parametros_recargas!$B$37+sobrestock_sustitutos!$B$97/12</f>
        <v>10.8236684356052</v>
      </c>
      <c r="E11" s="21" t="n">
        <f aca="false">datos_base!$B$11*parametros_recargas!$C$37+sobrestock_sustitutos!$B$97/12</f>
        <v>10.8236684356052</v>
      </c>
      <c r="F11" s="21" t="n">
        <f aca="false">datos_base!$B$11*parametros_recargas!$D$37+sobrestock_sustitutos!$B$97/12</f>
        <v>10.8236684356052</v>
      </c>
      <c r="G11" s="21" t="n">
        <f aca="false">datos_base!$B$11*parametros_recargas!$E$37+sobrestock_sustitutos!$B$97/12</f>
        <v>10.8236684356052</v>
      </c>
      <c r="H11" s="21" t="n">
        <f aca="false">datos_base!$B$11*parametros_recargas!$F$37+sobrestock_sustitutos!$B$97/12</f>
        <v>10.8236684356052</v>
      </c>
      <c r="I11" s="21" t="n">
        <f aca="false">datos_base!$B$11*parametros_recargas!$G$37+sobrestock_sustitutos!$B$97/12</f>
        <v>10.8236684356052</v>
      </c>
      <c r="J11" s="21" t="n">
        <f aca="false">datos_base!$B$11*parametros_recargas!$H$37+sobrestock_sustitutos!$B$97/12</f>
        <v>10.8236684356052</v>
      </c>
      <c r="K11" s="21" t="n">
        <f aca="false">datos_base!$B$11*parametros_recargas!$I$37+sobrestock_sustitutos!$B$97/12</f>
        <v>10.8236684356052</v>
      </c>
      <c r="L11" s="21" t="n">
        <f aca="false">datos_base!$B$11*parametros_recargas!$J$37+sobrestock_sustitutos!$B$97/12</f>
        <v>10.8236684356052</v>
      </c>
      <c r="M11" s="21" t="n">
        <f aca="false">datos_base!$B$11*parametros_recargas!$K$37+sobrestock_sustitutos!$B$97/12</f>
        <v>10.8236684356052</v>
      </c>
      <c r="N11" s="21" t="n">
        <f aca="false">datos_base!$B$11*parametros_recargas!$L$37+sobrestock_sustitutos!$B$97/12</f>
        <v>10.8236684356052</v>
      </c>
      <c r="O11" s="21" t="n">
        <f aca="false">datos_base!$B$11*parametros_recargas!$M$37+sobrestock_sustitutos!$B$97/12</f>
        <v>10.8236684356052</v>
      </c>
      <c r="P11" s="6" t="n">
        <f aca="false">SUM(D11:O11)</f>
        <v>129.884021227262</v>
      </c>
      <c r="Q11" s="4" t="n">
        <f aca="false">sobrestock_sustitutos!$B$97</f>
        <v>0</v>
      </c>
    </row>
    <row r="12" customFormat="false" ht="15" hidden="false" customHeight="false" outlineLevel="0" collapsed="false">
      <c r="A12" s="8" t="str">
        <f aca="false">parametros_recargas!A61</f>
        <v>CO₂ 5 kg</v>
      </c>
      <c r="B12" s="8" t="str">
        <f aca="false">parametros_recargas!B61</f>
        <v>CO₂</v>
      </c>
      <c r="C12" s="11" t="n">
        <f aca="false">parametros_recargas!C61</f>
        <v>1</v>
      </c>
      <c r="D12" s="21" t="n">
        <f aca="false">datos_base!$B$12*parametros_recargas!$B$37+sobrestock_sustitutos!$B$98/12</f>
        <v>3.00657457211803</v>
      </c>
      <c r="E12" s="21" t="n">
        <f aca="false">datos_base!$B$12*parametros_recargas!$C$37+sobrestock_sustitutos!$B$98/12</f>
        <v>3.00657457211803</v>
      </c>
      <c r="F12" s="21" t="n">
        <f aca="false">datos_base!$B$12*parametros_recargas!$D$37+sobrestock_sustitutos!$B$98/12</f>
        <v>3.00657457211803</v>
      </c>
      <c r="G12" s="21" t="n">
        <f aca="false">datos_base!$B$12*parametros_recargas!$E$37+sobrestock_sustitutos!$B$98/12</f>
        <v>3.00657457211803</v>
      </c>
      <c r="H12" s="21" t="n">
        <f aca="false">datos_base!$B$12*parametros_recargas!$F$37+sobrestock_sustitutos!$B$98/12</f>
        <v>3.00657457211803</v>
      </c>
      <c r="I12" s="21" t="n">
        <f aca="false">datos_base!$B$12*parametros_recargas!$G$37+sobrestock_sustitutos!$B$98/12</f>
        <v>3.00657457211803</v>
      </c>
      <c r="J12" s="21" t="n">
        <f aca="false">datos_base!$B$12*parametros_recargas!$H$37+sobrestock_sustitutos!$B$98/12</f>
        <v>3.00657457211803</v>
      </c>
      <c r="K12" s="21" t="n">
        <f aca="false">datos_base!$B$12*parametros_recargas!$I$37+sobrestock_sustitutos!$B$98/12</f>
        <v>3.00657457211803</v>
      </c>
      <c r="L12" s="21" t="n">
        <f aca="false">datos_base!$B$12*parametros_recargas!$J$37+sobrestock_sustitutos!$B$98/12</f>
        <v>3.00657457211803</v>
      </c>
      <c r="M12" s="21" t="n">
        <f aca="false">datos_base!$B$12*parametros_recargas!$K$37+sobrestock_sustitutos!$B$98/12</f>
        <v>3.00657457211803</v>
      </c>
      <c r="N12" s="21" t="n">
        <f aca="false">datos_base!$B$12*parametros_recargas!$L$37+sobrestock_sustitutos!$B$98/12</f>
        <v>3.00657457211803</v>
      </c>
      <c r="O12" s="21" t="n">
        <f aca="false">datos_base!$B$12*parametros_recargas!$M$37+sobrestock_sustitutos!$B$98/12</f>
        <v>3.00657457211803</v>
      </c>
      <c r="P12" s="6" t="n">
        <f aca="false">SUM(D12:O12)</f>
        <v>36.0788948654163</v>
      </c>
      <c r="Q12" s="4" t="n">
        <f aca="false">sobrestock_sustitutos!$B$98</f>
        <v>0</v>
      </c>
    </row>
    <row r="13" customFormat="false" ht="15" hidden="false" customHeight="false" outlineLevel="0" collapsed="false">
      <c r="A13" s="8" t="str">
        <f aca="false">parametros_recargas!A62</f>
        <v>HCFC/HFC 5 kg</v>
      </c>
      <c r="B13" s="8" t="str">
        <f aca="false">parametros_recargas!B62</f>
        <v>Halogenado</v>
      </c>
      <c r="C13" s="11" t="n">
        <f aca="false">parametros_recargas!C62</f>
        <v>1</v>
      </c>
      <c r="D13" s="21" t="n">
        <f aca="false">datos_base!$B$13*parametros_recargas!$B$37+sobrestock_sustitutos!$B$99/12</f>
        <v>0.437319944313452</v>
      </c>
      <c r="E13" s="21" t="n">
        <f aca="false">datos_base!$B$13*parametros_recargas!$C$37+sobrestock_sustitutos!$B$99/12</f>
        <v>0.437319944313452</v>
      </c>
      <c r="F13" s="21" t="n">
        <f aca="false">datos_base!$B$13*parametros_recargas!$D$37+sobrestock_sustitutos!$B$99/12</f>
        <v>0.437319944313452</v>
      </c>
      <c r="G13" s="21" t="n">
        <f aca="false">datos_base!$B$13*parametros_recargas!$E$37+sobrestock_sustitutos!$B$99/12</f>
        <v>0.437319944313452</v>
      </c>
      <c r="H13" s="21" t="n">
        <f aca="false">datos_base!$B$13*parametros_recargas!$F$37+sobrestock_sustitutos!$B$99/12</f>
        <v>0.437319944313452</v>
      </c>
      <c r="I13" s="21" t="n">
        <f aca="false">datos_base!$B$13*parametros_recargas!$G$37+sobrestock_sustitutos!$B$99/12</f>
        <v>0.437319944313452</v>
      </c>
      <c r="J13" s="21" t="n">
        <f aca="false">datos_base!$B$13*parametros_recargas!$H$37+sobrestock_sustitutos!$B$99/12</f>
        <v>0.437319944313452</v>
      </c>
      <c r="K13" s="21" t="n">
        <f aca="false">datos_base!$B$13*parametros_recargas!$I$37+sobrestock_sustitutos!$B$99/12</f>
        <v>0.437319944313452</v>
      </c>
      <c r="L13" s="21" t="n">
        <f aca="false">datos_base!$B$13*parametros_recargas!$J$37+sobrestock_sustitutos!$B$99/12</f>
        <v>0.437319944313452</v>
      </c>
      <c r="M13" s="21" t="n">
        <f aca="false">datos_base!$B$13*parametros_recargas!$K$37+sobrestock_sustitutos!$B$99/12</f>
        <v>0.437319944313452</v>
      </c>
      <c r="N13" s="21" t="n">
        <f aca="false">datos_base!$B$13*parametros_recargas!$L$37+sobrestock_sustitutos!$B$99/12</f>
        <v>0.437319944313452</v>
      </c>
      <c r="O13" s="21" t="n">
        <f aca="false">datos_base!$B$13*parametros_recargas!$M$37+sobrestock_sustitutos!$B$99/12</f>
        <v>0.437319944313452</v>
      </c>
      <c r="P13" s="6" t="n">
        <f aca="false">SUM(D13:O13)</f>
        <v>5.24783933176142</v>
      </c>
      <c r="Q13" s="4" t="n">
        <f aca="false">sobrestock_sustitutos!$B$99</f>
        <v>0</v>
      </c>
    </row>
    <row r="14" customFormat="false" ht="15" hidden="false" customHeight="false" outlineLevel="0" collapsed="false">
      <c r="A14" s="8" t="str">
        <f aca="false">parametros_recargas!A63</f>
        <v>Clase D 9 l</v>
      </c>
      <c r="B14" s="8" t="str">
        <f aca="false">parametros_recargas!B63</f>
        <v>Clase D</v>
      </c>
      <c r="C14" s="11" t="n">
        <f aca="false">parametros_recargas!C63</f>
        <v>1</v>
      </c>
      <c r="D14" s="21" t="n">
        <f aca="false">datos_base!$B$14*parametros_recargas!$B$37+sobrestock_sustitutos!$B$100/12</f>
        <v>0.163994970110154</v>
      </c>
      <c r="E14" s="21" t="n">
        <f aca="false">datos_base!$B$14*parametros_recargas!$C$37+sobrestock_sustitutos!$B$100/12</f>
        <v>0.163994970110154</v>
      </c>
      <c r="F14" s="21" t="n">
        <f aca="false">datos_base!$B$14*parametros_recargas!$D$37+sobrestock_sustitutos!$B$100/12</f>
        <v>0.163994970110154</v>
      </c>
      <c r="G14" s="21" t="n">
        <f aca="false">datos_base!$B$14*parametros_recargas!$E$37+sobrestock_sustitutos!$B$100/12</f>
        <v>0.163994970110154</v>
      </c>
      <c r="H14" s="21" t="n">
        <f aca="false">datos_base!$B$14*parametros_recargas!$F$37+sobrestock_sustitutos!$B$100/12</f>
        <v>0.163994970110154</v>
      </c>
      <c r="I14" s="21" t="n">
        <f aca="false">datos_base!$B$14*parametros_recargas!$G$37+sobrestock_sustitutos!$B$100/12</f>
        <v>0.163994970110154</v>
      </c>
      <c r="J14" s="21" t="n">
        <f aca="false">datos_base!$B$14*parametros_recargas!$H$37+sobrestock_sustitutos!$B$100/12</f>
        <v>0.163994970110154</v>
      </c>
      <c r="K14" s="21" t="n">
        <f aca="false">datos_base!$B$14*parametros_recargas!$I$37+sobrestock_sustitutos!$B$100/12</f>
        <v>0.163994970110154</v>
      </c>
      <c r="L14" s="21" t="n">
        <f aca="false">datos_base!$B$14*parametros_recargas!$J$37+sobrestock_sustitutos!$B$100/12</f>
        <v>0.163994970110154</v>
      </c>
      <c r="M14" s="21" t="n">
        <f aca="false">datos_base!$B$14*parametros_recargas!$K$37+sobrestock_sustitutos!$B$100/12</f>
        <v>0.163994970110154</v>
      </c>
      <c r="N14" s="21" t="n">
        <f aca="false">datos_base!$B$14*parametros_recargas!$L$37+sobrestock_sustitutos!$B$100/12</f>
        <v>0.163994970110154</v>
      </c>
      <c r="O14" s="21" t="n">
        <f aca="false">datos_base!$B$14*parametros_recargas!$M$37+sobrestock_sustitutos!$B$100/12</f>
        <v>0.163994970110154</v>
      </c>
      <c r="P14" s="6" t="n">
        <f aca="false">SUM(D14:O14)</f>
        <v>1.96793964132184</v>
      </c>
      <c r="Q14" s="4" t="n">
        <f aca="false">sobrestock_sustitutos!$B$100</f>
        <v>0</v>
      </c>
    </row>
    <row r="15" customFormat="false" ht="15" hidden="false" customHeight="false" outlineLevel="0" collapsed="false">
      <c r="A15" s="8" t="str">
        <f aca="false">parametros_recargas!A64</f>
        <v>ABC 25 kg s/ruedas</v>
      </c>
      <c r="B15" s="8" t="str">
        <f aca="false">parametros_recargas!B64</f>
        <v>ABC</v>
      </c>
      <c r="C15" s="11" t="n">
        <f aca="false">parametros_recargas!C64</f>
        <v>3</v>
      </c>
      <c r="D15" s="21" t="n">
        <f aca="false">datos_base!$B$15*parametros_recargas!$B$37+sobrestock_sustitutos!$B$101/12</f>
        <v>0.423653690799345</v>
      </c>
      <c r="E15" s="21" t="n">
        <f aca="false">datos_base!$B$15*parametros_recargas!$C$37+sobrestock_sustitutos!$B$101/12</f>
        <v>0.423653690799345</v>
      </c>
      <c r="F15" s="21" t="n">
        <f aca="false">datos_base!$B$15*parametros_recargas!$D$37+sobrestock_sustitutos!$B$101/12</f>
        <v>0.423653690799345</v>
      </c>
      <c r="G15" s="21" t="n">
        <f aca="false">datos_base!$B$15*parametros_recargas!$E$37+sobrestock_sustitutos!$B$101/12</f>
        <v>0.423653690799345</v>
      </c>
      <c r="H15" s="21" t="n">
        <f aca="false">datos_base!$B$15*parametros_recargas!$F$37+sobrestock_sustitutos!$B$101/12</f>
        <v>0.423653690799345</v>
      </c>
      <c r="I15" s="21" t="n">
        <f aca="false">datos_base!$B$15*parametros_recargas!$G$37+sobrestock_sustitutos!$B$101/12</f>
        <v>0.423653690799345</v>
      </c>
      <c r="J15" s="21" t="n">
        <f aca="false">datos_base!$B$15*parametros_recargas!$H$37+sobrestock_sustitutos!$B$101/12</f>
        <v>0.423653690799345</v>
      </c>
      <c r="K15" s="21" t="n">
        <f aca="false">datos_base!$B$15*parametros_recargas!$I$37+sobrestock_sustitutos!$B$101/12</f>
        <v>0.423653690799345</v>
      </c>
      <c r="L15" s="21" t="n">
        <f aca="false">datos_base!$B$15*parametros_recargas!$J$37+sobrestock_sustitutos!$B$101/12</f>
        <v>0.423653690799345</v>
      </c>
      <c r="M15" s="21" t="n">
        <f aca="false">datos_base!$B$15*parametros_recargas!$K$37+sobrestock_sustitutos!$B$101/12</f>
        <v>0.423653690799345</v>
      </c>
      <c r="N15" s="21" t="n">
        <f aca="false">datos_base!$B$15*parametros_recargas!$L$37+sobrestock_sustitutos!$B$101/12</f>
        <v>0.423653690799345</v>
      </c>
      <c r="O15" s="21" t="n">
        <f aca="false">datos_base!$B$15*parametros_recargas!$M$37+sobrestock_sustitutos!$B$101/12</f>
        <v>0.423653690799345</v>
      </c>
      <c r="P15" s="6" t="n">
        <f aca="false">SUM(D15:O15)</f>
        <v>5.08384428959214</v>
      </c>
      <c r="Q15" s="4" t="n">
        <f aca="false">sobrestock_sustitutos!$B$101</f>
        <v>0</v>
      </c>
    </row>
    <row r="16" customFormat="false" ht="15" hidden="false" customHeight="false" outlineLevel="0" collapsed="false">
      <c r="A16" s="8" t="str">
        <f aca="false">parametros_recargas!A65</f>
        <v>ABC 50 kg s/ruedas</v>
      </c>
      <c r="B16" s="8" t="str">
        <f aca="false">parametros_recargas!B65</f>
        <v>ABC</v>
      </c>
      <c r="C16" s="11" t="n">
        <f aca="false">parametros_recargas!C65</f>
        <v>3</v>
      </c>
      <c r="D16" s="21" t="n">
        <f aca="false">datos_base!$B$16*parametros_recargas!$B$37+sobrestock_sustitutos!$B$102/12</f>
        <v>0.932038105346734</v>
      </c>
      <c r="E16" s="21" t="n">
        <f aca="false">datos_base!$B$16*parametros_recargas!$C$37+sobrestock_sustitutos!$B$102/12</f>
        <v>0.932038105346734</v>
      </c>
      <c r="F16" s="21" t="n">
        <f aca="false">datos_base!$B$16*parametros_recargas!$D$37+sobrestock_sustitutos!$B$102/12</f>
        <v>0.932038105346734</v>
      </c>
      <c r="G16" s="21" t="n">
        <f aca="false">datos_base!$B$16*parametros_recargas!$E$37+sobrestock_sustitutos!$B$102/12</f>
        <v>0.932038105346734</v>
      </c>
      <c r="H16" s="21" t="n">
        <f aca="false">datos_base!$B$16*parametros_recargas!$F$37+sobrestock_sustitutos!$B$102/12</f>
        <v>0.932038105346734</v>
      </c>
      <c r="I16" s="21" t="n">
        <f aca="false">datos_base!$B$16*parametros_recargas!$G$37+sobrestock_sustitutos!$B$102/12</f>
        <v>0.932038105346734</v>
      </c>
      <c r="J16" s="21" t="n">
        <f aca="false">datos_base!$B$16*parametros_recargas!$H$37+sobrestock_sustitutos!$B$102/12</f>
        <v>0.932038105346734</v>
      </c>
      <c r="K16" s="21" t="n">
        <f aca="false">datos_base!$B$16*parametros_recargas!$I$37+sobrestock_sustitutos!$B$102/12</f>
        <v>0.932038105346734</v>
      </c>
      <c r="L16" s="21" t="n">
        <f aca="false">datos_base!$B$16*parametros_recargas!$J$37+sobrestock_sustitutos!$B$102/12</f>
        <v>0.932038105346734</v>
      </c>
      <c r="M16" s="21" t="n">
        <f aca="false">datos_base!$B$16*parametros_recargas!$K$37+sobrestock_sustitutos!$B$102/12</f>
        <v>0.932038105346734</v>
      </c>
      <c r="N16" s="21" t="n">
        <f aca="false">datos_base!$B$16*parametros_recargas!$L$37+sobrestock_sustitutos!$B$102/12</f>
        <v>0.932038105346734</v>
      </c>
      <c r="O16" s="21" t="n">
        <f aca="false">datos_base!$B$16*parametros_recargas!$M$37+sobrestock_sustitutos!$B$102/12</f>
        <v>0.932038105346734</v>
      </c>
      <c r="P16" s="6" t="n">
        <f aca="false">SUM(D16:O16)</f>
        <v>11.1844572641608</v>
      </c>
      <c r="Q16" s="4" t="n">
        <f aca="false">sobrestock_sustitutos!$B$102</f>
        <v>0</v>
      </c>
    </row>
    <row r="17" customFormat="false" ht="15" hidden="false" customHeight="false" outlineLevel="0" collapsed="false">
      <c r="A17" s="8" t="str">
        <f aca="false">parametros_recargas!A66</f>
        <v>ABC 70 kg s/ruedas</v>
      </c>
      <c r="B17" s="8" t="str">
        <f aca="false">parametros_recargas!B66</f>
        <v>ABC</v>
      </c>
      <c r="C17" s="11" t="n">
        <f aca="false">parametros_recargas!C66</f>
        <v>3</v>
      </c>
      <c r="D17" s="21" t="n">
        <f aca="false">datos_base!$B$17*parametros_recargas!$B$37+sobrestock_sustitutos!$B$103/12</f>
        <v>0.203353761015014</v>
      </c>
      <c r="E17" s="21" t="n">
        <f aca="false">datos_base!$B$17*parametros_recargas!$C$37+sobrestock_sustitutos!$B$103/12</f>
        <v>0.203353761015014</v>
      </c>
      <c r="F17" s="21" t="n">
        <f aca="false">datos_base!$B$17*parametros_recargas!$D$37+sobrestock_sustitutos!$B$103/12</f>
        <v>0.203353761015014</v>
      </c>
      <c r="G17" s="21" t="n">
        <f aca="false">datos_base!$B$17*parametros_recargas!$E$37+sobrestock_sustitutos!$B$103/12</f>
        <v>0.203353761015014</v>
      </c>
      <c r="H17" s="21" t="n">
        <f aca="false">datos_base!$B$17*parametros_recargas!$F$37+sobrestock_sustitutos!$B$103/12</f>
        <v>0.203353761015014</v>
      </c>
      <c r="I17" s="21" t="n">
        <f aca="false">datos_base!$B$17*parametros_recargas!$G$37+sobrestock_sustitutos!$B$103/12</f>
        <v>0.203353761015014</v>
      </c>
      <c r="J17" s="21" t="n">
        <f aca="false">datos_base!$B$17*parametros_recargas!$H$37+sobrestock_sustitutos!$B$103/12</f>
        <v>0.203353761015014</v>
      </c>
      <c r="K17" s="21" t="n">
        <f aca="false">datos_base!$B$17*parametros_recargas!$I$37+sobrestock_sustitutos!$B$103/12</f>
        <v>0.203353761015014</v>
      </c>
      <c r="L17" s="21" t="n">
        <f aca="false">datos_base!$B$17*parametros_recargas!$J$37+sobrestock_sustitutos!$B$103/12</f>
        <v>0.203353761015014</v>
      </c>
      <c r="M17" s="21" t="n">
        <f aca="false">datos_base!$B$17*parametros_recargas!$K$37+sobrestock_sustitutos!$B$103/12</f>
        <v>0.203353761015014</v>
      </c>
      <c r="N17" s="21" t="n">
        <f aca="false">datos_base!$B$17*parametros_recargas!$L$37+sobrestock_sustitutos!$B$103/12</f>
        <v>0.203353761015014</v>
      </c>
      <c r="O17" s="21" t="n">
        <f aca="false">datos_base!$B$17*parametros_recargas!$M$37+sobrestock_sustitutos!$B$103/12</f>
        <v>0.203353761015014</v>
      </c>
      <c r="P17" s="6" t="n">
        <f aca="false">SUM(D17:O17)</f>
        <v>2.44024513218017</v>
      </c>
      <c r="Q17" s="4" t="n">
        <f aca="false">sobrestock_sustitutos!$B$103</f>
        <v>0</v>
      </c>
    </row>
    <row r="18" customFormat="false" ht="15" hidden="false" customHeight="false" outlineLevel="0" collapsed="false">
      <c r="A18" s="8" t="str">
        <f aca="false">parametros_recargas!A67</f>
        <v>ABC 100 kg s/ruedas</v>
      </c>
      <c r="B18" s="8" t="str">
        <f aca="false">parametros_recargas!B67</f>
        <v>ABC</v>
      </c>
      <c r="C18" s="11" t="n">
        <f aca="false">parametros_recargas!C67</f>
        <v>3</v>
      </c>
      <c r="D18" s="21" t="n">
        <f aca="false">datos_base!$B$18*parametros_recargas!$B$37+sobrestock_sustitutos!$B$104/12</f>
        <v>0.135569182016579</v>
      </c>
      <c r="E18" s="21" t="n">
        <f aca="false">datos_base!$B$18*parametros_recargas!$C$37+sobrestock_sustitutos!$B$104/12</f>
        <v>0.135569182016579</v>
      </c>
      <c r="F18" s="21" t="n">
        <f aca="false">datos_base!$B$18*parametros_recargas!$D$37+sobrestock_sustitutos!$B$104/12</f>
        <v>0.135569182016579</v>
      </c>
      <c r="G18" s="21" t="n">
        <f aca="false">datos_base!$B$18*parametros_recargas!$E$37+sobrestock_sustitutos!$B$104/12</f>
        <v>0.135569182016579</v>
      </c>
      <c r="H18" s="21" t="n">
        <f aca="false">datos_base!$B$18*parametros_recargas!$F$37+sobrestock_sustitutos!$B$104/12</f>
        <v>0.135569182016579</v>
      </c>
      <c r="I18" s="21" t="n">
        <f aca="false">datos_base!$B$18*parametros_recargas!$G$37+sobrestock_sustitutos!$B$104/12</f>
        <v>0.135569182016579</v>
      </c>
      <c r="J18" s="21" t="n">
        <f aca="false">datos_base!$B$18*parametros_recargas!$H$37+sobrestock_sustitutos!$B$104/12</f>
        <v>0.135569182016579</v>
      </c>
      <c r="K18" s="21" t="n">
        <f aca="false">datos_base!$B$18*parametros_recargas!$I$37+sobrestock_sustitutos!$B$104/12</f>
        <v>0.135569182016579</v>
      </c>
      <c r="L18" s="21" t="n">
        <f aca="false">datos_base!$B$18*parametros_recargas!$J$37+sobrestock_sustitutos!$B$104/12</f>
        <v>0.135569182016579</v>
      </c>
      <c r="M18" s="21" t="n">
        <f aca="false">datos_base!$B$18*parametros_recargas!$K$37+sobrestock_sustitutos!$B$104/12</f>
        <v>0.135569182016579</v>
      </c>
      <c r="N18" s="21" t="n">
        <f aca="false">datos_base!$B$18*parametros_recargas!$L$37+sobrestock_sustitutos!$B$104/12</f>
        <v>0.135569182016579</v>
      </c>
      <c r="O18" s="21" t="n">
        <f aca="false">datos_base!$B$18*parametros_recargas!$M$37+sobrestock_sustitutos!$B$104/12</f>
        <v>0.135569182016579</v>
      </c>
      <c r="P18" s="6" t="n">
        <f aca="false">SUM(D18:O18)</f>
        <v>1.62683018419895</v>
      </c>
      <c r="Q18" s="4" t="n">
        <f aca="false">sobrestock_sustitutos!$B$104</f>
        <v>0</v>
      </c>
    </row>
    <row r="19" customFormat="false" ht="15" hidden="false" customHeight="false" outlineLevel="0" collapsed="false">
      <c r="A19" s="5" t="s">
        <v>306</v>
      </c>
      <c r="D19" s="6" t="n">
        <f aca="false">SUM(D2:D18)</f>
        <v>164.049641297275</v>
      </c>
      <c r="E19" s="6" t="n">
        <f aca="false">SUM(E2:E18)</f>
        <v>164.049641297275</v>
      </c>
      <c r="F19" s="6" t="n">
        <f aca="false">SUM(F2:F18)</f>
        <v>164.049641297275</v>
      </c>
      <c r="G19" s="6" t="n">
        <f aca="false">SUM(G2:G18)</f>
        <v>164.049641297275</v>
      </c>
      <c r="H19" s="6" t="n">
        <f aca="false">SUM(H2:H18)</f>
        <v>164.049641297275</v>
      </c>
      <c r="I19" s="6" t="n">
        <f aca="false">SUM(I2:I18)</f>
        <v>164.049641297275</v>
      </c>
      <c r="J19" s="6" t="n">
        <f aca="false">SUM(J2:J18)</f>
        <v>164.049641297275</v>
      </c>
      <c r="K19" s="6" t="n">
        <f aca="false">SUM(K2:K18)</f>
        <v>164.049641297275</v>
      </c>
      <c r="L19" s="6" t="n">
        <f aca="false">SUM(L2:L18)</f>
        <v>164.049641297275</v>
      </c>
      <c r="M19" s="6" t="n">
        <f aca="false">SUM(M2:M18)</f>
        <v>164.049641297275</v>
      </c>
      <c r="N19" s="6" t="n">
        <f aca="false">SUM(N2:N18)</f>
        <v>164.049641297275</v>
      </c>
      <c r="O19" s="6" t="n">
        <f aca="false">SUM(O2:O18)</f>
        <v>164.049641297275</v>
      </c>
      <c r="P19" s="6" t="n">
        <f aca="false">SUM(P2:P18)</f>
        <v>1968.5956955673</v>
      </c>
    </row>
    <row r="20" customFormat="false" ht="15" hidden="false" customHeight="false" outlineLevel="0" collapsed="false">
      <c r="A20" s="5" t="s">
        <v>307</v>
      </c>
    </row>
    <row r="21" customFormat="false" ht="15" hidden="false" customHeight="false" outlineLevel="0" collapsed="false">
      <c r="A21" s="3" t="s">
        <v>148</v>
      </c>
      <c r="D21" s="21" t="n">
        <f aca="false">SUMPRODUCT(($B$2:$B$18=$A21)*D$2:D$18*$C$2:$C$18)</f>
        <v>146.228853848734</v>
      </c>
      <c r="E21" s="21" t="n">
        <f aca="false">SUMPRODUCT(($B$2:$B$18=$A21)*E$2:E$18*$C$2:$C$18)</f>
        <v>146.228853848734</v>
      </c>
      <c r="F21" s="21" t="n">
        <f aca="false">SUMPRODUCT(($B$2:$B$18=$A21)*F$2:F$18*$C$2:$C$18)</f>
        <v>146.228853848734</v>
      </c>
      <c r="G21" s="21" t="n">
        <f aca="false">SUMPRODUCT(($B$2:$B$18=$A21)*G$2:G$18*$C$2:$C$18)</f>
        <v>146.228853848734</v>
      </c>
      <c r="H21" s="21" t="n">
        <f aca="false">SUMPRODUCT(($B$2:$B$18=$A21)*H$2:H$18*$C$2:$C$18)</f>
        <v>146.228853848734</v>
      </c>
      <c r="I21" s="21" t="n">
        <f aca="false">SUMPRODUCT(($B$2:$B$18=$A21)*I$2:I$18*$C$2:$C$18)</f>
        <v>146.228853848734</v>
      </c>
      <c r="J21" s="21" t="n">
        <f aca="false">SUMPRODUCT(($B$2:$B$18=$A21)*J$2:J$18*$C$2:$C$18)</f>
        <v>146.228853848734</v>
      </c>
      <c r="K21" s="21" t="n">
        <f aca="false">SUMPRODUCT(($B$2:$B$18=$A21)*K$2:K$18*$C$2:$C$18)</f>
        <v>146.228853848734</v>
      </c>
      <c r="L21" s="21" t="n">
        <f aca="false">SUMPRODUCT(($B$2:$B$18=$A21)*L$2:L$18*$C$2:$C$18)</f>
        <v>146.228853848734</v>
      </c>
      <c r="M21" s="21" t="n">
        <f aca="false">SUMPRODUCT(($B$2:$B$18=$A21)*M$2:M$18*$C$2:$C$18)</f>
        <v>146.228853848734</v>
      </c>
      <c r="N21" s="21" t="n">
        <f aca="false">SUMPRODUCT(($B$2:$B$18=$A21)*N$2:N$18*$C$2:$C$18)</f>
        <v>146.228853848734</v>
      </c>
      <c r="O21" s="21" t="n">
        <f aca="false">SUMPRODUCT(($B$2:$B$18=$A21)*O$2:O$18*$C$2:$C$18)</f>
        <v>146.228853848734</v>
      </c>
      <c r="P21" s="21" t="n">
        <f aca="false">SUMPRODUCT(($B$2:$B$18=$A21)*P$2:P$18*$C$2:$C$18)</f>
        <v>1754.7462461848</v>
      </c>
    </row>
    <row r="22" customFormat="false" ht="15" hidden="false" customHeight="false" outlineLevel="0" collapsed="false">
      <c r="A22" s="3" t="s">
        <v>154</v>
      </c>
      <c r="D22" s="21" t="n">
        <f aca="false">SUMPRODUCT(($B$2:$B$18=$A22)*D$2:D$18*$C$2:$C$18)</f>
        <v>0.163994970110154</v>
      </c>
      <c r="E22" s="21" t="n">
        <f aca="false">SUMPRODUCT(($B$2:$B$18=$A22)*E$2:E$18*$C$2:$C$18)</f>
        <v>0.163994970110154</v>
      </c>
      <c r="F22" s="21" t="n">
        <f aca="false">SUMPRODUCT(($B$2:$B$18=$A22)*F$2:F$18*$C$2:$C$18)</f>
        <v>0.163994970110154</v>
      </c>
      <c r="G22" s="21" t="n">
        <f aca="false">SUMPRODUCT(($B$2:$B$18=$A22)*G$2:G$18*$C$2:$C$18)</f>
        <v>0.163994970110154</v>
      </c>
      <c r="H22" s="21" t="n">
        <f aca="false">SUMPRODUCT(($B$2:$B$18=$A22)*H$2:H$18*$C$2:$C$18)</f>
        <v>0.163994970110154</v>
      </c>
      <c r="I22" s="21" t="n">
        <f aca="false">SUMPRODUCT(($B$2:$B$18=$A22)*I$2:I$18*$C$2:$C$18)</f>
        <v>0.163994970110154</v>
      </c>
      <c r="J22" s="21" t="n">
        <f aca="false">SUMPRODUCT(($B$2:$B$18=$A22)*J$2:J$18*$C$2:$C$18)</f>
        <v>0.163994970110154</v>
      </c>
      <c r="K22" s="21" t="n">
        <f aca="false">SUMPRODUCT(($B$2:$B$18=$A22)*K$2:K$18*$C$2:$C$18)</f>
        <v>0.163994970110154</v>
      </c>
      <c r="L22" s="21" t="n">
        <f aca="false">SUMPRODUCT(($B$2:$B$18=$A22)*L$2:L$18*$C$2:$C$18)</f>
        <v>0.163994970110154</v>
      </c>
      <c r="M22" s="21" t="n">
        <f aca="false">SUMPRODUCT(($B$2:$B$18=$A22)*M$2:M$18*$C$2:$C$18)</f>
        <v>0.163994970110154</v>
      </c>
      <c r="N22" s="21" t="n">
        <f aca="false">SUMPRODUCT(($B$2:$B$18=$A22)*N$2:N$18*$C$2:$C$18)</f>
        <v>0.163994970110154</v>
      </c>
      <c r="O22" s="21" t="n">
        <f aca="false">SUMPRODUCT(($B$2:$B$18=$A22)*O$2:O$18*$C$2:$C$18)</f>
        <v>0.163994970110154</v>
      </c>
      <c r="P22" s="21" t="n">
        <f aca="false">SUMPRODUCT(($B$2:$B$18=$A22)*P$2:P$18*$C$2:$C$18)</f>
        <v>1.96793964132184</v>
      </c>
    </row>
    <row r="23" customFormat="false" ht="15" hidden="false" customHeight="false" outlineLevel="0" collapsed="false">
      <c r="A23" s="3" t="s">
        <v>160</v>
      </c>
      <c r="D23" s="21" t="n">
        <f aca="false">SUMPRODUCT(($B$2:$B$18=$A23)*D$2:D$18*$C$2:$C$18)</f>
        <v>0.163994970110154</v>
      </c>
      <c r="E23" s="21" t="n">
        <f aca="false">SUMPRODUCT(($B$2:$B$18=$A23)*E$2:E$18*$C$2:$C$18)</f>
        <v>0.163994970110154</v>
      </c>
      <c r="F23" s="21" t="n">
        <f aca="false">SUMPRODUCT(($B$2:$B$18=$A23)*F$2:F$18*$C$2:$C$18)</f>
        <v>0.163994970110154</v>
      </c>
      <c r="G23" s="21" t="n">
        <f aca="false">SUMPRODUCT(($B$2:$B$18=$A23)*G$2:G$18*$C$2:$C$18)</f>
        <v>0.163994970110154</v>
      </c>
      <c r="H23" s="21" t="n">
        <f aca="false">SUMPRODUCT(($B$2:$B$18=$A23)*H$2:H$18*$C$2:$C$18)</f>
        <v>0.163994970110154</v>
      </c>
      <c r="I23" s="21" t="n">
        <f aca="false">SUMPRODUCT(($B$2:$B$18=$A23)*I$2:I$18*$C$2:$C$18)</f>
        <v>0.163994970110154</v>
      </c>
      <c r="J23" s="21" t="n">
        <f aca="false">SUMPRODUCT(($B$2:$B$18=$A23)*J$2:J$18*$C$2:$C$18)</f>
        <v>0.163994970110154</v>
      </c>
      <c r="K23" s="21" t="n">
        <f aca="false">SUMPRODUCT(($B$2:$B$18=$A23)*K$2:K$18*$C$2:$C$18)</f>
        <v>0.163994970110154</v>
      </c>
      <c r="L23" s="21" t="n">
        <f aca="false">SUMPRODUCT(($B$2:$B$18=$A23)*L$2:L$18*$C$2:$C$18)</f>
        <v>0.163994970110154</v>
      </c>
      <c r="M23" s="21" t="n">
        <f aca="false">SUMPRODUCT(($B$2:$B$18=$A23)*M$2:M$18*$C$2:$C$18)</f>
        <v>0.163994970110154</v>
      </c>
      <c r="N23" s="21" t="n">
        <f aca="false">SUMPRODUCT(($B$2:$B$18=$A23)*N$2:N$18*$C$2:$C$18)</f>
        <v>0.163994970110154</v>
      </c>
      <c r="O23" s="21" t="n">
        <f aca="false">SUMPRODUCT(($B$2:$B$18=$A23)*O$2:O$18*$C$2:$C$18)</f>
        <v>0.163994970110154</v>
      </c>
      <c r="P23" s="21" t="n">
        <f aca="false">SUMPRODUCT(($B$2:$B$18=$A23)*P$2:P$18*$C$2:$C$18)</f>
        <v>1.96793964132184</v>
      </c>
    </row>
    <row r="24" customFormat="false" ht="15" hidden="false" customHeight="false" outlineLevel="0" collapsed="false">
      <c r="A24" s="3" t="s">
        <v>151</v>
      </c>
      <c r="D24" s="21" t="n">
        <f aca="false">SUMPRODUCT(($B$2:$B$18=$A24)*D$2:D$18*$C$2:$C$18)</f>
        <v>3.8265494466885</v>
      </c>
      <c r="E24" s="21" t="n">
        <f aca="false">SUMPRODUCT(($B$2:$B$18=$A24)*E$2:E$18*$C$2:$C$18)</f>
        <v>3.8265494466885</v>
      </c>
      <c r="F24" s="21" t="n">
        <f aca="false">SUMPRODUCT(($B$2:$B$18=$A24)*F$2:F$18*$C$2:$C$18)</f>
        <v>3.8265494466885</v>
      </c>
      <c r="G24" s="21" t="n">
        <f aca="false">SUMPRODUCT(($B$2:$B$18=$A24)*G$2:G$18*$C$2:$C$18)</f>
        <v>3.8265494466885</v>
      </c>
      <c r="H24" s="21" t="n">
        <f aca="false">SUMPRODUCT(($B$2:$B$18=$A24)*H$2:H$18*$C$2:$C$18)</f>
        <v>3.8265494466885</v>
      </c>
      <c r="I24" s="21" t="n">
        <f aca="false">SUMPRODUCT(($B$2:$B$18=$A24)*I$2:I$18*$C$2:$C$18)</f>
        <v>3.8265494466885</v>
      </c>
      <c r="J24" s="21" t="n">
        <f aca="false">SUMPRODUCT(($B$2:$B$18=$A24)*J$2:J$18*$C$2:$C$18)</f>
        <v>3.8265494466885</v>
      </c>
      <c r="K24" s="21" t="n">
        <f aca="false">SUMPRODUCT(($B$2:$B$18=$A24)*K$2:K$18*$C$2:$C$18)</f>
        <v>3.8265494466885</v>
      </c>
      <c r="L24" s="21" t="n">
        <f aca="false">SUMPRODUCT(($B$2:$B$18=$A24)*L$2:L$18*$C$2:$C$18)</f>
        <v>3.8265494466885</v>
      </c>
      <c r="M24" s="21" t="n">
        <f aca="false">SUMPRODUCT(($B$2:$B$18=$A24)*M$2:M$18*$C$2:$C$18)</f>
        <v>3.8265494466885</v>
      </c>
      <c r="N24" s="21" t="n">
        <f aca="false">SUMPRODUCT(($B$2:$B$18=$A24)*N$2:N$18*$C$2:$C$18)</f>
        <v>3.8265494466885</v>
      </c>
      <c r="O24" s="21" t="n">
        <f aca="false">SUMPRODUCT(($B$2:$B$18=$A24)*O$2:O$18*$C$2:$C$18)</f>
        <v>3.8265494466885</v>
      </c>
      <c r="P24" s="21" t="n">
        <f aca="false">SUMPRODUCT(($B$2:$B$18=$A24)*P$2:P$18*$C$2:$C$18)</f>
        <v>45.918593360262</v>
      </c>
    </row>
    <row r="25" customFormat="false" ht="15" hidden="false" customHeight="false" outlineLevel="0" collapsed="false">
      <c r="A25" s="3" t="s">
        <v>152</v>
      </c>
      <c r="D25" s="21" t="n">
        <f aca="false">SUMPRODUCT(($B$2:$B$18=$A25)*D$2:D$18*$C$2:$C$18)</f>
        <v>1.36662477493766</v>
      </c>
      <c r="E25" s="21" t="n">
        <f aca="false">SUMPRODUCT(($B$2:$B$18=$A25)*E$2:E$18*$C$2:$C$18)</f>
        <v>1.36662477493766</v>
      </c>
      <c r="F25" s="21" t="n">
        <f aca="false">SUMPRODUCT(($B$2:$B$18=$A25)*F$2:F$18*$C$2:$C$18)</f>
        <v>1.36662477493766</v>
      </c>
      <c r="G25" s="21" t="n">
        <f aca="false">SUMPRODUCT(($B$2:$B$18=$A25)*G$2:G$18*$C$2:$C$18)</f>
        <v>1.36662477493766</v>
      </c>
      <c r="H25" s="21" t="n">
        <f aca="false">SUMPRODUCT(($B$2:$B$18=$A25)*H$2:H$18*$C$2:$C$18)</f>
        <v>1.36662477493766</v>
      </c>
      <c r="I25" s="21" t="n">
        <f aca="false">SUMPRODUCT(($B$2:$B$18=$A25)*I$2:I$18*$C$2:$C$18)</f>
        <v>1.36662477493766</v>
      </c>
      <c r="J25" s="21" t="n">
        <f aca="false">SUMPRODUCT(($B$2:$B$18=$A25)*J$2:J$18*$C$2:$C$18)</f>
        <v>1.36662477493766</v>
      </c>
      <c r="K25" s="21" t="n">
        <f aca="false">SUMPRODUCT(($B$2:$B$18=$A25)*K$2:K$18*$C$2:$C$18)</f>
        <v>1.36662477493766</v>
      </c>
      <c r="L25" s="21" t="n">
        <f aca="false">SUMPRODUCT(($B$2:$B$18=$A25)*L$2:L$18*$C$2:$C$18)</f>
        <v>1.36662477493766</v>
      </c>
      <c r="M25" s="21" t="n">
        <f aca="false">SUMPRODUCT(($B$2:$B$18=$A25)*M$2:M$18*$C$2:$C$18)</f>
        <v>1.36662477493766</v>
      </c>
      <c r="N25" s="21" t="n">
        <f aca="false">SUMPRODUCT(($B$2:$B$18=$A25)*N$2:N$18*$C$2:$C$18)</f>
        <v>1.36662477493766</v>
      </c>
      <c r="O25" s="21" t="n">
        <f aca="false">SUMPRODUCT(($B$2:$B$18=$A25)*O$2:O$18*$C$2:$C$18)</f>
        <v>1.36662477493766</v>
      </c>
      <c r="P25" s="21" t="n">
        <f aca="false">SUMPRODUCT(($B$2:$B$18=$A25)*P$2:P$18*$C$2:$C$18)</f>
        <v>16.3994972992519</v>
      </c>
    </row>
    <row r="26" customFormat="false" ht="15" hidden="false" customHeight="false" outlineLevel="0" collapsed="false">
      <c r="A26" s="3" t="s">
        <v>155</v>
      </c>
      <c r="D26" s="21" t="n">
        <f aca="false">SUMPRODUCT(($B$2:$B$18=$A26)*D$2:D$18*$C$2:$C$18)</f>
        <v>1.96793971338097</v>
      </c>
      <c r="E26" s="21" t="n">
        <f aca="false">SUMPRODUCT(($B$2:$B$18=$A26)*E$2:E$18*$C$2:$C$18)</f>
        <v>1.96793971338097</v>
      </c>
      <c r="F26" s="21" t="n">
        <f aca="false">SUMPRODUCT(($B$2:$B$18=$A26)*F$2:F$18*$C$2:$C$18)</f>
        <v>1.96793971338097</v>
      </c>
      <c r="G26" s="21" t="n">
        <f aca="false">SUMPRODUCT(($B$2:$B$18=$A26)*G$2:G$18*$C$2:$C$18)</f>
        <v>1.96793971338097</v>
      </c>
      <c r="H26" s="21" t="n">
        <f aca="false">SUMPRODUCT(($B$2:$B$18=$A26)*H$2:H$18*$C$2:$C$18)</f>
        <v>1.96793971338097</v>
      </c>
      <c r="I26" s="21" t="n">
        <f aca="false">SUMPRODUCT(($B$2:$B$18=$A26)*I$2:I$18*$C$2:$C$18)</f>
        <v>1.96793971338097</v>
      </c>
      <c r="J26" s="21" t="n">
        <f aca="false">SUMPRODUCT(($B$2:$B$18=$A26)*J$2:J$18*$C$2:$C$18)</f>
        <v>1.96793971338097</v>
      </c>
      <c r="K26" s="21" t="n">
        <f aca="false">SUMPRODUCT(($B$2:$B$18=$A26)*K$2:K$18*$C$2:$C$18)</f>
        <v>1.96793971338097</v>
      </c>
      <c r="L26" s="21" t="n">
        <f aca="false">SUMPRODUCT(($B$2:$B$18=$A26)*L$2:L$18*$C$2:$C$18)</f>
        <v>1.96793971338097</v>
      </c>
      <c r="M26" s="21" t="n">
        <f aca="false">SUMPRODUCT(($B$2:$B$18=$A26)*M$2:M$18*$C$2:$C$18)</f>
        <v>1.96793971338097</v>
      </c>
      <c r="N26" s="21" t="n">
        <f aca="false">SUMPRODUCT(($B$2:$B$18=$A26)*N$2:N$18*$C$2:$C$18)</f>
        <v>1.96793971338097</v>
      </c>
      <c r="O26" s="21" t="n">
        <f aca="false">SUMPRODUCT(($B$2:$B$18=$A26)*O$2:O$18*$C$2:$C$18)</f>
        <v>1.96793971338097</v>
      </c>
      <c r="P26" s="21" t="n">
        <f aca="false">SUMPRODUCT(($B$2:$B$18=$A26)*P$2:P$18*$C$2:$C$18)</f>
        <v>23.6152765605716</v>
      </c>
    </row>
    <row r="27" customFormat="false" ht="15" hidden="false" customHeight="false" outlineLevel="0" collapsed="false">
      <c r="A27" s="3" t="s">
        <v>156</v>
      </c>
      <c r="D27" s="21" t="n">
        <f aca="false">SUMPRODUCT(($B$2:$B$18=$A27)*D$2:D$18*$C$2:$C$18)</f>
        <v>13.8302430077232</v>
      </c>
      <c r="E27" s="21" t="n">
        <f aca="false">SUMPRODUCT(($B$2:$B$18=$A27)*E$2:E$18*$C$2:$C$18)</f>
        <v>13.8302430077232</v>
      </c>
      <c r="F27" s="21" t="n">
        <f aca="false">SUMPRODUCT(($B$2:$B$18=$A27)*F$2:F$18*$C$2:$C$18)</f>
        <v>13.8302430077232</v>
      </c>
      <c r="G27" s="21" t="n">
        <f aca="false">SUMPRODUCT(($B$2:$B$18=$A27)*G$2:G$18*$C$2:$C$18)</f>
        <v>13.8302430077232</v>
      </c>
      <c r="H27" s="21" t="n">
        <f aca="false">SUMPRODUCT(($B$2:$B$18=$A27)*H$2:H$18*$C$2:$C$18)</f>
        <v>13.8302430077232</v>
      </c>
      <c r="I27" s="21" t="n">
        <f aca="false">SUMPRODUCT(($B$2:$B$18=$A27)*I$2:I$18*$C$2:$C$18)</f>
        <v>13.8302430077232</v>
      </c>
      <c r="J27" s="21" t="n">
        <f aca="false">SUMPRODUCT(($B$2:$B$18=$A27)*J$2:J$18*$C$2:$C$18)</f>
        <v>13.8302430077232</v>
      </c>
      <c r="K27" s="21" t="n">
        <f aca="false">SUMPRODUCT(($B$2:$B$18=$A27)*K$2:K$18*$C$2:$C$18)</f>
        <v>13.8302430077232</v>
      </c>
      <c r="L27" s="21" t="n">
        <f aca="false">SUMPRODUCT(($B$2:$B$18=$A27)*L$2:L$18*$C$2:$C$18)</f>
        <v>13.8302430077232</v>
      </c>
      <c r="M27" s="21" t="n">
        <f aca="false">SUMPRODUCT(($B$2:$B$18=$A27)*M$2:M$18*$C$2:$C$18)</f>
        <v>13.8302430077232</v>
      </c>
      <c r="N27" s="21" t="n">
        <f aca="false">SUMPRODUCT(($B$2:$B$18=$A27)*N$2:N$18*$C$2:$C$18)</f>
        <v>13.8302430077232</v>
      </c>
      <c r="O27" s="21" t="n">
        <f aca="false">SUMPRODUCT(($B$2:$B$18=$A27)*O$2:O$18*$C$2:$C$18)</f>
        <v>13.8302430077232</v>
      </c>
      <c r="P27" s="21" t="n">
        <f aca="false">SUMPRODUCT(($B$2:$B$18=$A27)*P$2:P$18*$C$2:$C$18)</f>
        <v>165.962916092679</v>
      </c>
    </row>
    <row r="28" customFormat="false" ht="15" hidden="false" customHeight="false" outlineLevel="0" collapsed="false">
      <c r="A28" s="3" t="s">
        <v>159</v>
      </c>
      <c r="D28" s="21" t="n">
        <f aca="false">SUMPRODUCT(($B$2:$B$18=$A28)*D$2:D$18*$C$2:$C$18)</f>
        <v>0.437319944313452</v>
      </c>
      <c r="E28" s="21" t="n">
        <f aca="false">SUMPRODUCT(($B$2:$B$18=$A28)*E$2:E$18*$C$2:$C$18)</f>
        <v>0.437319944313452</v>
      </c>
      <c r="F28" s="21" t="n">
        <f aca="false">SUMPRODUCT(($B$2:$B$18=$A28)*F$2:F$18*$C$2:$C$18)</f>
        <v>0.437319944313452</v>
      </c>
      <c r="G28" s="21" t="n">
        <f aca="false">SUMPRODUCT(($B$2:$B$18=$A28)*G$2:G$18*$C$2:$C$18)</f>
        <v>0.437319944313452</v>
      </c>
      <c r="H28" s="21" t="n">
        <f aca="false">SUMPRODUCT(($B$2:$B$18=$A28)*H$2:H$18*$C$2:$C$18)</f>
        <v>0.437319944313452</v>
      </c>
      <c r="I28" s="21" t="n">
        <f aca="false">SUMPRODUCT(($B$2:$B$18=$A28)*I$2:I$18*$C$2:$C$18)</f>
        <v>0.437319944313452</v>
      </c>
      <c r="J28" s="21" t="n">
        <f aca="false">SUMPRODUCT(($B$2:$B$18=$A28)*J$2:J$18*$C$2:$C$18)</f>
        <v>0.437319944313452</v>
      </c>
      <c r="K28" s="21" t="n">
        <f aca="false">SUMPRODUCT(($B$2:$B$18=$A28)*K$2:K$18*$C$2:$C$18)</f>
        <v>0.437319944313452</v>
      </c>
      <c r="L28" s="21" t="n">
        <f aca="false">SUMPRODUCT(($B$2:$B$18=$A28)*L$2:L$18*$C$2:$C$18)</f>
        <v>0.437319944313452</v>
      </c>
      <c r="M28" s="21" t="n">
        <f aca="false">SUMPRODUCT(($B$2:$B$18=$A28)*M$2:M$18*$C$2:$C$18)</f>
        <v>0.437319944313452</v>
      </c>
      <c r="N28" s="21" t="n">
        <f aca="false">SUMPRODUCT(($B$2:$B$18=$A28)*N$2:N$18*$C$2:$C$18)</f>
        <v>0.437319944313452</v>
      </c>
      <c r="O28" s="21" t="n">
        <f aca="false">SUMPRODUCT(($B$2:$B$18=$A28)*O$2:O$18*$C$2:$C$18)</f>
        <v>0.437319944313452</v>
      </c>
      <c r="P28" s="21" t="n">
        <f aca="false">SUMPRODUCT(($B$2:$B$18=$A28)*P$2:P$18*$C$2:$C$18)</f>
        <v>5.24783933176142</v>
      </c>
    </row>
    <row r="29" customFormat="false" ht="15" hidden="false" customHeight="false" outlineLevel="0" collapsed="false">
      <c r="A29" s="5" t="s">
        <v>308</v>
      </c>
      <c r="D29" s="22" t="n">
        <f aca="false">SUMPRODUCT(D$2:D$18*parametros_recargas!$D$51:$D$67)</f>
        <v>4.97451426147929</v>
      </c>
      <c r="E29" s="22" t="n">
        <f aca="false">SUMPRODUCT(E$2:E$18*parametros_recargas!$D$51:$D$67)</f>
        <v>4.97451426147929</v>
      </c>
      <c r="F29" s="22" t="n">
        <f aca="false">SUMPRODUCT(F$2:F$18*parametros_recargas!$D$51:$D$67)</f>
        <v>4.97451426147929</v>
      </c>
      <c r="G29" s="22" t="n">
        <f aca="false">SUMPRODUCT(G$2:G$18*parametros_recargas!$D$51:$D$67)</f>
        <v>4.97451426147929</v>
      </c>
      <c r="H29" s="22" t="n">
        <f aca="false">SUMPRODUCT(H$2:H$18*parametros_recargas!$D$51:$D$67)</f>
        <v>4.97451426147929</v>
      </c>
      <c r="I29" s="22" t="n">
        <f aca="false">SUMPRODUCT(I$2:I$18*parametros_recargas!$D$51:$D$67)</f>
        <v>4.97451426147929</v>
      </c>
      <c r="J29" s="22" t="n">
        <f aca="false">SUMPRODUCT(J$2:J$18*parametros_recargas!$D$51:$D$67)</f>
        <v>4.97451426147929</v>
      </c>
      <c r="K29" s="22" t="n">
        <f aca="false">SUMPRODUCT(K$2:K$18*parametros_recargas!$D$51:$D$67)</f>
        <v>4.97451426147929</v>
      </c>
      <c r="L29" s="22" t="n">
        <f aca="false">SUMPRODUCT(L$2:L$18*parametros_recargas!$D$51:$D$67)</f>
        <v>4.97451426147929</v>
      </c>
      <c r="M29" s="22" t="n">
        <f aca="false">SUMPRODUCT(M$2:M$18*parametros_recargas!$D$51:$D$67)</f>
        <v>4.97451426147929</v>
      </c>
      <c r="N29" s="22" t="n">
        <f aca="false">SUMPRODUCT(N$2:N$18*parametros_recargas!$D$51:$D$67)</f>
        <v>4.97451426147929</v>
      </c>
      <c r="O29" s="22" t="n">
        <f aca="false">SUMPRODUCT(O$2:O$18*parametros_recargas!$D$51:$D$67)</f>
        <v>4.97451426147929</v>
      </c>
      <c r="P29" s="22" t="n">
        <f aca="false">SUMPRODUCT(P$2:P$18*parametros_recargas!$D$51:$D$67)</f>
        <v>59.6941711377515</v>
      </c>
    </row>
    <row r="33" customFormat="false" ht="23.85" hidden="false" customHeight="false" outlineLevel="0" collapsed="false">
      <c r="A33" s="23" t="n">
        <v>2027</v>
      </c>
      <c r="B33" s="2" t="s">
        <v>303</v>
      </c>
      <c r="C33" s="2" t="s">
        <v>304</v>
      </c>
      <c r="D33" s="2" t="s">
        <v>130</v>
      </c>
      <c r="E33" s="2" t="s">
        <v>131</v>
      </c>
      <c r="F33" s="2" t="s">
        <v>132</v>
      </c>
      <c r="G33" s="2" t="s">
        <v>133</v>
      </c>
      <c r="H33" s="2" t="s">
        <v>134</v>
      </c>
      <c r="I33" s="2" t="s">
        <v>135</v>
      </c>
      <c r="J33" s="2" t="s">
        <v>136</v>
      </c>
      <c r="K33" s="2" t="s">
        <v>137</v>
      </c>
      <c r="L33" s="2" t="s">
        <v>138</v>
      </c>
      <c r="M33" s="2" t="s">
        <v>139</v>
      </c>
      <c r="N33" s="2" t="s">
        <v>140</v>
      </c>
      <c r="O33" s="2" t="s">
        <v>141</v>
      </c>
      <c r="P33" s="2" t="s">
        <v>66</v>
      </c>
      <c r="Q33" s="2" t="s">
        <v>305</v>
      </c>
    </row>
    <row r="34" customFormat="false" ht="15" hidden="false" customHeight="false" outlineLevel="0" collapsed="false">
      <c r="A34" s="8" t="str">
        <f aca="false">parametros_recargas!A51</f>
        <v>ABC 1 kg</v>
      </c>
      <c r="B34" s="8" t="str">
        <f aca="false">parametros_recargas!B51</f>
        <v>ABC</v>
      </c>
      <c r="C34" s="11" t="n">
        <f aca="false">parametros_recargas!C51</f>
        <v>1</v>
      </c>
      <c r="D34" s="21" t="n">
        <f aca="false">datos_base!$C$2*parametros_recargas!$B$38+sobrestock_sustitutos!$C$88/12</f>
        <v>407.62852509684</v>
      </c>
      <c r="E34" s="21" t="n">
        <f aca="false">datos_base!$C$2*parametros_recargas!$C$38+sobrestock_sustitutos!$C$88/12</f>
        <v>407.62852509684</v>
      </c>
      <c r="F34" s="21" t="n">
        <f aca="false">datos_base!$C$2*parametros_recargas!$D$38+sobrestock_sustitutos!$C$88/12</f>
        <v>407.62852509684</v>
      </c>
      <c r="G34" s="21" t="n">
        <f aca="false">datos_base!$C$2*parametros_recargas!$E$38+sobrestock_sustitutos!$C$88/12</f>
        <v>407.62852509684</v>
      </c>
      <c r="H34" s="21" t="n">
        <f aca="false">datos_base!$C$2*parametros_recargas!$F$38+sobrestock_sustitutos!$C$88/12</f>
        <v>407.62852509684</v>
      </c>
      <c r="I34" s="21" t="n">
        <f aca="false">datos_base!$C$2*parametros_recargas!$G$38+sobrestock_sustitutos!$C$88/12</f>
        <v>407.62852509684</v>
      </c>
      <c r="J34" s="21" t="n">
        <f aca="false">datos_base!$C$2*parametros_recargas!$H$38+sobrestock_sustitutos!$C$88/12</f>
        <v>407.62852509684</v>
      </c>
      <c r="K34" s="21" t="n">
        <f aca="false">datos_base!$C$2*parametros_recargas!$I$38+sobrestock_sustitutos!$C$88/12</f>
        <v>407.62852509684</v>
      </c>
      <c r="L34" s="21" t="n">
        <f aca="false">datos_base!$C$2*parametros_recargas!$J$38+sobrestock_sustitutos!$C$88/12</f>
        <v>407.62852509684</v>
      </c>
      <c r="M34" s="21" t="n">
        <f aca="false">datos_base!$C$2*parametros_recargas!$K$38+sobrestock_sustitutos!$C$88/12</f>
        <v>407.62852509684</v>
      </c>
      <c r="N34" s="21" t="n">
        <f aca="false">datos_base!$C$2*parametros_recargas!$L$38+sobrestock_sustitutos!$C$88/12</f>
        <v>407.62852509684</v>
      </c>
      <c r="O34" s="21" t="n">
        <f aca="false">datos_base!$C$2*parametros_recargas!$M$38+sobrestock_sustitutos!$C$88/12</f>
        <v>407.62852509684</v>
      </c>
      <c r="P34" s="6" t="n">
        <f aca="false">SUM(D34:O34)</f>
        <v>4891.54230116208</v>
      </c>
      <c r="Q34" s="4" t="n">
        <f aca="false">sobrestock_sustitutos!$C$88</f>
        <v>0</v>
      </c>
    </row>
    <row r="35" customFormat="false" ht="15" hidden="false" customHeight="false" outlineLevel="0" collapsed="false">
      <c r="A35" s="8" t="str">
        <f aca="false">parametros_recargas!A52</f>
        <v>ABC 2,5 kg</v>
      </c>
      <c r="B35" s="8" t="str">
        <f aca="false">parametros_recargas!B52</f>
        <v>ABC</v>
      </c>
      <c r="C35" s="11" t="n">
        <f aca="false">parametros_recargas!C52</f>
        <v>1</v>
      </c>
      <c r="D35" s="21" t="n">
        <f aca="false">datos_base!$C$3*parametros_recargas!$B$38+sobrestock_sustitutos!$C$89/12</f>
        <v>31.0899766174544</v>
      </c>
      <c r="E35" s="21" t="n">
        <f aca="false">datos_base!$C$3*parametros_recargas!$C$38+sobrestock_sustitutos!$C$89/12</f>
        <v>31.0899766174544</v>
      </c>
      <c r="F35" s="21" t="n">
        <f aca="false">datos_base!$C$3*parametros_recargas!$D$38+sobrestock_sustitutos!$C$89/12</f>
        <v>31.0899766174544</v>
      </c>
      <c r="G35" s="21" t="n">
        <f aca="false">datos_base!$C$3*parametros_recargas!$E$38+sobrestock_sustitutos!$C$89/12</f>
        <v>31.0899766174544</v>
      </c>
      <c r="H35" s="21" t="n">
        <f aca="false">datos_base!$C$3*parametros_recargas!$F$38+sobrestock_sustitutos!$C$89/12</f>
        <v>31.0899766174544</v>
      </c>
      <c r="I35" s="21" t="n">
        <f aca="false">datos_base!$C$3*parametros_recargas!$G$38+sobrestock_sustitutos!$C$89/12</f>
        <v>31.0899766174544</v>
      </c>
      <c r="J35" s="21" t="n">
        <f aca="false">datos_base!$C$3*parametros_recargas!$H$38+sobrestock_sustitutos!$C$89/12</f>
        <v>31.0899766174544</v>
      </c>
      <c r="K35" s="21" t="n">
        <f aca="false">datos_base!$C$3*parametros_recargas!$I$38+sobrestock_sustitutos!$C$89/12</f>
        <v>31.0899766174544</v>
      </c>
      <c r="L35" s="21" t="n">
        <f aca="false">datos_base!$C$3*parametros_recargas!$J$38+sobrestock_sustitutos!$C$89/12</f>
        <v>31.0899766174544</v>
      </c>
      <c r="M35" s="21" t="n">
        <f aca="false">datos_base!$C$3*parametros_recargas!$K$38+sobrestock_sustitutos!$C$89/12</f>
        <v>31.0899766174544</v>
      </c>
      <c r="N35" s="21" t="n">
        <f aca="false">datos_base!$C$3*parametros_recargas!$L$38+sobrestock_sustitutos!$C$89/12</f>
        <v>31.0899766174544</v>
      </c>
      <c r="O35" s="21" t="n">
        <f aca="false">datos_base!$C$3*parametros_recargas!$M$38+sobrestock_sustitutos!$C$89/12</f>
        <v>31.0899766174544</v>
      </c>
      <c r="P35" s="6" t="n">
        <f aca="false">SUM(D35:O35)</f>
        <v>373.079719409453</v>
      </c>
      <c r="Q35" s="4" t="n">
        <f aca="false">sobrestock_sustitutos!$C$89</f>
        <v>2</v>
      </c>
    </row>
    <row r="36" customFormat="false" ht="15" hidden="false" customHeight="false" outlineLevel="0" collapsed="false">
      <c r="A36" s="8" t="str">
        <f aca="false">parametros_recargas!A53</f>
        <v>ABC 5 kg</v>
      </c>
      <c r="B36" s="8" t="str">
        <f aca="false">parametros_recargas!B53</f>
        <v>ABC</v>
      </c>
      <c r="C36" s="11" t="n">
        <f aca="false">parametros_recargas!C53</f>
        <v>1</v>
      </c>
      <c r="D36" s="21" t="n">
        <f aca="false">datos_base!$C$4*parametros_recargas!$B$38+sobrestock_sustitutos!$C$90/12</f>
        <v>189.284276769115</v>
      </c>
      <c r="E36" s="21" t="n">
        <f aca="false">datos_base!$C$4*parametros_recargas!$C$38+sobrestock_sustitutos!$C$90/12</f>
        <v>189.284276769115</v>
      </c>
      <c r="F36" s="21" t="n">
        <f aca="false">datos_base!$C$4*parametros_recargas!$D$38+sobrestock_sustitutos!$C$90/12</f>
        <v>189.284276769115</v>
      </c>
      <c r="G36" s="21" t="n">
        <f aca="false">datos_base!$C$4*parametros_recargas!$E$38+sobrestock_sustitutos!$C$90/12</f>
        <v>189.284276769115</v>
      </c>
      <c r="H36" s="21" t="n">
        <f aca="false">datos_base!$C$4*parametros_recargas!$F$38+sobrestock_sustitutos!$C$90/12</f>
        <v>189.284276769115</v>
      </c>
      <c r="I36" s="21" t="n">
        <f aca="false">datos_base!$C$4*parametros_recargas!$G$38+sobrestock_sustitutos!$C$90/12</f>
        <v>189.284276769115</v>
      </c>
      <c r="J36" s="21" t="n">
        <f aca="false">datos_base!$C$4*parametros_recargas!$H$38+sobrestock_sustitutos!$C$90/12</f>
        <v>189.284276769115</v>
      </c>
      <c r="K36" s="21" t="n">
        <f aca="false">datos_base!$C$4*parametros_recargas!$I$38+sobrestock_sustitutos!$C$90/12</f>
        <v>189.284276769115</v>
      </c>
      <c r="L36" s="21" t="n">
        <f aca="false">datos_base!$C$4*parametros_recargas!$J$38+sobrestock_sustitutos!$C$90/12</f>
        <v>189.284276769115</v>
      </c>
      <c r="M36" s="21" t="n">
        <f aca="false">datos_base!$C$4*parametros_recargas!$K$38+sobrestock_sustitutos!$C$90/12</f>
        <v>189.284276769115</v>
      </c>
      <c r="N36" s="21" t="n">
        <f aca="false">datos_base!$C$4*parametros_recargas!$L$38+sobrestock_sustitutos!$C$90/12</f>
        <v>189.284276769115</v>
      </c>
      <c r="O36" s="21" t="n">
        <f aca="false">datos_base!$C$4*parametros_recargas!$M$38+sobrestock_sustitutos!$C$90/12</f>
        <v>189.284276769115</v>
      </c>
      <c r="P36" s="6" t="n">
        <f aca="false">SUM(D36:O36)</f>
        <v>2271.41132122938</v>
      </c>
      <c r="Q36" s="4" t="n">
        <f aca="false">sobrestock_sustitutos!$C$90</f>
        <v>8</v>
      </c>
    </row>
    <row r="37" customFormat="false" ht="15" hidden="false" customHeight="false" outlineLevel="0" collapsed="false">
      <c r="A37" s="8" t="str">
        <f aca="false">parametros_recargas!A54</f>
        <v>ABC 10 kg</v>
      </c>
      <c r="B37" s="8" t="str">
        <f aca="false">parametros_recargas!B54</f>
        <v>ABC</v>
      </c>
      <c r="C37" s="11" t="n">
        <f aca="false">parametros_recargas!C54</f>
        <v>1</v>
      </c>
      <c r="D37" s="21" t="n">
        <f aca="false">datos_base!$C$5*parametros_recargas!$B$38+sobrestock_sustitutos!$C$91/12</f>
        <v>10.5971580701782</v>
      </c>
      <c r="E37" s="21" t="n">
        <f aca="false">datos_base!$C$5*parametros_recargas!$C$38+sobrestock_sustitutos!$C$91/12</f>
        <v>10.5971580701782</v>
      </c>
      <c r="F37" s="21" t="n">
        <f aca="false">datos_base!$C$5*parametros_recargas!$D$38+sobrestock_sustitutos!$C$91/12</f>
        <v>10.5971580701782</v>
      </c>
      <c r="G37" s="21" t="n">
        <f aca="false">datos_base!$C$5*parametros_recargas!$E$38+sobrestock_sustitutos!$C$91/12</f>
        <v>10.5971580701782</v>
      </c>
      <c r="H37" s="21" t="n">
        <f aca="false">datos_base!$C$5*parametros_recargas!$F$38+sobrestock_sustitutos!$C$91/12</f>
        <v>10.5971580701782</v>
      </c>
      <c r="I37" s="21" t="n">
        <f aca="false">datos_base!$C$5*parametros_recargas!$G$38+sobrestock_sustitutos!$C$91/12</f>
        <v>10.5971580701782</v>
      </c>
      <c r="J37" s="21" t="n">
        <f aca="false">datos_base!$C$5*parametros_recargas!$H$38+sobrestock_sustitutos!$C$91/12</f>
        <v>10.5971580701782</v>
      </c>
      <c r="K37" s="21" t="n">
        <f aca="false">datos_base!$C$5*parametros_recargas!$I$38+sobrestock_sustitutos!$C$91/12</f>
        <v>10.5971580701782</v>
      </c>
      <c r="L37" s="21" t="n">
        <f aca="false">datos_base!$C$5*parametros_recargas!$J$38+sobrestock_sustitutos!$C$91/12</f>
        <v>10.5971580701782</v>
      </c>
      <c r="M37" s="21" t="n">
        <f aca="false">datos_base!$C$5*parametros_recargas!$K$38+sobrestock_sustitutos!$C$91/12</f>
        <v>10.5971580701782</v>
      </c>
      <c r="N37" s="21" t="n">
        <f aca="false">datos_base!$C$5*parametros_recargas!$L$38+sobrestock_sustitutos!$C$91/12</f>
        <v>10.5971580701782</v>
      </c>
      <c r="O37" s="21" t="n">
        <f aca="false">datos_base!$C$5*parametros_recargas!$M$38+sobrestock_sustitutos!$C$91/12</f>
        <v>10.5971580701782</v>
      </c>
      <c r="P37" s="6" t="n">
        <f aca="false">SUM(D37:O37)</f>
        <v>127.165896842138</v>
      </c>
      <c r="Q37" s="4" t="n">
        <f aca="false">sobrestock_sustitutos!$C$91</f>
        <v>1</v>
      </c>
    </row>
    <row r="38" customFormat="false" ht="15" hidden="false" customHeight="false" outlineLevel="0" collapsed="false">
      <c r="A38" s="8" t="str">
        <f aca="false">parametros_recargas!A55</f>
        <v>Agua 10 l</v>
      </c>
      <c r="B38" s="8" t="str">
        <f aca="false">parametros_recargas!B55</f>
        <v>Agua</v>
      </c>
      <c r="C38" s="11" t="n">
        <f aca="false">parametros_recargas!C55</f>
        <v>1</v>
      </c>
      <c r="D38" s="21" t="n">
        <f aca="false">datos_base!$C$6*parametros_recargas!$B$38+sobrestock_sustitutos!$C$92/12</f>
        <v>15.538179441876</v>
      </c>
      <c r="E38" s="21" t="n">
        <f aca="false">datos_base!$C$6*parametros_recargas!$C$38+sobrestock_sustitutos!$C$92/12</f>
        <v>15.538179441876</v>
      </c>
      <c r="F38" s="21" t="n">
        <f aca="false">datos_base!$C$6*parametros_recargas!$D$38+sobrestock_sustitutos!$C$92/12</f>
        <v>15.538179441876</v>
      </c>
      <c r="G38" s="21" t="n">
        <f aca="false">datos_base!$C$6*parametros_recargas!$E$38+sobrestock_sustitutos!$C$92/12</f>
        <v>15.538179441876</v>
      </c>
      <c r="H38" s="21" t="n">
        <f aca="false">datos_base!$C$6*parametros_recargas!$F$38+sobrestock_sustitutos!$C$92/12</f>
        <v>15.538179441876</v>
      </c>
      <c r="I38" s="21" t="n">
        <f aca="false">datos_base!$C$6*parametros_recargas!$G$38+sobrestock_sustitutos!$C$92/12</f>
        <v>15.538179441876</v>
      </c>
      <c r="J38" s="21" t="n">
        <f aca="false">datos_base!$C$6*parametros_recargas!$H$38+sobrestock_sustitutos!$C$92/12</f>
        <v>15.538179441876</v>
      </c>
      <c r="K38" s="21" t="n">
        <f aca="false">datos_base!$C$6*parametros_recargas!$I$38+sobrestock_sustitutos!$C$92/12</f>
        <v>15.538179441876</v>
      </c>
      <c r="L38" s="21" t="n">
        <f aca="false">datos_base!$C$6*parametros_recargas!$J$38+sobrestock_sustitutos!$C$92/12</f>
        <v>15.538179441876</v>
      </c>
      <c r="M38" s="21" t="n">
        <f aca="false">datos_base!$C$6*parametros_recargas!$K$38+sobrestock_sustitutos!$C$92/12</f>
        <v>15.538179441876</v>
      </c>
      <c r="N38" s="21" t="n">
        <f aca="false">datos_base!$C$6*parametros_recargas!$L$38+sobrestock_sustitutos!$C$92/12</f>
        <v>15.538179441876</v>
      </c>
      <c r="O38" s="21" t="n">
        <f aca="false">datos_base!$C$6*parametros_recargas!$M$38+sobrestock_sustitutos!$C$92/12</f>
        <v>15.538179441876</v>
      </c>
      <c r="P38" s="6" t="n">
        <f aca="false">SUM(D38:O38)</f>
        <v>186.458153302513</v>
      </c>
      <c r="Q38" s="4" t="n">
        <f aca="false">sobrestock_sustitutos!$C$92</f>
        <v>1</v>
      </c>
    </row>
    <row r="39" customFormat="false" ht="15" hidden="false" customHeight="false" outlineLevel="0" collapsed="false">
      <c r="A39" s="8" t="str">
        <f aca="false">parametros_recargas!A56</f>
        <v>AFFF 10 l</v>
      </c>
      <c r="B39" s="8" t="str">
        <f aca="false">parametros_recargas!B56</f>
        <v>AFFF</v>
      </c>
      <c r="C39" s="11" t="n">
        <f aca="false">parametros_recargas!C56</f>
        <v>1</v>
      </c>
      <c r="D39" s="21" t="n">
        <f aca="false">datos_base!$C$7*parametros_recargas!$B$38+sobrestock_sustitutos!$C$93/12</f>
        <v>3.95809069586234</v>
      </c>
      <c r="E39" s="21" t="n">
        <f aca="false">datos_base!$C$7*parametros_recargas!$C$38+sobrestock_sustitutos!$C$93/12</f>
        <v>3.95809069586234</v>
      </c>
      <c r="F39" s="21" t="n">
        <f aca="false">datos_base!$C$7*parametros_recargas!$D$38+sobrestock_sustitutos!$C$93/12</f>
        <v>3.95809069586234</v>
      </c>
      <c r="G39" s="21" t="n">
        <f aca="false">datos_base!$C$7*parametros_recargas!$E$38+sobrestock_sustitutos!$C$93/12</f>
        <v>3.95809069586234</v>
      </c>
      <c r="H39" s="21" t="n">
        <f aca="false">datos_base!$C$7*parametros_recargas!$F$38+sobrestock_sustitutos!$C$93/12</f>
        <v>3.95809069586234</v>
      </c>
      <c r="I39" s="21" t="n">
        <f aca="false">datos_base!$C$7*parametros_recargas!$G$38+sobrestock_sustitutos!$C$93/12</f>
        <v>3.95809069586234</v>
      </c>
      <c r="J39" s="21" t="n">
        <f aca="false">datos_base!$C$7*parametros_recargas!$H$38+sobrestock_sustitutos!$C$93/12</f>
        <v>3.95809069586234</v>
      </c>
      <c r="K39" s="21" t="n">
        <f aca="false">datos_base!$C$7*parametros_recargas!$I$38+sobrestock_sustitutos!$C$93/12</f>
        <v>3.95809069586234</v>
      </c>
      <c r="L39" s="21" t="n">
        <f aca="false">datos_base!$C$7*parametros_recargas!$J$38+sobrestock_sustitutos!$C$93/12</f>
        <v>3.95809069586234</v>
      </c>
      <c r="M39" s="21" t="n">
        <f aca="false">datos_base!$C$7*parametros_recargas!$K$38+sobrestock_sustitutos!$C$93/12</f>
        <v>3.95809069586234</v>
      </c>
      <c r="N39" s="21" t="n">
        <f aca="false">datos_base!$C$7*parametros_recargas!$L$38+sobrestock_sustitutos!$C$93/12</f>
        <v>3.95809069586234</v>
      </c>
      <c r="O39" s="21" t="n">
        <f aca="false">datos_base!$C$7*parametros_recargas!$M$38+sobrestock_sustitutos!$C$93/12</f>
        <v>3.95809069586234</v>
      </c>
      <c r="P39" s="6" t="n">
        <f aca="false">SUM(D39:O39)</f>
        <v>47.4970883503481</v>
      </c>
      <c r="Q39" s="4" t="n">
        <f aca="false">sobrestock_sustitutos!$C$93</f>
        <v>1</v>
      </c>
    </row>
    <row r="40" customFormat="false" ht="15" hidden="false" customHeight="false" outlineLevel="0" collapsed="false">
      <c r="A40" s="8" t="str">
        <f aca="false">parametros_recargas!A57</f>
        <v>AFFF 50 l s/ruedas</v>
      </c>
      <c r="B40" s="8" t="str">
        <f aca="false">parametros_recargas!B57</f>
        <v>AFFF</v>
      </c>
      <c r="C40" s="11" t="n">
        <f aca="false">parametros_recargas!C57</f>
        <v>3</v>
      </c>
      <c r="D40" s="21" t="n">
        <f aca="false">datos_base!$C$8*parametros_recargas!$B$38+sobrestock_sustitutos!$C$94/12</f>
        <v>2.08233804835078</v>
      </c>
      <c r="E40" s="21" t="n">
        <f aca="false">datos_base!$C$8*parametros_recargas!$C$38+sobrestock_sustitutos!$C$94/12</f>
        <v>2.08233804835078</v>
      </c>
      <c r="F40" s="21" t="n">
        <f aca="false">datos_base!$C$8*parametros_recargas!$D$38+sobrestock_sustitutos!$C$94/12</f>
        <v>2.08233804835078</v>
      </c>
      <c r="G40" s="21" t="n">
        <f aca="false">datos_base!$C$8*parametros_recargas!$E$38+sobrestock_sustitutos!$C$94/12</f>
        <v>2.08233804835078</v>
      </c>
      <c r="H40" s="21" t="n">
        <f aca="false">datos_base!$C$8*parametros_recargas!$F$38+sobrestock_sustitutos!$C$94/12</f>
        <v>2.08233804835078</v>
      </c>
      <c r="I40" s="21" t="n">
        <f aca="false">datos_base!$C$8*parametros_recargas!$G$38+sobrestock_sustitutos!$C$94/12</f>
        <v>2.08233804835078</v>
      </c>
      <c r="J40" s="21" t="n">
        <f aca="false">datos_base!$C$8*parametros_recargas!$H$38+sobrestock_sustitutos!$C$94/12</f>
        <v>2.08233804835078</v>
      </c>
      <c r="K40" s="21" t="n">
        <f aca="false">datos_base!$C$8*parametros_recargas!$I$38+sobrestock_sustitutos!$C$94/12</f>
        <v>2.08233804835078</v>
      </c>
      <c r="L40" s="21" t="n">
        <f aca="false">datos_base!$C$8*parametros_recargas!$J$38+sobrestock_sustitutos!$C$94/12</f>
        <v>2.08233804835078</v>
      </c>
      <c r="M40" s="21" t="n">
        <f aca="false">datos_base!$C$8*parametros_recargas!$K$38+sobrestock_sustitutos!$C$94/12</f>
        <v>2.08233804835078</v>
      </c>
      <c r="N40" s="21" t="n">
        <f aca="false">datos_base!$C$8*parametros_recargas!$L$38+sobrestock_sustitutos!$C$94/12</f>
        <v>2.08233804835078</v>
      </c>
      <c r="O40" s="21" t="n">
        <f aca="false">datos_base!$C$8*parametros_recargas!$M$38+sobrestock_sustitutos!$C$94/12</f>
        <v>2.08233804835078</v>
      </c>
      <c r="P40" s="6" t="n">
        <f aca="false">SUM(D40:O40)</f>
        <v>24.9880565802094</v>
      </c>
      <c r="Q40" s="4" t="n">
        <f aca="false">sobrestock_sustitutos!$C$94</f>
        <v>1</v>
      </c>
    </row>
    <row r="41" customFormat="false" ht="15" hidden="false" customHeight="false" outlineLevel="0" collapsed="false">
      <c r="A41" s="8" t="str">
        <f aca="false">parametros_recargas!A58</f>
        <v>BC 5 kg</v>
      </c>
      <c r="B41" s="8" t="str">
        <f aca="false">parametros_recargas!B58</f>
        <v>BC</v>
      </c>
      <c r="C41" s="11" t="n">
        <f aca="false">parametros_recargas!C58</f>
        <v>1</v>
      </c>
      <c r="D41" s="21" t="n">
        <f aca="false">datos_base!$C$9*parametros_recargas!$B$38+sobrestock_sustitutos!$C$95/12</f>
        <v>1.21401577549084</v>
      </c>
      <c r="E41" s="21" t="n">
        <f aca="false">datos_base!$C$9*parametros_recargas!$C$38+sobrestock_sustitutos!$C$95/12</f>
        <v>1.21401577549084</v>
      </c>
      <c r="F41" s="21" t="n">
        <f aca="false">datos_base!$C$9*parametros_recargas!$D$38+sobrestock_sustitutos!$C$95/12</f>
        <v>1.21401577549084</v>
      </c>
      <c r="G41" s="21" t="n">
        <f aca="false">datos_base!$C$9*parametros_recargas!$E$38+sobrestock_sustitutos!$C$95/12</f>
        <v>1.21401577549084</v>
      </c>
      <c r="H41" s="21" t="n">
        <f aca="false">datos_base!$C$9*parametros_recargas!$F$38+sobrestock_sustitutos!$C$95/12</f>
        <v>1.21401577549084</v>
      </c>
      <c r="I41" s="21" t="n">
        <f aca="false">datos_base!$C$9*parametros_recargas!$G$38+sobrestock_sustitutos!$C$95/12</f>
        <v>1.21401577549084</v>
      </c>
      <c r="J41" s="21" t="n">
        <f aca="false">datos_base!$C$9*parametros_recargas!$H$38+sobrestock_sustitutos!$C$95/12</f>
        <v>1.21401577549084</v>
      </c>
      <c r="K41" s="21" t="n">
        <f aca="false">datos_base!$C$9*parametros_recargas!$I$38+sobrestock_sustitutos!$C$95/12</f>
        <v>1.21401577549084</v>
      </c>
      <c r="L41" s="21" t="n">
        <f aca="false">datos_base!$C$9*parametros_recargas!$J$38+sobrestock_sustitutos!$C$95/12</f>
        <v>1.21401577549084</v>
      </c>
      <c r="M41" s="21" t="n">
        <f aca="false">datos_base!$C$9*parametros_recargas!$K$38+sobrestock_sustitutos!$C$95/12</f>
        <v>1.21401577549084</v>
      </c>
      <c r="N41" s="21" t="n">
        <f aca="false">datos_base!$C$9*parametros_recargas!$L$38+sobrestock_sustitutos!$C$95/12</f>
        <v>1.21401577549084</v>
      </c>
      <c r="O41" s="21" t="n">
        <f aca="false">datos_base!$C$9*parametros_recargas!$M$38+sobrestock_sustitutos!$C$95/12</f>
        <v>1.21401577549084</v>
      </c>
      <c r="P41" s="6" t="n">
        <f aca="false">SUM(D41:O41)</f>
        <v>14.5681893058901</v>
      </c>
      <c r="Q41" s="4" t="n">
        <f aca="false">sobrestock_sustitutos!$C$95</f>
        <v>1</v>
      </c>
    </row>
    <row r="42" customFormat="false" ht="15" hidden="false" customHeight="false" outlineLevel="0" collapsed="false">
      <c r="A42" s="8" t="str">
        <f aca="false">parametros_recargas!A59</f>
        <v>Sales K 6 l</v>
      </c>
      <c r="B42" s="8" t="str">
        <f aca="false">parametros_recargas!B59</f>
        <v>Sales K</v>
      </c>
      <c r="C42" s="11" t="n">
        <f aca="false">parametros_recargas!C59</f>
        <v>1</v>
      </c>
      <c r="D42" s="21" t="n">
        <f aca="false">datos_base!$C$10*parametros_recargas!$B$38+sobrestock_sustitutos!$C$96/12</f>
        <v>8.13951615949177</v>
      </c>
      <c r="E42" s="21" t="n">
        <f aca="false">datos_base!$C$10*parametros_recargas!$C$38+sobrestock_sustitutos!$C$96/12</f>
        <v>8.13951615949177</v>
      </c>
      <c r="F42" s="21" t="n">
        <f aca="false">datos_base!$C$10*parametros_recargas!$D$38+sobrestock_sustitutos!$C$96/12</f>
        <v>8.13951615949177</v>
      </c>
      <c r="G42" s="21" t="n">
        <f aca="false">datos_base!$C$10*parametros_recargas!$E$38+sobrestock_sustitutos!$C$96/12</f>
        <v>8.13951615949177</v>
      </c>
      <c r="H42" s="21" t="n">
        <f aca="false">datos_base!$C$10*parametros_recargas!$F$38+sobrestock_sustitutos!$C$96/12</f>
        <v>8.13951615949177</v>
      </c>
      <c r="I42" s="21" t="n">
        <f aca="false">datos_base!$C$10*parametros_recargas!$G$38+sobrestock_sustitutos!$C$96/12</f>
        <v>8.13951615949177</v>
      </c>
      <c r="J42" s="21" t="n">
        <f aca="false">datos_base!$C$10*parametros_recargas!$H$38+sobrestock_sustitutos!$C$96/12</f>
        <v>8.13951615949177</v>
      </c>
      <c r="K42" s="21" t="n">
        <f aca="false">datos_base!$C$10*parametros_recargas!$I$38+sobrestock_sustitutos!$C$96/12</f>
        <v>8.13951615949177</v>
      </c>
      <c r="L42" s="21" t="n">
        <f aca="false">datos_base!$C$10*parametros_recargas!$J$38+sobrestock_sustitutos!$C$96/12</f>
        <v>8.13951615949177</v>
      </c>
      <c r="M42" s="21" t="n">
        <f aca="false">datos_base!$C$10*parametros_recargas!$K$38+sobrestock_sustitutos!$C$96/12</f>
        <v>8.13951615949177</v>
      </c>
      <c r="N42" s="21" t="n">
        <f aca="false">datos_base!$C$10*parametros_recargas!$L$38+sobrestock_sustitutos!$C$96/12</f>
        <v>8.13951615949177</v>
      </c>
      <c r="O42" s="21" t="n">
        <f aca="false">datos_base!$C$10*parametros_recargas!$M$38+sobrestock_sustitutos!$C$96/12</f>
        <v>8.13951615949177</v>
      </c>
      <c r="P42" s="6" t="n">
        <f aca="false">SUM(D42:O42)</f>
        <v>97.6741939139012</v>
      </c>
      <c r="Q42" s="4" t="n">
        <f aca="false">sobrestock_sustitutos!$C$96</f>
        <v>1</v>
      </c>
    </row>
    <row r="43" customFormat="false" ht="15" hidden="false" customHeight="false" outlineLevel="0" collapsed="false">
      <c r="A43" s="8" t="str">
        <f aca="false">parametros_recargas!A60</f>
        <v>CO₂ 2 kg</v>
      </c>
      <c r="B43" s="8" t="str">
        <f aca="false">parametros_recargas!B60</f>
        <v>CO₂</v>
      </c>
      <c r="C43" s="11" t="n">
        <f aca="false">parametros_recargas!C60</f>
        <v>1</v>
      </c>
      <c r="D43" s="21" t="n">
        <f aca="false">datos_base!$C$11*parametros_recargas!$B$38+sobrestock_sustitutos!$C$97/12</f>
        <v>40.9324718230736</v>
      </c>
      <c r="E43" s="21" t="n">
        <f aca="false">datos_base!$C$11*parametros_recargas!$C$38+sobrestock_sustitutos!$C$97/12</f>
        <v>40.9324718230736</v>
      </c>
      <c r="F43" s="21" t="n">
        <f aca="false">datos_base!$C$11*parametros_recargas!$D$38+sobrestock_sustitutos!$C$97/12</f>
        <v>40.9324718230736</v>
      </c>
      <c r="G43" s="21" t="n">
        <f aca="false">datos_base!$C$11*parametros_recargas!$E$38+sobrestock_sustitutos!$C$97/12</f>
        <v>40.9324718230736</v>
      </c>
      <c r="H43" s="21" t="n">
        <f aca="false">datos_base!$C$11*parametros_recargas!$F$38+sobrestock_sustitutos!$C$97/12</f>
        <v>40.9324718230736</v>
      </c>
      <c r="I43" s="21" t="n">
        <f aca="false">datos_base!$C$11*parametros_recargas!$G$38+sobrestock_sustitutos!$C$97/12</f>
        <v>40.9324718230736</v>
      </c>
      <c r="J43" s="21" t="n">
        <f aca="false">datos_base!$C$11*parametros_recargas!$H$38+sobrestock_sustitutos!$C$97/12</f>
        <v>40.9324718230736</v>
      </c>
      <c r="K43" s="21" t="n">
        <f aca="false">datos_base!$C$11*parametros_recargas!$I$38+sobrestock_sustitutos!$C$97/12</f>
        <v>40.9324718230736</v>
      </c>
      <c r="L43" s="21" t="n">
        <f aca="false">datos_base!$C$11*parametros_recargas!$J$38+sobrestock_sustitutos!$C$97/12</f>
        <v>40.9324718230736</v>
      </c>
      <c r="M43" s="21" t="n">
        <f aca="false">datos_base!$C$11*parametros_recargas!$K$38+sobrestock_sustitutos!$C$97/12</f>
        <v>40.9324718230736</v>
      </c>
      <c r="N43" s="21" t="n">
        <f aca="false">datos_base!$C$11*parametros_recargas!$L$38+sobrestock_sustitutos!$C$97/12</f>
        <v>40.9324718230736</v>
      </c>
      <c r="O43" s="21" t="n">
        <f aca="false">datos_base!$C$11*parametros_recargas!$M$38+sobrestock_sustitutos!$C$97/12</f>
        <v>40.9324718230736</v>
      </c>
      <c r="P43" s="6" t="n">
        <f aca="false">SUM(D43:O43)</f>
        <v>491.189661876883</v>
      </c>
      <c r="Q43" s="4" t="n">
        <f aca="false">sobrestock_sustitutos!$C$97</f>
        <v>2</v>
      </c>
    </row>
    <row r="44" customFormat="false" ht="15" hidden="false" customHeight="false" outlineLevel="0" collapsed="false">
      <c r="A44" s="8" t="str">
        <f aca="false">parametros_recargas!A61</f>
        <v>CO₂ 5 kg</v>
      </c>
      <c r="B44" s="8" t="str">
        <f aca="false">parametros_recargas!B61</f>
        <v>CO₂</v>
      </c>
      <c r="C44" s="11" t="n">
        <f aca="false">parametros_recargas!C61</f>
        <v>1</v>
      </c>
      <c r="D44" s="21" t="n">
        <f aca="false">datos_base!$C$12*parametros_recargas!$B$38+sobrestock_sustitutos!$C$98/12</f>
        <v>15.5431474142257</v>
      </c>
      <c r="E44" s="21" t="n">
        <f aca="false">datos_base!$C$12*parametros_recargas!$C$38+sobrestock_sustitutos!$C$98/12</f>
        <v>15.5431474142257</v>
      </c>
      <c r="F44" s="21" t="n">
        <f aca="false">datos_base!$C$12*parametros_recargas!$D$38+sobrestock_sustitutos!$C$98/12</f>
        <v>15.5431474142257</v>
      </c>
      <c r="G44" s="21" t="n">
        <f aca="false">datos_base!$C$12*parametros_recargas!$E$38+sobrestock_sustitutos!$C$98/12</f>
        <v>15.5431474142257</v>
      </c>
      <c r="H44" s="21" t="n">
        <f aca="false">datos_base!$C$12*parametros_recargas!$F$38+sobrestock_sustitutos!$C$98/12</f>
        <v>15.5431474142257</v>
      </c>
      <c r="I44" s="21" t="n">
        <f aca="false">datos_base!$C$12*parametros_recargas!$G$38+sobrestock_sustitutos!$C$98/12</f>
        <v>15.5431474142257</v>
      </c>
      <c r="J44" s="21" t="n">
        <f aca="false">datos_base!$C$12*parametros_recargas!$H$38+sobrestock_sustitutos!$C$98/12</f>
        <v>15.5431474142257</v>
      </c>
      <c r="K44" s="21" t="n">
        <f aca="false">datos_base!$C$12*parametros_recargas!$I$38+sobrestock_sustitutos!$C$98/12</f>
        <v>15.5431474142257</v>
      </c>
      <c r="L44" s="21" t="n">
        <f aca="false">datos_base!$C$12*parametros_recargas!$J$38+sobrestock_sustitutos!$C$98/12</f>
        <v>15.5431474142257</v>
      </c>
      <c r="M44" s="21" t="n">
        <f aca="false">datos_base!$C$12*parametros_recargas!$K$38+sobrestock_sustitutos!$C$98/12</f>
        <v>15.5431474142257</v>
      </c>
      <c r="N44" s="21" t="n">
        <f aca="false">datos_base!$C$12*parametros_recargas!$L$38+sobrestock_sustitutos!$C$98/12</f>
        <v>15.5431474142257</v>
      </c>
      <c r="O44" s="21" t="n">
        <f aca="false">datos_base!$C$12*parametros_recargas!$M$38+sobrestock_sustitutos!$C$98/12</f>
        <v>15.5431474142257</v>
      </c>
      <c r="P44" s="6" t="n">
        <f aca="false">SUM(D44:O44)</f>
        <v>186.517768970709</v>
      </c>
      <c r="Q44" s="4" t="n">
        <f aca="false">sobrestock_sustitutos!$C$98</f>
        <v>1</v>
      </c>
    </row>
    <row r="45" customFormat="false" ht="15" hidden="false" customHeight="false" outlineLevel="0" collapsed="false">
      <c r="A45" s="8" t="str">
        <f aca="false">parametros_recargas!A62</f>
        <v>HCFC/HFC 5 kg</v>
      </c>
      <c r="B45" s="8" t="str">
        <f aca="false">parametros_recargas!B62</f>
        <v>Halogenado</v>
      </c>
      <c r="C45" s="11" t="n">
        <f aca="false">parametros_recargas!C62</f>
        <v>1</v>
      </c>
      <c r="D45" s="21" t="n">
        <f aca="false">datos_base!$C$13*parametros_recargas!$B$38+sobrestock_sustitutos!$C$99/12</f>
        <v>2.77534512656385</v>
      </c>
      <c r="E45" s="21" t="n">
        <f aca="false">datos_base!$C$13*parametros_recargas!$C$38+sobrestock_sustitutos!$C$99/12</f>
        <v>2.77534512656385</v>
      </c>
      <c r="F45" s="21" t="n">
        <f aca="false">datos_base!$C$13*parametros_recargas!$D$38+sobrestock_sustitutos!$C$99/12</f>
        <v>2.77534512656385</v>
      </c>
      <c r="G45" s="21" t="n">
        <f aca="false">datos_base!$C$13*parametros_recargas!$E$38+sobrestock_sustitutos!$C$99/12</f>
        <v>2.77534512656385</v>
      </c>
      <c r="H45" s="21" t="n">
        <f aca="false">datos_base!$C$13*parametros_recargas!$F$38+sobrestock_sustitutos!$C$99/12</f>
        <v>2.77534512656385</v>
      </c>
      <c r="I45" s="21" t="n">
        <f aca="false">datos_base!$C$13*parametros_recargas!$G$38+sobrestock_sustitutos!$C$99/12</f>
        <v>2.77534512656385</v>
      </c>
      <c r="J45" s="21" t="n">
        <f aca="false">datos_base!$C$13*parametros_recargas!$H$38+sobrestock_sustitutos!$C$99/12</f>
        <v>2.77534512656385</v>
      </c>
      <c r="K45" s="21" t="n">
        <f aca="false">datos_base!$C$13*parametros_recargas!$I$38+sobrestock_sustitutos!$C$99/12</f>
        <v>2.77534512656385</v>
      </c>
      <c r="L45" s="21" t="n">
        <f aca="false">datos_base!$C$13*parametros_recargas!$J$38+sobrestock_sustitutos!$C$99/12</f>
        <v>2.77534512656385</v>
      </c>
      <c r="M45" s="21" t="n">
        <f aca="false">datos_base!$C$13*parametros_recargas!$K$38+sobrestock_sustitutos!$C$99/12</f>
        <v>2.77534512656385</v>
      </c>
      <c r="N45" s="21" t="n">
        <f aca="false">datos_base!$C$13*parametros_recargas!$L$38+sobrestock_sustitutos!$C$99/12</f>
        <v>2.77534512656385</v>
      </c>
      <c r="O45" s="21" t="n">
        <f aca="false">datos_base!$C$13*parametros_recargas!$M$38+sobrestock_sustitutos!$C$99/12</f>
        <v>2.77534512656385</v>
      </c>
      <c r="P45" s="6" t="n">
        <f aca="false">SUM(D45:O45)</f>
        <v>33.3041415187662</v>
      </c>
      <c r="Q45" s="4" t="n">
        <f aca="false">sobrestock_sustitutos!$C$99</f>
        <v>1</v>
      </c>
    </row>
    <row r="46" customFormat="false" ht="15" hidden="false" customHeight="false" outlineLevel="0" collapsed="false">
      <c r="A46" s="8" t="str">
        <f aca="false">parametros_recargas!A63</f>
        <v>Clase D 9 l</v>
      </c>
      <c r="B46" s="8" t="str">
        <f aca="false">parametros_recargas!B63</f>
        <v>Clase D</v>
      </c>
      <c r="C46" s="11" t="n">
        <f aca="false">parametros_recargas!C63</f>
        <v>1</v>
      </c>
      <c r="D46" s="21" t="n">
        <f aca="false">datos_base!$C$14*parametros_recargas!$B$38+sobrestock_sustitutos!$C$100/12</f>
        <v>1.21401577549084</v>
      </c>
      <c r="E46" s="21" t="n">
        <f aca="false">datos_base!$C$14*parametros_recargas!$C$38+sobrestock_sustitutos!$C$100/12</f>
        <v>1.21401577549084</v>
      </c>
      <c r="F46" s="21" t="n">
        <f aca="false">datos_base!$C$14*parametros_recargas!$D$38+sobrestock_sustitutos!$C$100/12</f>
        <v>1.21401577549084</v>
      </c>
      <c r="G46" s="21" t="n">
        <f aca="false">datos_base!$C$14*parametros_recargas!$E$38+sobrestock_sustitutos!$C$100/12</f>
        <v>1.21401577549084</v>
      </c>
      <c r="H46" s="21" t="n">
        <f aca="false">datos_base!$C$14*parametros_recargas!$F$38+sobrestock_sustitutos!$C$100/12</f>
        <v>1.21401577549084</v>
      </c>
      <c r="I46" s="21" t="n">
        <f aca="false">datos_base!$C$14*parametros_recargas!$G$38+sobrestock_sustitutos!$C$100/12</f>
        <v>1.21401577549084</v>
      </c>
      <c r="J46" s="21" t="n">
        <f aca="false">datos_base!$C$14*parametros_recargas!$H$38+sobrestock_sustitutos!$C$100/12</f>
        <v>1.21401577549084</v>
      </c>
      <c r="K46" s="21" t="n">
        <f aca="false">datos_base!$C$14*parametros_recargas!$I$38+sobrestock_sustitutos!$C$100/12</f>
        <v>1.21401577549084</v>
      </c>
      <c r="L46" s="21" t="n">
        <f aca="false">datos_base!$C$14*parametros_recargas!$J$38+sobrestock_sustitutos!$C$100/12</f>
        <v>1.21401577549084</v>
      </c>
      <c r="M46" s="21" t="n">
        <f aca="false">datos_base!$C$14*parametros_recargas!$K$38+sobrestock_sustitutos!$C$100/12</f>
        <v>1.21401577549084</v>
      </c>
      <c r="N46" s="21" t="n">
        <f aca="false">datos_base!$C$14*parametros_recargas!$L$38+sobrestock_sustitutos!$C$100/12</f>
        <v>1.21401577549084</v>
      </c>
      <c r="O46" s="21" t="n">
        <f aca="false">datos_base!$C$14*parametros_recargas!$M$38+sobrestock_sustitutos!$C$100/12</f>
        <v>1.21401577549084</v>
      </c>
      <c r="P46" s="6" t="n">
        <f aca="false">SUM(D46:O46)</f>
        <v>14.5681893058901</v>
      </c>
      <c r="Q46" s="4" t="n">
        <f aca="false">sobrestock_sustitutos!$C$100</f>
        <v>1</v>
      </c>
    </row>
    <row r="47" customFormat="false" ht="15" hidden="false" customHeight="false" outlineLevel="0" collapsed="false">
      <c r="A47" s="8" t="str">
        <f aca="false">parametros_recargas!A64</f>
        <v>ABC 25 kg s/ruedas</v>
      </c>
      <c r="B47" s="8" t="str">
        <f aca="false">parametros_recargas!B64</f>
        <v>ABC</v>
      </c>
      <c r="C47" s="11" t="n">
        <f aca="false">parametros_recargas!C64</f>
        <v>3</v>
      </c>
      <c r="D47" s="21" t="n">
        <f aca="false">datos_base!$C$15*parametros_recargas!$B$38+sobrestock_sustitutos!$C$101/12</f>
        <v>2.14873570534388</v>
      </c>
      <c r="E47" s="21" t="n">
        <f aca="false">datos_base!$C$15*parametros_recargas!$C$38+sobrestock_sustitutos!$C$101/12</f>
        <v>2.14873570534388</v>
      </c>
      <c r="F47" s="21" t="n">
        <f aca="false">datos_base!$C$15*parametros_recargas!$D$38+sobrestock_sustitutos!$C$101/12</f>
        <v>2.14873570534388</v>
      </c>
      <c r="G47" s="21" t="n">
        <f aca="false">datos_base!$C$15*parametros_recargas!$E$38+sobrestock_sustitutos!$C$101/12</f>
        <v>2.14873570534388</v>
      </c>
      <c r="H47" s="21" t="n">
        <f aca="false">datos_base!$C$15*parametros_recargas!$F$38+sobrestock_sustitutos!$C$101/12</f>
        <v>2.14873570534388</v>
      </c>
      <c r="I47" s="21" t="n">
        <f aca="false">datos_base!$C$15*parametros_recargas!$G$38+sobrestock_sustitutos!$C$101/12</f>
        <v>2.14873570534388</v>
      </c>
      <c r="J47" s="21" t="n">
        <f aca="false">datos_base!$C$15*parametros_recargas!$H$38+sobrestock_sustitutos!$C$101/12</f>
        <v>2.14873570534388</v>
      </c>
      <c r="K47" s="21" t="n">
        <f aca="false">datos_base!$C$15*parametros_recargas!$I$38+sobrestock_sustitutos!$C$101/12</f>
        <v>2.14873570534388</v>
      </c>
      <c r="L47" s="21" t="n">
        <f aca="false">datos_base!$C$15*parametros_recargas!$J$38+sobrestock_sustitutos!$C$101/12</f>
        <v>2.14873570534388</v>
      </c>
      <c r="M47" s="21" t="n">
        <f aca="false">datos_base!$C$15*parametros_recargas!$K$38+sobrestock_sustitutos!$C$101/12</f>
        <v>2.14873570534388</v>
      </c>
      <c r="N47" s="21" t="n">
        <f aca="false">datos_base!$C$15*parametros_recargas!$L$38+sobrestock_sustitutos!$C$101/12</f>
        <v>2.14873570534388</v>
      </c>
      <c r="O47" s="21" t="n">
        <f aca="false">datos_base!$C$15*parametros_recargas!$M$38+sobrestock_sustitutos!$C$101/12</f>
        <v>2.14873570534388</v>
      </c>
      <c r="P47" s="6" t="n">
        <f aca="false">SUM(D47:O47)</f>
        <v>25.7848284641265</v>
      </c>
      <c r="Q47" s="4" t="n">
        <f aca="false">sobrestock_sustitutos!$C$101</f>
        <v>1</v>
      </c>
    </row>
    <row r="48" customFormat="false" ht="15" hidden="false" customHeight="false" outlineLevel="0" collapsed="false">
      <c r="A48" s="8" t="str">
        <f aca="false">parametros_recargas!A65</f>
        <v>ABC 50 kg s/ruedas</v>
      </c>
      <c r="B48" s="8" t="str">
        <f aca="false">parametros_recargas!B65</f>
        <v>ABC</v>
      </c>
      <c r="C48" s="11" t="n">
        <f aca="false">parametros_recargas!C65</f>
        <v>3</v>
      </c>
      <c r="D48" s="21" t="n">
        <f aca="false">datos_base!$C$16*parametros_recargas!$B$38+sobrestock_sustitutos!$C$102/12</f>
        <v>4.62721858058018</v>
      </c>
      <c r="E48" s="21" t="n">
        <f aca="false">datos_base!$C$16*parametros_recargas!$C$38+sobrestock_sustitutos!$C$102/12</f>
        <v>4.62721858058018</v>
      </c>
      <c r="F48" s="21" t="n">
        <f aca="false">datos_base!$C$16*parametros_recargas!$D$38+sobrestock_sustitutos!$C$102/12</f>
        <v>4.62721858058018</v>
      </c>
      <c r="G48" s="21" t="n">
        <f aca="false">datos_base!$C$16*parametros_recargas!$E$38+sobrestock_sustitutos!$C$102/12</f>
        <v>4.62721858058018</v>
      </c>
      <c r="H48" s="21" t="n">
        <f aca="false">datos_base!$C$16*parametros_recargas!$F$38+sobrestock_sustitutos!$C$102/12</f>
        <v>4.62721858058018</v>
      </c>
      <c r="I48" s="21" t="n">
        <f aca="false">datos_base!$C$16*parametros_recargas!$G$38+sobrestock_sustitutos!$C$102/12</f>
        <v>4.62721858058018</v>
      </c>
      <c r="J48" s="21" t="n">
        <f aca="false">datos_base!$C$16*parametros_recargas!$H$38+sobrestock_sustitutos!$C$102/12</f>
        <v>4.62721858058018</v>
      </c>
      <c r="K48" s="21" t="n">
        <f aca="false">datos_base!$C$16*parametros_recargas!$I$38+sobrestock_sustitutos!$C$102/12</f>
        <v>4.62721858058018</v>
      </c>
      <c r="L48" s="21" t="n">
        <f aca="false">datos_base!$C$16*parametros_recargas!$J$38+sobrestock_sustitutos!$C$102/12</f>
        <v>4.62721858058018</v>
      </c>
      <c r="M48" s="21" t="n">
        <f aca="false">datos_base!$C$16*parametros_recargas!$K$38+sobrestock_sustitutos!$C$102/12</f>
        <v>4.62721858058018</v>
      </c>
      <c r="N48" s="21" t="n">
        <f aca="false">datos_base!$C$16*parametros_recargas!$L$38+sobrestock_sustitutos!$C$102/12</f>
        <v>4.62721858058018</v>
      </c>
      <c r="O48" s="21" t="n">
        <f aca="false">datos_base!$C$16*parametros_recargas!$M$38+sobrestock_sustitutos!$C$102/12</f>
        <v>4.62721858058018</v>
      </c>
      <c r="P48" s="6" t="n">
        <f aca="false">SUM(D48:O48)</f>
        <v>55.5266229669621</v>
      </c>
      <c r="Q48" s="4" t="n">
        <f aca="false">sobrestock_sustitutos!$C$102</f>
        <v>1</v>
      </c>
    </row>
    <row r="49" customFormat="false" ht="15" hidden="false" customHeight="false" outlineLevel="0" collapsed="false">
      <c r="A49" s="8" t="str">
        <f aca="false">parametros_recargas!A66</f>
        <v>ABC 70 kg s/ruedas</v>
      </c>
      <c r="B49" s="8" t="str">
        <f aca="false">parametros_recargas!B66</f>
        <v>ABC</v>
      </c>
      <c r="C49" s="11" t="n">
        <f aca="false">parametros_recargas!C66</f>
        <v>3</v>
      </c>
      <c r="D49" s="21" t="n">
        <f aca="false">datos_base!$C$17*parametros_recargas!$B$38+sobrestock_sustitutos!$C$103/12</f>
        <v>1.07472646901603</v>
      </c>
      <c r="E49" s="21" t="n">
        <f aca="false">datos_base!$C$17*parametros_recargas!$C$38+sobrestock_sustitutos!$C$103/12</f>
        <v>1.07472646901603</v>
      </c>
      <c r="F49" s="21" t="n">
        <f aca="false">datos_base!$C$17*parametros_recargas!$D$38+sobrestock_sustitutos!$C$103/12</f>
        <v>1.07472646901603</v>
      </c>
      <c r="G49" s="21" t="n">
        <f aca="false">datos_base!$C$17*parametros_recargas!$E$38+sobrestock_sustitutos!$C$103/12</f>
        <v>1.07472646901603</v>
      </c>
      <c r="H49" s="21" t="n">
        <f aca="false">datos_base!$C$17*parametros_recargas!$F$38+sobrestock_sustitutos!$C$103/12</f>
        <v>1.07472646901603</v>
      </c>
      <c r="I49" s="21" t="n">
        <f aca="false">datos_base!$C$17*parametros_recargas!$G$38+sobrestock_sustitutos!$C$103/12</f>
        <v>1.07472646901603</v>
      </c>
      <c r="J49" s="21" t="n">
        <f aca="false">datos_base!$C$17*parametros_recargas!$H$38+sobrestock_sustitutos!$C$103/12</f>
        <v>1.07472646901603</v>
      </c>
      <c r="K49" s="21" t="n">
        <f aca="false">datos_base!$C$17*parametros_recargas!$I$38+sobrestock_sustitutos!$C$103/12</f>
        <v>1.07472646901603</v>
      </c>
      <c r="L49" s="21" t="n">
        <f aca="false">datos_base!$C$17*parametros_recargas!$J$38+sobrestock_sustitutos!$C$103/12</f>
        <v>1.07472646901603</v>
      </c>
      <c r="M49" s="21" t="n">
        <f aca="false">datos_base!$C$17*parametros_recargas!$K$38+sobrestock_sustitutos!$C$103/12</f>
        <v>1.07472646901603</v>
      </c>
      <c r="N49" s="21" t="n">
        <f aca="false">datos_base!$C$17*parametros_recargas!$L$38+sobrestock_sustitutos!$C$103/12</f>
        <v>1.07472646901603</v>
      </c>
      <c r="O49" s="21" t="n">
        <f aca="false">datos_base!$C$17*parametros_recargas!$M$38+sobrestock_sustitutos!$C$103/12</f>
        <v>1.07472646901603</v>
      </c>
      <c r="P49" s="6" t="n">
        <f aca="false">SUM(D49:O49)</f>
        <v>12.8967176281923</v>
      </c>
      <c r="Q49" s="4" t="n">
        <f aca="false">sobrestock_sustitutos!$C$103</f>
        <v>1</v>
      </c>
    </row>
    <row r="50" customFormat="false" ht="15" hidden="false" customHeight="false" outlineLevel="0" collapsed="false">
      <c r="A50" s="8" t="str">
        <f aca="false">parametros_recargas!A67</f>
        <v>ABC 100 kg s/ruedas</v>
      </c>
      <c r="B50" s="8" t="str">
        <f aca="false">parametros_recargas!B67</f>
        <v>ABC</v>
      </c>
      <c r="C50" s="11" t="n">
        <f aca="false">parametros_recargas!C67</f>
        <v>3</v>
      </c>
      <c r="D50" s="21" t="n">
        <f aca="false">datos_base!$C$18*parametros_recargas!$B$38+sobrestock_sustitutos!$C$104/12</f>
        <v>0.74426209045513</v>
      </c>
      <c r="E50" s="21" t="n">
        <f aca="false">datos_base!$C$18*parametros_recargas!$C$38+sobrestock_sustitutos!$C$104/12</f>
        <v>0.74426209045513</v>
      </c>
      <c r="F50" s="21" t="n">
        <f aca="false">datos_base!$C$18*parametros_recargas!$D$38+sobrestock_sustitutos!$C$104/12</f>
        <v>0.74426209045513</v>
      </c>
      <c r="G50" s="21" t="n">
        <f aca="false">datos_base!$C$18*parametros_recargas!$E$38+sobrestock_sustitutos!$C$104/12</f>
        <v>0.74426209045513</v>
      </c>
      <c r="H50" s="21" t="n">
        <f aca="false">datos_base!$C$18*parametros_recargas!$F$38+sobrestock_sustitutos!$C$104/12</f>
        <v>0.74426209045513</v>
      </c>
      <c r="I50" s="21" t="n">
        <f aca="false">datos_base!$C$18*parametros_recargas!$G$38+sobrestock_sustitutos!$C$104/12</f>
        <v>0.74426209045513</v>
      </c>
      <c r="J50" s="21" t="n">
        <f aca="false">datos_base!$C$18*parametros_recargas!$H$38+sobrestock_sustitutos!$C$104/12</f>
        <v>0.74426209045513</v>
      </c>
      <c r="K50" s="21" t="n">
        <f aca="false">datos_base!$C$18*parametros_recargas!$I$38+sobrestock_sustitutos!$C$104/12</f>
        <v>0.74426209045513</v>
      </c>
      <c r="L50" s="21" t="n">
        <f aca="false">datos_base!$C$18*parametros_recargas!$J$38+sobrestock_sustitutos!$C$104/12</f>
        <v>0.74426209045513</v>
      </c>
      <c r="M50" s="21" t="n">
        <f aca="false">datos_base!$C$18*parametros_recargas!$K$38+sobrestock_sustitutos!$C$104/12</f>
        <v>0.74426209045513</v>
      </c>
      <c r="N50" s="21" t="n">
        <f aca="false">datos_base!$C$18*parametros_recargas!$L$38+sobrestock_sustitutos!$C$104/12</f>
        <v>0.74426209045513</v>
      </c>
      <c r="O50" s="21" t="n">
        <f aca="false">datos_base!$C$18*parametros_recargas!$M$38+sobrestock_sustitutos!$C$104/12</f>
        <v>0.74426209045513</v>
      </c>
      <c r="P50" s="6" t="n">
        <f aca="false">SUM(D50:O50)</f>
        <v>8.93114508546156</v>
      </c>
      <c r="Q50" s="4" t="n">
        <f aca="false">sobrestock_sustitutos!$C$104</f>
        <v>1</v>
      </c>
    </row>
    <row r="51" customFormat="false" ht="15" hidden="false" customHeight="false" outlineLevel="0" collapsed="false">
      <c r="A51" s="5" t="s">
        <v>306</v>
      </c>
      <c r="D51" s="6" t="n">
        <f aca="false">SUM(D34:D50)</f>
        <v>738.591999659409</v>
      </c>
      <c r="E51" s="6" t="n">
        <f aca="false">SUM(E34:E50)</f>
        <v>738.591999659409</v>
      </c>
      <c r="F51" s="6" t="n">
        <f aca="false">SUM(F34:F50)</f>
        <v>738.591999659409</v>
      </c>
      <c r="G51" s="6" t="n">
        <f aca="false">SUM(G34:G50)</f>
        <v>738.591999659409</v>
      </c>
      <c r="H51" s="6" t="n">
        <f aca="false">SUM(H34:H50)</f>
        <v>738.591999659409</v>
      </c>
      <c r="I51" s="6" t="n">
        <f aca="false">SUM(I34:I50)</f>
        <v>738.591999659409</v>
      </c>
      <c r="J51" s="6" t="n">
        <f aca="false">SUM(J34:J50)</f>
        <v>738.591999659409</v>
      </c>
      <c r="K51" s="6" t="n">
        <f aca="false">SUM(K34:K50)</f>
        <v>738.591999659409</v>
      </c>
      <c r="L51" s="6" t="n">
        <f aca="false">SUM(L34:L50)</f>
        <v>738.591999659409</v>
      </c>
      <c r="M51" s="6" t="n">
        <f aca="false">SUM(M34:M50)</f>
        <v>738.591999659409</v>
      </c>
      <c r="N51" s="6" t="n">
        <f aca="false">SUM(N34:N50)</f>
        <v>738.591999659409</v>
      </c>
      <c r="O51" s="6" t="n">
        <f aca="false">SUM(O34:O50)</f>
        <v>738.591999659409</v>
      </c>
      <c r="P51" s="6" t="n">
        <f aca="false">SUM(P34:P50)</f>
        <v>8863.10399591291</v>
      </c>
    </row>
    <row r="52" customFormat="false" ht="15" hidden="false" customHeight="false" outlineLevel="0" collapsed="false">
      <c r="A52" s="5" t="s">
        <v>307</v>
      </c>
    </row>
    <row r="53" customFormat="false" ht="15" hidden="false" customHeight="false" outlineLevel="0" collapsed="false">
      <c r="A53" s="3" t="s">
        <v>148</v>
      </c>
      <c r="D53" s="21" t="n">
        <f aca="false">SUMPRODUCT(($B$34:$B$50=$A53)*D$34:D$50*$C$34:$C$50)</f>
        <v>664.384765089774</v>
      </c>
      <c r="E53" s="21" t="n">
        <f aca="false">SUMPRODUCT(($B$34:$B$50=$A53)*E$34:E$50*$C$34:$C$50)</f>
        <v>664.384765089774</v>
      </c>
      <c r="F53" s="21" t="n">
        <f aca="false">SUMPRODUCT(($B$34:$B$50=$A53)*F$34:F$50*$C$34:$C$50)</f>
        <v>664.384765089774</v>
      </c>
      <c r="G53" s="21" t="n">
        <f aca="false">SUMPRODUCT(($B$34:$B$50=$A53)*G$34:G$50*$C$34:$C$50)</f>
        <v>664.384765089774</v>
      </c>
      <c r="H53" s="21" t="n">
        <f aca="false">SUMPRODUCT(($B$34:$B$50=$A53)*H$34:H$50*$C$34:$C$50)</f>
        <v>664.384765089774</v>
      </c>
      <c r="I53" s="21" t="n">
        <f aca="false">SUMPRODUCT(($B$34:$B$50=$A53)*I$34:I$50*$C$34:$C$50)</f>
        <v>664.384765089774</v>
      </c>
      <c r="J53" s="21" t="n">
        <f aca="false">SUMPRODUCT(($B$34:$B$50=$A53)*J$34:J$50*$C$34:$C$50)</f>
        <v>664.384765089774</v>
      </c>
      <c r="K53" s="21" t="n">
        <f aca="false">SUMPRODUCT(($B$34:$B$50=$A53)*K$34:K$50*$C$34:$C$50)</f>
        <v>664.384765089774</v>
      </c>
      <c r="L53" s="21" t="n">
        <f aca="false">SUMPRODUCT(($B$34:$B$50=$A53)*L$34:L$50*$C$34:$C$50)</f>
        <v>664.384765089774</v>
      </c>
      <c r="M53" s="21" t="n">
        <f aca="false">SUMPRODUCT(($B$34:$B$50=$A53)*M$34:M$50*$C$34:$C$50)</f>
        <v>664.384765089774</v>
      </c>
      <c r="N53" s="21" t="n">
        <f aca="false">SUMPRODUCT(($B$34:$B$50=$A53)*N$34:N$50*$C$34:$C$50)</f>
        <v>664.384765089774</v>
      </c>
      <c r="O53" s="21" t="n">
        <f aca="false">SUMPRODUCT(($B$34:$B$50=$A53)*O$34:O$50*$C$34:$C$50)</f>
        <v>664.384765089774</v>
      </c>
      <c r="P53" s="21" t="n">
        <f aca="false">SUMPRODUCT(($B$34:$B$50=$A53)*P$34:P$50*$C$34:$C$50)</f>
        <v>7972.61718107728</v>
      </c>
    </row>
    <row r="54" customFormat="false" ht="15" hidden="false" customHeight="false" outlineLevel="0" collapsed="false">
      <c r="A54" s="3" t="s">
        <v>154</v>
      </c>
      <c r="D54" s="21" t="n">
        <f aca="false">SUMPRODUCT(($B$34:$B$50=$A54)*D$34:D$50*$C$34:$C$50)</f>
        <v>1.21401577549084</v>
      </c>
      <c r="E54" s="21" t="n">
        <f aca="false">SUMPRODUCT(($B$34:$B$50=$A54)*E$34:E$50*$C$34:$C$50)</f>
        <v>1.21401577549084</v>
      </c>
      <c r="F54" s="21" t="n">
        <f aca="false">SUMPRODUCT(($B$34:$B$50=$A54)*F$34:F$50*$C$34:$C$50)</f>
        <v>1.21401577549084</v>
      </c>
      <c r="G54" s="21" t="n">
        <f aca="false">SUMPRODUCT(($B$34:$B$50=$A54)*G$34:G$50*$C$34:$C$50)</f>
        <v>1.21401577549084</v>
      </c>
      <c r="H54" s="21" t="n">
        <f aca="false">SUMPRODUCT(($B$34:$B$50=$A54)*H$34:H$50*$C$34:$C$50)</f>
        <v>1.21401577549084</v>
      </c>
      <c r="I54" s="21" t="n">
        <f aca="false">SUMPRODUCT(($B$34:$B$50=$A54)*I$34:I$50*$C$34:$C$50)</f>
        <v>1.21401577549084</v>
      </c>
      <c r="J54" s="21" t="n">
        <f aca="false">SUMPRODUCT(($B$34:$B$50=$A54)*J$34:J$50*$C$34:$C$50)</f>
        <v>1.21401577549084</v>
      </c>
      <c r="K54" s="21" t="n">
        <f aca="false">SUMPRODUCT(($B$34:$B$50=$A54)*K$34:K$50*$C$34:$C$50)</f>
        <v>1.21401577549084</v>
      </c>
      <c r="L54" s="21" t="n">
        <f aca="false">SUMPRODUCT(($B$34:$B$50=$A54)*L$34:L$50*$C$34:$C$50)</f>
        <v>1.21401577549084</v>
      </c>
      <c r="M54" s="21" t="n">
        <f aca="false">SUMPRODUCT(($B$34:$B$50=$A54)*M$34:M$50*$C$34:$C$50)</f>
        <v>1.21401577549084</v>
      </c>
      <c r="N54" s="21" t="n">
        <f aca="false">SUMPRODUCT(($B$34:$B$50=$A54)*N$34:N$50*$C$34:$C$50)</f>
        <v>1.21401577549084</v>
      </c>
      <c r="O54" s="21" t="n">
        <f aca="false">SUMPRODUCT(($B$34:$B$50=$A54)*O$34:O$50*$C$34:$C$50)</f>
        <v>1.21401577549084</v>
      </c>
      <c r="P54" s="21" t="n">
        <f aca="false">SUMPRODUCT(($B$34:$B$50=$A54)*P$34:P$50*$C$34:$C$50)</f>
        <v>14.5681893058901</v>
      </c>
    </row>
    <row r="55" customFormat="false" ht="15" hidden="false" customHeight="false" outlineLevel="0" collapsed="false">
      <c r="A55" s="3" t="s">
        <v>160</v>
      </c>
      <c r="D55" s="21" t="n">
        <f aca="false">SUMPRODUCT(($B$34:$B$50=$A55)*D$34:D$50*$C$34:$C$50)</f>
        <v>1.21401577549084</v>
      </c>
      <c r="E55" s="21" t="n">
        <f aca="false">SUMPRODUCT(($B$34:$B$50=$A55)*E$34:E$50*$C$34:$C$50)</f>
        <v>1.21401577549084</v>
      </c>
      <c r="F55" s="21" t="n">
        <f aca="false">SUMPRODUCT(($B$34:$B$50=$A55)*F$34:F$50*$C$34:$C$50)</f>
        <v>1.21401577549084</v>
      </c>
      <c r="G55" s="21" t="n">
        <f aca="false">SUMPRODUCT(($B$34:$B$50=$A55)*G$34:G$50*$C$34:$C$50)</f>
        <v>1.21401577549084</v>
      </c>
      <c r="H55" s="21" t="n">
        <f aca="false">SUMPRODUCT(($B$34:$B$50=$A55)*H$34:H$50*$C$34:$C$50)</f>
        <v>1.21401577549084</v>
      </c>
      <c r="I55" s="21" t="n">
        <f aca="false">SUMPRODUCT(($B$34:$B$50=$A55)*I$34:I$50*$C$34:$C$50)</f>
        <v>1.21401577549084</v>
      </c>
      <c r="J55" s="21" t="n">
        <f aca="false">SUMPRODUCT(($B$34:$B$50=$A55)*J$34:J$50*$C$34:$C$50)</f>
        <v>1.21401577549084</v>
      </c>
      <c r="K55" s="21" t="n">
        <f aca="false">SUMPRODUCT(($B$34:$B$50=$A55)*K$34:K$50*$C$34:$C$50)</f>
        <v>1.21401577549084</v>
      </c>
      <c r="L55" s="21" t="n">
        <f aca="false">SUMPRODUCT(($B$34:$B$50=$A55)*L$34:L$50*$C$34:$C$50)</f>
        <v>1.21401577549084</v>
      </c>
      <c r="M55" s="21" t="n">
        <f aca="false">SUMPRODUCT(($B$34:$B$50=$A55)*M$34:M$50*$C$34:$C$50)</f>
        <v>1.21401577549084</v>
      </c>
      <c r="N55" s="21" t="n">
        <f aca="false">SUMPRODUCT(($B$34:$B$50=$A55)*N$34:N$50*$C$34:$C$50)</f>
        <v>1.21401577549084</v>
      </c>
      <c r="O55" s="21" t="n">
        <f aca="false">SUMPRODUCT(($B$34:$B$50=$A55)*O$34:O$50*$C$34:$C$50)</f>
        <v>1.21401577549084</v>
      </c>
      <c r="P55" s="21" t="n">
        <f aca="false">SUMPRODUCT(($B$34:$B$50=$A55)*P$34:P$50*$C$34:$C$50)</f>
        <v>14.5681893058901</v>
      </c>
    </row>
    <row r="56" customFormat="false" ht="15" hidden="false" customHeight="false" outlineLevel="0" collapsed="false">
      <c r="A56" s="3" t="s">
        <v>151</v>
      </c>
      <c r="D56" s="21" t="n">
        <f aca="false">SUMPRODUCT(($B$34:$B$50=$A56)*D$34:D$50*$C$34:$C$50)</f>
        <v>15.538179441876</v>
      </c>
      <c r="E56" s="21" t="n">
        <f aca="false">SUMPRODUCT(($B$34:$B$50=$A56)*E$34:E$50*$C$34:$C$50)</f>
        <v>15.538179441876</v>
      </c>
      <c r="F56" s="21" t="n">
        <f aca="false">SUMPRODUCT(($B$34:$B$50=$A56)*F$34:F$50*$C$34:$C$50)</f>
        <v>15.538179441876</v>
      </c>
      <c r="G56" s="21" t="n">
        <f aca="false">SUMPRODUCT(($B$34:$B$50=$A56)*G$34:G$50*$C$34:$C$50)</f>
        <v>15.538179441876</v>
      </c>
      <c r="H56" s="21" t="n">
        <f aca="false">SUMPRODUCT(($B$34:$B$50=$A56)*H$34:H$50*$C$34:$C$50)</f>
        <v>15.538179441876</v>
      </c>
      <c r="I56" s="21" t="n">
        <f aca="false">SUMPRODUCT(($B$34:$B$50=$A56)*I$34:I$50*$C$34:$C$50)</f>
        <v>15.538179441876</v>
      </c>
      <c r="J56" s="21" t="n">
        <f aca="false">SUMPRODUCT(($B$34:$B$50=$A56)*J$34:J$50*$C$34:$C$50)</f>
        <v>15.538179441876</v>
      </c>
      <c r="K56" s="21" t="n">
        <f aca="false">SUMPRODUCT(($B$34:$B$50=$A56)*K$34:K$50*$C$34:$C$50)</f>
        <v>15.538179441876</v>
      </c>
      <c r="L56" s="21" t="n">
        <f aca="false">SUMPRODUCT(($B$34:$B$50=$A56)*L$34:L$50*$C$34:$C$50)</f>
        <v>15.538179441876</v>
      </c>
      <c r="M56" s="21" t="n">
        <f aca="false">SUMPRODUCT(($B$34:$B$50=$A56)*M$34:M$50*$C$34:$C$50)</f>
        <v>15.538179441876</v>
      </c>
      <c r="N56" s="21" t="n">
        <f aca="false">SUMPRODUCT(($B$34:$B$50=$A56)*N$34:N$50*$C$34:$C$50)</f>
        <v>15.538179441876</v>
      </c>
      <c r="O56" s="21" t="n">
        <f aca="false">SUMPRODUCT(($B$34:$B$50=$A56)*O$34:O$50*$C$34:$C$50)</f>
        <v>15.538179441876</v>
      </c>
      <c r="P56" s="21" t="n">
        <f aca="false">SUMPRODUCT(($B$34:$B$50=$A56)*P$34:P$50*$C$34:$C$50)</f>
        <v>186.458153302513</v>
      </c>
    </row>
    <row r="57" customFormat="false" ht="15" hidden="false" customHeight="false" outlineLevel="0" collapsed="false">
      <c r="A57" s="3" t="s">
        <v>152</v>
      </c>
      <c r="D57" s="21" t="n">
        <f aca="false">SUMPRODUCT(($B$34:$B$50=$A57)*D$34:D$50*$C$34:$C$50)</f>
        <v>10.2051048409147</v>
      </c>
      <c r="E57" s="21" t="n">
        <f aca="false">SUMPRODUCT(($B$34:$B$50=$A57)*E$34:E$50*$C$34:$C$50)</f>
        <v>10.2051048409147</v>
      </c>
      <c r="F57" s="21" t="n">
        <f aca="false">SUMPRODUCT(($B$34:$B$50=$A57)*F$34:F$50*$C$34:$C$50)</f>
        <v>10.2051048409147</v>
      </c>
      <c r="G57" s="21" t="n">
        <f aca="false">SUMPRODUCT(($B$34:$B$50=$A57)*G$34:G$50*$C$34:$C$50)</f>
        <v>10.2051048409147</v>
      </c>
      <c r="H57" s="21" t="n">
        <f aca="false">SUMPRODUCT(($B$34:$B$50=$A57)*H$34:H$50*$C$34:$C$50)</f>
        <v>10.2051048409147</v>
      </c>
      <c r="I57" s="21" t="n">
        <f aca="false">SUMPRODUCT(($B$34:$B$50=$A57)*I$34:I$50*$C$34:$C$50)</f>
        <v>10.2051048409147</v>
      </c>
      <c r="J57" s="21" t="n">
        <f aca="false">SUMPRODUCT(($B$34:$B$50=$A57)*J$34:J$50*$C$34:$C$50)</f>
        <v>10.2051048409147</v>
      </c>
      <c r="K57" s="21" t="n">
        <f aca="false">SUMPRODUCT(($B$34:$B$50=$A57)*K$34:K$50*$C$34:$C$50)</f>
        <v>10.2051048409147</v>
      </c>
      <c r="L57" s="21" t="n">
        <f aca="false">SUMPRODUCT(($B$34:$B$50=$A57)*L$34:L$50*$C$34:$C$50)</f>
        <v>10.2051048409147</v>
      </c>
      <c r="M57" s="21" t="n">
        <f aca="false">SUMPRODUCT(($B$34:$B$50=$A57)*M$34:M$50*$C$34:$C$50)</f>
        <v>10.2051048409147</v>
      </c>
      <c r="N57" s="21" t="n">
        <f aca="false">SUMPRODUCT(($B$34:$B$50=$A57)*N$34:N$50*$C$34:$C$50)</f>
        <v>10.2051048409147</v>
      </c>
      <c r="O57" s="21" t="n">
        <f aca="false">SUMPRODUCT(($B$34:$B$50=$A57)*O$34:O$50*$C$34:$C$50)</f>
        <v>10.2051048409147</v>
      </c>
      <c r="P57" s="21" t="n">
        <f aca="false">SUMPRODUCT(($B$34:$B$50=$A57)*P$34:P$50*$C$34:$C$50)</f>
        <v>122.461258090976</v>
      </c>
    </row>
    <row r="58" customFormat="false" ht="15" hidden="false" customHeight="false" outlineLevel="0" collapsed="false">
      <c r="A58" s="3" t="s">
        <v>155</v>
      </c>
      <c r="D58" s="21" t="n">
        <f aca="false">SUMPRODUCT(($B$34:$B$50=$A58)*D$34:D$50*$C$34:$C$50)</f>
        <v>8.13951615949177</v>
      </c>
      <c r="E58" s="21" t="n">
        <f aca="false">SUMPRODUCT(($B$34:$B$50=$A58)*E$34:E$50*$C$34:$C$50)</f>
        <v>8.13951615949177</v>
      </c>
      <c r="F58" s="21" t="n">
        <f aca="false">SUMPRODUCT(($B$34:$B$50=$A58)*F$34:F$50*$C$34:$C$50)</f>
        <v>8.13951615949177</v>
      </c>
      <c r="G58" s="21" t="n">
        <f aca="false">SUMPRODUCT(($B$34:$B$50=$A58)*G$34:G$50*$C$34:$C$50)</f>
        <v>8.13951615949177</v>
      </c>
      <c r="H58" s="21" t="n">
        <f aca="false">SUMPRODUCT(($B$34:$B$50=$A58)*H$34:H$50*$C$34:$C$50)</f>
        <v>8.13951615949177</v>
      </c>
      <c r="I58" s="21" t="n">
        <f aca="false">SUMPRODUCT(($B$34:$B$50=$A58)*I$34:I$50*$C$34:$C$50)</f>
        <v>8.13951615949177</v>
      </c>
      <c r="J58" s="21" t="n">
        <f aca="false">SUMPRODUCT(($B$34:$B$50=$A58)*J$34:J$50*$C$34:$C$50)</f>
        <v>8.13951615949177</v>
      </c>
      <c r="K58" s="21" t="n">
        <f aca="false">SUMPRODUCT(($B$34:$B$50=$A58)*K$34:K$50*$C$34:$C$50)</f>
        <v>8.13951615949177</v>
      </c>
      <c r="L58" s="21" t="n">
        <f aca="false">SUMPRODUCT(($B$34:$B$50=$A58)*L$34:L$50*$C$34:$C$50)</f>
        <v>8.13951615949177</v>
      </c>
      <c r="M58" s="21" t="n">
        <f aca="false">SUMPRODUCT(($B$34:$B$50=$A58)*M$34:M$50*$C$34:$C$50)</f>
        <v>8.13951615949177</v>
      </c>
      <c r="N58" s="21" t="n">
        <f aca="false">SUMPRODUCT(($B$34:$B$50=$A58)*N$34:N$50*$C$34:$C$50)</f>
        <v>8.13951615949177</v>
      </c>
      <c r="O58" s="21" t="n">
        <f aca="false">SUMPRODUCT(($B$34:$B$50=$A58)*O$34:O$50*$C$34:$C$50)</f>
        <v>8.13951615949177</v>
      </c>
      <c r="P58" s="21" t="n">
        <f aca="false">SUMPRODUCT(($B$34:$B$50=$A58)*P$34:P$50*$C$34:$C$50)</f>
        <v>97.6741939139012</v>
      </c>
    </row>
    <row r="59" customFormat="false" ht="15" hidden="false" customHeight="false" outlineLevel="0" collapsed="false">
      <c r="A59" s="3" t="s">
        <v>156</v>
      </c>
      <c r="D59" s="21" t="n">
        <f aca="false">SUMPRODUCT(($B$34:$B$50=$A59)*D$34:D$50*$C$34:$C$50)</f>
        <v>56.4756192372993</v>
      </c>
      <c r="E59" s="21" t="n">
        <f aca="false">SUMPRODUCT(($B$34:$B$50=$A59)*E$34:E$50*$C$34:$C$50)</f>
        <v>56.4756192372993</v>
      </c>
      <c r="F59" s="21" t="n">
        <f aca="false">SUMPRODUCT(($B$34:$B$50=$A59)*F$34:F$50*$C$34:$C$50)</f>
        <v>56.4756192372993</v>
      </c>
      <c r="G59" s="21" t="n">
        <f aca="false">SUMPRODUCT(($B$34:$B$50=$A59)*G$34:G$50*$C$34:$C$50)</f>
        <v>56.4756192372993</v>
      </c>
      <c r="H59" s="21" t="n">
        <f aca="false">SUMPRODUCT(($B$34:$B$50=$A59)*H$34:H$50*$C$34:$C$50)</f>
        <v>56.4756192372993</v>
      </c>
      <c r="I59" s="21" t="n">
        <f aca="false">SUMPRODUCT(($B$34:$B$50=$A59)*I$34:I$50*$C$34:$C$50)</f>
        <v>56.4756192372993</v>
      </c>
      <c r="J59" s="21" t="n">
        <f aca="false">SUMPRODUCT(($B$34:$B$50=$A59)*J$34:J$50*$C$34:$C$50)</f>
        <v>56.4756192372993</v>
      </c>
      <c r="K59" s="21" t="n">
        <f aca="false">SUMPRODUCT(($B$34:$B$50=$A59)*K$34:K$50*$C$34:$C$50)</f>
        <v>56.4756192372993</v>
      </c>
      <c r="L59" s="21" t="n">
        <f aca="false">SUMPRODUCT(($B$34:$B$50=$A59)*L$34:L$50*$C$34:$C$50)</f>
        <v>56.4756192372993</v>
      </c>
      <c r="M59" s="21" t="n">
        <f aca="false">SUMPRODUCT(($B$34:$B$50=$A59)*M$34:M$50*$C$34:$C$50)</f>
        <v>56.4756192372993</v>
      </c>
      <c r="N59" s="21" t="n">
        <f aca="false">SUMPRODUCT(($B$34:$B$50=$A59)*N$34:N$50*$C$34:$C$50)</f>
        <v>56.4756192372993</v>
      </c>
      <c r="O59" s="21" t="n">
        <f aca="false">SUMPRODUCT(($B$34:$B$50=$A59)*O$34:O$50*$C$34:$C$50)</f>
        <v>56.4756192372993</v>
      </c>
      <c r="P59" s="21" t="n">
        <f aca="false">SUMPRODUCT(($B$34:$B$50=$A59)*P$34:P$50*$C$34:$C$50)</f>
        <v>677.707430847592</v>
      </c>
    </row>
    <row r="60" customFormat="false" ht="15" hidden="false" customHeight="false" outlineLevel="0" collapsed="false">
      <c r="A60" s="3" t="s">
        <v>159</v>
      </c>
      <c r="D60" s="21" t="n">
        <f aca="false">SUMPRODUCT(($B$34:$B$50=$A60)*D$34:D$50*$C$34:$C$50)</f>
        <v>2.77534512656385</v>
      </c>
      <c r="E60" s="21" t="n">
        <f aca="false">SUMPRODUCT(($B$34:$B$50=$A60)*E$34:E$50*$C$34:$C$50)</f>
        <v>2.77534512656385</v>
      </c>
      <c r="F60" s="21" t="n">
        <f aca="false">SUMPRODUCT(($B$34:$B$50=$A60)*F$34:F$50*$C$34:$C$50)</f>
        <v>2.77534512656385</v>
      </c>
      <c r="G60" s="21" t="n">
        <f aca="false">SUMPRODUCT(($B$34:$B$50=$A60)*G$34:G$50*$C$34:$C$50)</f>
        <v>2.77534512656385</v>
      </c>
      <c r="H60" s="21" t="n">
        <f aca="false">SUMPRODUCT(($B$34:$B$50=$A60)*H$34:H$50*$C$34:$C$50)</f>
        <v>2.77534512656385</v>
      </c>
      <c r="I60" s="21" t="n">
        <f aca="false">SUMPRODUCT(($B$34:$B$50=$A60)*I$34:I$50*$C$34:$C$50)</f>
        <v>2.77534512656385</v>
      </c>
      <c r="J60" s="21" t="n">
        <f aca="false">SUMPRODUCT(($B$34:$B$50=$A60)*J$34:J$50*$C$34:$C$50)</f>
        <v>2.77534512656385</v>
      </c>
      <c r="K60" s="21" t="n">
        <f aca="false">SUMPRODUCT(($B$34:$B$50=$A60)*K$34:K$50*$C$34:$C$50)</f>
        <v>2.77534512656385</v>
      </c>
      <c r="L60" s="21" t="n">
        <f aca="false">SUMPRODUCT(($B$34:$B$50=$A60)*L$34:L$50*$C$34:$C$50)</f>
        <v>2.77534512656385</v>
      </c>
      <c r="M60" s="21" t="n">
        <f aca="false">SUMPRODUCT(($B$34:$B$50=$A60)*M$34:M$50*$C$34:$C$50)</f>
        <v>2.77534512656385</v>
      </c>
      <c r="N60" s="21" t="n">
        <f aca="false">SUMPRODUCT(($B$34:$B$50=$A60)*N$34:N$50*$C$34:$C$50)</f>
        <v>2.77534512656385</v>
      </c>
      <c r="O60" s="21" t="n">
        <f aca="false">SUMPRODUCT(($B$34:$B$50=$A60)*O$34:O$50*$C$34:$C$50)</f>
        <v>2.77534512656385</v>
      </c>
      <c r="P60" s="21" t="n">
        <f aca="false">SUMPRODUCT(($B$34:$B$50=$A60)*P$34:P$50*$C$34:$C$50)</f>
        <v>33.3041415187662</v>
      </c>
    </row>
    <row r="61" customFormat="false" ht="15" hidden="false" customHeight="false" outlineLevel="0" collapsed="false">
      <c r="A61" s="5" t="s">
        <v>308</v>
      </c>
      <c r="D61" s="22" t="n">
        <f aca="false">SUMPRODUCT(D$34:D$50*parametros_recargas!$D$51:$D$67)</f>
        <v>26.2204283079717</v>
      </c>
      <c r="E61" s="22" t="n">
        <f aca="false">SUMPRODUCT(E$34:E$50*parametros_recargas!$D$51:$D$67)</f>
        <v>26.2204283079717</v>
      </c>
      <c r="F61" s="22" t="n">
        <f aca="false">SUMPRODUCT(F$34:F$50*parametros_recargas!$D$51:$D$67)</f>
        <v>26.2204283079717</v>
      </c>
      <c r="G61" s="22" t="n">
        <f aca="false">SUMPRODUCT(G$34:G$50*parametros_recargas!$D$51:$D$67)</f>
        <v>26.2204283079717</v>
      </c>
      <c r="H61" s="22" t="n">
        <f aca="false">SUMPRODUCT(H$34:H$50*parametros_recargas!$D$51:$D$67)</f>
        <v>26.2204283079717</v>
      </c>
      <c r="I61" s="22" t="n">
        <f aca="false">SUMPRODUCT(I$34:I$50*parametros_recargas!$D$51:$D$67)</f>
        <v>26.2204283079717</v>
      </c>
      <c r="J61" s="22" t="n">
        <f aca="false">SUMPRODUCT(J$34:J$50*parametros_recargas!$D$51:$D$67)</f>
        <v>26.2204283079717</v>
      </c>
      <c r="K61" s="22" t="n">
        <f aca="false">SUMPRODUCT(K$34:K$50*parametros_recargas!$D$51:$D$67)</f>
        <v>26.2204283079717</v>
      </c>
      <c r="L61" s="22" t="n">
        <f aca="false">SUMPRODUCT(L$34:L$50*parametros_recargas!$D$51:$D$67)</f>
        <v>26.2204283079717</v>
      </c>
      <c r="M61" s="22" t="n">
        <f aca="false">SUMPRODUCT(M$34:M$50*parametros_recargas!$D$51:$D$67)</f>
        <v>26.2204283079717</v>
      </c>
      <c r="N61" s="22" t="n">
        <f aca="false">SUMPRODUCT(N$34:N$50*parametros_recargas!$D$51:$D$67)</f>
        <v>26.2204283079717</v>
      </c>
      <c r="O61" s="22" t="n">
        <f aca="false">SUMPRODUCT(O$34:O$50*parametros_recargas!$D$51:$D$67)</f>
        <v>26.2204283079717</v>
      </c>
      <c r="P61" s="22" t="n">
        <f aca="false">SUMPRODUCT(P$34:P$50*parametros_recargas!$D$51:$D$67)</f>
        <v>314.64513969566</v>
      </c>
    </row>
    <row r="65" customFormat="false" ht="23.85" hidden="false" customHeight="false" outlineLevel="0" collapsed="false">
      <c r="A65" s="23" t="n">
        <v>2028</v>
      </c>
      <c r="B65" s="2" t="s">
        <v>303</v>
      </c>
      <c r="C65" s="2" t="s">
        <v>304</v>
      </c>
      <c r="D65" s="2" t="s">
        <v>130</v>
      </c>
      <c r="E65" s="2" t="s">
        <v>131</v>
      </c>
      <c r="F65" s="2" t="s">
        <v>132</v>
      </c>
      <c r="G65" s="2" t="s">
        <v>133</v>
      </c>
      <c r="H65" s="2" t="s">
        <v>134</v>
      </c>
      <c r="I65" s="2" t="s">
        <v>135</v>
      </c>
      <c r="J65" s="2" t="s">
        <v>136</v>
      </c>
      <c r="K65" s="2" t="s">
        <v>137</v>
      </c>
      <c r="L65" s="2" t="s">
        <v>138</v>
      </c>
      <c r="M65" s="2" t="s">
        <v>139</v>
      </c>
      <c r="N65" s="2" t="s">
        <v>140</v>
      </c>
      <c r="O65" s="2" t="s">
        <v>141</v>
      </c>
      <c r="P65" s="2" t="s">
        <v>66</v>
      </c>
      <c r="Q65" s="2" t="s">
        <v>305</v>
      </c>
    </row>
    <row r="66" customFormat="false" ht="15" hidden="false" customHeight="false" outlineLevel="0" collapsed="false">
      <c r="A66" s="8" t="str">
        <f aca="false">parametros_recargas!A51</f>
        <v>ABC 1 kg</v>
      </c>
      <c r="B66" s="8" t="str">
        <f aca="false">parametros_recargas!B51</f>
        <v>ABC</v>
      </c>
      <c r="C66" s="11" t="n">
        <f aca="false">parametros_recargas!C51</f>
        <v>1</v>
      </c>
      <c r="D66" s="21" t="n">
        <f aca="false">datos_base!$D$2*parametros_recargas!$B$39+sobrestock_sustitutos!$D$88/12</f>
        <v>733.708174754384</v>
      </c>
      <c r="E66" s="21" t="n">
        <f aca="false">datos_base!$D$2*parametros_recargas!$C$39+sobrestock_sustitutos!$D$88/12</f>
        <v>733.708174754384</v>
      </c>
      <c r="F66" s="21" t="n">
        <f aca="false">datos_base!$D$2*parametros_recargas!$D$39+sobrestock_sustitutos!$D$88/12</f>
        <v>733.708174754384</v>
      </c>
      <c r="G66" s="21" t="n">
        <f aca="false">datos_base!$D$2*parametros_recargas!$E$39+sobrestock_sustitutos!$D$88/12</f>
        <v>733.708174754384</v>
      </c>
      <c r="H66" s="21" t="n">
        <f aca="false">datos_base!$D$2*parametros_recargas!$F$39+sobrestock_sustitutos!$D$88/12</f>
        <v>733.708174754384</v>
      </c>
      <c r="I66" s="21" t="n">
        <f aca="false">datos_base!$D$2*parametros_recargas!$G$39+sobrestock_sustitutos!$D$88/12</f>
        <v>733.708174754384</v>
      </c>
      <c r="J66" s="21" t="n">
        <f aca="false">datos_base!$D$2*parametros_recargas!$H$39+sobrestock_sustitutos!$D$88/12</f>
        <v>733.708174754384</v>
      </c>
      <c r="K66" s="21" t="n">
        <f aca="false">datos_base!$D$2*parametros_recargas!$I$39+sobrestock_sustitutos!$D$88/12</f>
        <v>733.708174754384</v>
      </c>
      <c r="L66" s="21" t="n">
        <f aca="false">datos_base!$D$2*parametros_recargas!$J$39+sobrestock_sustitutos!$D$88/12</f>
        <v>733.708174754384</v>
      </c>
      <c r="M66" s="21" t="n">
        <f aca="false">datos_base!$D$2*parametros_recargas!$K$39+sobrestock_sustitutos!$D$88/12</f>
        <v>733.708174754384</v>
      </c>
      <c r="N66" s="21" t="n">
        <f aca="false">datos_base!$D$2*parametros_recargas!$L$39+sobrestock_sustitutos!$D$88/12</f>
        <v>733.708174754384</v>
      </c>
      <c r="O66" s="21" t="n">
        <f aca="false">datos_base!$D$2*parametros_recargas!$M$39+sobrestock_sustitutos!$D$88/12</f>
        <v>733.708174754384</v>
      </c>
      <c r="P66" s="6" t="n">
        <f aca="false">SUM(D66:O66)</f>
        <v>8804.49809705261</v>
      </c>
      <c r="Q66" s="4" t="n">
        <f aca="false">sobrestock_sustitutos!$D$88</f>
        <v>0</v>
      </c>
    </row>
    <row r="67" customFormat="false" ht="15" hidden="false" customHeight="false" outlineLevel="0" collapsed="false">
      <c r="A67" s="8" t="str">
        <f aca="false">parametros_recargas!A52</f>
        <v>ABC 2,5 kg</v>
      </c>
      <c r="B67" s="8" t="str">
        <f aca="false">parametros_recargas!B52</f>
        <v>ABC</v>
      </c>
      <c r="C67" s="11" t="n">
        <f aca="false">parametros_recargas!C52</f>
        <v>1</v>
      </c>
      <c r="D67" s="21" t="n">
        <f aca="false">datos_base!$D$3*parametros_recargas!$B$39+sobrestock_sustitutos!$D$89/12</f>
        <v>71.2068129947512</v>
      </c>
      <c r="E67" s="21" t="n">
        <f aca="false">datos_base!$D$3*parametros_recargas!$C$39+sobrestock_sustitutos!$D$89/12</f>
        <v>71.2068129947512</v>
      </c>
      <c r="F67" s="21" t="n">
        <f aca="false">datos_base!$D$3*parametros_recargas!$D$39+sobrestock_sustitutos!$D$89/12</f>
        <v>71.2068129947512</v>
      </c>
      <c r="G67" s="21" t="n">
        <f aca="false">datos_base!$D$3*parametros_recargas!$E$39+sobrestock_sustitutos!$D$89/12</f>
        <v>71.2068129947512</v>
      </c>
      <c r="H67" s="21" t="n">
        <f aca="false">datos_base!$D$3*parametros_recargas!$F$39+sobrestock_sustitutos!$D$89/12</f>
        <v>71.2068129947512</v>
      </c>
      <c r="I67" s="21" t="n">
        <f aca="false">datos_base!$D$3*parametros_recargas!$G$39+sobrestock_sustitutos!$D$89/12</f>
        <v>71.2068129947512</v>
      </c>
      <c r="J67" s="21" t="n">
        <f aca="false">datos_base!$D$3*parametros_recargas!$H$39+sobrestock_sustitutos!$D$89/12</f>
        <v>71.2068129947512</v>
      </c>
      <c r="K67" s="21" t="n">
        <f aca="false">datos_base!$D$3*parametros_recargas!$I$39+sobrestock_sustitutos!$D$89/12</f>
        <v>71.2068129947512</v>
      </c>
      <c r="L67" s="21" t="n">
        <f aca="false">datos_base!$D$3*parametros_recargas!$J$39+sobrestock_sustitutos!$D$89/12</f>
        <v>71.2068129947512</v>
      </c>
      <c r="M67" s="21" t="n">
        <f aca="false">datos_base!$D$3*parametros_recargas!$K$39+sobrestock_sustitutos!$D$89/12</f>
        <v>71.2068129947512</v>
      </c>
      <c r="N67" s="21" t="n">
        <f aca="false">datos_base!$D$3*parametros_recargas!$L$39+sobrestock_sustitutos!$D$89/12</f>
        <v>71.2068129947512</v>
      </c>
      <c r="O67" s="21" t="n">
        <f aca="false">datos_base!$D$3*parametros_recargas!$M$39+sobrestock_sustitutos!$D$89/12</f>
        <v>71.2068129947512</v>
      </c>
      <c r="P67" s="6" t="n">
        <f aca="false">SUM(D67:O67)</f>
        <v>854.481755937015</v>
      </c>
      <c r="Q67" s="4" t="n">
        <f aca="false">sobrestock_sustitutos!$D$89</f>
        <v>5</v>
      </c>
    </row>
    <row r="68" customFormat="false" ht="15" hidden="false" customHeight="false" outlineLevel="0" collapsed="false">
      <c r="A68" s="8" t="str">
        <f aca="false">parametros_recargas!A53</f>
        <v>ABC 5 kg</v>
      </c>
      <c r="B68" s="8" t="str">
        <f aca="false">parametros_recargas!B53</f>
        <v>ABC</v>
      </c>
      <c r="C68" s="11" t="n">
        <f aca="false">parametros_recargas!C53</f>
        <v>1</v>
      </c>
      <c r="D68" s="21" t="n">
        <f aca="false">datos_base!$D$4*parametros_recargas!$B$39+sobrestock_sustitutos!$D$90/12</f>
        <v>429.387575569173</v>
      </c>
      <c r="E68" s="21" t="n">
        <f aca="false">datos_base!$D$4*parametros_recargas!$C$39+sobrestock_sustitutos!$D$90/12</f>
        <v>429.387575569173</v>
      </c>
      <c r="F68" s="21" t="n">
        <f aca="false">datos_base!$D$4*parametros_recargas!$D$39+sobrestock_sustitutos!$D$90/12</f>
        <v>429.387575569173</v>
      </c>
      <c r="G68" s="21" t="n">
        <f aca="false">datos_base!$D$4*parametros_recargas!$E$39+sobrestock_sustitutos!$D$90/12</f>
        <v>429.387575569173</v>
      </c>
      <c r="H68" s="21" t="n">
        <f aca="false">datos_base!$D$4*parametros_recargas!$F$39+sobrestock_sustitutos!$D$90/12</f>
        <v>429.387575569173</v>
      </c>
      <c r="I68" s="21" t="n">
        <f aca="false">datos_base!$D$4*parametros_recargas!$G$39+sobrestock_sustitutos!$D$90/12</f>
        <v>429.387575569173</v>
      </c>
      <c r="J68" s="21" t="n">
        <f aca="false">datos_base!$D$4*parametros_recargas!$H$39+sobrestock_sustitutos!$D$90/12</f>
        <v>429.387575569173</v>
      </c>
      <c r="K68" s="21" t="n">
        <f aca="false">datos_base!$D$4*parametros_recargas!$I$39+sobrestock_sustitutos!$D$90/12</f>
        <v>429.387575569173</v>
      </c>
      <c r="L68" s="21" t="n">
        <f aca="false">datos_base!$D$4*parametros_recargas!$J$39+sobrestock_sustitutos!$D$90/12</f>
        <v>429.387575569173</v>
      </c>
      <c r="M68" s="21" t="n">
        <f aca="false">datos_base!$D$4*parametros_recargas!$K$39+sobrestock_sustitutos!$D$90/12</f>
        <v>429.387575569173</v>
      </c>
      <c r="N68" s="21" t="n">
        <f aca="false">datos_base!$D$4*parametros_recargas!$L$39+sobrestock_sustitutos!$D$90/12</f>
        <v>429.387575569173</v>
      </c>
      <c r="O68" s="21" t="n">
        <f aca="false">datos_base!$D$4*parametros_recargas!$M$39+sobrestock_sustitutos!$D$90/12</f>
        <v>429.387575569173</v>
      </c>
      <c r="P68" s="6" t="n">
        <f aca="false">SUM(D68:O68)</f>
        <v>5152.65090683008</v>
      </c>
      <c r="Q68" s="4" t="n">
        <f aca="false">sobrestock_sustitutos!$D$90</f>
        <v>29</v>
      </c>
    </row>
    <row r="69" customFormat="false" ht="15" hidden="false" customHeight="false" outlineLevel="0" collapsed="false">
      <c r="A69" s="8" t="str">
        <f aca="false">parametros_recargas!A54</f>
        <v>ABC 10 kg</v>
      </c>
      <c r="B69" s="8" t="str">
        <f aca="false">parametros_recargas!B54</f>
        <v>ABC</v>
      </c>
      <c r="C69" s="11" t="n">
        <f aca="false">parametros_recargas!C54</f>
        <v>1</v>
      </c>
      <c r="D69" s="21" t="n">
        <f aca="false">datos_base!$D$5*parametros_recargas!$B$39+sobrestock_sustitutos!$D$91/12</f>
        <v>24.7862633858773</v>
      </c>
      <c r="E69" s="21" t="n">
        <f aca="false">datos_base!$D$5*parametros_recargas!$C$39+sobrestock_sustitutos!$D$91/12</f>
        <v>24.7862633858773</v>
      </c>
      <c r="F69" s="21" t="n">
        <f aca="false">datos_base!$D$5*parametros_recargas!$D$39+sobrestock_sustitutos!$D$91/12</f>
        <v>24.7862633858773</v>
      </c>
      <c r="G69" s="21" t="n">
        <f aca="false">datos_base!$D$5*parametros_recargas!$E$39+sobrestock_sustitutos!$D$91/12</f>
        <v>24.7862633858773</v>
      </c>
      <c r="H69" s="21" t="n">
        <f aca="false">datos_base!$D$5*parametros_recargas!$F$39+sobrestock_sustitutos!$D$91/12</f>
        <v>24.7862633858773</v>
      </c>
      <c r="I69" s="21" t="n">
        <f aca="false">datos_base!$D$5*parametros_recargas!$G$39+sobrestock_sustitutos!$D$91/12</f>
        <v>24.7862633858773</v>
      </c>
      <c r="J69" s="21" t="n">
        <f aca="false">datos_base!$D$5*parametros_recargas!$H$39+sobrestock_sustitutos!$D$91/12</f>
        <v>24.7862633858773</v>
      </c>
      <c r="K69" s="21" t="n">
        <f aca="false">datos_base!$D$5*parametros_recargas!$I$39+sobrestock_sustitutos!$D$91/12</f>
        <v>24.7862633858773</v>
      </c>
      <c r="L69" s="21" t="n">
        <f aca="false">datos_base!$D$5*parametros_recargas!$J$39+sobrestock_sustitutos!$D$91/12</f>
        <v>24.7862633858773</v>
      </c>
      <c r="M69" s="21" t="n">
        <f aca="false">datos_base!$D$5*parametros_recargas!$K$39+sobrestock_sustitutos!$D$91/12</f>
        <v>24.7862633858773</v>
      </c>
      <c r="N69" s="21" t="n">
        <f aca="false">datos_base!$D$5*parametros_recargas!$L$39+sobrestock_sustitutos!$D$91/12</f>
        <v>24.7862633858773</v>
      </c>
      <c r="O69" s="21" t="n">
        <f aca="false">datos_base!$D$5*parametros_recargas!$M$39+sobrestock_sustitutos!$D$91/12</f>
        <v>24.7862633858773</v>
      </c>
      <c r="P69" s="6" t="n">
        <f aca="false">SUM(D69:O69)</f>
        <v>297.435160630528</v>
      </c>
      <c r="Q69" s="4" t="n">
        <f aca="false">sobrestock_sustitutos!$D$91</f>
        <v>2</v>
      </c>
    </row>
    <row r="70" customFormat="false" ht="15" hidden="false" customHeight="false" outlineLevel="0" collapsed="false">
      <c r="A70" s="8" t="str">
        <f aca="false">parametros_recargas!A55</f>
        <v>Agua 10 l</v>
      </c>
      <c r="B70" s="8" t="str">
        <f aca="false">parametros_recargas!B55</f>
        <v>Agua</v>
      </c>
      <c r="C70" s="11" t="n">
        <f aca="false">parametros_recargas!C55</f>
        <v>1</v>
      </c>
      <c r="D70" s="21" t="n">
        <f aca="false">datos_base!$D$6*parametros_recargas!$B$39+sobrestock_sustitutos!$D$92/12</f>
        <v>35.6637636921035</v>
      </c>
      <c r="E70" s="21" t="n">
        <f aca="false">datos_base!$D$6*parametros_recargas!$C$39+sobrestock_sustitutos!$D$92/12</f>
        <v>35.6637636921035</v>
      </c>
      <c r="F70" s="21" t="n">
        <f aca="false">datos_base!$D$6*parametros_recargas!$D$39+sobrestock_sustitutos!$D$92/12</f>
        <v>35.6637636921035</v>
      </c>
      <c r="G70" s="21" t="n">
        <f aca="false">datos_base!$D$6*parametros_recargas!$E$39+sobrestock_sustitutos!$D$92/12</f>
        <v>35.6637636921035</v>
      </c>
      <c r="H70" s="21" t="n">
        <f aca="false">datos_base!$D$6*parametros_recargas!$F$39+sobrestock_sustitutos!$D$92/12</f>
        <v>35.6637636921035</v>
      </c>
      <c r="I70" s="21" t="n">
        <f aca="false">datos_base!$D$6*parametros_recargas!$G$39+sobrestock_sustitutos!$D$92/12</f>
        <v>35.6637636921035</v>
      </c>
      <c r="J70" s="21" t="n">
        <f aca="false">datos_base!$D$6*parametros_recargas!$H$39+sobrestock_sustitutos!$D$92/12</f>
        <v>35.6637636921035</v>
      </c>
      <c r="K70" s="21" t="n">
        <f aca="false">datos_base!$D$6*parametros_recargas!$I$39+sobrestock_sustitutos!$D$92/12</f>
        <v>35.6637636921035</v>
      </c>
      <c r="L70" s="21" t="n">
        <f aca="false">datos_base!$D$6*parametros_recargas!$J$39+sobrestock_sustitutos!$D$92/12</f>
        <v>35.6637636921035</v>
      </c>
      <c r="M70" s="21" t="n">
        <f aca="false">datos_base!$D$6*parametros_recargas!$K$39+sobrestock_sustitutos!$D$92/12</f>
        <v>35.6637636921035</v>
      </c>
      <c r="N70" s="21" t="n">
        <f aca="false">datos_base!$D$6*parametros_recargas!$L$39+sobrestock_sustitutos!$D$92/12</f>
        <v>35.6637636921035</v>
      </c>
      <c r="O70" s="21" t="n">
        <f aca="false">datos_base!$D$6*parametros_recargas!$M$39+sobrestock_sustitutos!$D$92/12</f>
        <v>35.6637636921035</v>
      </c>
      <c r="P70" s="6" t="n">
        <f aca="false">SUM(D70:O70)</f>
        <v>427.965164305242</v>
      </c>
      <c r="Q70" s="4" t="n">
        <f aca="false">sobrestock_sustitutos!$D$92</f>
        <v>3</v>
      </c>
    </row>
    <row r="71" customFormat="false" ht="15" hidden="false" customHeight="false" outlineLevel="0" collapsed="false">
      <c r="A71" s="8" t="str">
        <f aca="false">parametros_recargas!A56</f>
        <v>AFFF 10 l</v>
      </c>
      <c r="B71" s="8" t="str">
        <f aca="false">parametros_recargas!B56</f>
        <v>AFFF</v>
      </c>
      <c r="C71" s="11" t="n">
        <f aca="false">parametros_recargas!C56</f>
        <v>1</v>
      </c>
      <c r="D71" s="21" t="n">
        <f aca="false">datos_base!$D$7*parametros_recargas!$B$39+sobrestock_sustitutos!$D$93/12</f>
        <v>7.68814790417617</v>
      </c>
      <c r="E71" s="21" t="n">
        <f aca="false">datos_base!$D$7*parametros_recargas!$C$39+sobrestock_sustitutos!$D$93/12</f>
        <v>7.68814790417617</v>
      </c>
      <c r="F71" s="21" t="n">
        <f aca="false">datos_base!$D$7*parametros_recargas!$D$39+sobrestock_sustitutos!$D$93/12</f>
        <v>7.68814790417617</v>
      </c>
      <c r="G71" s="21" t="n">
        <f aca="false">datos_base!$D$7*parametros_recargas!$E$39+sobrestock_sustitutos!$D$93/12</f>
        <v>7.68814790417617</v>
      </c>
      <c r="H71" s="21" t="n">
        <f aca="false">datos_base!$D$7*parametros_recargas!$F$39+sobrestock_sustitutos!$D$93/12</f>
        <v>7.68814790417617</v>
      </c>
      <c r="I71" s="21" t="n">
        <f aca="false">datos_base!$D$7*parametros_recargas!$G$39+sobrestock_sustitutos!$D$93/12</f>
        <v>7.68814790417617</v>
      </c>
      <c r="J71" s="21" t="n">
        <f aca="false">datos_base!$D$7*parametros_recargas!$H$39+sobrestock_sustitutos!$D$93/12</f>
        <v>7.68814790417617</v>
      </c>
      <c r="K71" s="21" t="n">
        <f aca="false">datos_base!$D$7*parametros_recargas!$I$39+sobrestock_sustitutos!$D$93/12</f>
        <v>7.68814790417617</v>
      </c>
      <c r="L71" s="21" t="n">
        <f aca="false">datos_base!$D$7*parametros_recargas!$J$39+sobrestock_sustitutos!$D$93/12</f>
        <v>7.68814790417617</v>
      </c>
      <c r="M71" s="21" t="n">
        <f aca="false">datos_base!$D$7*parametros_recargas!$K$39+sobrestock_sustitutos!$D$93/12</f>
        <v>7.68814790417617</v>
      </c>
      <c r="N71" s="21" t="n">
        <f aca="false">datos_base!$D$7*parametros_recargas!$L$39+sobrestock_sustitutos!$D$93/12</f>
        <v>7.68814790417617</v>
      </c>
      <c r="O71" s="21" t="n">
        <f aca="false">datos_base!$D$7*parametros_recargas!$M$39+sobrestock_sustitutos!$D$93/12</f>
        <v>7.68814790417617</v>
      </c>
      <c r="P71" s="6" t="n">
        <f aca="false">SUM(D71:O71)</f>
        <v>92.257774850114</v>
      </c>
      <c r="Q71" s="4" t="n">
        <f aca="false">sobrestock_sustitutos!$D$93</f>
        <v>1</v>
      </c>
    </row>
    <row r="72" customFormat="false" ht="15" hidden="false" customHeight="false" outlineLevel="0" collapsed="false">
      <c r="A72" s="8" t="str">
        <f aca="false">parametros_recargas!A57</f>
        <v>AFFF 50 l s/ruedas</v>
      </c>
      <c r="B72" s="8" t="str">
        <f aca="false">parametros_recargas!B57</f>
        <v>AFFF</v>
      </c>
      <c r="C72" s="11" t="n">
        <f aca="false">parametros_recargas!C57</f>
        <v>3</v>
      </c>
      <c r="D72" s="21" t="n">
        <f aca="false">datos_base!$D$8*parametros_recargas!$B$39+sobrestock_sustitutos!$D$94/12</f>
        <v>4.03370673277434</v>
      </c>
      <c r="E72" s="21" t="n">
        <f aca="false">datos_base!$D$8*parametros_recargas!$C$39+sobrestock_sustitutos!$D$94/12</f>
        <v>4.03370673277434</v>
      </c>
      <c r="F72" s="21" t="n">
        <f aca="false">datos_base!$D$8*parametros_recargas!$D$39+sobrestock_sustitutos!$D$94/12</f>
        <v>4.03370673277434</v>
      </c>
      <c r="G72" s="21" t="n">
        <f aca="false">datos_base!$D$8*parametros_recargas!$E$39+sobrestock_sustitutos!$D$94/12</f>
        <v>4.03370673277434</v>
      </c>
      <c r="H72" s="21" t="n">
        <f aca="false">datos_base!$D$8*parametros_recargas!$F$39+sobrestock_sustitutos!$D$94/12</f>
        <v>4.03370673277434</v>
      </c>
      <c r="I72" s="21" t="n">
        <f aca="false">datos_base!$D$8*parametros_recargas!$G$39+sobrestock_sustitutos!$D$94/12</f>
        <v>4.03370673277434</v>
      </c>
      <c r="J72" s="21" t="n">
        <f aca="false">datos_base!$D$8*parametros_recargas!$H$39+sobrestock_sustitutos!$D$94/12</f>
        <v>4.03370673277434</v>
      </c>
      <c r="K72" s="21" t="n">
        <f aca="false">datos_base!$D$8*parametros_recargas!$I$39+sobrestock_sustitutos!$D$94/12</f>
        <v>4.03370673277434</v>
      </c>
      <c r="L72" s="21" t="n">
        <f aca="false">datos_base!$D$8*parametros_recargas!$J$39+sobrestock_sustitutos!$D$94/12</f>
        <v>4.03370673277434</v>
      </c>
      <c r="M72" s="21" t="n">
        <f aca="false">datos_base!$D$8*parametros_recargas!$K$39+sobrestock_sustitutos!$D$94/12</f>
        <v>4.03370673277434</v>
      </c>
      <c r="N72" s="21" t="n">
        <f aca="false">datos_base!$D$8*parametros_recargas!$L$39+sobrestock_sustitutos!$D$94/12</f>
        <v>4.03370673277434</v>
      </c>
      <c r="O72" s="21" t="n">
        <f aca="false">datos_base!$D$8*parametros_recargas!$M$39+sobrestock_sustitutos!$D$94/12</f>
        <v>4.03370673277434</v>
      </c>
      <c r="P72" s="6" t="n">
        <f aca="false">SUM(D72:O72)</f>
        <v>48.4044807932921</v>
      </c>
      <c r="Q72" s="4" t="n">
        <f aca="false">sobrestock_sustitutos!$D$94</f>
        <v>1</v>
      </c>
    </row>
    <row r="73" customFormat="false" ht="15" hidden="false" customHeight="false" outlineLevel="0" collapsed="false">
      <c r="A73" s="8" t="str">
        <f aca="false">parametros_recargas!A58</f>
        <v>BC 5 kg</v>
      </c>
      <c r="B73" s="8" t="str">
        <f aca="false">parametros_recargas!B58</f>
        <v>BC</v>
      </c>
      <c r="C73" s="11" t="n">
        <f aca="false">parametros_recargas!C58</f>
        <v>1</v>
      </c>
      <c r="D73" s="21" t="n">
        <f aca="false">datos_base!$D$9*parametros_recargas!$B$39+sobrestock_sustitutos!$D$95/12</f>
        <v>2.21843746543893</v>
      </c>
      <c r="E73" s="21" t="n">
        <f aca="false">datos_base!$D$9*parametros_recargas!$C$39+sobrestock_sustitutos!$D$95/12</f>
        <v>2.21843746543893</v>
      </c>
      <c r="F73" s="21" t="n">
        <f aca="false">datos_base!$D$9*parametros_recargas!$D$39+sobrestock_sustitutos!$D$95/12</f>
        <v>2.21843746543893</v>
      </c>
      <c r="G73" s="21" t="n">
        <f aca="false">datos_base!$D$9*parametros_recargas!$E$39+sobrestock_sustitutos!$D$95/12</f>
        <v>2.21843746543893</v>
      </c>
      <c r="H73" s="21" t="n">
        <f aca="false">datos_base!$D$9*parametros_recargas!$F$39+sobrestock_sustitutos!$D$95/12</f>
        <v>2.21843746543893</v>
      </c>
      <c r="I73" s="21" t="n">
        <f aca="false">datos_base!$D$9*parametros_recargas!$G$39+sobrestock_sustitutos!$D$95/12</f>
        <v>2.21843746543893</v>
      </c>
      <c r="J73" s="21" t="n">
        <f aca="false">datos_base!$D$9*parametros_recargas!$H$39+sobrestock_sustitutos!$D$95/12</f>
        <v>2.21843746543893</v>
      </c>
      <c r="K73" s="21" t="n">
        <f aca="false">datos_base!$D$9*parametros_recargas!$I$39+sobrestock_sustitutos!$D$95/12</f>
        <v>2.21843746543893</v>
      </c>
      <c r="L73" s="21" t="n">
        <f aca="false">datos_base!$D$9*parametros_recargas!$J$39+sobrestock_sustitutos!$D$95/12</f>
        <v>2.21843746543893</v>
      </c>
      <c r="M73" s="21" t="n">
        <f aca="false">datos_base!$D$9*parametros_recargas!$K$39+sobrestock_sustitutos!$D$95/12</f>
        <v>2.21843746543893</v>
      </c>
      <c r="N73" s="21" t="n">
        <f aca="false">datos_base!$D$9*parametros_recargas!$L$39+sobrestock_sustitutos!$D$95/12</f>
        <v>2.21843746543893</v>
      </c>
      <c r="O73" s="21" t="n">
        <f aca="false">datos_base!$D$9*parametros_recargas!$M$39+sobrestock_sustitutos!$D$95/12</f>
        <v>2.21843746543893</v>
      </c>
      <c r="P73" s="6" t="n">
        <f aca="false">SUM(D73:O73)</f>
        <v>26.6212495852672</v>
      </c>
      <c r="Q73" s="4" t="n">
        <f aca="false">sobrestock_sustitutos!$D$95</f>
        <v>1</v>
      </c>
    </row>
    <row r="74" customFormat="false" ht="15" hidden="false" customHeight="false" outlineLevel="0" collapsed="false">
      <c r="A74" s="8" t="str">
        <f aca="false">parametros_recargas!A59</f>
        <v>Sales K 6 l</v>
      </c>
      <c r="B74" s="8" t="str">
        <f aca="false">parametros_recargas!B59</f>
        <v>Sales K</v>
      </c>
      <c r="C74" s="11" t="n">
        <f aca="false">parametros_recargas!C59</f>
        <v>1</v>
      </c>
      <c r="D74" s="21" t="n">
        <f aca="false">datos_base!$D$10*parametros_recargas!$B$39+sobrestock_sustitutos!$D$96/12</f>
        <v>18.0997416660449</v>
      </c>
      <c r="E74" s="21" t="n">
        <f aca="false">datos_base!$D$10*parametros_recargas!$C$39+sobrestock_sustitutos!$D$96/12</f>
        <v>18.0997416660449</v>
      </c>
      <c r="F74" s="21" t="n">
        <f aca="false">datos_base!$D$10*parametros_recargas!$D$39+sobrestock_sustitutos!$D$96/12</f>
        <v>18.0997416660449</v>
      </c>
      <c r="G74" s="21" t="n">
        <f aca="false">datos_base!$D$10*parametros_recargas!$E$39+sobrestock_sustitutos!$D$96/12</f>
        <v>18.0997416660449</v>
      </c>
      <c r="H74" s="21" t="n">
        <f aca="false">datos_base!$D$10*parametros_recargas!$F$39+sobrestock_sustitutos!$D$96/12</f>
        <v>18.0997416660449</v>
      </c>
      <c r="I74" s="21" t="n">
        <f aca="false">datos_base!$D$10*parametros_recargas!$G$39+sobrestock_sustitutos!$D$96/12</f>
        <v>18.0997416660449</v>
      </c>
      <c r="J74" s="21" t="n">
        <f aca="false">datos_base!$D$10*parametros_recargas!$H$39+sobrestock_sustitutos!$D$96/12</f>
        <v>18.0997416660449</v>
      </c>
      <c r="K74" s="21" t="n">
        <f aca="false">datos_base!$D$10*parametros_recargas!$I$39+sobrestock_sustitutos!$D$96/12</f>
        <v>18.0997416660449</v>
      </c>
      <c r="L74" s="21" t="n">
        <f aca="false">datos_base!$D$10*parametros_recargas!$J$39+sobrestock_sustitutos!$D$96/12</f>
        <v>18.0997416660449</v>
      </c>
      <c r="M74" s="21" t="n">
        <f aca="false">datos_base!$D$10*parametros_recargas!$K$39+sobrestock_sustitutos!$D$96/12</f>
        <v>18.0997416660449</v>
      </c>
      <c r="N74" s="21" t="n">
        <f aca="false">datos_base!$D$10*parametros_recargas!$L$39+sobrestock_sustitutos!$D$96/12</f>
        <v>18.0997416660449</v>
      </c>
      <c r="O74" s="21" t="n">
        <f aca="false">datos_base!$D$10*parametros_recargas!$M$39+sobrestock_sustitutos!$D$96/12</f>
        <v>18.0997416660449</v>
      </c>
      <c r="P74" s="6" t="n">
        <f aca="false">SUM(D74:O74)</f>
        <v>217.196899992539</v>
      </c>
      <c r="Q74" s="4" t="n">
        <f aca="false">sobrestock_sustitutos!$D$96</f>
        <v>2</v>
      </c>
    </row>
    <row r="75" customFormat="false" ht="15" hidden="false" customHeight="false" outlineLevel="0" collapsed="false">
      <c r="A75" s="8" t="str">
        <f aca="false">parametros_recargas!A60</f>
        <v>CO₂ 2 kg</v>
      </c>
      <c r="B75" s="8" t="str">
        <f aca="false">parametros_recargas!B60</f>
        <v>CO₂</v>
      </c>
      <c r="C75" s="11" t="n">
        <f aca="false">parametros_recargas!C60</f>
        <v>1</v>
      </c>
      <c r="D75" s="21" t="n">
        <f aca="false">datos_base!$D$11*parametros_recargas!$B$39+sobrestock_sustitutos!$D$97/12</f>
        <v>95.5860100762083</v>
      </c>
      <c r="E75" s="21" t="n">
        <f aca="false">datos_base!$D$11*parametros_recargas!$C$39+sobrestock_sustitutos!$D$97/12</f>
        <v>95.5860100762083</v>
      </c>
      <c r="F75" s="21" t="n">
        <f aca="false">datos_base!$D$11*parametros_recargas!$D$39+sobrestock_sustitutos!$D$97/12</f>
        <v>95.5860100762083</v>
      </c>
      <c r="G75" s="21" t="n">
        <f aca="false">datos_base!$D$11*parametros_recargas!$E$39+sobrestock_sustitutos!$D$97/12</f>
        <v>95.5860100762083</v>
      </c>
      <c r="H75" s="21" t="n">
        <f aca="false">datos_base!$D$11*parametros_recargas!$F$39+sobrestock_sustitutos!$D$97/12</f>
        <v>95.5860100762083</v>
      </c>
      <c r="I75" s="21" t="n">
        <f aca="false">datos_base!$D$11*parametros_recargas!$G$39+sobrestock_sustitutos!$D$97/12</f>
        <v>95.5860100762083</v>
      </c>
      <c r="J75" s="21" t="n">
        <f aca="false">datos_base!$D$11*parametros_recargas!$H$39+sobrestock_sustitutos!$D$97/12</f>
        <v>95.5860100762083</v>
      </c>
      <c r="K75" s="21" t="n">
        <f aca="false">datos_base!$D$11*parametros_recargas!$I$39+sobrestock_sustitutos!$D$97/12</f>
        <v>95.5860100762083</v>
      </c>
      <c r="L75" s="21" t="n">
        <f aca="false">datos_base!$D$11*parametros_recargas!$J$39+sobrestock_sustitutos!$D$97/12</f>
        <v>95.5860100762083</v>
      </c>
      <c r="M75" s="21" t="n">
        <f aca="false">datos_base!$D$11*parametros_recargas!$K$39+sobrestock_sustitutos!$D$97/12</f>
        <v>95.5860100762083</v>
      </c>
      <c r="N75" s="21" t="n">
        <f aca="false">datos_base!$D$11*parametros_recargas!$L$39+sobrestock_sustitutos!$D$97/12</f>
        <v>95.5860100762083</v>
      </c>
      <c r="O75" s="21" t="n">
        <f aca="false">datos_base!$D$11*parametros_recargas!$M$39+sobrestock_sustitutos!$D$97/12</f>
        <v>95.5860100762083</v>
      </c>
      <c r="P75" s="6" t="n">
        <f aca="false">SUM(D75:O75)</f>
        <v>1147.0321209145</v>
      </c>
      <c r="Q75" s="4" t="n">
        <f aca="false">sobrestock_sustitutos!$D$97</f>
        <v>7</v>
      </c>
    </row>
    <row r="76" customFormat="false" ht="15" hidden="false" customHeight="false" outlineLevel="0" collapsed="false">
      <c r="A76" s="8" t="str">
        <f aca="false">parametros_recargas!A61</f>
        <v>CO₂ 5 kg</v>
      </c>
      <c r="B76" s="8" t="str">
        <f aca="false">parametros_recargas!B61</f>
        <v>CO₂</v>
      </c>
      <c r="C76" s="11" t="n">
        <f aca="false">parametros_recargas!C61</f>
        <v>1</v>
      </c>
      <c r="D76" s="21" t="n">
        <f aca="false">datos_base!$D$12*parametros_recargas!$B$39+sobrestock_sustitutos!$D$98/12</f>
        <v>33.2921531964159</v>
      </c>
      <c r="E76" s="21" t="n">
        <f aca="false">datos_base!$D$12*parametros_recargas!$C$39+sobrestock_sustitutos!$D$98/12</f>
        <v>33.2921531964159</v>
      </c>
      <c r="F76" s="21" t="n">
        <f aca="false">datos_base!$D$12*parametros_recargas!$D$39+sobrestock_sustitutos!$D$98/12</f>
        <v>33.2921531964159</v>
      </c>
      <c r="G76" s="21" t="n">
        <f aca="false">datos_base!$D$12*parametros_recargas!$E$39+sobrestock_sustitutos!$D$98/12</f>
        <v>33.2921531964159</v>
      </c>
      <c r="H76" s="21" t="n">
        <f aca="false">datos_base!$D$12*parametros_recargas!$F$39+sobrestock_sustitutos!$D$98/12</f>
        <v>33.2921531964159</v>
      </c>
      <c r="I76" s="21" t="n">
        <f aca="false">datos_base!$D$12*parametros_recargas!$G$39+sobrestock_sustitutos!$D$98/12</f>
        <v>33.2921531964159</v>
      </c>
      <c r="J76" s="21" t="n">
        <f aca="false">datos_base!$D$12*parametros_recargas!$H$39+sobrestock_sustitutos!$D$98/12</f>
        <v>33.2921531964159</v>
      </c>
      <c r="K76" s="21" t="n">
        <f aca="false">datos_base!$D$12*parametros_recargas!$I$39+sobrestock_sustitutos!$D$98/12</f>
        <v>33.2921531964159</v>
      </c>
      <c r="L76" s="21" t="n">
        <f aca="false">datos_base!$D$12*parametros_recargas!$J$39+sobrestock_sustitutos!$D$98/12</f>
        <v>33.2921531964159</v>
      </c>
      <c r="M76" s="21" t="n">
        <f aca="false">datos_base!$D$12*parametros_recargas!$K$39+sobrestock_sustitutos!$D$98/12</f>
        <v>33.2921531964159</v>
      </c>
      <c r="N76" s="21" t="n">
        <f aca="false">datos_base!$D$12*parametros_recargas!$L$39+sobrestock_sustitutos!$D$98/12</f>
        <v>33.2921531964159</v>
      </c>
      <c r="O76" s="21" t="n">
        <f aca="false">datos_base!$D$12*parametros_recargas!$M$39+sobrestock_sustitutos!$D$98/12</f>
        <v>33.2921531964159</v>
      </c>
      <c r="P76" s="6" t="n">
        <f aca="false">SUM(D76:O76)</f>
        <v>399.505838356991</v>
      </c>
      <c r="Q76" s="4" t="n">
        <f aca="false">sobrestock_sustitutos!$D$98</f>
        <v>3</v>
      </c>
    </row>
    <row r="77" customFormat="false" ht="15" hidden="false" customHeight="false" outlineLevel="0" collapsed="false">
      <c r="A77" s="8" t="str">
        <f aca="false">parametros_recargas!A62</f>
        <v>HCFC/HFC 5 kg</v>
      </c>
      <c r="B77" s="8" t="str">
        <f aca="false">parametros_recargas!B62</f>
        <v>Halogenado</v>
      </c>
      <c r="C77" s="11" t="n">
        <f aca="false">parametros_recargas!C62</f>
        <v>1</v>
      </c>
      <c r="D77" s="21" t="n">
        <f aca="false">datos_base!$D$13*parametros_recargas!$B$39+sobrestock_sustitutos!$D$99/12</f>
        <v>5.62838017153281</v>
      </c>
      <c r="E77" s="21" t="n">
        <f aca="false">datos_base!$D$13*parametros_recargas!$C$39+sobrestock_sustitutos!$D$99/12</f>
        <v>5.62838017153281</v>
      </c>
      <c r="F77" s="21" t="n">
        <f aca="false">datos_base!$D$13*parametros_recargas!$D$39+sobrestock_sustitutos!$D$99/12</f>
        <v>5.62838017153281</v>
      </c>
      <c r="G77" s="21" t="n">
        <f aca="false">datos_base!$D$13*parametros_recargas!$E$39+sobrestock_sustitutos!$D$99/12</f>
        <v>5.62838017153281</v>
      </c>
      <c r="H77" s="21" t="n">
        <f aca="false">datos_base!$D$13*parametros_recargas!$F$39+sobrestock_sustitutos!$D$99/12</f>
        <v>5.62838017153281</v>
      </c>
      <c r="I77" s="21" t="n">
        <f aca="false">datos_base!$D$13*parametros_recargas!$G$39+sobrestock_sustitutos!$D$99/12</f>
        <v>5.62838017153281</v>
      </c>
      <c r="J77" s="21" t="n">
        <f aca="false">datos_base!$D$13*parametros_recargas!$H$39+sobrestock_sustitutos!$D$99/12</f>
        <v>5.62838017153281</v>
      </c>
      <c r="K77" s="21" t="n">
        <f aca="false">datos_base!$D$13*parametros_recargas!$I$39+sobrestock_sustitutos!$D$99/12</f>
        <v>5.62838017153281</v>
      </c>
      <c r="L77" s="21" t="n">
        <f aca="false">datos_base!$D$13*parametros_recargas!$J$39+sobrestock_sustitutos!$D$99/12</f>
        <v>5.62838017153281</v>
      </c>
      <c r="M77" s="21" t="n">
        <f aca="false">datos_base!$D$13*parametros_recargas!$K$39+sobrestock_sustitutos!$D$99/12</f>
        <v>5.62838017153281</v>
      </c>
      <c r="N77" s="21" t="n">
        <f aca="false">datos_base!$D$13*parametros_recargas!$L$39+sobrestock_sustitutos!$D$99/12</f>
        <v>5.62838017153281</v>
      </c>
      <c r="O77" s="21" t="n">
        <f aca="false">datos_base!$D$13*parametros_recargas!$M$39+sobrestock_sustitutos!$D$99/12</f>
        <v>5.62838017153281</v>
      </c>
      <c r="P77" s="6" t="n">
        <f aca="false">SUM(D77:O77)</f>
        <v>67.5405620583937</v>
      </c>
      <c r="Q77" s="4" t="n">
        <f aca="false">sobrestock_sustitutos!$D$99</f>
        <v>1</v>
      </c>
    </row>
    <row r="78" customFormat="false" ht="15" hidden="false" customHeight="false" outlineLevel="0" collapsed="false">
      <c r="A78" s="8" t="str">
        <f aca="false">parametros_recargas!A63</f>
        <v>Clase D 9 l</v>
      </c>
      <c r="B78" s="8" t="str">
        <f aca="false">parametros_recargas!B63</f>
        <v>Clase D</v>
      </c>
      <c r="C78" s="11" t="n">
        <f aca="false">parametros_recargas!C63</f>
        <v>1</v>
      </c>
      <c r="D78" s="21" t="n">
        <f aca="false">datos_base!$D$14*parametros_recargas!$B$39+sobrestock_sustitutos!$D$100/12</f>
        <v>2.21843746543893</v>
      </c>
      <c r="E78" s="21" t="n">
        <f aca="false">datos_base!$D$14*parametros_recargas!$C$39+sobrestock_sustitutos!$D$100/12</f>
        <v>2.21843746543893</v>
      </c>
      <c r="F78" s="21" t="n">
        <f aca="false">datos_base!$D$14*parametros_recargas!$D$39+sobrestock_sustitutos!$D$100/12</f>
        <v>2.21843746543893</v>
      </c>
      <c r="G78" s="21" t="n">
        <f aca="false">datos_base!$D$14*parametros_recargas!$E$39+sobrestock_sustitutos!$D$100/12</f>
        <v>2.21843746543893</v>
      </c>
      <c r="H78" s="21" t="n">
        <f aca="false">datos_base!$D$14*parametros_recargas!$F$39+sobrestock_sustitutos!$D$100/12</f>
        <v>2.21843746543893</v>
      </c>
      <c r="I78" s="21" t="n">
        <f aca="false">datos_base!$D$14*parametros_recargas!$G$39+sobrestock_sustitutos!$D$100/12</f>
        <v>2.21843746543893</v>
      </c>
      <c r="J78" s="21" t="n">
        <f aca="false">datos_base!$D$14*parametros_recargas!$H$39+sobrestock_sustitutos!$D$100/12</f>
        <v>2.21843746543893</v>
      </c>
      <c r="K78" s="21" t="n">
        <f aca="false">datos_base!$D$14*parametros_recargas!$I$39+sobrestock_sustitutos!$D$100/12</f>
        <v>2.21843746543893</v>
      </c>
      <c r="L78" s="21" t="n">
        <f aca="false">datos_base!$D$14*parametros_recargas!$J$39+sobrestock_sustitutos!$D$100/12</f>
        <v>2.21843746543893</v>
      </c>
      <c r="M78" s="21" t="n">
        <f aca="false">datos_base!$D$14*parametros_recargas!$K$39+sobrestock_sustitutos!$D$100/12</f>
        <v>2.21843746543893</v>
      </c>
      <c r="N78" s="21" t="n">
        <f aca="false">datos_base!$D$14*parametros_recargas!$L$39+sobrestock_sustitutos!$D$100/12</f>
        <v>2.21843746543893</v>
      </c>
      <c r="O78" s="21" t="n">
        <f aca="false">datos_base!$D$14*parametros_recargas!$M$39+sobrestock_sustitutos!$D$100/12</f>
        <v>2.21843746543893</v>
      </c>
      <c r="P78" s="6" t="n">
        <f aca="false">SUM(D78:O78)</f>
        <v>26.6212495852672</v>
      </c>
      <c r="Q78" s="4" t="n">
        <f aca="false">sobrestock_sustitutos!$D$100</f>
        <v>1</v>
      </c>
    </row>
    <row r="79" customFormat="false" ht="15" hidden="false" customHeight="false" outlineLevel="0" collapsed="false">
      <c r="A79" s="8" t="str">
        <f aca="false">parametros_recargas!A64</f>
        <v>ABC 25 kg s/ruedas</v>
      </c>
      <c r="B79" s="8" t="str">
        <f aca="false">parametros_recargas!B64</f>
        <v>ABC</v>
      </c>
      <c r="C79" s="11" t="n">
        <f aca="false">parametros_recargas!C64</f>
        <v>3</v>
      </c>
      <c r="D79" s="21" t="n">
        <f aca="false">datos_base!$D$15*parametros_recargas!$B$39+sobrestock_sustitutos!$D$101/12</f>
        <v>4.57188591469818</v>
      </c>
      <c r="E79" s="21" t="n">
        <f aca="false">datos_base!$D$15*parametros_recargas!$C$39+sobrestock_sustitutos!$D$101/12</f>
        <v>4.57188591469818</v>
      </c>
      <c r="F79" s="21" t="n">
        <f aca="false">datos_base!$D$15*parametros_recargas!$D$39+sobrestock_sustitutos!$D$101/12</f>
        <v>4.57188591469818</v>
      </c>
      <c r="G79" s="21" t="n">
        <f aca="false">datos_base!$D$15*parametros_recargas!$E$39+sobrestock_sustitutos!$D$101/12</f>
        <v>4.57188591469818</v>
      </c>
      <c r="H79" s="21" t="n">
        <f aca="false">datos_base!$D$15*parametros_recargas!$F$39+sobrestock_sustitutos!$D$101/12</f>
        <v>4.57188591469818</v>
      </c>
      <c r="I79" s="21" t="n">
        <f aca="false">datos_base!$D$15*parametros_recargas!$G$39+sobrestock_sustitutos!$D$101/12</f>
        <v>4.57188591469818</v>
      </c>
      <c r="J79" s="21" t="n">
        <f aca="false">datos_base!$D$15*parametros_recargas!$H$39+sobrestock_sustitutos!$D$101/12</f>
        <v>4.57188591469818</v>
      </c>
      <c r="K79" s="21" t="n">
        <f aca="false">datos_base!$D$15*parametros_recargas!$I$39+sobrestock_sustitutos!$D$101/12</f>
        <v>4.57188591469818</v>
      </c>
      <c r="L79" s="21" t="n">
        <f aca="false">datos_base!$D$15*parametros_recargas!$J$39+sobrestock_sustitutos!$D$101/12</f>
        <v>4.57188591469818</v>
      </c>
      <c r="M79" s="21" t="n">
        <f aca="false">datos_base!$D$15*parametros_recargas!$K$39+sobrestock_sustitutos!$D$101/12</f>
        <v>4.57188591469818</v>
      </c>
      <c r="N79" s="21" t="n">
        <f aca="false">datos_base!$D$15*parametros_recargas!$L$39+sobrestock_sustitutos!$D$101/12</f>
        <v>4.57188591469818</v>
      </c>
      <c r="O79" s="21" t="n">
        <f aca="false">datos_base!$D$15*parametros_recargas!$M$39+sobrestock_sustitutos!$D$101/12</f>
        <v>4.57188591469818</v>
      </c>
      <c r="P79" s="6" t="n">
        <f aca="false">SUM(D79:O79)</f>
        <v>54.8626309763781</v>
      </c>
      <c r="Q79" s="4" t="n">
        <f aca="false">sobrestock_sustitutos!$D$101</f>
        <v>1</v>
      </c>
    </row>
    <row r="80" customFormat="false" ht="15" hidden="false" customHeight="false" outlineLevel="0" collapsed="false">
      <c r="A80" s="8" t="str">
        <f aca="false">parametros_recargas!A65</f>
        <v>ABC 50 kg s/ruedas</v>
      </c>
      <c r="B80" s="8" t="str">
        <f aca="false">parametros_recargas!B65</f>
        <v>ABC</v>
      </c>
      <c r="C80" s="11" t="n">
        <f aca="false">parametros_recargas!C65</f>
        <v>3</v>
      </c>
      <c r="D80" s="21" t="n">
        <f aca="false">datos_base!$D$16*parametros_recargas!$B$39+sobrestock_sustitutos!$D$102/12</f>
        <v>9.95814902674781</v>
      </c>
      <c r="E80" s="21" t="n">
        <f aca="false">datos_base!$D$16*parametros_recargas!$C$39+sobrestock_sustitutos!$D$102/12</f>
        <v>9.95814902674781</v>
      </c>
      <c r="F80" s="21" t="n">
        <f aca="false">datos_base!$D$16*parametros_recargas!$D$39+sobrestock_sustitutos!$D$102/12</f>
        <v>9.95814902674781</v>
      </c>
      <c r="G80" s="21" t="n">
        <f aca="false">datos_base!$D$16*parametros_recargas!$E$39+sobrestock_sustitutos!$D$102/12</f>
        <v>9.95814902674781</v>
      </c>
      <c r="H80" s="21" t="n">
        <f aca="false">datos_base!$D$16*parametros_recargas!$F$39+sobrestock_sustitutos!$D$102/12</f>
        <v>9.95814902674781</v>
      </c>
      <c r="I80" s="21" t="n">
        <f aca="false">datos_base!$D$16*parametros_recargas!$G$39+sobrestock_sustitutos!$D$102/12</f>
        <v>9.95814902674781</v>
      </c>
      <c r="J80" s="21" t="n">
        <f aca="false">datos_base!$D$16*parametros_recargas!$H$39+sobrestock_sustitutos!$D$102/12</f>
        <v>9.95814902674781</v>
      </c>
      <c r="K80" s="21" t="n">
        <f aca="false">datos_base!$D$16*parametros_recargas!$I$39+sobrestock_sustitutos!$D$102/12</f>
        <v>9.95814902674781</v>
      </c>
      <c r="L80" s="21" t="n">
        <f aca="false">datos_base!$D$16*parametros_recargas!$J$39+sobrestock_sustitutos!$D$102/12</f>
        <v>9.95814902674781</v>
      </c>
      <c r="M80" s="21" t="n">
        <f aca="false">datos_base!$D$16*parametros_recargas!$K$39+sobrestock_sustitutos!$D$102/12</f>
        <v>9.95814902674781</v>
      </c>
      <c r="N80" s="21" t="n">
        <f aca="false">datos_base!$D$16*parametros_recargas!$L$39+sobrestock_sustitutos!$D$102/12</f>
        <v>9.95814902674781</v>
      </c>
      <c r="O80" s="21" t="n">
        <f aca="false">datos_base!$D$16*parametros_recargas!$M$39+sobrestock_sustitutos!$D$102/12</f>
        <v>9.95814902674781</v>
      </c>
      <c r="P80" s="6" t="n">
        <f aca="false">SUM(D80:O80)</f>
        <v>119.497788320974</v>
      </c>
      <c r="Q80" s="4" t="n">
        <f aca="false">sobrestock_sustitutos!$D$102</f>
        <v>1</v>
      </c>
    </row>
    <row r="81" customFormat="false" ht="15" hidden="false" customHeight="false" outlineLevel="0" collapsed="false">
      <c r="A81" s="8" t="str">
        <f aca="false">parametros_recargas!A66</f>
        <v>ABC 70 kg s/ruedas</v>
      </c>
      <c r="B81" s="8" t="str">
        <f aca="false">parametros_recargas!B66</f>
        <v>ABC</v>
      </c>
      <c r="C81" s="11" t="n">
        <f aca="false">parametros_recargas!C66</f>
        <v>3</v>
      </c>
      <c r="D81" s="21" t="n">
        <f aca="false">datos_base!$D$17*parametros_recargas!$B$39+sobrestock_sustitutos!$D$103/12</f>
        <v>2.2378385685453</v>
      </c>
      <c r="E81" s="21" t="n">
        <f aca="false">datos_base!$D$17*parametros_recargas!$C$39+sobrestock_sustitutos!$D$103/12</f>
        <v>2.2378385685453</v>
      </c>
      <c r="F81" s="21" t="n">
        <f aca="false">datos_base!$D$17*parametros_recargas!$D$39+sobrestock_sustitutos!$D$103/12</f>
        <v>2.2378385685453</v>
      </c>
      <c r="G81" s="21" t="n">
        <f aca="false">datos_base!$D$17*parametros_recargas!$E$39+sobrestock_sustitutos!$D$103/12</f>
        <v>2.2378385685453</v>
      </c>
      <c r="H81" s="21" t="n">
        <f aca="false">datos_base!$D$17*parametros_recargas!$F$39+sobrestock_sustitutos!$D$103/12</f>
        <v>2.2378385685453</v>
      </c>
      <c r="I81" s="21" t="n">
        <f aca="false">datos_base!$D$17*parametros_recargas!$G$39+sobrestock_sustitutos!$D$103/12</f>
        <v>2.2378385685453</v>
      </c>
      <c r="J81" s="21" t="n">
        <f aca="false">datos_base!$D$17*parametros_recargas!$H$39+sobrestock_sustitutos!$D$103/12</f>
        <v>2.2378385685453</v>
      </c>
      <c r="K81" s="21" t="n">
        <f aca="false">datos_base!$D$17*parametros_recargas!$I$39+sobrestock_sustitutos!$D$103/12</f>
        <v>2.2378385685453</v>
      </c>
      <c r="L81" s="21" t="n">
        <f aca="false">datos_base!$D$17*parametros_recargas!$J$39+sobrestock_sustitutos!$D$103/12</f>
        <v>2.2378385685453</v>
      </c>
      <c r="M81" s="21" t="n">
        <f aca="false">datos_base!$D$17*parametros_recargas!$K$39+sobrestock_sustitutos!$D$103/12</f>
        <v>2.2378385685453</v>
      </c>
      <c r="N81" s="21" t="n">
        <f aca="false">datos_base!$D$17*parametros_recargas!$L$39+sobrestock_sustitutos!$D$103/12</f>
        <v>2.2378385685453</v>
      </c>
      <c r="O81" s="21" t="n">
        <f aca="false">datos_base!$D$17*parametros_recargas!$M$39+sobrestock_sustitutos!$D$103/12</f>
        <v>2.2378385685453</v>
      </c>
      <c r="P81" s="6" t="n">
        <f aca="false">SUM(D81:O81)</f>
        <v>26.8540628225437</v>
      </c>
      <c r="Q81" s="4" t="n">
        <f aca="false">sobrestock_sustitutos!$D$103</f>
        <v>1</v>
      </c>
    </row>
    <row r="82" customFormat="false" ht="15" hidden="false" customHeight="false" outlineLevel="0" collapsed="false">
      <c r="A82" s="8" t="str">
        <f aca="false">parametros_recargas!A67</f>
        <v>ABC 100 kg s/ruedas</v>
      </c>
      <c r="B82" s="8" t="str">
        <f aca="false">parametros_recargas!B67</f>
        <v>ABC</v>
      </c>
      <c r="C82" s="11" t="n">
        <f aca="false">parametros_recargas!C67</f>
        <v>3</v>
      </c>
      <c r="D82" s="21" t="n">
        <f aca="false">datos_base!$D$18*parametros_recargas!$B$39+sobrestock_sustitutos!$D$104/12</f>
        <v>1.51967017282112</v>
      </c>
      <c r="E82" s="21" t="n">
        <f aca="false">datos_base!$D$18*parametros_recargas!$C$39+sobrestock_sustitutos!$D$104/12</f>
        <v>1.51967017282112</v>
      </c>
      <c r="F82" s="21" t="n">
        <f aca="false">datos_base!$D$18*parametros_recargas!$D$39+sobrestock_sustitutos!$D$104/12</f>
        <v>1.51967017282112</v>
      </c>
      <c r="G82" s="21" t="n">
        <f aca="false">datos_base!$D$18*parametros_recargas!$E$39+sobrestock_sustitutos!$D$104/12</f>
        <v>1.51967017282112</v>
      </c>
      <c r="H82" s="21" t="n">
        <f aca="false">datos_base!$D$18*parametros_recargas!$F$39+sobrestock_sustitutos!$D$104/12</f>
        <v>1.51967017282112</v>
      </c>
      <c r="I82" s="21" t="n">
        <f aca="false">datos_base!$D$18*parametros_recargas!$G$39+sobrestock_sustitutos!$D$104/12</f>
        <v>1.51967017282112</v>
      </c>
      <c r="J82" s="21" t="n">
        <f aca="false">datos_base!$D$18*parametros_recargas!$H$39+sobrestock_sustitutos!$D$104/12</f>
        <v>1.51967017282112</v>
      </c>
      <c r="K82" s="21" t="n">
        <f aca="false">datos_base!$D$18*parametros_recargas!$I$39+sobrestock_sustitutos!$D$104/12</f>
        <v>1.51967017282112</v>
      </c>
      <c r="L82" s="21" t="n">
        <f aca="false">datos_base!$D$18*parametros_recargas!$J$39+sobrestock_sustitutos!$D$104/12</f>
        <v>1.51967017282112</v>
      </c>
      <c r="M82" s="21" t="n">
        <f aca="false">datos_base!$D$18*parametros_recargas!$K$39+sobrestock_sustitutos!$D$104/12</f>
        <v>1.51967017282112</v>
      </c>
      <c r="N82" s="21" t="n">
        <f aca="false">datos_base!$D$18*parametros_recargas!$L$39+sobrestock_sustitutos!$D$104/12</f>
        <v>1.51967017282112</v>
      </c>
      <c r="O82" s="21" t="n">
        <f aca="false">datos_base!$D$18*parametros_recargas!$M$39+sobrestock_sustitutos!$D$104/12</f>
        <v>1.51967017282112</v>
      </c>
      <c r="P82" s="6" t="n">
        <f aca="false">SUM(D82:O82)</f>
        <v>18.2360420738534</v>
      </c>
      <c r="Q82" s="4" t="n">
        <f aca="false">sobrestock_sustitutos!$D$104</f>
        <v>1</v>
      </c>
    </row>
    <row r="83" customFormat="false" ht="15" hidden="false" customHeight="false" outlineLevel="0" collapsed="false">
      <c r="A83" s="5" t="s">
        <v>306</v>
      </c>
      <c r="D83" s="6" t="n">
        <f aca="false">SUM(D66:D82)</f>
        <v>1481.80514875713</v>
      </c>
      <c r="E83" s="6" t="n">
        <f aca="false">SUM(E66:E82)</f>
        <v>1481.80514875713</v>
      </c>
      <c r="F83" s="6" t="n">
        <f aca="false">SUM(F66:F82)</f>
        <v>1481.80514875713</v>
      </c>
      <c r="G83" s="6" t="n">
        <f aca="false">SUM(G66:G82)</f>
        <v>1481.80514875713</v>
      </c>
      <c r="H83" s="6" t="n">
        <f aca="false">SUM(H66:H82)</f>
        <v>1481.80514875713</v>
      </c>
      <c r="I83" s="6" t="n">
        <f aca="false">SUM(I66:I82)</f>
        <v>1481.80514875713</v>
      </c>
      <c r="J83" s="6" t="n">
        <f aca="false">SUM(J66:J82)</f>
        <v>1481.80514875713</v>
      </c>
      <c r="K83" s="6" t="n">
        <f aca="false">SUM(K66:K82)</f>
        <v>1481.80514875713</v>
      </c>
      <c r="L83" s="6" t="n">
        <f aca="false">SUM(L66:L82)</f>
        <v>1481.80514875713</v>
      </c>
      <c r="M83" s="6" t="n">
        <f aca="false">SUM(M66:M82)</f>
        <v>1481.80514875713</v>
      </c>
      <c r="N83" s="6" t="n">
        <f aca="false">SUM(N66:N82)</f>
        <v>1481.80514875713</v>
      </c>
      <c r="O83" s="6" t="n">
        <f aca="false">SUM(O66:O82)</f>
        <v>1481.80514875713</v>
      </c>
      <c r="P83" s="6" t="n">
        <f aca="false">SUM(P66:P82)</f>
        <v>17781.6617850856</v>
      </c>
    </row>
    <row r="84" customFormat="false" ht="15" hidden="false" customHeight="false" outlineLevel="0" collapsed="false">
      <c r="A84" s="5" t="s">
        <v>307</v>
      </c>
    </row>
    <row r="85" customFormat="false" ht="15" hidden="false" customHeight="false" outlineLevel="0" collapsed="false">
      <c r="A85" s="3" t="s">
        <v>148</v>
      </c>
      <c r="D85" s="21" t="n">
        <f aca="false">SUMPRODUCT(($B$66:$B$82=$A85)*D$66:D$82*$C$66:$C$82)</f>
        <v>1313.95145775262</v>
      </c>
      <c r="E85" s="21" t="n">
        <f aca="false">SUMPRODUCT(($B$66:$B$82=$A85)*E$66:E$82*$C$66:$C$82)</f>
        <v>1313.95145775262</v>
      </c>
      <c r="F85" s="21" t="n">
        <f aca="false">SUMPRODUCT(($B$66:$B$82=$A85)*F$66:F$82*$C$66:$C$82)</f>
        <v>1313.95145775262</v>
      </c>
      <c r="G85" s="21" t="n">
        <f aca="false">SUMPRODUCT(($B$66:$B$82=$A85)*G$66:G$82*$C$66:$C$82)</f>
        <v>1313.95145775262</v>
      </c>
      <c r="H85" s="21" t="n">
        <f aca="false">SUMPRODUCT(($B$66:$B$82=$A85)*H$66:H$82*$C$66:$C$82)</f>
        <v>1313.95145775262</v>
      </c>
      <c r="I85" s="21" t="n">
        <f aca="false">SUMPRODUCT(($B$66:$B$82=$A85)*I$66:I$82*$C$66:$C$82)</f>
        <v>1313.95145775262</v>
      </c>
      <c r="J85" s="21" t="n">
        <f aca="false">SUMPRODUCT(($B$66:$B$82=$A85)*J$66:J$82*$C$66:$C$82)</f>
        <v>1313.95145775262</v>
      </c>
      <c r="K85" s="21" t="n">
        <f aca="false">SUMPRODUCT(($B$66:$B$82=$A85)*K$66:K$82*$C$66:$C$82)</f>
        <v>1313.95145775262</v>
      </c>
      <c r="L85" s="21" t="n">
        <f aca="false">SUMPRODUCT(($B$66:$B$82=$A85)*L$66:L$82*$C$66:$C$82)</f>
        <v>1313.95145775262</v>
      </c>
      <c r="M85" s="21" t="n">
        <f aca="false">SUMPRODUCT(($B$66:$B$82=$A85)*M$66:M$82*$C$66:$C$82)</f>
        <v>1313.95145775262</v>
      </c>
      <c r="N85" s="21" t="n">
        <f aca="false">SUMPRODUCT(($B$66:$B$82=$A85)*N$66:N$82*$C$66:$C$82)</f>
        <v>1313.95145775262</v>
      </c>
      <c r="O85" s="21" t="n">
        <f aca="false">SUMPRODUCT(($B$66:$B$82=$A85)*O$66:O$82*$C$66:$C$82)</f>
        <v>1313.95145775262</v>
      </c>
      <c r="P85" s="21" t="n">
        <f aca="false">SUMPRODUCT(($B$66:$B$82=$A85)*P$66:P$82*$C$66:$C$82)</f>
        <v>15767.4174930315</v>
      </c>
    </row>
    <row r="86" customFormat="false" ht="15" hidden="false" customHeight="false" outlineLevel="0" collapsed="false">
      <c r="A86" s="3" t="s">
        <v>154</v>
      </c>
      <c r="D86" s="21" t="n">
        <f aca="false">SUMPRODUCT(($B$66:$B$82=$A86)*D$66:D$82*$C$66:$C$82)</f>
        <v>2.21843746543893</v>
      </c>
      <c r="E86" s="21" t="n">
        <f aca="false">SUMPRODUCT(($B$66:$B$82=$A86)*E$66:E$82*$C$66:$C$82)</f>
        <v>2.21843746543893</v>
      </c>
      <c r="F86" s="21" t="n">
        <f aca="false">SUMPRODUCT(($B$66:$B$82=$A86)*F$66:F$82*$C$66:$C$82)</f>
        <v>2.21843746543893</v>
      </c>
      <c r="G86" s="21" t="n">
        <f aca="false">SUMPRODUCT(($B$66:$B$82=$A86)*G$66:G$82*$C$66:$C$82)</f>
        <v>2.21843746543893</v>
      </c>
      <c r="H86" s="21" t="n">
        <f aca="false">SUMPRODUCT(($B$66:$B$82=$A86)*H$66:H$82*$C$66:$C$82)</f>
        <v>2.21843746543893</v>
      </c>
      <c r="I86" s="21" t="n">
        <f aca="false">SUMPRODUCT(($B$66:$B$82=$A86)*I$66:I$82*$C$66:$C$82)</f>
        <v>2.21843746543893</v>
      </c>
      <c r="J86" s="21" t="n">
        <f aca="false">SUMPRODUCT(($B$66:$B$82=$A86)*J$66:J$82*$C$66:$C$82)</f>
        <v>2.21843746543893</v>
      </c>
      <c r="K86" s="21" t="n">
        <f aca="false">SUMPRODUCT(($B$66:$B$82=$A86)*K$66:K$82*$C$66:$C$82)</f>
        <v>2.21843746543893</v>
      </c>
      <c r="L86" s="21" t="n">
        <f aca="false">SUMPRODUCT(($B$66:$B$82=$A86)*L$66:L$82*$C$66:$C$82)</f>
        <v>2.21843746543893</v>
      </c>
      <c r="M86" s="21" t="n">
        <f aca="false">SUMPRODUCT(($B$66:$B$82=$A86)*M$66:M$82*$C$66:$C$82)</f>
        <v>2.21843746543893</v>
      </c>
      <c r="N86" s="21" t="n">
        <f aca="false">SUMPRODUCT(($B$66:$B$82=$A86)*N$66:N$82*$C$66:$C$82)</f>
        <v>2.21843746543893</v>
      </c>
      <c r="O86" s="21" t="n">
        <f aca="false">SUMPRODUCT(($B$66:$B$82=$A86)*O$66:O$82*$C$66:$C$82)</f>
        <v>2.21843746543893</v>
      </c>
      <c r="P86" s="21" t="n">
        <f aca="false">SUMPRODUCT(($B$66:$B$82=$A86)*P$66:P$82*$C$66:$C$82)</f>
        <v>26.6212495852672</v>
      </c>
    </row>
    <row r="87" customFormat="false" ht="15" hidden="false" customHeight="false" outlineLevel="0" collapsed="false">
      <c r="A87" s="3" t="s">
        <v>160</v>
      </c>
      <c r="D87" s="21" t="n">
        <f aca="false">SUMPRODUCT(($B$66:$B$82=$A87)*D$66:D$82*$C$66:$C$82)</f>
        <v>2.21843746543893</v>
      </c>
      <c r="E87" s="21" t="n">
        <f aca="false">SUMPRODUCT(($B$66:$B$82=$A87)*E$66:E$82*$C$66:$C$82)</f>
        <v>2.21843746543893</v>
      </c>
      <c r="F87" s="21" t="n">
        <f aca="false">SUMPRODUCT(($B$66:$B$82=$A87)*F$66:F$82*$C$66:$C$82)</f>
        <v>2.21843746543893</v>
      </c>
      <c r="G87" s="21" t="n">
        <f aca="false">SUMPRODUCT(($B$66:$B$82=$A87)*G$66:G$82*$C$66:$C$82)</f>
        <v>2.21843746543893</v>
      </c>
      <c r="H87" s="21" t="n">
        <f aca="false">SUMPRODUCT(($B$66:$B$82=$A87)*H$66:H$82*$C$66:$C$82)</f>
        <v>2.21843746543893</v>
      </c>
      <c r="I87" s="21" t="n">
        <f aca="false">SUMPRODUCT(($B$66:$B$82=$A87)*I$66:I$82*$C$66:$C$82)</f>
        <v>2.21843746543893</v>
      </c>
      <c r="J87" s="21" t="n">
        <f aca="false">SUMPRODUCT(($B$66:$B$82=$A87)*J$66:J$82*$C$66:$C$82)</f>
        <v>2.21843746543893</v>
      </c>
      <c r="K87" s="21" t="n">
        <f aca="false">SUMPRODUCT(($B$66:$B$82=$A87)*K$66:K$82*$C$66:$C$82)</f>
        <v>2.21843746543893</v>
      </c>
      <c r="L87" s="21" t="n">
        <f aca="false">SUMPRODUCT(($B$66:$B$82=$A87)*L$66:L$82*$C$66:$C$82)</f>
        <v>2.21843746543893</v>
      </c>
      <c r="M87" s="21" t="n">
        <f aca="false">SUMPRODUCT(($B$66:$B$82=$A87)*M$66:M$82*$C$66:$C$82)</f>
        <v>2.21843746543893</v>
      </c>
      <c r="N87" s="21" t="n">
        <f aca="false">SUMPRODUCT(($B$66:$B$82=$A87)*N$66:N$82*$C$66:$C$82)</f>
        <v>2.21843746543893</v>
      </c>
      <c r="O87" s="21" t="n">
        <f aca="false">SUMPRODUCT(($B$66:$B$82=$A87)*O$66:O$82*$C$66:$C$82)</f>
        <v>2.21843746543893</v>
      </c>
      <c r="P87" s="21" t="n">
        <f aca="false">SUMPRODUCT(($B$66:$B$82=$A87)*P$66:P$82*$C$66:$C$82)</f>
        <v>26.6212495852672</v>
      </c>
    </row>
    <row r="88" customFormat="false" ht="15" hidden="false" customHeight="false" outlineLevel="0" collapsed="false">
      <c r="A88" s="3" t="s">
        <v>151</v>
      </c>
      <c r="D88" s="21" t="n">
        <f aca="false">SUMPRODUCT(($B$66:$B$82=$A88)*D$66:D$82*$C$66:$C$82)</f>
        <v>35.6637636921035</v>
      </c>
      <c r="E88" s="21" t="n">
        <f aca="false">SUMPRODUCT(($B$66:$B$82=$A88)*E$66:E$82*$C$66:$C$82)</f>
        <v>35.6637636921035</v>
      </c>
      <c r="F88" s="21" t="n">
        <f aca="false">SUMPRODUCT(($B$66:$B$82=$A88)*F$66:F$82*$C$66:$C$82)</f>
        <v>35.6637636921035</v>
      </c>
      <c r="G88" s="21" t="n">
        <f aca="false">SUMPRODUCT(($B$66:$B$82=$A88)*G$66:G$82*$C$66:$C$82)</f>
        <v>35.6637636921035</v>
      </c>
      <c r="H88" s="21" t="n">
        <f aca="false">SUMPRODUCT(($B$66:$B$82=$A88)*H$66:H$82*$C$66:$C$82)</f>
        <v>35.6637636921035</v>
      </c>
      <c r="I88" s="21" t="n">
        <f aca="false">SUMPRODUCT(($B$66:$B$82=$A88)*I$66:I$82*$C$66:$C$82)</f>
        <v>35.6637636921035</v>
      </c>
      <c r="J88" s="21" t="n">
        <f aca="false">SUMPRODUCT(($B$66:$B$82=$A88)*J$66:J$82*$C$66:$C$82)</f>
        <v>35.6637636921035</v>
      </c>
      <c r="K88" s="21" t="n">
        <f aca="false">SUMPRODUCT(($B$66:$B$82=$A88)*K$66:K$82*$C$66:$C$82)</f>
        <v>35.6637636921035</v>
      </c>
      <c r="L88" s="21" t="n">
        <f aca="false">SUMPRODUCT(($B$66:$B$82=$A88)*L$66:L$82*$C$66:$C$82)</f>
        <v>35.6637636921035</v>
      </c>
      <c r="M88" s="21" t="n">
        <f aca="false">SUMPRODUCT(($B$66:$B$82=$A88)*M$66:M$82*$C$66:$C$82)</f>
        <v>35.6637636921035</v>
      </c>
      <c r="N88" s="21" t="n">
        <f aca="false">SUMPRODUCT(($B$66:$B$82=$A88)*N$66:N$82*$C$66:$C$82)</f>
        <v>35.6637636921035</v>
      </c>
      <c r="O88" s="21" t="n">
        <f aca="false">SUMPRODUCT(($B$66:$B$82=$A88)*O$66:O$82*$C$66:$C$82)</f>
        <v>35.6637636921035</v>
      </c>
      <c r="P88" s="21" t="n">
        <f aca="false">SUMPRODUCT(($B$66:$B$82=$A88)*P$66:P$82*$C$66:$C$82)</f>
        <v>427.965164305242</v>
      </c>
    </row>
    <row r="89" customFormat="false" ht="15" hidden="false" customHeight="false" outlineLevel="0" collapsed="false">
      <c r="A89" s="3" t="s">
        <v>152</v>
      </c>
      <c r="D89" s="21" t="n">
        <f aca="false">SUMPRODUCT(($B$66:$B$82=$A89)*D$66:D$82*$C$66:$C$82)</f>
        <v>19.7892681024992</v>
      </c>
      <c r="E89" s="21" t="n">
        <f aca="false">SUMPRODUCT(($B$66:$B$82=$A89)*E$66:E$82*$C$66:$C$82)</f>
        <v>19.7892681024992</v>
      </c>
      <c r="F89" s="21" t="n">
        <f aca="false">SUMPRODUCT(($B$66:$B$82=$A89)*F$66:F$82*$C$66:$C$82)</f>
        <v>19.7892681024992</v>
      </c>
      <c r="G89" s="21" t="n">
        <f aca="false">SUMPRODUCT(($B$66:$B$82=$A89)*G$66:G$82*$C$66:$C$82)</f>
        <v>19.7892681024992</v>
      </c>
      <c r="H89" s="21" t="n">
        <f aca="false">SUMPRODUCT(($B$66:$B$82=$A89)*H$66:H$82*$C$66:$C$82)</f>
        <v>19.7892681024992</v>
      </c>
      <c r="I89" s="21" t="n">
        <f aca="false">SUMPRODUCT(($B$66:$B$82=$A89)*I$66:I$82*$C$66:$C$82)</f>
        <v>19.7892681024992</v>
      </c>
      <c r="J89" s="21" t="n">
        <f aca="false">SUMPRODUCT(($B$66:$B$82=$A89)*J$66:J$82*$C$66:$C$82)</f>
        <v>19.7892681024992</v>
      </c>
      <c r="K89" s="21" t="n">
        <f aca="false">SUMPRODUCT(($B$66:$B$82=$A89)*K$66:K$82*$C$66:$C$82)</f>
        <v>19.7892681024992</v>
      </c>
      <c r="L89" s="21" t="n">
        <f aca="false">SUMPRODUCT(($B$66:$B$82=$A89)*L$66:L$82*$C$66:$C$82)</f>
        <v>19.7892681024992</v>
      </c>
      <c r="M89" s="21" t="n">
        <f aca="false">SUMPRODUCT(($B$66:$B$82=$A89)*M$66:M$82*$C$66:$C$82)</f>
        <v>19.7892681024992</v>
      </c>
      <c r="N89" s="21" t="n">
        <f aca="false">SUMPRODUCT(($B$66:$B$82=$A89)*N$66:N$82*$C$66:$C$82)</f>
        <v>19.7892681024992</v>
      </c>
      <c r="O89" s="21" t="n">
        <f aca="false">SUMPRODUCT(($B$66:$B$82=$A89)*O$66:O$82*$C$66:$C$82)</f>
        <v>19.7892681024992</v>
      </c>
      <c r="P89" s="21" t="n">
        <f aca="false">SUMPRODUCT(($B$66:$B$82=$A89)*P$66:P$82*$C$66:$C$82)</f>
        <v>237.47121722999</v>
      </c>
    </row>
    <row r="90" customFormat="false" ht="15" hidden="false" customHeight="false" outlineLevel="0" collapsed="false">
      <c r="A90" s="3" t="s">
        <v>155</v>
      </c>
      <c r="D90" s="21" t="n">
        <f aca="false">SUMPRODUCT(($B$66:$B$82=$A90)*D$66:D$82*$C$66:$C$82)</f>
        <v>18.0997416660449</v>
      </c>
      <c r="E90" s="21" t="n">
        <f aca="false">SUMPRODUCT(($B$66:$B$82=$A90)*E$66:E$82*$C$66:$C$82)</f>
        <v>18.0997416660449</v>
      </c>
      <c r="F90" s="21" t="n">
        <f aca="false">SUMPRODUCT(($B$66:$B$82=$A90)*F$66:F$82*$C$66:$C$82)</f>
        <v>18.0997416660449</v>
      </c>
      <c r="G90" s="21" t="n">
        <f aca="false">SUMPRODUCT(($B$66:$B$82=$A90)*G$66:G$82*$C$66:$C$82)</f>
        <v>18.0997416660449</v>
      </c>
      <c r="H90" s="21" t="n">
        <f aca="false">SUMPRODUCT(($B$66:$B$82=$A90)*H$66:H$82*$C$66:$C$82)</f>
        <v>18.0997416660449</v>
      </c>
      <c r="I90" s="21" t="n">
        <f aca="false">SUMPRODUCT(($B$66:$B$82=$A90)*I$66:I$82*$C$66:$C$82)</f>
        <v>18.0997416660449</v>
      </c>
      <c r="J90" s="21" t="n">
        <f aca="false">SUMPRODUCT(($B$66:$B$82=$A90)*J$66:J$82*$C$66:$C$82)</f>
        <v>18.0997416660449</v>
      </c>
      <c r="K90" s="21" t="n">
        <f aca="false">SUMPRODUCT(($B$66:$B$82=$A90)*K$66:K$82*$C$66:$C$82)</f>
        <v>18.0997416660449</v>
      </c>
      <c r="L90" s="21" t="n">
        <f aca="false">SUMPRODUCT(($B$66:$B$82=$A90)*L$66:L$82*$C$66:$C$82)</f>
        <v>18.0997416660449</v>
      </c>
      <c r="M90" s="21" t="n">
        <f aca="false">SUMPRODUCT(($B$66:$B$82=$A90)*M$66:M$82*$C$66:$C$82)</f>
        <v>18.0997416660449</v>
      </c>
      <c r="N90" s="21" t="n">
        <f aca="false">SUMPRODUCT(($B$66:$B$82=$A90)*N$66:N$82*$C$66:$C$82)</f>
        <v>18.0997416660449</v>
      </c>
      <c r="O90" s="21" t="n">
        <f aca="false">SUMPRODUCT(($B$66:$B$82=$A90)*O$66:O$82*$C$66:$C$82)</f>
        <v>18.0997416660449</v>
      </c>
      <c r="P90" s="21" t="n">
        <f aca="false">SUMPRODUCT(($B$66:$B$82=$A90)*P$66:P$82*$C$66:$C$82)</f>
        <v>217.196899992539</v>
      </c>
    </row>
    <row r="91" customFormat="false" ht="15" hidden="false" customHeight="false" outlineLevel="0" collapsed="false">
      <c r="A91" s="3" t="s">
        <v>156</v>
      </c>
      <c r="D91" s="21" t="n">
        <f aca="false">SUMPRODUCT(($B$66:$B$82=$A91)*D$66:D$82*$C$66:$C$82)</f>
        <v>128.878163272624</v>
      </c>
      <c r="E91" s="21" t="n">
        <f aca="false">SUMPRODUCT(($B$66:$B$82=$A91)*E$66:E$82*$C$66:$C$82)</f>
        <v>128.878163272624</v>
      </c>
      <c r="F91" s="21" t="n">
        <f aca="false">SUMPRODUCT(($B$66:$B$82=$A91)*F$66:F$82*$C$66:$C$82)</f>
        <v>128.878163272624</v>
      </c>
      <c r="G91" s="21" t="n">
        <f aca="false">SUMPRODUCT(($B$66:$B$82=$A91)*G$66:G$82*$C$66:$C$82)</f>
        <v>128.878163272624</v>
      </c>
      <c r="H91" s="21" t="n">
        <f aca="false">SUMPRODUCT(($B$66:$B$82=$A91)*H$66:H$82*$C$66:$C$82)</f>
        <v>128.878163272624</v>
      </c>
      <c r="I91" s="21" t="n">
        <f aca="false">SUMPRODUCT(($B$66:$B$82=$A91)*I$66:I$82*$C$66:$C$82)</f>
        <v>128.878163272624</v>
      </c>
      <c r="J91" s="21" t="n">
        <f aca="false">SUMPRODUCT(($B$66:$B$82=$A91)*J$66:J$82*$C$66:$C$82)</f>
        <v>128.878163272624</v>
      </c>
      <c r="K91" s="21" t="n">
        <f aca="false">SUMPRODUCT(($B$66:$B$82=$A91)*K$66:K$82*$C$66:$C$82)</f>
        <v>128.878163272624</v>
      </c>
      <c r="L91" s="21" t="n">
        <f aca="false">SUMPRODUCT(($B$66:$B$82=$A91)*L$66:L$82*$C$66:$C$82)</f>
        <v>128.878163272624</v>
      </c>
      <c r="M91" s="21" t="n">
        <f aca="false">SUMPRODUCT(($B$66:$B$82=$A91)*M$66:M$82*$C$66:$C$82)</f>
        <v>128.878163272624</v>
      </c>
      <c r="N91" s="21" t="n">
        <f aca="false">SUMPRODUCT(($B$66:$B$82=$A91)*N$66:N$82*$C$66:$C$82)</f>
        <v>128.878163272624</v>
      </c>
      <c r="O91" s="21" t="n">
        <f aca="false">SUMPRODUCT(($B$66:$B$82=$A91)*O$66:O$82*$C$66:$C$82)</f>
        <v>128.878163272624</v>
      </c>
      <c r="P91" s="21" t="n">
        <f aca="false">SUMPRODUCT(($B$66:$B$82=$A91)*P$66:P$82*$C$66:$C$82)</f>
        <v>1546.53795927149</v>
      </c>
    </row>
    <row r="92" customFormat="false" ht="15" hidden="false" customHeight="false" outlineLevel="0" collapsed="false">
      <c r="A92" s="3" t="s">
        <v>159</v>
      </c>
      <c r="D92" s="21" t="n">
        <f aca="false">SUMPRODUCT(($B$66:$B$82=$A92)*D$66:D$82*$C$66:$C$82)</f>
        <v>5.62838017153281</v>
      </c>
      <c r="E92" s="21" t="n">
        <f aca="false">SUMPRODUCT(($B$66:$B$82=$A92)*E$66:E$82*$C$66:$C$82)</f>
        <v>5.62838017153281</v>
      </c>
      <c r="F92" s="21" t="n">
        <f aca="false">SUMPRODUCT(($B$66:$B$82=$A92)*F$66:F$82*$C$66:$C$82)</f>
        <v>5.62838017153281</v>
      </c>
      <c r="G92" s="21" t="n">
        <f aca="false">SUMPRODUCT(($B$66:$B$82=$A92)*G$66:G$82*$C$66:$C$82)</f>
        <v>5.62838017153281</v>
      </c>
      <c r="H92" s="21" t="n">
        <f aca="false">SUMPRODUCT(($B$66:$B$82=$A92)*H$66:H$82*$C$66:$C$82)</f>
        <v>5.62838017153281</v>
      </c>
      <c r="I92" s="21" t="n">
        <f aca="false">SUMPRODUCT(($B$66:$B$82=$A92)*I$66:I$82*$C$66:$C$82)</f>
        <v>5.62838017153281</v>
      </c>
      <c r="J92" s="21" t="n">
        <f aca="false">SUMPRODUCT(($B$66:$B$82=$A92)*J$66:J$82*$C$66:$C$82)</f>
        <v>5.62838017153281</v>
      </c>
      <c r="K92" s="21" t="n">
        <f aca="false">SUMPRODUCT(($B$66:$B$82=$A92)*K$66:K$82*$C$66:$C$82)</f>
        <v>5.62838017153281</v>
      </c>
      <c r="L92" s="21" t="n">
        <f aca="false">SUMPRODUCT(($B$66:$B$82=$A92)*L$66:L$82*$C$66:$C$82)</f>
        <v>5.62838017153281</v>
      </c>
      <c r="M92" s="21" t="n">
        <f aca="false">SUMPRODUCT(($B$66:$B$82=$A92)*M$66:M$82*$C$66:$C$82)</f>
        <v>5.62838017153281</v>
      </c>
      <c r="N92" s="21" t="n">
        <f aca="false">SUMPRODUCT(($B$66:$B$82=$A92)*N$66:N$82*$C$66:$C$82)</f>
        <v>5.62838017153281</v>
      </c>
      <c r="O92" s="21" t="n">
        <f aca="false">SUMPRODUCT(($B$66:$B$82=$A92)*O$66:O$82*$C$66:$C$82)</f>
        <v>5.62838017153281</v>
      </c>
      <c r="P92" s="21" t="n">
        <f aca="false">SUMPRODUCT(($B$66:$B$82=$A92)*P$66:P$82*$C$66:$C$82)</f>
        <v>67.5405620583937</v>
      </c>
    </row>
    <row r="93" customFormat="false" ht="15" hidden="false" customHeight="false" outlineLevel="0" collapsed="false">
      <c r="A93" s="5" t="s">
        <v>308</v>
      </c>
      <c r="D93" s="22" t="n">
        <f aca="false">SUMPRODUCT(D$66:D$82*parametros_recargas!$D$51:$D$67)</f>
        <v>55.6134036120026</v>
      </c>
      <c r="E93" s="22" t="n">
        <f aca="false">SUMPRODUCT(E$66:E$82*parametros_recargas!$D$51:$D$67)</f>
        <v>55.6134036120026</v>
      </c>
      <c r="F93" s="22" t="n">
        <f aca="false">SUMPRODUCT(F$66:F$82*parametros_recargas!$D$51:$D$67)</f>
        <v>55.6134036120026</v>
      </c>
      <c r="G93" s="22" t="n">
        <f aca="false">SUMPRODUCT(G$66:G$82*parametros_recargas!$D$51:$D$67)</f>
        <v>55.6134036120026</v>
      </c>
      <c r="H93" s="22" t="n">
        <f aca="false">SUMPRODUCT(H$66:H$82*parametros_recargas!$D$51:$D$67)</f>
        <v>55.6134036120026</v>
      </c>
      <c r="I93" s="22" t="n">
        <f aca="false">SUMPRODUCT(I$66:I$82*parametros_recargas!$D$51:$D$67)</f>
        <v>55.6134036120026</v>
      </c>
      <c r="J93" s="22" t="n">
        <f aca="false">SUMPRODUCT(J$66:J$82*parametros_recargas!$D$51:$D$67)</f>
        <v>55.6134036120026</v>
      </c>
      <c r="K93" s="22" t="n">
        <f aca="false">SUMPRODUCT(K$66:K$82*parametros_recargas!$D$51:$D$67)</f>
        <v>55.6134036120026</v>
      </c>
      <c r="L93" s="22" t="n">
        <f aca="false">SUMPRODUCT(L$66:L$82*parametros_recargas!$D$51:$D$67)</f>
        <v>55.6134036120026</v>
      </c>
      <c r="M93" s="22" t="n">
        <f aca="false">SUMPRODUCT(M$66:M$82*parametros_recargas!$D$51:$D$67)</f>
        <v>55.6134036120026</v>
      </c>
      <c r="N93" s="22" t="n">
        <f aca="false">SUMPRODUCT(N$66:N$82*parametros_recargas!$D$51:$D$67)</f>
        <v>55.6134036120026</v>
      </c>
      <c r="O93" s="22" t="n">
        <f aca="false">SUMPRODUCT(O$66:O$82*parametros_recargas!$D$51:$D$67)</f>
        <v>55.6134036120026</v>
      </c>
      <c r="P93" s="22" t="n">
        <f aca="false">SUMPRODUCT(P$66:P$82*parametros_recargas!$D$51:$D$67)</f>
        <v>667.360843344032</v>
      </c>
    </row>
    <row r="97" customFormat="false" ht="23.85" hidden="false" customHeight="false" outlineLevel="0" collapsed="false">
      <c r="A97" s="23" t="n">
        <v>2029</v>
      </c>
      <c r="B97" s="2" t="s">
        <v>303</v>
      </c>
      <c r="C97" s="2" t="s">
        <v>304</v>
      </c>
      <c r="D97" s="2" t="s">
        <v>130</v>
      </c>
      <c r="E97" s="2" t="s">
        <v>131</v>
      </c>
      <c r="F97" s="2" t="s">
        <v>132</v>
      </c>
      <c r="G97" s="2" t="s">
        <v>133</v>
      </c>
      <c r="H97" s="2" t="s">
        <v>134</v>
      </c>
      <c r="I97" s="2" t="s">
        <v>135</v>
      </c>
      <c r="J97" s="2" t="s">
        <v>136</v>
      </c>
      <c r="K97" s="2" t="s">
        <v>137</v>
      </c>
      <c r="L97" s="2" t="s">
        <v>138</v>
      </c>
      <c r="M97" s="2" t="s">
        <v>139</v>
      </c>
      <c r="N97" s="2" t="s">
        <v>140</v>
      </c>
      <c r="O97" s="2" t="s">
        <v>141</v>
      </c>
      <c r="P97" s="2" t="s">
        <v>66</v>
      </c>
      <c r="Q97" s="2" t="s">
        <v>305</v>
      </c>
    </row>
    <row r="98" customFormat="false" ht="15" hidden="false" customHeight="false" outlineLevel="0" collapsed="false">
      <c r="A98" s="8" t="str">
        <f aca="false">parametros_recargas!A51</f>
        <v>ABC 1 kg</v>
      </c>
      <c r="B98" s="8" t="str">
        <f aca="false">parametros_recargas!B51</f>
        <v>ABC</v>
      </c>
      <c r="C98" s="11" t="n">
        <f aca="false">parametros_recargas!C51</f>
        <v>1</v>
      </c>
      <c r="D98" s="21" t="n">
        <f aca="false">datos_base!$E$2*parametros_recargas!$B$40+sobrestock_sustitutos!$E$88/12</f>
        <v>1346.26410992595</v>
      </c>
      <c r="E98" s="21" t="n">
        <f aca="false">datos_base!$E$2*parametros_recargas!$C$40+sobrestock_sustitutos!$E$88/12</f>
        <v>1346.26410992595</v>
      </c>
      <c r="F98" s="21" t="n">
        <f aca="false">datos_base!$E$2*parametros_recargas!$D$40+sobrestock_sustitutos!$E$88/12</f>
        <v>1346.26410992595</v>
      </c>
      <c r="G98" s="21" t="n">
        <f aca="false">datos_base!$E$2*parametros_recargas!$E$40+sobrestock_sustitutos!$E$88/12</f>
        <v>1346.26410992595</v>
      </c>
      <c r="H98" s="21" t="n">
        <f aca="false">datos_base!$E$2*parametros_recargas!$F$40+sobrestock_sustitutos!$E$88/12</f>
        <v>1346.26410992595</v>
      </c>
      <c r="I98" s="21" t="n">
        <f aca="false">datos_base!$E$2*parametros_recargas!$G$40+sobrestock_sustitutos!$E$88/12</f>
        <v>1346.26410992595</v>
      </c>
      <c r="J98" s="21" t="n">
        <f aca="false">datos_base!$E$2*parametros_recargas!$H$40+sobrestock_sustitutos!$E$88/12</f>
        <v>1346.26410992595</v>
      </c>
      <c r="K98" s="21" t="n">
        <f aca="false">datos_base!$E$2*parametros_recargas!$I$40+sobrestock_sustitutos!$E$88/12</f>
        <v>1346.26410992595</v>
      </c>
      <c r="L98" s="21" t="n">
        <f aca="false">datos_base!$E$2*parametros_recargas!$J$40+sobrestock_sustitutos!$E$88/12</f>
        <v>1346.26410992595</v>
      </c>
      <c r="M98" s="21" t="n">
        <f aca="false">datos_base!$E$2*parametros_recargas!$K$40+sobrestock_sustitutos!$E$88/12</f>
        <v>1346.26410992595</v>
      </c>
      <c r="N98" s="21" t="n">
        <f aca="false">datos_base!$E$2*parametros_recargas!$L$40+sobrestock_sustitutos!$E$88/12</f>
        <v>1346.26410992595</v>
      </c>
      <c r="O98" s="21" t="n">
        <f aca="false">datos_base!$E$2*parametros_recargas!$M$40+sobrestock_sustitutos!$E$88/12</f>
        <v>1346.26410992595</v>
      </c>
      <c r="P98" s="6" t="n">
        <f aca="false">SUM(D98:O98)</f>
        <v>16155.1693191114</v>
      </c>
      <c r="Q98" s="4" t="n">
        <f aca="false">sobrestock_sustitutos!$E$88</f>
        <v>0</v>
      </c>
    </row>
    <row r="99" customFormat="false" ht="15" hidden="false" customHeight="false" outlineLevel="0" collapsed="false">
      <c r="A99" s="8" t="str">
        <f aca="false">parametros_recargas!A52</f>
        <v>ABC 2,5 kg</v>
      </c>
      <c r="B99" s="8" t="str">
        <f aca="false">parametros_recargas!B52</f>
        <v>ABC</v>
      </c>
      <c r="C99" s="11" t="n">
        <f aca="false">parametros_recargas!C52</f>
        <v>1</v>
      </c>
      <c r="D99" s="21" t="n">
        <f aca="false">datos_base!$E$3*parametros_recargas!$B$40+sobrestock_sustitutos!$E$89/12</f>
        <v>131.24864587903</v>
      </c>
      <c r="E99" s="21" t="n">
        <f aca="false">datos_base!$E$3*parametros_recargas!$C$40+sobrestock_sustitutos!$E$89/12</f>
        <v>131.24864587903</v>
      </c>
      <c r="F99" s="21" t="n">
        <f aca="false">datos_base!$E$3*parametros_recargas!$D$40+sobrestock_sustitutos!$E$89/12</f>
        <v>131.24864587903</v>
      </c>
      <c r="G99" s="21" t="n">
        <f aca="false">datos_base!$E$3*parametros_recargas!$E$40+sobrestock_sustitutos!$E$89/12</f>
        <v>131.24864587903</v>
      </c>
      <c r="H99" s="21" t="n">
        <f aca="false">datos_base!$E$3*parametros_recargas!$F$40+sobrestock_sustitutos!$E$89/12</f>
        <v>131.24864587903</v>
      </c>
      <c r="I99" s="21" t="n">
        <f aca="false">datos_base!$E$3*parametros_recargas!$G$40+sobrestock_sustitutos!$E$89/12</f>
        <v>131.24864587903</v>
      </c>
      <c r="J99" s="21" t="n">
        <f aca="false">datos_base!$E$3*parametros_recargas!$H$40+sobrestock_sustitutos!$E$89/12</f>
        <v>131.24864587903</v>
      </c>
      <c r="K99" s="21" t="n">
        <f aca="false">datos_base!$E$3*parametros_recargas!$I$40+sobrestock_sustitutos!$E$89/12</f>
        <v>131.24864587903</v>
      </c>
      <c r="L99" s="21" t="n">
        <f aca="false">datos_base!$E$3*parametros_recargas!$J$40+sobrestock_sustitutos!$E$89/12</f>
        <v>131.24864587903</v>
      </c>
      <c r="M99" s="21" t="n">
        <f aca="false">datos_base!$E$3*parametros_recargas!$K$40+sobrestock_sustitutos!$E$89/12</f>
        <v>131.24864587903</v>
      </c>
      <c r="N99" s="21" t="n">
        <f aca="false">datos_base!$E$3*parametros_recargas!$L$40+sobrestock_sustitutos!$E$89/12</f>
        <v>131.24864587903</v>
      </c>
      <c r="O99" s="21" t="n">
        <f aca="false">datos_base!$E$3*parametros_recargas!$M$40+sobrestock_sustitutos!$E$89/12</f>
        <v>131.24864587903</v>
      </c>
      <c r="P99" s="6" t="n">
        <f aca="false">SUM(D99:O99)</f>
        <v>1574.98375054836</v>
      </c>
      <c r="Q99" s="4" t="n">
        <f aca="false">sobrestock_sustitutos!$E$89</f>
        <v>11</v>
      </c>
    </row>
    <row r="100" customFormat="false" ht="15" hidden="false" customHeight="false" outlineLevel="0" collapsed="false">
      <c r="A100" s="8" t="str">
        <f aca="false">parametros_recargas!A53</f>
        <v>ABC 5 kg</v>
      </c>
      <c r="B100" s="8" t="str">
        <f aca="false">parametros_recargas!B53</f>
        <v>ABC</v>
      </c>
      <c r="C100" s="11" t="n">
        <f aca="false">parametros_recargas!C53</f>
        <v>1</v>
      </c>
      <c r="D100" s="21" t="n">
        <f aca="false">datos_base!$E$4*parametros_recargas!$B$40+sobrestock_sustitutos!$E$90/12</f>
        <v>812.612632212117</v>
      </c>
      <c r="E100" s="21" t="n">
        <f aca="false">datos_base!$E$4*parametros_recargas!$C$40+sobrestock_sustitutos!$E$90/12</f>
        <v>812.612632212117</v>
      </c>
      <c r="F100" s="21" t="n">
        <f aca="false">datos_base!$E$4*parametros_recargas!$D$40+sobrestock_sustitutos!$E$90/12</f>
        <v>812.612632212117</v>
      </c>
      <c r="G100" s="21" t="n">
        <f aca="false">datos_base!$E$4*parametros_recargas!$E$40+sobrestock_sustitutos!$E$90/12</f>
        <v>812.612632212117</v>
      </c>
      <c r="H100" s="21" t="n">
        <f aca="false">datos_base!$E$4*parametros_recargas!$F$40+sobrestock_sustitutos!$E$90/12</f>
        <v>812.612632212117</v>
      </c>
      <c r="I100" s="21" t="n">
        <f aca="false">datos_base!$E$4*parametros_recargas!$G$40+sobrestock_sustitutos!$E$90/12</f>
        <v>812.612632212117</v>
      </c>
      <c r="J100" s="21" t="n">
        <f aca="false">datos_base!$E$4*parametros_recargas!$H$40+sobrestock_sustitutos!$E$90/12</f>
        <v>812.612632212117</v>
      </c>
      <c r="K100" s="21" t="n">
        <f aca="false">datos_base!$E$4*parametros_recargas!$I$40+sobrestock_sustitutos!$E$90/12</f>
        <v>812.612632212117</v>
      </c>
      <c r="L100" s="21" t="n">
        <f aca="false">datos_base!$E$4*parametros_recargas!$J$40+sobrestock_sustitutos!$E$90/12</f>
        <v>812.612632212117</v>
      </c>
      <c r="M100" s="21" t="n">
        <f aca="false">datos_base!$E$4*parametros_recargas!$K$40+sobrestock_sustitutos!$E$90/12</f>
        <v>812.612632212117</v>
      </c>
      <c r="N100" s="21" t="n">
        <f aca="false">datos_base!$E$4*parametros_recargas!$L$40+sobrestock_sustitutos!$E$90/12</f>
        <v>812.612632212117</v>
      </c>
      <c r="O100" s="21" t="n">
        <f aca="false">datos_base!$E$4*parametros_recargas!$M$40+sobrestock_sustitutos!$E$90/12</f>
        <v>812.612632212117</v>
      </c>
      <c r="P100" s="6" t="n">
        <f aca="false">SUM(D100:O100)</f>
        <v>9751.3515865454</v>
      </c>
      <c r="Q100" s="4" t="n">
        <f aca="false">sobrestock_sustitutos!$E$90</f>
        <v>65</v>
      </c>
    </row>
    <row r="101" customFormat="false" ht="15" hidden="false" customHeight="false" outlineLevel="0" collapsed="false">
      <c r="A101" s="8" t="str">
        <f aca="false">parametros_recargas!A54</f>
        <v>ABC 10 kg</v>
      </c>
      <c r="B101" s="8" t="str">
        <f aca="false">parametros_recargas!B54</f>
        <v>ABC</v>
      </c>
      <c r="C101" s="11" t="n">
        <f aca="false">parametros_recargas!C54</f>
        <v>1</v>
      </c>
      <c r="D101" s="21" t="n">
        <f aca="false">datos_base!$E$5*parametros_recargas!$B$40+sobrestock_sustitutos!$E$91/12</f>
        <v>47.4218073308848</v>
      </c>
      <c r="E101" s="21" t="n">
        <f aca="false">datos_base!$E$5*parametros_recargas!$C$40+sobrestock_sustitutos!$E$91/12</f>
        <v>47.4218073308848</v>
      </c>
      <c r="F101" s="21" t="n">
        <f aca="false">datos_base!$E$5*parametros_recargas!$D$40+sobrestock_sustitutos!$E$91/12</f>
        <v>47.4218073308848</v>
      </c>
      <c r="G101" s="21" t="n">
        <f aca="false">datos_base!$E$5*parametros_recargas!$E$40+sobrestock_sustitutos!$E$91/12</f>
        <v>47.4218073308848</v>
      </c>
      <c r="H101" s="21" t="n">
        <f aca="false">datos_base!$E$5*parametros_recargas!$F$40+sobrestock_sustitutos!$E$91/12</f>
        <v>47.4218073308848</v>
      </c>
      <c r="I101" s="21" t="n">
        <f aca="false">datos_base!$E$5*parametros_recargas!$G$40+sobrestock_sustitutos!$E$91/12</f>
        <v>47.4218073308848</v>
      </c>
      <c r="J101" s="21" t="n">
        <f aca="false">datos_base!$E$5*parametros_recargas!$H$40+sobrestock_sustitutos!$E$91/12</f>
        <v>47.4218073308848</v>
      </c>
      <c r="K101" s="21" t="n">
        <f aca="false">datos_base!$E$5*parametros_recargas!$I$40+sobrestock_sustitutos!$E$91/12</f>
        <v>47.4218073308848</v>
      </c>
      <c r="L101" s="21" t="n">
        <f aca="false">datos_base!$E$5*parametros_recargas!$J$40+sobrestock_sustitutos!$E$91/12</f>
        <v>47.4218073308848</v>
      </c>
      <c r="M101" s="21" t="n">
        <f aca="false">datos_base!$E$5*parametros_recargas!$K$40+sobrestock_sustitutos!$E$91/12</f>
        <v>47.4218073308848</v>
      </c>
      <c r="N101" s="21" t="n">
        <f aca="false">datos_base!$E$5*parametros_recargas!$L$40+sobrestock_sustitutos!$E$91/12</f>
        <v>47.4218073308848</v>
      </c>
      <c r="O101" s="21" t="n">
        <f aca="false">datos_base!$E$5*parametros_recargas!$M$40+sobrestock_sustitutos!$E$91/12</f>
        <v>47.4218073308848</v>
      </c>
      <c r="P101" s="6" t="n">
        <f aca="false">SUM(D101:O101)</f>
        <v>569.061687970617</v>
      </c>
      <c r="Q101" s="4" t="n">
        <f aca="false">sobrestock_sustitutos!$E$91</f>
        <v>4</v>
      </c>
    </row>
    <row r="102" customFormat="false" ht="15" hidden="false" customHeight="false" outlineLevel="0" collapsed="false">
      <c r="A102" s="8" t="str">
        <f aca="false">parametros_recargas!A55</f>
        <v>Agua 10 l</v>
      </c>
      <c r="B102" s="8" t="str">
        <f aca="false">parametros_recargas!B55</f>
        <v>Agua</v>
      </c>
      <c r="C102" s="11" t="n">
        <f aca="false">parametros_recargas!C55</f>
        <v>1</v>
      </c>
      <c r="D102" s="21" t="n">
        <f aca="false">datos_base!$E$6*parametros_recargas!$B$40+sobrestock_sustitutos!$E$92/12</f>
        <v>66.9493523304553</v>
      </c>
      <c r="E102" s="21" t="n">
        <f aca="false">datos_base!$E$6*parametros_recargas!$C$40+sobrestock_sustitutos!$E$92/12</f>
        <v>66.9493523304553</v>
      </c>
      <c r="F102" s="21" t="n">
        <f aca="false">datos_base!$E$6*parametros_recargas!$D$40+sobrestock_sustitutos!$E$92/12</f>
        <v>66.9493523304553</v>
      </c>
      <c r="G102" s="21" t="n">
        <f aca="false">datos_base!$E$6*parametros_recargas!$E$40+sobrestock_sustitutos!$E$92/12</f>
        <v>66.9493523304553</v>
      </c>
      <c r="H102" s="21" t="n">
        <f aca="false">datos_base!$E$6*parametros_recargas!$F$40+sobrestock_sustitutos!$E$92/12</f>
        <v>66.9493523304553</v>
      </c>
      <c r="I102" s="21" t="n">
        <f aca="false">datos_base!$E$6*parametros_recargas!$G$40+sobrestock_sustitutos!$E$92/12</f>
        <v>66.9493523304553</v>
      </c>
      <c r="J102" s="21" t="n">
        <f aca="false">datos_base!$E$6*parametros_recargas!$H$40+sobrestock_sustitutos!$E$92/12</f>
        <v>66.9493523304553</v>
      </c>
      <c r="K102" s="21" t="n">
        <f aca="false">datos_base!$E$6*parametros_recargas!$I$40+sobrestock_sustitutos!$E$92/12</f>
        <v>66.9493523304553</v>
      </c>
      <c r="L102" s="21" t="n">
        <f aca="false">datos_base!$E$6*parametros_recargas!$J$40+sobrestock_sustitutos!$E$92/12</f>
        <v>66.9493523304553</v>
      </c>
      <c r="M102" s="21" t="n">
        <f aca="false">datos_base!$E$6*parametros_recargas!$K$40+sobrestock_sustitutos!$E$92/12</f>
        <v>66.9493523304553</v>
      </c>
      <c r="N102" s="21" t="n">
        <f aca="false">datos_base!$E$6*parametros_recargas!$L$40+sobrestock_sustitutos!$E$92/12</f>
        <v>66.9493523304553</v>
      </c>
      <c r="O102" s="21" t="n">
        <f aca="false">datos_base!$E$6*parametros_recargas!$M$40+sobrestock_sustitutos!$E$92/12</f>
        <v>66.9493523304553</v>
      </c>
      <c r="P102" s="6" t="n">
        <f aca="false">SUM(D102:O102)</f>
        <v>803.392227965464</v>
      </c>
      <c r="Q102" s="4" t="n">
        <f aca="false">sobrestock_sustitutos!$E$92</f>
        <v>6</v>
      </c>
    </row>
    <row r="103" customFormat="false" ht="15" hidden="false" customHeight="false" outlineLevel="0" collapsed="false">
      <c r="A103" s="8" t="str">
        <f aca="false">parametros_recargas!A56</f>
        <v>AFFF 10 l</v>
      </c>
      <c r="B103" s="8" t="str">
        <f aca="false">parametros_recargas!B56</f>
        <v>AFFF</v>
      </c>
      <c r="C103" s="11" t="n">
        <f aca="false">parametros_recargas!C56</f>
        <v>1</v>
      </c>
      <c r="D103" s="21" t="n">
        <f aca="false">datos_base!$E$7*parametros_recargas!$B$40+sobrestock_sustitutos!$E$93/12</f>
        <v>12.8345318573584</v>
      </c>
      <c r="E103" s="21" t="n">
        <f aca="false">datos_base!$E$7*parametros_recargas!$C$40+sobrestock_sustitutos!$E$93/12</f>
        <v>12.8345318573584</v>
      </c>
      <c r="F103" s="21" t="n">
        <f aca="false">datos_base!$E$7*parametros_recargas!$D$40+sobrestock_sustitutos!$E$93/12</f>
        <v>12.8345318573584</v>
      </c>
      <c r="G103" s="21" t="n">
        <f aca="false">datos_base!$E$7*parametros_recargas!$E$40+sobrestock_sustitutos!$E$93/12</f>
        <v>12.8345318573584</v>
      </c>
      <c r="H103" s="21" t="n">
        <f aca="false">datos_base!$E$7*parametros_recargas!$F$40+sobrestock_sustitutos!$E$93/12</f>
        <v>12.8345318573584</v>
      </c>
      <c r="I103" s="21" t="n">
        <f aca="false">datos_base!$E$7*parametros_recargas!$G$40+sobrestock_sustitutos!$E$93/12</f>
        <v>12.8345318573584</v>
      </c>
      <c r="J103" s="21" t="n">
        <f aca="false">datos_base!$E$7*parametros_recargas!$H$40+sobrestock_sustitutos!$E$93/12</f>
        <v>12.8345318573584</v>
      </c>
      <c r="K103" s="21" t="n">
        <f aca="false">datos_base!$E$7*parametros_recargas!$I$40+sobrestock_sustitutos!$E$93/12</f>
        <v>12.8345318573584</v>
      </c>
      <c r="L103" s="21" t="n">
        <f aca="false">datos_base!$E$7*parametros_recargas!$J$40+sobrestock_sustitutos!$E$93/12</f>
        <v>12.8345318573584</v>
      </c>
      <c r="M103" s="21" t="n">
        <f aca="false">datos_base!$E$7*parametros_recargas!$K$40+sobrestock_sustitutos!$E$93/12</f>
        <v>12.8345318573584</v>
      </c>
      <c r="N103" s="21" t="n">
        <f aca="false">datos_base!$E$7*parametros_recargas!$L$40+sobrestock_sustitutos!$E$93/12</f>
        <v>12.8345318573584</v>
      </c>
      <c r="O103" s="21" t="n">
        <f aca="false">datos_base!$E$7*parametros_recargas!$M$40+sobrestock_sustitutos!$E$93/12</f>
        <v>12.8345318573584</v>
      </c>
      <c r="P103" s="6" t="n">
        <f aca="false">SUM(D103:O103)</f>
        <v>154.0143822883</v>
      </c>
      <c r="Q103" s="4" t="n">
        <f aca="false">sobrestock_sustitutos!$E$93</f>
        <v>2</v>
      </c>
    </row>
    <row r="104" customFormat="false" ht="15" hidden="false" customHeight="false" outlineLevel="0" collapsed="false">
      <c r="A104" s="8" t="str">
        <f aca="false">parametros_recargas!A57</f>
        <v>AFFF 50 l s/ruedas</v>
      </c>
      <c r="B104" s="8" t="str">
        <f aca="false">parametros_recargas!B57</f>
        <v>AFFF</v>
      </c>
      <c r="C104" s="11" t="n">
        <f aca="false">parametros_recargas!C57</f>
        <v>3</v>
      </c>
      <c r="D104" s="21" t="n">
        <f aca="false">datos_base!$E$8*parametros_recargas!$B$40+sobrestock_sustitutos!$E$94/12</f>
        <v>6.8410657073474</v>
      </c>
      <c r="E104" s="21" t="n">
        <f aca="false">datos_base!$E$8*parametros_recargas!$C$40+sobrestock_sustitutos!$E$94/12</f>
        <v>6.8410657073474</v>
      </c>
      <c r="F104" s="21" t="n">
        <f aca="false">datos_base!$E$8*parametros_recargas!$D$40+sobrestock_sustitutos!$E$94/12</f>
        <v>6.8410657073474</v>
      </c>
      <c r="G104" s="21" t="n">
        <f aca="false">datos_base!$E$8*parametros_recargas!$E$40+sobrestock_sustitutos!$E$94/12</f>
        <v>6.8410657073474</v>
      </c>
      <c r="H104" s="21" t="n">
        <f aca="false">datos_base!$E$8*parametros_recargas!$F$40+sobrestock_sustitutos!$E$94/12</f>
        <v>6.8410657073474</v>
      </c>
      <c r="I104" s="21" t="n">
        <f aca="false">datos_base!$E$8*parametros_recargas!$G$40+sobrestock_sustitutos!$E$94/12</f>
        <v>6.8410657073474</v>
      </c>
      <c r="J104" s="21" t="n">
        <f aca="false">datos_base!$E$8*parametros_recargas!$H$40+sobrestock_sustitutos!$E$94/12</f>
        <v>6.8410657073474</v>
      </c>
      <c r="K104" s="21" t="n">
        <f aca="false">datos_base!$E$8*parametros_recargas!$I$40+sobrestock_sustitutos!$E$94/12</f>
        <v>6.8410657073474</v>
      </c>
      <c r="L104" s="21" t="n">
        <f aca="false">datos_base!$E$8*parametros_recargas!$J$40+sobrestock_sustitutos!$E$94/12</f>
        <v>6.8410657073474</v>
      </c>
      <c r="M104" s="21" t="n">
        <f aca="false">datos_base!$E$8*parametros_recargas!$K$40+sobrestock_sustitutos!$E$94/12</f>
        <v>6.8410657073474</v>
      </c>
      <c r="N104" s="21" t="n">
        <f aca="false">datos_base!$E$8*parametros_recargas!$L$40+sobrestock_sustitutos!$E$94/12</f>
        <v>6.8410657073474</v>
      </c>
      <c r="O104" s="21" t="n">
        <f aca="false">datos_base!$E$8*parametros_recargas!$M$40+sobrestock_sustitutos!$E$94/12</f>
        <v>6.8410657073474</v>
      </c>
      <c r="P104" s="6" t="n">
        <f aca="false">SUM(D104:O104)</f>
        <v>82.0927884881688</v>
      </c>
      <c r="Q104" s="4" t="n">
        <f aca="false">sobrestock_sustitutos!$E$94</f>
        <v>1</v>
      </c>
    </row>
    <row r="105" customFormat="false" ht="15" hidden="false" customHeight="false" outlineLevel="0" collapsed="false">
      <c r="A105" s="8" t="str">
        <f aca="false">parametros_recargas!A58</f>
        <v>BC 5 kg</v>
      </c>
      <c r="B105" s="8" t="str">
        <f aca="false">parametros_recargas!B58</f>
        <v>BC</v>
      </c>
      <c r="C105" s="11" t="n">
        <f aca="false">parametros_recargas!C58</f>
        <v>1</v>
      </c>
      <c r="D105" s="21" t="n">
        <f aca="false">datos_base!$E$9*parametros_recargas!$B$40+sobrestock_sustitutos!$E$95/12</f>
        <v>3.91453671869877</v>
      </c>
      <c r="E105" s="21" t="n">
        <f aca="false">datos_base!$E$9*parametros_recargas!$C$40+sobrestock_sustitutos!$E$95/12</f>
        <v>3.91453671869877</v>
      </c>
      <c r="F105" s="21" t="n">
        <f aca="false">datos_base!$E$9*parametros_recargas!$D$40+sobrestock_sustitutos!$E$95/12</f>
        <v>3.91453671869877</v>
      </c>
      <c r="G105" s="21" t="n">
        <f aca="false">datos_base!$E$9*parametros_recargas!$E$40+sobrestock_sustitutos!$E$95/12</f>
        <v>3.91453671869877</v>
      </c>
      <c r="H105" s="21" t="n">
        <f aca="false">datos_base!$E$9*parametros_recargas!$F$40+sobrestock_sustitutos!$E$95/12</f>
        <v>3.91453671869877</v>
      </c>
      <c r="I105" s="21" t="n">
        <f aca="false">datos_base!$E$9*parametros_recargas!$G$40+sobrestock_sustitutos!$E$95/12</f>
        <v>3.91453671869877</v>
      </c>
      <c r="J105" s="21" t="n">
        <f aca="false">datos_base!$E$9*parametros_recargas!$H$40+sobrestock_sustitutos!$E$95/12</f>
        <v>3.91453671869877</v>
      </c>
      <c r="K105" s="21" t="n">
        <f aca="false">datos_base!$E$9*parametros_recargas!$I$40+sobrestock_sustitutos!$E$95/12</f>
        <v>3.91453671869877</v>
      </c>
      <c r="L105" s="21" t="n">
        <f aca="false">datos_base!$E$9*parametros_recargas!$J$40+sobrestock_sustitutos!$E$95/12</f>
        <v>3.91453671869877</v>
      </c>
      <c r="M105" s="21" t="n">
        <f aca="false">datos_base!$E$9*parametros_recargas!$K$40+sobrestock_sustitutos!$E$95/12</f>
        <v>3.91453671869877</v>
      </c>
      <c r="N105" s="21" t="n">
        <f aca="false">datos_base!$E$9*parametros_recargas!$L$40+sobrestock_sustitutos!$E$95/12</f>
        <v>3.91453671869877</v>
      </c>
      <c r="O105" s="21" t="n">
        <f aca="false">datos_base!$E$9*parametros_recargas!$M$40+sobrestock_sustitutos!$E$95/12</f>
        <v>3.91453671869877</v>
      </c>
      <c r="P105" s="6" t="n">
        <f aca="false">SUM(D105:O105)</f>
        <v>46.9744406243852</v>
      </c>
      <c r="Q105" s="4" t="n">
        <f aca="false">sobrestock_sustitutos!$E$95</f>
        <v>1</v>
      </c>
    </row>
    <row r="106" customFormat="false" ht="15" hidden="false" customHeight="false" outlineLevel="0" collapsed="false">
      <c r="A106" s="8" t="str">
        <f aca="false">parametros_recargas!A59</f>
        <v>Sales K 6 l</v>
      </c>
      <c r="B106" s="8" t="str">
        <f aca="false">parametros_recargas!B59</f>
        <v>Sales K</v>
      </c>
      <c r="C106" s="11" t="n">
        <f aca="false">parametros_recargas!C59</f>
        <v>1</v>
      </c>
      <c r="D106" s="21" t="n">
        <f aca="false">datos_base!$E$10*parametros_recargas!$B$40+sobrestock_sustitutos!$E$96/12</f>
        <v>32.8903783617833</v>
      </c>
      <c r="E106" s="21" t="n">
        <f aca="false">datos_base!$E$10*parametros_recargas!$C$40+sobrestock_sustitutos!$E$96/12</f>
        <v>32.8903783617833</v>
      </c>
      <c r="F106" s="21" t="n">
        <f aca="false">datos_base!$E$10*parametros_recargas!$D$40+sobrestock_sustitutos!$E$96/12</f>
        <v>32.8903783617833</v>
      </c>
      <c r="G106" s="21" t="n">
        <f aca="false">datos_base!$E$10*parametros_recargas!$E$40+sobrestock_sustitutos!$E$96/12</f>
        <v>32.8903783617833</v>
      </c>
      <c r="H106" s="21" t="n">
        <f aca="false">datos_base!$E$10*parametros_recargas!$F$40+sobrestock_sustitutos!$E$96/12</f>
        <v>32.8903783617833</v>
      </c>
      <c r="I106" s="21" t="n">
        <f aca="false">datos_base!$E$10*parametros_recargas!$G$40+sobrestock_sustitutos!$E$96/12</f>
        <v>32.8903783617833</v>
      </c>
      <c r="J106" s="21" t="n">
        <f aca="false">datos_base!$E$10*parametros_recargas!$H$40+sobrestock_sustitutos!$E$96/12</f>
        <v>32.8903783617833</v>
      </c>
      <c r="K106" s="21" t="n">
        <f aca="false">datos_base!$E$10*parametros_recargas!$I$40+sobrestock_sustitutos!$E$96/12</f>
        <v>32.8903783617833</v>
      </c>
      <c r="L106" s="21" t="n">
        <f aca="false">datos_base!$E$10*parametros_recargas!$J$40+sobrestock_sustitutos!$E$96/12</f>
        <v>32.8903783617833</v>
      </c>
      <c r="M106" s="21" t="n">
        <f aca="false">datos_base!$E$10*parametros_recargas!$K$40+sobrestock_sustitutos!$E$96/12</f>
        <v>32.8903783617833</v>
      </c>
      <c r="N106" s="21" t="n">
        <f aca="false">datos_base!$E$10*parametros_recargas!$L$40+sobrestock_sustitutos!$E$96/12</f>
        <v>32.8903783617833</v>
      </c>
      <c r="O106" s="21" t="n">
        <f aca="false">datos_base!$E$10*parametros_recargas!$M$40+sobrestock_sustitutos!$E$96/12</f>
        <v>32.8903783617833</v>
      </c>
      <c r="P106" s="6" t="n">
        <f aca="false">SUM(D106:O106)</f>
        <v>394.6845403414</v>
      </c>
      <c r="Q106" s="4" t="n">
        <f aca="false">sobrestock_sustitutos!$E$96</f>
        <v>3</v>
      </c>
    </row>
    <row r="107" customFormat="false" ht="15" hidden="false" customHeight="false" outlineLevel="0" collapsed="false">
      <c r="A107" s="8" t="str">
        <f aca="false">parametros_recargas!A60</f>
        <v>CO₂ 2 kg</v>
      </c>
      <c r="B107" s="8" t="str">
        <f aca="false">parametros_recargas!B60</f>
        <v>CO₂</v>
      </c>
      <c r="C107" s="11" t="n">
        <f aca="false">parametros_recargas!C60</f>
        <v>1</v>
      </c>
      <c r="D107" s="21" t="n">
        <f aca="false">datos_base!$E$11*parametros_recargas!$B$40+sobrestock_sustitutos!$E$97/12</f>
        <v>182.869271224581</v>
      </c>
      <c r="E107" s="21" t="n">
        <f aca="false">datos_base!$E$11*parametros_recargas!$C$40+sobrestock_sustitutos!$E$97/12</f>
        <v>182.869271224581</v>
      </c>
      <c r="F107" s="21" t="n">
        <f aca="false">datos_base!$E$11*parametros_recargas!$D$40+sobrestock_sustitutos!$E$97/12</f>
        <v>182.869271224581</v>
      </c>
      <c r="G107" s="21" t="n">
        <f aca="false">datos_base!$E$11*parametros_recargas!$E$40+sobrestock_sustitutos!$E$97/12</f>
        <v>182.869271224581</v>
      </c>
      <c r="H107" s="21" t="n">
        <f aca="false">datos_base!$E$11*parametros_recargas!$F$40+sobrestock_sustitutos!$E$97/12</f>
        <v>182.869271224581</v>
      </c>
      <c r="I107" s="21" t="n">
        <f aca="false">datos_base!$E$11*parametros_recargas!$G$40+sobrestock_sustitutos!$E$97/12</f>
        <v>182.869271224581</v>
      </c>
      <c r="J107" s="21" t="n">
        <f aca="false">datos_base!$E$11*parametros_recargas!$H$40+sobrestock_sustitutos!$E$97/12</f>
        <v>182.869271224581</v>
      </c>
      <c r="K107" s="21" t="n">
        <f aca="false">datos_base!$E$11*parametros_recargas!$I$40+sobrestock_sustitutos!$E$97/12</f>
        <v>182.869271224581</v>
      </c>
      <c r="L107" s="21" t="n">
        <f aca="false">datos_base!$E$11*parametros_recargas!$J$40+sobrestock_sustitutos!$E$97/12</f>
        <v>182.869271224581</v>
      </c>
      <c r="M107" s="21" t="n">
        <f aca="false">datos_base!$E$11*parametros_recargas!$K$40+sobrestock_sustitutos!$E$97/12</f>
        <v>182.869271224581</v>
      </c>
      <c r="N107" s="21" t="n">
        <f aca="false">datos_base!$E$11*parametros_recargas!$L$40+sobrestock_sustitutos!$E$97/12</f>
        <v>182.869271224581</v>
      </c>
      <c r="O107" s="21" t="n">
        <f aca="false">datos_base!$E$11*parametros_recargas!$M$40+sobrestock_sustitutos!$E$97/12</f>
        <v>182.869271224581</v>
      </c>
      <c r="P107" s="6" t="n">
        <f aca="false">SUM(D107:O107)</f>
        <v>2194.43125469498</v>
      </c>
      <c r="Q107" s="4" t="n">
        <f aca="false">sobrestock_sustitutos!$E$97</f>
        <v>15</v>
      </c>
    </row>
    <row r="108" customFormat="false" ht="15" hidden="false" customHeight="false" outlineLevel="0" collapsed="false">
      <c r="A108" s="8" t="str">
        <f aca="false">parametros_recargas!A61</f>
        <v>CO₂ 5 kg</v>
      </c>
      <c r="B108" s="8" t="str">
        <f aca="false">parametros_recargas!B61</f>
        <v>CO₂</v>
      </c>
      <c r="C108" s="11" t="n">
        <f aca="false">parametros_recargas!C61</f>
        <v>1</v>
      </c>
      <c r="D108" s="21" t="n">
        <f aca="false">datos_base!$E$12*parametros_recargas!$B$40+sobrestock_sustitutos!$E$98/12</f>
        <v>59.5119782566863</v>
      </c>
      <c r="E108" s="21" t="n">
        <f aca="false">datos_base!$E$12*parametros_recargas!$C$40+sobrestock_sustitutos!$E$98/12</f>
        <v>59.5119782566863</v>
      </c>
      <c r="F108" s="21" t="n">
        <f aca="false">datos_base!$E$12*parametros_recargas!$D$40+sobrestock_sustitutos!$E$98/12</f>
        <v>59.5119782566863</v>
      </c>
      <c r="G108" s="21" t="n">
        <f aca="false">datos_base!$E$12*parametros_recargas!$E$40+sobrestock_sustitutos!$E$98/12</f>
        <v>59.5119782566863</v>
      </c>
      <c r="H108" s="21" t="n">
        <f aca="false">datos_base!$E$12*parametros_recargas!$F$40+sobrestock_sustitutos!$E$98/12</f>
        <v>59.5119782566863</v>
      </c>
      <c r="I108" s="21" t="n">
        <f aca="false">datos_base!$E$12*parametros_recargas!$G$40+sobrestock_sustitutos!$E$98/12</f>
        <v>59.5119782566863</v>
      </c>
      <c r="J108" s="21" t="n">
        <f aca="false">datos_base!$E$12*parametros_recargas!$H$40+sobrestock_sustitutos!$E$98/12</f>
        <v>59.5119782566863</v>
      </c>
      <c r="K108" s="21" t="n">
        <f aca="false">datos_base!$E$12*parametros_recargas!$I$40+sobrestock_sustitutos!$E$98/12</f>
        <v>59.5119782566863</v>
      </c>
      <c r="L108" s="21" t="n">
        <f aca="false">datos_base!$E$12*parametros_recargas!$J$40+sobrestock_sustitutos!$E$98/12</f>
        <v>59.5119782566863</v>
      </c>
      <c r="M108" s="21" t="n">
        <f aca="false">datos_base!$E$12*parametros_recargas!$K$40+sobrestock_sustitutos!$E$98/12</f>
        <v>59.5119782566863</v>
      </c>
      <c r="N108" s="21" t="n">
        <f aca="false">datos_base!$E$12*parametros_recargas!$L$40+sobrestock_sustitutos!$E$98/12</f>
        <v>59.5119782566863</v>
      </c>
      <c r="O108" s="21" t="n">
        <f aca="false">datos_base!$E$12*parametros_recargas!$M$40+sobrestock_sustitutos!$E$98/12</f>
        <v>59.5119782566863</v>
      </c>
      <c r="P108" s="6" t="n">
        <f aca="false">SUM(D108:O108)</f>
        <v>714.143739080236</v>
      </c>
      <c r="Q108" s="4" t="n">
        <f aca="false">sobrestock_sustitutos!$E$98</f>
        <v>5</v>
      </c>
    </row>
    <row r="109" customFormat="false" ht="15" hidden="false" customHeight="false" outlineLevel="0" collapsed="false">
      <c r="A109" s="8" t="str">
        <f aca="false">parametros_recargas!A62</f>
        <v>HCFC/HFC 5 kg</v>
      </c>
      <c r="B109" s="8" t="str">
        <f aca="false">parametros_recargas!B62</f>
        <v>Halogenado</v>
      </c>
      <c r="C109" s="11" t="n">
        <f aca="false">parametros_recargas!C62</f>
        <v>1</v>
      </c>
      <c r="D109" s="21" t="n">
        <f aca="false">datos_base!$E$13*parametros_recargas!$B$40+sobrestock_sustitutos!$E$99/12</f>
        <v>9.70839896436878</v>
      </c>
      <c r="E109" s="21" t="n">
        <f aca="false">datos_base!$E$13*parametros_recargas!$C$40+sobrestock_sustitutos!$E$99/12</f>
        <v>9.70839896436878</v>
      </c>
      <c r="F109" s="21" t="n">
        <f aca="false">datos_base!$E$13*parametros_recargas!$D$40+sobrestock_sustitutos!$E$99/12</f>
        <v>9.70839896436878</v>
      </c>
      <c r="G109" s="21" t="n">
        <f aca="false">datos_base!$E$13*parametros_recargas!$E$40+sobrestock_sustitutos!$E$99/12</f>
        <v>9.70839896436878</v>
      </c>
      <c r="H109" s="21" t="n">
        <f aca="false">datos_base!$E$13*parametros_recargas!$F$40+sobrestock_sustitutos!$E$99/12</f>
        <v>9.70839896436878</v>
      </c>
      <c r="I109" s="21" t="n">
        <f aca="false">datos_base!$E$13*parametros_recargas!$G$40+sobrestock_sustitutos!$E$99/12</f>
        <v>9.70839896436878</v>
      </c>
      <c r="J109" s="21" t="n">
        <f aca="false">datos_base!$E$13*parametros_recargas!$H$40+sobrestock_sustitutos!$E$99/12</f>
        <v>9.70839896436878</v>
      </c>
      <c r="K109" s="21" t="n">
        <f aca="false">datos_base!$E$13*parametros_recargas!$I$40+sobrestock_sustitutos!$E$99/12</f>
        <v>9.70839896436878</v>
      </c>
      <c r="L109" s="21" t="n">
        <f aca="false">datos_base!$E$13*parametros_recargas!$J$40+sobrestock_sustitutos!$E$99/12</f>
        <v>9.70839896436878</v>
      </c>
      <c r="M109" s="21" t="n">
        <f aca="false">datos_base!$E$13*parametros_recargas!$K$40+sobrestock_sustitutos!$E$99/12</f>
        <v>9.70839896436878</v>
      </c>
      <c r="N109" s="21" t="n">
        <f aca="false">datos_base!$E$13*parametros_recargas!$L$40+sobrestock_sustitutos!$E$99/12</f>
        <v>9.70839896436878</v>
      </c>
      <c r="O109" s="21" t="n">
        <f aca="false">datos_base!$E$13*parametros_recargas!$M$40+sobrestock_sustitutos!$E$99/12</f>
        <v>9.70839896436878</v>
      </c>
      <c r="P109" s="6" t="n">
        <f aca="false">SUM(D109:O109)</f>
        <v>116.500787572425</v>
      </c>
      <c r="Q109" s="4" t="n">
        <f aca="false">sobrestock_sustitutos!$E$99</f>
        <v>1</v>
      </c>
    </row>
    <row r="110" customFormat="false" ht="15" hidden="false" customHeight="false" outlineLevel="0" collapsed="false">
      <c r="A110" s="8" t="str">
        <f aca="false">parametros_recargas!A63</f>
        <v>Clase D 9 l</v>
      </c>
      <c r="B110" s="8" t="str">
        <f aca="false">parametros_recargas!B63</f>
        <v>Clase D</v>
      </c>
      <c r="C110" s="11" t="n">
        <f aca="false">parametros_recargas!C63</f>
        <v>1</v>
      </c>
      <c r="D110" s="21" t="n">
        <f aca="false">datos_base!$E$14*parametros_recargas!$B$40+sobrestock_sustitutos!$E$100/12</f>
        <v>3.64495610483988</v>
      </c>
      <c r="E110" s="21" t="n">
        <f aca="false">datos_base!$E$14*parametros_recargas!$C$40+sobrestock_sustitutos!$E$100/12</f>
        <v>3.64495610483988</v>
      </c>
      <c r="F110" s="21" t="n">
        <f aca="false">datos_base!$E$14*parametros_recargas!$D$40+sobrestock_sustitutos!$E$100/12</f>
        <v>3.64495610483988</v>
      </c>
      <c r="G110" s="21" t="n">
        <f aca="false">datos_base!$E$14*parametros_recargas!$E$40+sobrestock_sustitutos!$E$100/12</f>
        <v>3.64495610483988</v>
      </c>
      <c r="H110" s="21" t="n">
        <f aca="false">datos_base!$E$14*parametros_recargas!$F$40+sobrestock_sustitutos!$E$100/12</f>
        <v>3.64495610483988</v>
      </c>
      <c r="I110" s="21" t="n">
        <f aca="false">datos_base!$E$14*parametros_recargas!$G$40+sobrestock_sustitutos!$E$100/12</f>
        <v>3.64495610483988</v>
      </c>
      <c r="J110" s="21" t="n">
        <f aca="false">datos_base!$E$14*parametros_recargas!$H$40+sobrestock_sustitutos!$E$100/12</f>
        <v>3.64495610483988</v>
      </c>
      <c r="K110" s="21" t="n">
        <f aca="false">datos_base!$E$14*parametros_recargas!$I$40+sobrestock_sustitutos!$E$100/12</f>
        <v>3.64495610483988</v>
      </c>
      <c r="L110" s="21" t="n">
        <f aca="false">datos_base!$E$14*parametros_recargas!$J$40+sobrestock_sustitutos!$E$100/12</f>
        <v>3.64495610483988</v>
      </c>
      <c r="M110" s="21" t="n">
        <f aca="false">datos_base!$E$14*parametros_recargas!$K$40+sobrestock_sustitutos!$E$100/12</f>
        <v>3.64495610483988</v>
      </c>
      <c r="N110" s="21" t="n">
        <f aca="false">datos_base!$E$14*parametros_recargas!$L$40+sobrestock_sustitutos!$E$100/12</f>
        <v>3.64495610483988</v>
      </c>
      <c r="O110" s="21" t="n">
        <f aca="false">datos_base!$E$14*parametros_recargas!$M$40+sobrestock_sustitutos!$E$100/12</f>
        <v>3.64495610483988</v>
      </c>
      <c r="P110" s="6" t="n">
        <f aca="false">SUM(D110:O110)</f>
        <v>43.7394732580785</v>
      </c>
      <c r="Q110" s="4" t="n">
        <f aca="false">sobrestock_sustitutos!$E$100</f>
        <v>1</v>
      </c>
    </row>
    <row r="111" customFormat="false" ht="15" hidden="false" customHeight="false" outlineLevel="0" collapsed="false">
      <c r="A111" s="8" t="str">
        <f aca="false">parametros_recargas!A64</f>
        <v>ABC 25 kg s/ruedas</v>
      </c>
      <c r="B111" s="8" t="str">
        <f aca="false">parametros_recargas!B64</f>
        <v>ABC</v>
      </c>
      <c r="C111" s="11" t="n">
        <f aca="false">parametros_recargas!C64</f>
        <v>3</v>
      </c>
      <c r="D111" s="21" t="n">
        <f aca="false">datos_base!$E$15*parametros_recargas!$B$40+sobrestock_sustitutos!$E$101/12</f>
        <v>8.16797389379804</v>
      </c>
      <c r="E111" s="21" t="n">
        <f aca="false">datos_base!$E$15*parametros_recargas!$C$40+sobrestock_sustitutos!$E$101/12</f>
        <v>8.16797389379804</v>
      </c>
      <c r="F111" s="21" t="n">
        <f aca="false">datos_base!$E$15*parametros_recargas!$D$40+sobrestock_sustitutos!$E$101/12</f>
        <v>8.16797389379804</v>
      </c>
      <c r="G111" s="21" t="n">
        <f aca="false">datos_base!$E$15*parametros_recargas!$E$40+sobrestock_sustitutos!$E$101/12</f>
        <v>8.16797389379804</v>
      </c>
      <c r="H111" s="21" t="n">
        <f aca="false">datos_base!$E$15*parametros_recargas!$F$40+sobrestock_sustitutos!$E$101/12</f>
        <v>8.16797389379804</v>
      </c>
      <c r="I111" s="21" t="n">
        <f aca="false">datos_base!$E$15*parametros_recargas!$G$40+sobrestock_sustitutos!$E$101/12</f>
        <v>8.16797389379804</v>
      </c>
      <c r="J111" s="21" t="n">
        <f aca="false">datos_base!$E$15*parametros_recargas!$H$40+sobrestock_sustitutos!$E$101/12</f>
        <v>8.16797389379804</v>
      </c>
      <c r="K111" s="21" t="n">
        <f aca="false">datos_base!$E$15*parametros_recargas!$I$40+sobrestock_sustitutos!$E$101/12</f>
        <v>8.16797389379804</v>
      </c>
      <c r="L111" s="21" t="n">
        <f aca="false">datos_base!$E$15*parametros_recargas!$J$40+sobrestock_sustitutos!$E$101/12</f>
        <v>8.16797389379804</v>
      </c>
      <c r="M111" s="21" t="n">
        <f aca="false">datos_base!$E$15*parametros_recargas!$K$40+sobrestock_sustitutos!$E$101/12</f>
        <v>8.16797389379804</v>
      </c>
      <c r="N111" s="21" t="n">
        <f aca="false">datos_base!$E$15*parametros_recargas!$L$40+sobrestock_sustitutos!$E$101/12</f>
        <v>8.16797389379804</v>
      </c>
      <c r="O111" s="21" t="n">
        <f aca="false">datos_base!$E$15*parametros_recargas!$M$40+sobrestock_sustitutos!$E$101/12</f>
        <v>8.16797389379804</v>
      </c>
      <c r="P111" s="6" t="n">
        <f aca="false">SUM(D111:O111)</f>
        <v>98.0156867255764</v>
      </c>
      <c r="Q111" s="4" t="n">
        <f aca="false">sobrestock_sustitutos!$E$101</f>
        <v>1</v>
      </c>
    </row>
    <row r="112" customFormat="false" ht="15" hidden="false" customHeight="false" outlineLevel="0" collapsed="false">
      <c r="A112" s="8" t="str">
        <f aca="false">parametros_recargas!A65</f>
        <v>ABC 50 kg s/ruedas</v>
      </c>
      <c r="B112" s="8" t="str">
        <f aca="false">parametros_recargas!B65</f>
        <v>ABC</v>
      </c>
      <c r="C112" s="11" t="n">
        <f aca="false">parametros_recargas!C65</f>
        <v>3</v>
      </c>
      <c r="D112" s="21" t="n">
        <f aca="false">datos_base!$E$16*parametros_recargas!$B$40+sobrestock_sustitutos!$E$102/12</f>
        <v>17.9528758948851</v>
      </c>
      <c r="E112" s="21" t="n">
        <f aca="false">datos_base!$E$16*parametros_recargas!$C$40+sobrestock_sustitutos!$E$102/12</f>
        <v>17.9528758948851</v>
      </c>
      <c r="F112" s="21" t="n">
        <f aca="false">datos_base!$E$16*parametros_recargas!$D$40+sobrestock_sustitutos!$E$102/12</f>
        <v>17.9528758948851</v>
      </c>
      <c r="G112" s="21" t="n">
        <f aca="false">datos_base!$E$16*parametros_recargas!$E$40+sobrestock_sustitutos!$E$102/12</f>
        <v>17.9528758948851</v>
      </c>
      <c r="H112" s="21" t="n">
        <f aca="false">datos_base!$E$16*parametros_recargas!$F$40+sobrestock_sustitutos!$E$102/12</f>
        <v>17.9528758948851</v>
      </c>
      <c r="I112" s="21" t="n">
        <f aca="false">datos_base!$E$16*parametros_recargas!$G$40+sobrestock_sustitutos!$E$102/12</f>
        <v>17.9528758948851</v>
      </c>
      <c r="J112" s="21" t="n">
        <f aca="false">datos_base!$E$16*parametros_recargas!$H$40+sobrestock_sustitutos!$E$102/12</f>
        <v>17.9528758948851</v>
      </c>
      <c r="K112" s="21" t="n">
        <f aca="false">datos_base!$E$16*parametros_recargas!$I$40+sobrestock_sustitutos!$E$102/12</f>
        <v>17.9528758948851</v>
      </c>
      <c r="L112" s="21" t="n">
        <f aca="false">datos_base!$E$16*parametros_recargas!$J$40+sobrestock_sustitutos!$E$102/12</f>
        <v>17.9528758948851</v>
      </c>
      <c r="M112" s="21" t="n">
        <f aca="false">datos_base!$E$16*parametros_recargas!$K$40+sobrestock_sustitutos!$E$102/12</f>
        <v>17.9528758948851</v>
      </c>
      <c r="N112" s="21" t="n">
        <f aca="false">datos_base!$E$16*parametros_recargas!$L$40+sobrestock_sustitutos!$E$102/12</f>
        <v>17.9528758948851</v>
      </c>
      <c r="O112" s="21" t="n">
        <f aca="false">datos_base!$E$16*parametros_recargas!$M$40+sobrestock_sustitutos!$E$102/12</f>
        <v>17.9528758948851</v>
      </c>
      <c r="P112" s="6" t="n">
        <f aca="false">SUM(D112:O112)</f>
        <v>215.434510738621</v>
      </c>
      <c r="Q112" s="4" t="n">
        <f aca="false">sobrestock_sustitutos!$E$102</f>
        <v>2</v>
      </c>
    </row>
    <row r="113" customFormat="false" ht="15" hidden="false" customHeight="false" outlineLevel="0" collapsed="false">
      <c r="A113" s="8" t="str">
        <f aca="false">parametros_recargas!A66</f>
        <v>ABC 70 kg s/ruedas</v>
      </c>
      <c r="B113" s="8" t="str">
        <f aca="false">parametros_recargas!B66</f>
        <v>ABC</v>
      </c>
      <c r="C113" s="11" t="n">
        <f aca="false">parametros_recargas!C66</f>
        <v>3</v>
      </c>
      <c r="D113" s="21" t="n">
        <f aca="false">datos_base!$E$17*parametros_recargas!$B$40+sobrestock_sustitutos!$E$103/12</f>
        <v>3.96396080043481</v>
      </c>
      <c r="E113" s="21" t="n">
        <f aca="false">datos_base!$E$17*parametros_recargas!$C$40+sobrestock_sustitutos!$E$103/12</f>
        <v>3.96396080043481</v>
      </c>
      <c r="F113" s="21" t="n">
        <f aca="false">datos_base!$E$17*parametros_recargas!$D$40+sobrestock_sustitutos!$E$103/12</f>
        <v>3.96396080043481</v>
      </c>
      <c r="G113" s="21" t="n">
        <f aca="false">datos_base!$E$17*parametros_recargas!$E$40+sobrestock_sustitutos!$E$103/12</f>
        <v>3.96396080043481</v>
      </c>
      <c r="H113" s="21" t="n">
        <f aca="false">datos_base!$E$17*parametros_recargas!$F$40+sobrestock_sustitutos!$E$103/12</f>
        <v>3.96396080043481</v>
      </c>
      <c r="I113" s="21" t="n">
        <f aca="false">datos_base!$E$17*parametros_recargas!$G$40+sobrestock_sustitutos!$E$103/12</f>
        <v>3.96396080043481</v>
      </c>
      <c r="J113" s="21" t="n">
        <f aca="false">datos_base!$E$17*parametros_recargas!$H$40+sobrestock_sustitutos!$E$103/12</f>
        <v>3.96396080043481</v>
      </c>
      <c r="K113" s="21" t="n">
        <f aca="false">datos_base!$E$17*parametros_recargas!$I$40+sobrestock_sustitutos!$E$103/12</f>
        <v>3.96396080043481</v>
      </c>
      <c r="L113" s="21" t="n">
        <f aca="false">datos_base!$E$17*parametros_recargas!$J$40+sobrestock_sustitutos!$E$103/12</f>
        <v>3.96396080043481</v>
      </c>
      <c r="M113" s="21" t="n">
        <f aca="false">datos_base!$E$17*parametros_recargas!$K$40+sobrestock_sustitutos!$E$103/12</f>
        <v>3.96396080043481</v>
      </c>
      <c r="N113" s="21" t="n">
        <f aca="false">datos_base!$E$17*parametros_recargas!$L$40+sobrestock_sustitutos!$E$103/12</f>
        <v>3.96396080043481</v>
      </c>
      <c r="O113" s="21" t="n">
        <f aca="false">datos_base!$E$17*parametros_recargas!$M$40+sobrestock_sustitutos!$E$103/12</f>
        <v>3.96396080043481</v>
      </c>
      <c r="P113" s="6" t="n">
        <f aca="false">SUM(D113:O113)</f>
        <v>47.5675296052178</v>
      </c>
      <c r="Q113" s="4" t="n">
        <f aca="false">sobrestock_sustitutos!$E$103</f>
        <v>1</v>
      </c>
    </row>
    <row r="114" customFormat="false" ht="15" hidden="false" customHeight="false" outlineLevel="0" collapsed="false">
      <c r="A114" s="8" t="str">
        <f aca="false">parametros_recargas!A67</f>
        <v>ABC 100 kg s/ruedas</v>
      </c>
      <c r="B114" s="8" t="str">
        <f aca="false">parametros_recargas!B67</f>
        <v>ABC</v>
      </c>
      <c r="C114" s="11" t="n">
        <f aca="false">parametros_recargas!C67</f>
        <v>3</v>
      </c>
      <c r="D114" s="21" t="n">
        <f aca="false">datos_base!$E$18*parametros_recargas!$B$40+sobrestock_sustitutos!$E$104/12</f>
        <v>2.67041831940756</v>
      </c>
      <c r="E114" s="21" t="n">
        <f aca="false">datos_base!$E$18*parametros_recargas!$C$40+sobrestock_sustitutos!$E$104/12</f>
        <v>2.67041831940756</v>
      </c>
      <c r="F114" s="21" t="n">
        <f aca="false">datos_base!$E$18*parametros_recargas!$D$40+sobrestock_sustitutos!$E$104/12</f>
        <v>2.67041831940756</v>
      </c>
      <c r="G114" s="21" t="n">
        <f aca="false">datos_base!$E$18*parametros_recargas!$E$40+sobrestock_sustitutos!$E$104/12</f>
        <v>2.67041831940756</v>
      </c>
      <c r="H114" s="21" t="n">
        <f aca="false">datos_base!$E$18*parametros_recargas!$F$40+sobrestock_sustitutos!$E$104/12</f>
        <v>2.67041831940756</v>
      </c>
      <c r="I114" s="21" t="n">
        <f aca="false">datos_base!$E$18*parametros_recargas!$G$40+sobrestock_sustitutos!$E$104/12</f>
        <v>2.67041831940756</v>
      </c>
      <c r="J114" s="21" t="n">
        <f aca="false">datos_base!$E$18*parametros_recargas!$H$40+sobrestock_sustitutos!$E$104/12</f>
        <v>2.67041831940756</v>
      </c>
      <c r="K114" s="21" t="n">
        <f aca="false">datos_base!$E$18*parametros_recargas!$I$40+sobrestock_sustitutos!$E$104/12</f>
        <v>2.67041831940756</v>
      </c>
      <c r="L114" s="21" t="n">
        <f aca="false">datos_base!$E$18*parametros_recargas!$J$40+sobrestock_sustitutos!$E$104/12</f>
        <v>2.67041831940756</v>
      </c>
      <c r="M114" s="21" t="n">
        <f aca="false">datos_base!$E$18*parametros_recargas!$K$40+sobrestock_sustitutos!$E$104/12</f>
        <v>2.67041831940756</v>
      </c>
      <c r="N114" s="21" t="n">
        <f aca="false">datos_base!$E$18*parametros_recargas!$L$40+sobrestock_sustitutos!$E$104/12</f>
        <v>2.67041831940756</v>
      </c>
      <c r="O114" s="21" t="n">
        <f aca="false">datos_base!$E$18*parametros_recargas!$M$40+sobrestock_sustitutos!$E$104/12</f>
        <v>2.67041831940756</v>
      </c>
      <c r="P114" s="6" t="n">
        <f aca="false">SUM(D114:O114)</f>
        <v>32.0450198328907</v>
      </c>
      <c r="Q114" s="4" t="n">
        <f aca="false">sobrestock_sustitutos!$E$104</f>
        <v>1</v>
      </c>
    </row>
    <row r="115" customFormat="false" ht="15" hidden="false" customHeight="false" outlineLevel="0" collapsed="false">
      <c r="A115" s="5" t="s">
        <v>306</v>
      </c>
      <c r="D115" s="6" t="n">
        <f aca="false">SUM(D98:D114)</f>
        <v>2749.46689378263</v>
      </c>
      <c r="E115" s="6" t="n">
        <f aca="false">SUM(E98:E114)</f>
        <v>2749.46689378263</v>
      </c>
      <c r="F115" s="6" t="n">
        <f aca="false">SUM(F98:F114)</f>
        <v>2749.46689378263</v>
      </c>
      <c r="G115" s="6" t="n">
        <f aca="false">SUM(G98:G114)</f>
        <v>2749.46689378263</v>
      </c>
      <c r="H115" s="6" t="n">
        <f aca="false">SUM(H98:H114)</f>
        <v>2749.46689378263</v>
      </c>
      <c r="I115" s="6" t="n">
        <f aca="false">SUM(I98:I114)</f>
        <v>2749.46689378263</v>
      </c>
      <c r="J115" s="6" t="n">
        <f aca="false">SUM(J98:J114)</f>
        <v>2749.46689378263</v>
      </c>
      <c r="K115" s="6" t="n">
        <f aca="false">SUM(K98:K114)</f>
        <v>2749.46689378263</v>
      </c>
      <c r="L115" s="6" t="n">
        <f aca="false">SUM(L98:L114)</f>
        <v>2749.46689378263</v>
      </c>
      <c r="M115" s="6" t="n">
        <f aca="false">SUM(M98:M114)</f>
        <v>2749.46689378263</v>
      </c>
      <c r="N115" s="6" t="n">
        <f aca="false">SUM(N98:N114)</f>
        <v>2749.46689378263</v>
      </c>
      <c r="O115" s="6" t="n">
        <f aca="false">SUM(O98:O114)</f>
        <v>2749.46689378263</v>
      </c>
      <c r="P115" s="6" t="n">
        <f aca="false">SUM(P98:P114)</f>
        <v>32993.6027253915</v>
      </c>
    </row>
    <row r="116" customFormat="false" ht="15" hidden="false" customHeight="false" outlineLevel="0" collapsed="false">
      <c r="A116" s="5" t="s">
        <v>307</v>
      </c>
    </row>
    <row r="117" customFormat="false" ht="15" hidden="false" customHeight="false" outlineLevel="0" collapsed="false">
      <c r="A117" s="3" t="s">
        <v>148</v>
      </c>
      <c r="D117" s="21" t="n">
        <f aca="false">SUMPRODUCT(($B$98:$B$114=$A117)*D$98:D$114*$C$98:$C$114)</f>
        <v>2435.81288207356</v>
      </c>
      <c r="E117" s="21" t="n">
        <f aca="false">SUMPRODUCT(($B$98:$B$114=$A117)*E$98:E$114*$C$98:$C$114)</f>
        <v>2435.81288207356</v>
      </c>
      <c r="F117" s="21" t="n">
        <f aca="false">SUMPRODUCT(($B$98:$B$114=$A117)*F$98:F$114*$C$98:$C$114)</f>
        <v>2435.81288207356</v>
      </c>
      <c r="G117" s="21" t="n">
        <f aca="false">SUMPRODUCT(($B$98:$B$114=$A117)*G$98:G$114*$C$98:$C$114)</f>
        <v>2435.81288207356</v>
      </c>
      <c r="H117" s="21" t="n">
        <f aca="false">SUMPRODUCT(($B$98:$B$114=$A117)*H$98:H$114*$C$98:$C$114)</f>
        <v>2435.81288207356</v>
      </c>
      <c r="I117" s="21" t="n">
        <f aca="false">SUMPRODUCT(($B$98:$B$114=$A117)*I$98:I$114*$C$98:$C$114)</f>
        <v>2435.81288207356</v>
      </c>
      <c r="J117" s="21" t="n">
        <f aca="false">SUMPRODUCT(($B$98:$B$114=$A117)*J$98:J$114*$C$98:$C$114)</f>
        <v>2435.81288207356</v>
      </c>
      <c r="K117" s="21" t="n">
        <f aca="false">SUMPRODUCT(($B$98:$B$114=$A117)*K$98:K$114*$C$98:$C$114)</f>
        <v>2435.81288207356</v>
      </c>
      <c r="L117" s="21" t="n">
        <f aca="false">SUMPRODUCT(($B$98:$B$114=$A117)*L$98:L$114*$C$98:$C$114)</f>
        <v>2435.81288207356</v>
      </c>
      <c r="M117" s="21" t="n">
        <f aca="false">SUMPRODUCT(($B$98:$B$114=$A117)*M$98:M$114*$C$98:$C$114)</f>
        <v>2435.81288207356</v>
      </c>
      <c r="N117" s="21" t="n">
        <f aca="false">SUMPRODUCT(($B$98:$B$114=$A117)*N$98:N$114*$C$98:$C$114)</f>
        <v>2435.81288207356</v>
      </c>
      <c r="O117" s="21" t="n">
        <f aca="false">SUMPRODUCT(($B$98:$B$114=$A117)*O$98:O$114*$C$98:$C$114)</f>
        <v>2435.81288207356</v>
      </c>
      <c r="P117" s="21" t="n">
        <f aca="false">SUMPRODUCT(($B$98:$B$114=$A117)*P$98:P$114*$C$98:$C$114)</f>
        <v>29229.7545848827</v>
      </c>
    </row>
    <row r="118" customFormat="false" ht="15" hidden="false" customHeight="false" outlineLevel="0" collapsed="false">
      <c r="A118" s="3" t="s">
        <v>154</v>
      </c>
      <c r="D118" s="21" t="n">
        <f aca="false">SUMPRODUCT(($B$98:$B$114=$A118)*D$98:D$114*$C$98:$C$114)</f>
        <v>3.91453671869877</v>
      </c>
      <c r="E118" s="21" t="n">
        <f aca="false">SUMPRODUCT(($B$98:$B$114=$A118)*E$98:E$114*$C$98:$C$114)</f>
        <v>3.91453671869877</v>
      </c>
      <c r="F118" s="21" t="n">
        <f aca="false">SUMPRODUCT(($B$98:$B$114=$A118)*F$98:F$114*$C$98:$C$114)</f>
        <v>3.91453671869877</v>
      </c>
      <c r="G118" s="21" t="n">
        <f aca="false">SUMPRODUCT(($B$98:$B$114=$A118)*G$98:G$114*$C$98:$C$114)</f>
        <v>3.91453671869877</v>
      </c>
      <c r="H118" s="21" t="n">
        <f aca="false">SUMPRODUCT(($B$98:$B$114=$A118)*H$98:H$114*$C$98:$C$114)</f>
        <v>3.91453671869877</v>
      </c>
      <c r="I118" s="21" t="n">
        <f aca="false">SUMPRODUCT(($B$98:$B$114=$A118)*I$98:I$114*$C$98:$C$114)</f>
        <v>3.91453671869877</v>
      </c>
      <c r="J118" s="21" t="n">
        <f aca="false">SUMPRODUCT(($B$98:$B$114=$A118)*J$98:J$114*$C$98:$C$114)</f>
        <v>3.91453671869877</v>
      </c>
      <c r="K118" s="21" t="n">
        <f aca="false">SUMPRODUCT(($B$98:$B$114=$A118)*K$98:K$114*$C$98:$C$114)</f>
        <v>3.91453671869877</v>
      </c>
      <c r="L118" s="21" t="n">
        <f aca="false">SUMPRODUCT(($B$98:$B$114=$A118)*L$98:L$114*$C$98:$C$114)</f>
        <v>3.91453671869877</v>
      </c>
      <c r="M118" s="21" t="n">
        <f aca="false">SUMPRODUCT(($B$98:$B$114=$A118)*M$98:M$114*$C$98:$C$114)</f>
        <v>3.91453671869877</v>
      </c>
      <c r="N118" s="21" t="n">
        <f aca="false">SUMPRODUCT(($B$98:$B$114=$A118)*N$98:N$114*$C$98:$C$114)</f>
        <v>3.91453671869877</v>
      </c>
      <c r="O118" s="21" t="n">
        <f aca="false">SUMPRODUCT(($B$98:$B$114=$A118)*O$98:O$114*$C$98:$C$114)</f>
        <v>3.91453671869877</v>
      </c>
      <c r="P118" s="21" t="n">
        <f aca="false">SUMPRODUCT(($B$98:$B$114=$A118)*P$98:P$114*$C$98:$C$114)</f>
        <v>46.9744406243852</v>
      </c>
    </row>
    <row r="119" customFormat="false" ht="15" hidden="false" customHeight="false" outlineLevel="0" collapsed="false">
      <c r="A119" s="3" t="s">
        <v>160</v>
      </c>
      <c r="D119" s="21" t="n">
        <f aca="false">SUMPRODUCT(($B$98:$B$114=$A119)*D$98:D$114*$C$98:$C$114)</f>
        <v>3.64495610483988</v>
      </c>
      <c r="E119" s="21" t="n">
        <f aca="false">SUMPRODUCT(($B$98:$B$114=$A119)*E$98:E$114*$C$98:$C$114)</f>
        <v>3.64495610483988</v>
      </c>
      <c r="F119" s="21" t="n">
        <f aca="false">SUMPRODUCT(($B$98:$B$114=$A119)*F$98:F$114*$C$98:$C$114)</f>
        <v>3.64495610483988</v>
      </c>
      <c r="G119" s="21" t="n">
        <f aca="false">SUMPRODUCT(($B$98:$B$114=$A119)*G$98:G$114*$C$98:$C$114)</f>
        <v>3.64495610483988</v>
      </c>
      <c r="H119" s="21" t="n">
        <f aca="false">SUMPRODUCT(($B$98:$B$114=$A119)*H$98:H$114*$C$98:$C$114)</f>
        <v>3.64495610483988</v>
      </c>
      <c r="I119" s="21" t="n">
        <f aca="false">SUMPRODUCT(($B$98:$B$114=$A119)*I$98:I$114*$C$98:$C$114)</f>
        <v>3.64495610483988</v>
      </c>
      <c r="J119" s="21" t="n">
        <f aca="false">SUMPRODUCT(($B$98:$B$114=$A119)*J$98:J$114*$C$98:$C$114)</f>
        <v>3.64495610483988</v>
      </c>
      <c r="K119" s="21" t="n">
        <f aca="false">SUMPRODUCT(($B$98:$B$114=$A119)*K$98:K$114*$C$98:$C$114)</f>
        <v>3.64495610483988</v>
      </c>
      <c r="L119" s="21" t="n">
        <f aca="false">SUMPRODUCT(($B$98:$B$114=$A119)*L$98:L$114*$C$98:$C$114)</f>
        <v>3.64495610483988</v>
      </c>
      <c r="M119" s="21" t="n">
        <f aca="false">SUMPRODUCT(($B$98:$B$114=$A119)*M$98:M$114*$C$98:$C$114)</f>
        <v>3.64495610483988</v>
      </c>
      <c r="N119" s="21" t="n">
        <f aca="false">SUMPRODUCT(($B$98:$B$114=$A119)*N$98:N$114*$C$98:$C$114)</f>
        <v>3.64495610483988</v>
      </c>
      <c r="O119" s="21" t="n">
        <f aca="false">SUMPRODUCT(($B$98:$B$114=$A119)*O$98:O$114*$C$98:$C$114)</f>
        <v>3.64495610483988</v>
      </c>
      <c r="P119" s="21" t="n">
        <f aca="false">SUMPRODUCT(($B$98:$B$114=$A119)*P$98:P$114*$C$98:$C$114)</f>
        <v>43.7394732580785</v>
      </c>
    </row>
    <row r="120" customFormat="false" ht="15" hidden="false" customHeight="false" outlineLevel="0" collapsed="false">
      <c r="A120" s="3" t="s">
        <v>151</v>
      </c>
      <c r="D120" s="21" t="n">
        <f aca="false">SUMPRODUCT(($B$98:$B$114=$A120)*D$98:D$114*$C$98:$C$114)</f>
        <v>66.9493523304553</v>
      </c>
      <c r="E120" s="21" t="n">
        <f aca="false">SUMPRODUCT(($B$98:$B$114=$A120)*E$98:E$114*$C$98:$C$114)</f>
        <v>66.9493523304553</v>
      </c>
      <c r="F120" s="21" t="n">
        <f aca="false">SUMPRODUCT(($B$98:$B$114=$A120)*F$98:F$114*$C$98:$C$114)</f>
        <v>66.9493523304553</v>
      </c>
      <c r="G120" s="21" t="n">
        <f aca="false">SUMPRODUCT(($B$98:$B$114=$A120)*G$98:G$114*$C$98:$C$114)</f>
        <v>66.9493523304553</v>
      </c>
      <c r="H120" s="21" t="n">
        <f aca="false">SUMPRODUCT(($B$98:$B$114=$A120)*H$98:H$114*$C$98:$C$114)</f>
        <v>66.9493523304553</v>
      </c>
      <c r="I120" s="21" t="n">
        <f aca="false">SUMPRODUCT(($B$98:$B$114=$A120)*I$98:I$114*$C$98:$C$114)</f>
        <v>66.9493523304553</v>
      </c>
      <c r="J120" s="21" t="n">
        <f aca="false">SUMPRODUCT(($B$98:$B$114=$A120)*J$98:J$114*$C$98:$C$114)</f>
        <v>66.9493523304553</v>
      </c>
      <c r="K120" s="21" t="n">
        <f aca="false">SUMPRODUCT(($B$98:$B$114=$A120)*K$98:K$114*$C$98:$C$114)</f>
        <v>66.9493523304553</v>
      </c>
      <c r="L120" s="21" t="n">
        <f aca="false">SUMPRODUCT(($B$98:$B$114=$A120)*L$98:L$114*$C$98:$C$114)</f>
        <v>66.9493523304553</v>
      </c>
      <c r="M120" s="21" t="n">
        <f aca="false">SUMPRODUCT(($B$98:$B$114=$A120)*M$98:M$114*$C$98:$C$114)</f>
        <v>66.9493523304553</v>
      </c>
      <c r="N120" s="21" t="n">
        <f aca="false">SUMPRODUCT(($B$98:$B$114=$A120)*N$98:N$114*$C$98:$C$114)</f>
        <v>66.9493523304553</v>
      </c>
      <c r="O120" s="21" t="n">
        <f aca="false">SUMPRODUCT(($B$98:$B$114=$A120)*O$98:O$114*$C$98:$C$114)</f>
        <v>66.9493523304553</v>
      </c>
      <c r="P120" s="21" t="n">
        <f aca="false">SUMPRODUCT(($B$98:$B$114=$A120)*P$98:P$114*$C$98:$C$114)</f>
        <v>803.392227965464</v>
      </c>
    </row>
    <row r="121" customFormat="false" ht="15" hidden="false" customHeight="false" outlineLevel="0" collapsed="false">
      <c r="A121" s="3" t="s">
        <v>152</v>
      </c>
      <c r="D121" s="21" t="n">
        <f aca="false">SUMPRODUCT(($B$98:$B$114=$A121)*D$98:D$114*$C$98:$C$114)</f>
        <v>33.3577289794006</v>
      </c>
      <c r="E121" s="21" t="n">
        <f aca="false">SUMPRODUCT(($B$98:$B$114=$A121)*E$98:E$114*$C$98:$C$114)</f>
        <v>33.3577289794006</v>
      </c>
      <c r="F121" s="21" t="n">
        <f aca="false">SUMPRODUCT(($B$98:$B$114=$A121)*F$98:F$114*$C$98:$C$114)</f>
        <v>33.3577289794006</v>
      </c>
      <c r="G121" s="21" t="n">
        <f aca="false">SUMPRODUCT(($B$98:$B$114=$A121)*G$98:G$114*$C$98:$C$114)</f>
        <v>33.3577289794006</v>
      </c>
      <c r="H121" s="21" t="n">
        <f aca="false">SUMPRODUCT(($B$98:$B$114=$A121)*H$98:H$114*$C$98:$C$114)</f>
        <v>33.3577289794006</v>
      </c>
      <c r="I121" s="21" t="n">
        <f aca="false">SUMPRODUCT(($B$98:$B$114=$A121)*I$98:I$114*$C$98:$C$114)</f>
        <v>33.3577289794006</v>
      </c>
      <c r="J121" s="21" t="n">
        <f aca="false">SUMPRODUCT(($B$98:$B$114=$A121)*J$98:J$114*$C$98:$C$114)</f>
        <v>33.3577289794006</v>
      </c>
      <c r="K121" s="21" t="n">
        <f aca="false">SUMPRODUCT(($B$98:$B$114=$A121)*K$98:K$114*$C$98:$C$114)</f>
        <v>33.3577289794006</v>
      </c>
      <c r="L121" s="21" t="n">
        <f aca="false">SUMPRODUCT(($B$98:$B$114=$A121)*L$98:L$114*$C$98:$C$114)</f>
        <v>33.3577289794006</v>
      </c>
      <c r="M121" s="21" t="n">
        <f aca="false">SUMPRODUCT(($B$98:$B$114=$A121)*M$98:M$114*$C$98:$C$114)</f>
        <v>33.3577289794006</v>
      </c>
      <c r="N121" s="21" t="n">
        <f aca="false">SUMPRODUCT(($B$98:$B$114=$A121)*N$98:N$114*$C$98:$C$114)</f>
        <v>33.3577289794006</v>
      </c>
      <c r="O121" s="21" t="n">
        <f aca="false">SUMPRODUCT(($B$98:$B$114=$A121)*O$98:O$114*$C$98:$C$114)</f>
        <v>33.3577289794006</v>
      </c>
      <c r="P121" s="21" t="n">
        <f aca="false">SUMPRODUCT(($B$98:$B$114=$A121)*P$98:P$114*$C$98:$C$114)</f>
        <v>400.292747752807</v>
      </c>
    </row>
    <row r="122" customFormat="false" ht="15" hidden="false" customHeight="false" outlineLevel="0" collapsed="false">
      <c r="A122" s="3" t="s">
        <v>155</v>
      </c>
      <c r="D122" s="21" t="n">
        <f aca="false">SUMPRODUCT(($B$98:$B$114=$A122)*D$98:D$114*$C$98:$C$114)</f>
        <v>32.8903783617833</v>
      </c>
      <c r="E122" s="21" t="n">
        <f aca="false">SUMPRODUCT(($B$98:$B$114=$A122)*E$98:E$114*$C$98:$C$114)</f>
        <v>32.8903783617833</v>
      </c>
      <c r="F122" s="21" t="n">
        <f aca="false">SUMPRODUCT(($B$98:$B$114=$A122)*F$98:F$114*$C$98:$C$114)</f>
        <v>32.8903783617833</v>
      </c>
      <c r="G122" s="21" t="n">
        <f aca="false">SUMPRODUCT(($B$98:$B$114=$A122)*G$98:G$114*$C$98:$C$114)</f>
        <v>32.8903783617833</v>
      </c>
      <c r="H122" s="21" t="n">
        <f aca="false">SUMPRODUCT(($B$98:$B$114=$A122)*H$98:H$114*$C$98:$C$114)</f>
        <v>32.8903783617833</v>
      </c>
      <c r="I122" s="21" t="n">
        <f aca="false">SUMPRODUCT(($B$98:$B$114=$A122)*I$98:I$114*$C$98:$C$114)</f>
        <v>32.8903783617833</v>
      </c>
      <c r="J122" s="21" t="n">
        <f aca="false">SUMPRODUCT(($B$98:$B$114=$A122)*J$98:J$114*$C$98:$C$114)</f>
        <v>32.8903783617833</v>
      </c>
      <c r="K122" s="21" t="n">
        <f aca="false">SUMPRODUCT(($B$98:$B$114=$A122)*K$98:K$114*$C$98:$C$114)</f>
        <v>32.8903783617833</v>
      </c>
      <c r="L122" s="21" t="n">
        <f aca="false">SUMPRODUCT(($B$98:$B$114=$A122)*L$98:L$114*$C$98:$C$114)</f>
        <v>32.8903783617833</v>
      </c>
      <c r="M122" s="21" t="n">
        <f aca="false">SUMPRODUCT(($B$98:$B$114=$A122)*M$98:M$114*$C$98:$C$114)</f>
        <v>32.8903783617833</v>
      </c>
      <c r="N122" s="21" t="n">
        <f aca="false">SUMPRODUCT(($B$98:$B$114=$A122)*N$98:N$114*$C$98:$C$114)</f>
        <v>32.8903783617833</v>
      </c>
      <c r="O122" s="21" t="n">
        <f aca="false">SUMPRODUCT(($B$98:$B$114=$A122)*O$98:O$114*$C$98:$C$114)</f>
        <v>32.8903783617833</v>
      </c>
      <c r="P122" s="21" t="n">
        <f aca="false">SUMPRODUCT(($B$98:$B$114=$A122)*P$98:P$114*$C$98:$C$114)</f>
        <v>394.6845403414</v>
      </c>
    </row>
    <row r="123" customFormat="false" ht="15" hidden="false" customHeight="false" outlineLevel="0" collapsed="false">
      <c r="A123" s="3" t="s">
        <v>156</v>
      </c>
      <c r="D123" s="21" t="n">
        <f aca="false">SUMPRODUCT(($B$98:$B$114=$A123)*D$98:D$114*$C$98:$C$114)</f>
        <v>242.381249481268</v>
      </c>
      <c r="E123" s="21" t="n">
        <f aca="false">SUMPRODUCT(($B$98:$B$114=$A123)*E$98:E$114*$C$98:$C$114)</f>
        <v>242.381249481268</v>
      </c>
      <c r="F123" s="21" t="n">
        <f aca="false">SUMPRODUCT(($B$98:$B$114=$A123)*F$98:F$114*$C$98:$C$114)</f>
        <v>242.381249481268</v>
      </c>
      <c r="G123" s="21" t="n">
        <f aca="false">SUMPRODUCT(($B$98:$B$114=$A123)*G$98:G$114*$C$98:$C$114)</f>
        <v>242.381249481268</v>
      </c>
      <c r="H123" s="21" t="n">
        <f aca="false">SUMPRODUCT(($B$98:$B$114=$A123)*H$98:H$114*$C$98:$C$114)</f>
        <v>242.381249481268</v>
      </c>
      <c r="I123" s="21" t="n">
        <f aca="false">SUMPRODUCT(($B$98:$B$114=$A123)*I$98:I$114*$C$98:$C$114)</f>
        <v>242.381249481268</v>
      </c>
      <c r="J123" s="21" t="n">
        <f aca="false">SUMPRODUCT(($B$98:$B$114=$A123)*J$98:J$114*$C$98:$C$114)</f>
        <v>242.381249481268</v>
      </c>
      <c r="K123" s="21" t="n">
        <f aca="false">SUMPRODUCT(($B$98:$B$114=$A123)*K$98:K$114*$C$98:$C$114)</f>
        <v>242.381249481268</v>
      </c>
      <c r="L123" s="21" t="n">
        <f aca="false">SUMPRODUCT(($B$98:$B$114=$A123)*L$98:L$114*$C$98:$C$114)</f>
        <v>242.381249481268</v>
      </c>
      <c r="M123" s="21" t="n">
        <f aca="false">SUMPRODUCT(($B$98:$B$114=$A123)*M$98:M$114*$C$98:$C$114)</f>
        <v>242.381249481268</v>
      </c>
      <c r="N123" s="21" t="n">
        <f aca="false">SUMPRODUCT(($B$98:$B$114=$A123)*N$98:N$114*$C$98:$C$114)</f>
        <v>242.381249481268</v>
      </c>
      <c r="O123" s="21" t="n">
        <f aca="false">SUMPRODUCT(($B$98:$B$114=$A123)*O$98:O$114*$C$98:$C$114)</f>
        <v>242.381249481268</v>
      </c>
      <c r="P123" s="21" t="n">
        <f aca="false">SUMPRODUCT(($B$98:$B$114=$A123)*P$98:P$114*$C$98:$C$114)</f>
        <v>2908.57499377521</v>
      </c>
    </row>
    <row r="124" customFormat="false" ht="15" hidden="false" customHeight="false" outlineLevel="0" collapsed="false">
      <c r="A124" s="3" t="s">
        <v>159</v>
      </c>
      <c r="D124" s="21" t="n">
        <f aca="false">SUMPRODUCT(($B$98:$B$114=$A124)*D$98:D$114*$C$98:$C$114)</f>
        <v>9.70839896436878</v>
      </c>
      <c r="E124" s="21" t="n">
        <f aca="false">SUMPRODUCT(($B$98:$B$114=$A124)*E$98:E$114*$C$98:$C$114)</f>
        <v>9.70839896436878</v>
      </c>
      <c r="F124" s="21" t="n">
        <f aca="false">SUMPRODUCT(($B$98:$B$114=$A124)*F$98:F$114*$C$98:$C$114)</f>
        <v>9.70839896436878</v>
      </c>
      <c r="G124" s="21" t="n">
        <f aca="false">SUMPRODUCT(($B$98:$B$114=$A124)*G$98:G$114*$C$98:$C$114)</f>
        <v>9.70839896436878</v>
      </c>
      <c r="H124" s="21" t="n">
        <f aca="false">SUMPRODUCT(($B$98:$B$114=$A124)*H$98:H$114*$C$98:$C$114)</f>
        <v>9.70839896436878</v>
      </c>
      <c r="I124" s="21" t="n">
        <f aca="false">SUMPRODUCT(($B$98:$B$114=$A124)*I$98:I$114*$C$98:$C$114)</f>
        <v>9.70839896436878</v>
      </c>
      <c r="J124" s="21" t="n">
        <f aca="false">SUMPRODUCT(($B$98:$B$114=$A124)*J$98:J$114*$C$98:$C$114)</f>
        <v>9.70839896436878</v>
      </c>
      <c r="K124" s="21" t="n">
        <f aca="false">SUMPRODUCT(($B$98:$B$114=$A124)*K$98:K$114*$C$98:$C$114)</f>
        <v>9.70839896436878</v>
      </c>
      <c r="L124" s="21" t="n">
        <f aca="false">SUMPRODUCT(($B$98:$B$114=$A124)*L$98:L$114*$C$98:$C$114)</f>
        <v>9.70839896436878</v>
      </c>
      <c r="M124" s="21" t="n">
        <f aca="false">SUMPRODUCT(($B$98:$B$114=$A124)*M$98:M$114*$C$98:$C$114)</f>
        <v>9.70839896436878</v>
      </c>
      <c r="N124" s="21" t="n">
        <f aca="false">SUMPRODUCT(($B$98:$B$114=$A124)*N$98:N$114*$C$98:$C$114)</f>
        <v>9.70839896436878</v>
      </c>
      <c r="O124" s="21" t="n">
        <f aca="false">SUMPRODUCT(($B$98:$B$114=$A124)*O$98:O$114*$C$98:$C$114)</f>
        <v>9.70839896436878</v>
      </c>
      <c r="P124" s="21" t="n">
        <f aca="false">SUMPRODUCT(($B$98:$B$114=$A124)*P$98:P$114*$C$98:$C$114)</f>
        <v>116.500787572425</v>
      </c>
    </row>
    <row r="125" customFormat="false" ht="15" hidden="false" customHeight="false" outlineLevel="0" collapsed="false">
      <c r="A125" s="5" t="s">
        <v>308</v>
      </c>
      <c r="D125" s="22" t="n">
        <f aca="false">SUMPRODUCT(D$98:D$114*parametros_recargas!$D$51:$D$67)</f>
        <v>99.1082728725592</v>
      </c>
      <c r="E125" s="22" t="n">
        <f aca="false">SUMPRODUCT(E$98:E$114*parametros_recargas!$D$51:$D$67)</f>
        <v>99.1082728725592</v>
      </c>
      <c r="F125" s="22" t="n">
        <f aca="false">SUMPRODUCT(F$98:F$114*parametros_recargas!$D$51:$D$67)</f>
        <v>99.1082728725592</v>
      </c>
      <c r="G125" s="22" t="n">
        <f aca="false">SUMPRODUCT(G$98:G$114*parametros_recargas!$D$51:$D$67)</f>
        <v>99.1082728725592</v>
      </c>
      <c r="H125" s="22" t="n">
        <f aca="false">SUMPRODUCT(H$98:H$114*parametros_recargas!$D$51:$D$67)</f>
        <v>99.1082728725592</v>
      </c>
      <c r="I125" s="22" t="n">
        <f aca="false">SUMPRODUCT(I$98:I$114*parametros_recargas!$D$51:$D$67)</f>
        <v>99.1082728725592</v>
      </c>
      <c r="J125" s="22" t="n">
        <f aca="false">SUMPRODUCT(J$98:J$114*parametros_recargas!$D$51:$D$67)</f>
        <v>99.1082728725592</v>
      </c>
      <c r="K125" s="22" t="n">
        <f aca="false">SUMPRODUCT(K$98:K$114*parametros_recargas!$D$51:$D$67)</f>
        <v>99.1082728725592</v>
      </c>
      <c r="L125" s="22" t="n">
        <f aca="false">SUMPRODUCT(L$98:L$114*parametros_recargas!$D$51:$D$67)</f>
        <v>99.1082728725592</v>
      </c>
      <c r="M125" s="22" t="n">
        <f aca="false">SUMPRODUCT(M$98:M$114*parametros_recargas!$D$51:$D$67)</f>
        <v>99.1082728725592</v>
      </c>
      <c r="N125" s="22" t="n">
        <f aca="false">SUMPRODUCT(N$98:N$114*parametros_recargas!$D$51:$D$67)</f>
        <v>99.1082728725592</v>
      </c>
      <c r="O125" s="22" t="n">
        <f aca="false">SUMPRODUCT(O$98:O$114*parametros_recargas!$D$51:$D$67)</f>
        <v>99.1082728725592</v>
      </c>
      <c r="P125" s="22" t="n">
        <f aca="false">SUMPRODUCT(P$98:P$114*parametros_recargas!$D$51:$D$67)</f>
        <v>1189.29927447071</v>
      </c>
    </row>
    <row r="129" customFormat="false" ht="23.85" hidden="false" customHeight="false" outlineLevel="0" collapsed="false">
      <c r="A129" s="23" t="n">
        <v>2030</v>
      </c>
      <c r="B129" s="2" t="s">
        <v>303</v>
      </c>
      <c r="C129" s="2" t="s">
        <v>304</v>
      </c>
      <c r="D129" s="2" t="s">
        <v>130</v>
      </c>
      <c r="E129" s="2" t="s">
        <v>131</v>
      </c>
      <c r="F129" s="2" t="s">
        <v>132</v>
      </c>
      <c r="G129" s="2" t="s">
        <v>133</v>
      </c>
      <c r="H129" s="2" t="s">
        <v>134</v>
      </c>
      <c r="I129" s="2" t="s">
        <v>135</v>
      </c>
      <c r="J129" s="2" t="s">
        <v>136</v>
      </c>
      <c r="K129" s="2" t="s">
        <v>137</v>
      </c>
      <c r="L129" s="2" t="s">
        <v>138</v>
      </c>
      <c r="M129" s="2" t="s">
        <v>139</v>
      </c>
      <c r="N129" s="2" t="s">
        <v>140</v>
      </c>
      <c r="O129" s="2" t="s">
        <v>141</v>
      </c>
      <c r="P129" s="2" t="s">
        <v>66</v>
      </c>
      <c r="Q129" s="2" t="s">
        <v>305</v>
      </c>
    </row>
    <row r="130" customFormat="false" ht="15" hidden="false" customHeight="false" outlineLevel="0" collapsed="false">
      <c r="A130" s="8" t="str">
        <f aca="false">parametros_recargas!A51</f>
        <v>ABC 1 kg</v>
      </c>
      <c r="B130" s="8" t="str">
        <f aca="false">parametros_recargas!B51</f>
        <v>ABC</v>
      </c>
      <c r="C130" s="11" t="n">
        <f aca="false">parametros_recargas!C51</f>
        <v>1</v>
      </c>
      <c r="D130" s="21" t="n">
        <f aca="false">datos_base!$F$2*parametros_recargas!$B$41+sobrestock_sustitutos!$F$88/12</f>
        <v>2024.1462914505</v>
      </c>
      <c r="E130" s="21" t="n">
        <f aca="false">datos_base!$F$2*parametros_recargas!$C$41+sobrestock_sustitutos!$F$88/12</f>
        <v>2024.1462914505</v>
      </c>
      <c r="F130" s="21" t="n">
        <f aca="false">datos_base!$F$2*parametros_recargas!$D$41+sobrestock_sustitutos!$F$88/12</f>
        <v>2024.1462914505</v>
      </c>
      <c r="G130" s="21" t="n">
        <f aca="false">datos_base!$F$2*parametros_recargas!$E$41+sobrestock_sustitutos!$F$88/12</f>
        <v>2024.1462914505</v>
      </c>
      <c r="H130" s="21" t="n">
        <f aca="false">datos_base!$F$2*parametros_recargas!$F$41+sobrestock_sustitutos!$F$88/12</f>
        <v>2024.1462914505</v>
      </c>
      <c r="I130" s="21" t="n">
        <f aca="false">datos_base!$F$2*parametros_recargas!$G$41+sobrestock_sustitutos!$F$88/12</f>
        <v>2024.1462914505</v>
      </c>
      <c r="J130" s="21" t="n">
        <f aca="false">datos_base!$F$2*parametros_recargas!$H$41+sobrestock_sustitutos!$F$88/12</f>
        <v>2024.1462914505</v>
      </c>
      <c r="K130" s="21" t="n">
        <f aca="false">datos_base!$F$2*parametros_recargas!$I$41+sobrestock_sustitutos!$F$88/12</f>
        <v>2024.1462914505</v>
      </c>
      <c r="L130" s="21" t="n">
        <f aca="false">datos_base!$F$2*parametros_recargas!$J$41+sobrestock_sustitutos!$F$88/12</f>
        <v>2024.1462914505</v>
      </c>
      <c r="M130" s="21" t="n">
        <f aca="false">datos_base!$F$2*parametros_recargas!$K$41+sobrestock_sustitutos!$F$88/12</f>
        <v>2024.1462914505</v>
      </c>
      <c r="N130" s="21" t="n">
        <f aca="false">datos_base!$F$2*parametros_recargas!$L$41+sobrestock_sustitutos!$F$88/12</f>
        <v>2024.1462914505</v>
      </c>
      <c r="O130" s="21" t="n">
        <f aca="false">datos_base!$F$2*parametros_recargas!$M$41+sobrestock_sustitutos!$F$88/12</f>
        <v>2024.1462914505</v>
      </c>
      <c r="P130" s="6" t="n">
        <f aca="false">SUM(D130:O130)</f>
        <v>24289.755497406</v>
      </c>
      <c r="Q130" s="4" t="n">
        <f aca="false">sobrestock_sustitutos!$F$88</f>
        <v>0</v>
      </c>
    </row>
    <row r="131" customFormat="false" ht="15" hidden="false" customHeight="false" outlineLevel="0" collapsed="false">
      <c r="A131" s="8" t="str">
        <f aca="false">parametros_recargas!A52</f>
        <v>ABC 2,5 kg</v>
      </c>
      <c r="B131" s="8" t="str">
        <f aca="false">parametros_recargas!B52</f>
        <v>ABC</v>
      </c>
      <c r="C131" s="11" t="n">
        <f aca="false">parametros_recargas!C52</f>
        <v>1</v>
      </c>
      <c r="D131" s="21" t="n">
        <f aca="false">datos_base!$F$3*parametros_recargas!$B$41+sobrestock_sustitutos!$F$89/12</f>
        <v>190.242417286328</v>
      </c>
      <c r="E131" s="21" t="n">
        <f aca="false">datos_base!$F$3*parametros_recargas!$C$41+sobrestock_sustitutos!$F$89/12</f>
        <v>190.242417286328</v>
      </c>
      <c r="F131" s="21" t="n">
        <f aca="false">datos_base!$F$3*parametros_recargas!$D$41+sobrestock_sustitutos!$F$89/12</f>
        <v>190.242417286328</v>
      </c>
      <c r="G131" s="21" t="n">
        <f aca="false">datos_base!$F$3*parametros_recargas!$E$41+sobrestock_sustitutos!$F$89/12</f>
        <v>190.242417286328</v>
      </c>
      <c r="H131" s="21" t="n">
        <f aca="false">datos_base!$F$3*parametros_recargas!$F$41+sobrestock_sustitutos!$F$89/12</f>
        <v>190.242417286328</v>
      </c>
      <c r="I131" s="21" t="n">
        <f aca="false">datos_base!$F$3*parametros_recargas!$G$41+sobrestock_sustitutos!$F$89/12</f>
        <v>190.242417286328</v>
      </c>
      <c r="J131" s="21" t="n">
        <f aca="false">datos_base!$F$3*parametros_recargas!$H$41+sobrestock_sustitutos!$F$89/12</f>
        <v>190.242417286328</v>
      </c>
      <c r="K131" s="21" t="n">
        <f aca="false">datos_base!$F$3*parametros_recargas!$I$41+sobrestock_sustitutos!$F$89/12</f>
        <v>190.242417286328</v>
      </c>
      <c r="L131" s="21" t="n">
        <f aca="false">datos_base!$F$3*parametros_recargas!$J$41+sobrestock_sustitutos!$F$89/12</f>
        <v>190.242417286328</v>
      </c>
      <c r="M131" s="21" t="n">
        <f aca="false">datos_base!$F$3*parametros_recargas!$K$41+sobrestock_sustitutos!$F$89/12</f>
        <v>190.242417286328</v>
      </c>
      <c r="N131" s="21" t="n">
        <f aca="false">datos_base!$F$3*parametros_recargas!$L$41+sobrestock_sustitutos!$F$89/12</f>
        <v>190.242417286328</v>
      </c>
      <c r="O131" s="21" t="n">
        <f aca="false">datos_base!$F$3*parametros_recargas!$M$41+sobrestock_sustitutos!$F$89/12</f>
        <v>190.242417286328</v>
      </c>
      <c r="P131" s="6" t="n">
        <f aca="false">SUM(D131:O131)</f>
        <v>2282.90900743594</v>
      </c>
      <c r="Q131" s="4" t="n">
        <f aca="false">sobrestock_sustitutos!$F$89</f>
        <v>20</v>
      </c>
    </row>
    <row r="132" customFormat="false" ht="15" hidden="false" customHeight="false" outlineLevel="0" collapsed="false">
      <c r="A132" s="8" t="str">
        <f aca="false">parametros_recargas!A53</f>
        <v>ABC 5 kg</v>
      </c>
      <c r="B132" s="8" t="str">
        <f aca="false">parametros_recargas!B53</f>
        <v>ABC</v>
      </c>
      <c r="C132" s="11" t="n">
        <f aca="false">parametros_recargas!C53</f>
        <v>1</v>
      </c>
      <c r="D132" s="21" t="n">
        <f aca="false">datos_base!$F$4*parametros_recargas!$B$41+sobrestock_sustitutos!$F$90/12</f>
        <v>1172.90244677614</v>
      </c>
      <c r="E132" s="21" t="n">
        <f aca="false">datos_base!$F$4*parametros_recargas!$C$41+sobrestock_sustitutos!$F$90/12</f>
        <v>1172.90244677614</v>
      </c>
      <c r="F132" s="21" t="n">
        <f aca="false">datos_base!$F$4*parametros_recargas!$D$41+sobrestock_sustitutos!$F$90/12</f>
        <v>1172.90244677614</v>
      </c>
      <c r="G132" s="21" t="n">
        <f aca="false">datos_base!$F$4*parametros_recargas!$E$41+sobrestock_sustitutos!$F$90/12</f>
        <v>1172.90244677614</v>
      </c>
      <c r="H132" s="21" t="n">
        <f aca="false">datos_base!$F$4*parametros_recargas!$F$41+sobrestock_sustitutos!$F$90/12</f>
        <v>1172.90244677614</v>
      </c>
      <c r="I132" s="21" t="n">
        <f aca="false">datos_base!$F$4*parametros_recargas!$G$41+sobrestock_sustitutos!$F$90/12</f>
        <v>1172.90244677614</v>
      </c>
      <c r="J132" s="21" t="n">
        <f aca="false">datos_base!$F$4*parametros_recargas!$H$41+sobrestock_sustitutos!$F$90/12</f>
        <v>1172.90244677614</v>
      </c>
      <c r="K132" s="21" t="n">
        <f aca="false">datos_base!$F$4*parametros_recargas!$I$41+sobrestock_sustitutos!$F$90/12</f>
        <v>1172.90244677614</v>
      </c>
      <c r="L132" s="21" t="n">
        <f aca="false">datos_base!$F$4*parametros_recargas!$J$41+sobrestock_sustitutos!$F$90/12</f>
        <v>1172.90244677614</v>
      </c>
      <c r="M132" s="21" t="n">
        <f aca="false">datos_base!$F$4*parametros_recargas!$K$41+sobrestock_sustitutos!$F$90/12</f>
        <v>1172.90244677614</v>
      </c>
      <c r="N132" s="21" t="n">
        <f aca="false">datos_base!$F$4*parametros_recargas!$L$41+sobrestock_sustitutos!$F$90/12</f>
        <v>1172.90244677614</v>
      </c>
      <c r="O132" s="21" t="n">
        <f aca="false">datos_base!$F$4*parametros_recargas!$M$41+sobrestock_sustitutos!$F$90/12</f>
        <v>1172.90244677614</v>
      </c>
      <c r="P132" s="6" t="n">
        <f aca="false">SUM(D132:O132)</f>
        <v>14074.8293613136</v>
      </c>
      <c r="Q132" s="4" t="n">
        <f aca="false">sobrestock_sustitutos!$F$90</f>
        <v>122</v>
      </c>
    </row>
    <row r="133" customFormat="false" ht="15" hidden="false" customHeight="false" outlineLevel="0" collapsed="false">
      <c r="A133" s="8" t="str">
        <f aca="false">parametros_recargas!A54</f>
        <v>ABC 10 kg</v>
      </c>
      <c r="B133" s="8" t="str">
        <f aca="false">parametros_recargas!B54</f>
        <v>ABC</v>
      </c>
      <c r="C133" s="11" t="n">
        <f aca="false">parametros_recargas!C54</f>
        <v>1</v>
      </c>
      <c r="D133" s="21" t="n">
        <f aca="false">datos_base!$F$5*parametros_recargas!$B$41+sobrestock_sustitutos!$F$91/12</f>
        <v>69.002182026621</v>
      </c>
      <c r="E133" s="21" t="n">
        <f aca="false">datos_base!$F$5*parametros_recargas!$C$41+sobrestock_sustitutos!$F$91/12</f>
        <v>69.002182026621</v>
      </c>
      <c r="F133" s="21" t="n">
        <f aca="false">datos_base!$F$5*parametros_recargas!$D$41+sobrestock_sustitutos!$F$91/12</f>
        <v>69.002182026621</v>
      </c>
      <c r="G133" s="21" t="n">
        <f aca="false">datos_base!$F$5*parametros_recargas!$E$41+sobrestock_sustitutos!$F$91/12</f>
        <v>69.002182026621</v>
      </c>
      <c r="H133" s="21" t="n">
        <f aca="false">datos_base!$F$5*parametros_recargas!$F$41+sobrestock_sustitutos!$F$91/12</f>
        <v>69.002182026621</v>
      </c>
      <c r="I133" s="21" t="n">
        <f aca="false">datos_base!$F$5*parametros_recargas!$G$41+sobrestock_sustitutos!$F$91/12</f>
        <v>69.002182026621</v>
      </c>
      <c r="J133" s="21" t="n">
        <f aca="false">datos_base!$F$5*parametros_recargas!$H$41+sobrestock_sustitutos!$F$91/12</f>
        <v>69.002182026621</v>
      </c>
      <c r="K133" s="21" t="n">
        <f aca="false">datos_base!$F$5*parametros_recargas!$I$41+sobrestock_sustitutos!$F$91/12</f>
        <v>69.002182026621</v>
      </c>
      <c r="L133" s="21" t="n">
        <f aca="false">datos_base!$F$5*parametros_recargas!$J$41+sobrestock_sustitutos!$F$91/12</f>
        <v>69.002182026621</v>
      </c>
      <c r="M133" s="21" t="n">
        <f aca="false">datos_base!$F$5*parametros_recargas!$K$41+sobrestock_sustitutos!$F$91/12</f>
        <v>69.002182026621</v>
      </c>
      <c r="N133" s="21" t="n">
        <f aca="false">datos_base!$F$5*parametros_recargas!$L$41+sobrestock_sustitutos!$F$91/12</f>
        <v>69.002182026621</v>
      </c>
      <c r="O133" s="21" t="n">
        <f aca="false">datos_base!$F$5*parametros_recargas!$M$41+sobrestock_sustitutos!$F$91/12</f>
        <v>69.002182026621</v>
      </c>
      <c r="P133" s="6" t="n">
        <f aca="false">SUM(D133:O133)</f>
        <v>828.026184319452</v>
      </c>
      <c r="Q133" s="4" t="n">
        <f aca="false">sobrestock_sustitutos!$F$91</f>
        <v>8</v>
      </c>
    </row>
    <row r="134" customFormat="false" ht="15" hidden="false" customHeight="false" outlineLevel="0" collapsed="false">
      <c r="A134" s="8" t="str">
        <f aca="false">parametros_recargas!A55</f>
        <v>Agua 10 l</v>
      </c>
      <c r="B134" s="8" t="str">
        <f aca="false">parametros_recargas!B55</f>
        <v>Agua</v>
      </c>
      <c r="C134" s="11" t="n">
        <f aca="false">parametros_recargas!C55</f>
        <v>1</v>
      </c>
      <c r="D134" s="21" t="n">
        <f aca="false">datos_base!$F$6*parametros_recargas!$B$41+sobrestock_sustitutos!$F$92/12</f>
        <v>96.7071655938188</v>
      </c>
      <c r="E134" s="21" t="n">
        <f aca="false">datos_base!$F$6*parametros_recargas!$C$41+sobrestock_sustitutos!$F$92/12</f>
        <v>96.7071655938188</v>
      </c>
      <c r="F134" s="21" t="n">
        <f aca="false">datos_base!$F$6*parametros_recargas!$D$41+sobrestock_sustitutos!$F$92/12</f>
        <v>96.7071655938188</v>
      </c>
      <c r="G134" s="21" t="n">
        <f aca="false">datos_base!$F$6*parametros_recargas!$E$41+sobrestock_sustitutos!$F$92/12</f>
        <v>96.7071655938188</v>
      </c>
      <c r="H134" s="21" t="n">
        <f aca="false">datos_base!$F$6*parametros_recargas!$F$41+sobrestock_sustitutos!$F$92/12</f>
        <v>96.7071655938188</v>
      </c>
      <c r="I134" s="21" t="n">
        <f aca="false">datos_base!$F$6*parametros_recargas!$G$41+sobrestock_sustitutos!$F$92/12</f>
        <v>96.7071655938188</v>
      </c>
      <c r="J134" s="21" t="n">
        <f aca="false">datos_base!$F$6*parametros_recargas!$H$41+sobrestock_sustitutos!$F$92/12</f>
        <v>96.7071655938188</v>
      </c>
      <c r="K134" s="21" t="n">
        <f aca="false">datos_base!$F$6*parametros_recargas!$I$41+sobrestock_sustitutos!$F$92/12</f>
        <v>96.7071655938188</v>
      </c>
      <c r="L134" s="21" t="n">
        <f aca="false">datos_base!$F$6*parametros_recargas!$J$41+sobrestock_sustitutos!$F$92/12</f>
        <v>96.7071655938188</v>
      </c>
      <c r="M134" s="21" t="n">
        <f aca="false">datos_base!$F$6*parametros_recargas!$K$41+sobrestock_sustitutos!$F$92/12</f>
        <v>96.7071655938188</v>
      </c>
      <c r="N134" s="21" t="n">
        <f aca="false">datos_base!$F$6*parametros_recargas!$L$41+sobrestock_sustitutos!$F$92/12</f>
        <v>96.7071655938188</v>
      </c>
      <c r="O134" s="21" t="n">
        <f aca="false">datos_base!$F$6*parametros_recargas!$M$41+sobrestock_sustitutos!$F$92/12</f>
        <v>96.7071655938188</v>
      </c>
      <c r="P134" s="6" t="n">
        <f aca="false">SUM(D134:O134)</f>
        <v>1160.48598712583</v>
      </c>
      <c r="Q134" s="4" t="n">
        <f aca="false">sobrestock_sustitutos!$F$92</f>
        <v>10</v>
      </c>
    </row>
    <row r="135" customFormat="false" ht="15" hidden="false" customHeight="false" outlineLevel="0" collapsed="false">
      <c r="A135" s="8" t="str">
        <f aca="false">parametros_recargas!A56</f>
        <v>AFFF 10 l</v>
      </c>
      <c r="B135" s="8" t="str">
        <f aca="false">parametros_recargas!B56</f>
        <v>AFFF</v>
      </c>
      <c r="C135" s="11" t="n">
        <f aca="false">parametros_recargas!C56</f>
        <v>1</v>
      </c>
      <c r="D135" s="21" t="n">
        <f aca="false">datos_base!$F$7*parametros_recargas!$B$41+sobrestock_sustitutos!$F$93/12</f>
        <v>18.0322605520474</v>
      </c>
      <c r="E135" s="21" t="n">
        <f aca="false">datos_base!$F$7*parametros_recargas!$C$41+sobrestock_sustitutos!$F$93/12</f>
        <v>18.0322605520474</v>
      </c>
      <c r="F135" s="21" t="n">
        <f aca="false">datos_base!$F$7*parametros_recargas!$D$41+sobrestock_sustitutos!$F$93/12</f>
        <v>18.0322605520474</v>
      </c>
      <c r="G135" s="21" t="n">
        <f aca="false">datos_base!$F$7*parametros_recargas!$E$41+sobrestock_sustitutos!$F$93/12</f>
        <v>18.0322605520474</v>
      </c>
      <c r="H135" s="21" t="n">
        <f aca="false">datos_base!$F$7*parametros_recargas!$F$41+sobrestock_sustitutos!$F$93/12</f>
        <v>18.0322605520474</v>
      </c>
      <c r="I135" s="21" t="n">
        <f aca="false">datos_base!$F$7*parametros_recargas!$G$41+sobrestock_sustitutos!$F$93/12</f>
        <v>18.0322605520474</v>
      </c>
      <c r="J135" s="21" t="n">
        <f aca="false">datos_base!$F$7*parametros_recargas!$H$41+sobrestock_sustitutos!$F$93/12</f>
        <v>18.0322605520474</v>
      </c>
      <c r="K135" s="21" t="n">
        <f aca="false">datos_base!$F$7*parametros_recargas!$I$41+sobrestock_sustitutos!$F$93/12</f>
        <v>18.0322605520474</v>
      </c>
      <c r="L135" s="21" t="n">
        <f aca="false">datos_base!$F$7*parametros_recargas!$J$41+sobrestock_sustitutos!$F$93/12</f>
        <v>18.0322605520474</v>
      </c>
      <c r="M135" s="21" t="n">
        <f aca="false">datos_base!$F$7*parametros_recargas!$K$41+sobrestock_sustitutos!$F$93/12</f>
        <v>18.0322605520474</v>
      </c>
      <c r="N135" s="21" t="n">
        <f aca="false">datos_base!$F$7*parametros_recargas!$L$41+sobrestock_sustitutos!$F$93/12</f>
        <v>18.0322605520474</v>
      </c>
      <c r="O135" s="21" t="n">
        <f aca="false">datos_base!$F$7*parametros_recargas!$M$41+sobrestock_sustitutos!$F$93/12</f>
        <v>18.0322605520474</v>
      </c>
      <c r="P135" s="6" t="n">
        <f aca="false">SUM(D135:O135)</f>
        <v>216.387126624568</v>
      </c>
      <c r="Q135" s="4" t="n">
        <f aca="false">sobrestock_sustitutos!$F$93</f>
        <v>2</v>
      </c>
    </row>
    <row r="136" customFormat="false" ht="15" hidden="false" customHeight="false" outlineLevel="0" collapsed="false">
      <c r="A136" s="8" t="str">
        <f aca="false">parametros_recargas!A57</f>
        <v>AFFF 50 l s/ruedas</v>
      </c>
      <c r="B136" s="8" t="str">
        <f aca="false">parametros_recargas!B57</f>
        <v>AFFF</v>
      </c>
      <c r="C136" s="11" t="n">
        <f aca="false">parametros_recargas!C57</f>
        <v>3</v>
      </c>
      <c r="D136" s="21" t="n">
        <f aca="false">datos_base!$F$8*parametros_recargas!$B$41+sobrestock_sustitutos!$F$94/12</f>
        <v>9.74818876911186</v>
      </c>
      <c r="E136" s="21" t="n">
        <f aca="false">datos_base!$F$8*parametros_recargas!$C$41+sobrestock_sustitutos!$F$94/12</f>
        <v>9.74818876911186</v>
      </c>
      <c r="F136" s="21" t="n">
        <f aca="false">datos_base!$F$8*parametros_recargas!$D$41+sobrestock_sustitutos!$F$94/12</f>
        <v>9.74818876911186</v>
      </c>
      <c r="G136" s="21" t="n">
        <f aca="false">datos_base!$F$8*parametros_recargas!$E$41+sobrestock_sustitutos!$F$94/12</f>
        <v>9.74818876911186</v>
      </c>
      <c r="H136" s="21" t="n">
        <f aca="false">datos_base!$F$8*parametros_recargas!$F$41+sobrestock_sustitutos!$F$94/12</f>
        <v>9.74818876911186</v>
      </c>
      <c r="I136" s="21" t="n">
        <f aca="false">datos_base!$F$8*parametros_recargas!$G$41+sobrestock_sustitutos!$F$94/12</f>
        <v>9.74818876911186</v>
      </c>
      <c r="J136" s="21" t="n">
        <f aca="false">datos_base!$F$8*parametros_recargas!$H$41+sobrestock_sustitutos!$F$94/12</f>
        <v>9.74818876911186</v>
      </c>
      <c r="K136" s="21" t="n">
        <f aca="false">datos_base!$F$8*parametros_recargas!$I$41+sobrestock_sustitutos!$F$94/12</f>
        <v>9.74818876911186</v>
      </c>
      <c r="L136" s="21" t="n">
        <f aca="false">datos_base!$F$8*parametros_recargas!$J$41+sobrestock_sustitutos!$F$94/12</f>
        <v>9.74818876911186</v>
      </c>
      <c r="M136" s="21" t="n">
        <f aca="false">datos_base!$F$8*parametros_recargas!$K$41+sobrestock_sustitutos!$F$94/12</f>
        <v>9.74818876911186</v>
      </c>
      <c r="N136" s="21" t="n">
        <f aca="false">datos_base!$F$8*parametros_recargas!$L$41+sobrestock_sustitutos!$F$94/12</f>
        <v>9.74818876911186</v>
      </c>
      <c r="O136" s="21" t="n">
        <f aca="false">datos_base!$F$8*parametros_recargas!$M$41+sobrestock_sustitutos!$F$94/12</f>
        <v>9.74818876911186</v>
      </c>
      <c r="P136" s="6" t="n">
        <f aca="false">SUM(D136:O136)</f>
        <v>116.978265229342</v>
      </c>
      <c r="Q136" s="4" t="n">
        <f aca="false">sobrestock_sustitutos!$F$94</f>
        <v>2</v>
      </c>
    </row>
    <row r="137" customFormat="false" ht="15" hidden="false" customHeight="false" outlineLevel="0" collapsed="false">
      <c r="A137" s="8" t="str">
        <f aca="false">parametros_recargas!A58</f>
        <v>BC 5 kg</v>
      </c>
      <c r="B137" s="8" t="str">
        <f aca="false">parametros_recargas!B58</f>
        <v>BC</v>
      </c>
      <c r="C137" s="11" t="n">
        <f aca="false">parametros_recargas!C58</f>
        <v>1</v>
      </c>
      <c r="D137" s="21" t="n">
        <f aca="false">datos_base!$F$9*parametros_recargas!$B$41+sobrestock_sustitutos!$F$95/12</f>
        <v>5.36277409888768</v>
      </c>
      <c r="E137" s="21" t="n">
        <f aca="false">datos_base!$F$9*parametros_recargas!$C$41+sobrestock_sustitutos!$F$95/12</f>
        <v>5.36277409888768</v>
      </c>
      <c r="F137" s="21" t="n">
        <f aca="false">datos_base!$F$9*parametros_recargas!$D$41+sobrestock_sustitutos!$F$95/12</f>
        <v>5.36277409888768</v>
      </c>
      <c r="G137" s="21" t="n">
        <f aca="false">datos_base!$F$9*parametros_recargas!$E$41+sobrestock_sustitutos!$F$95/12</f>
        <v>5.36277409888768</v>
      </c>
      <c r="H137" s="21" t="n">
        <f aca="false">datos_base!$F$9*parametros_recargas!$F$41+sobrestock_sustitutos!$F$95/12</f>
        <v>5.36277409888768</v>
      </c>
      <c r="I137" s="21" t="n">
        <f aca="false">datos_base!$F$9*parametros_recargas!$G$41+sobrestock_sustitutos!$F$95/12</f>
        <v>5.36277409888768</v>
      </c>
      <c r="J137" s="21" t="n">
        <f aca="false">datos_base!$F$9*parametros_recargas!$H$41+sobrestock_sustitutos!$F$95/12</f>
        <v>5.36277409888768</v>
      </c>
      <c r="K137" s="21" t="n">
        <f aca="false">datos_base!$F$9*parametros_recargas!$I$41+sobrestock_sustitutos!$F$95/12</f>
        <v>5.36277409888768</v>
      </c>
      <c r="L137" s="21" t="n">
        <f aca="false">datos_base!$F$9*parametros_recargas!$J$41+sobrestock_sustitutos!$F$95/12</f>
        <v>5.36277409888768</v>
      </c>
      <c r="M137" s="21" t="n">
        <f aca="false">datos_base!$F$9*parametros_recargas!$K$41+sobrestock_sustitutos!$F$95/12</f>
        <v>5.36277409888768</v>
      </c>
      <c r="N137" s="21" t="n">
        <f aca="false">datos_base!$F$9*parametros_recargas!$L$41+sobrestock_sustitutos!$F$95/12</f>
        <v>5.36277409888768</v>
      </c>
      <c r="O137" s="21" t="n">
        <f aca="false">datos_base!$F$9*parametros_recargas!$M$41+sobrestock_sustitutos!$F$95/12</f>
        <v>5.36277409888768</v>
      </c>
      <c r="P137" s="6" t="n">
        <f aca="false">SUM(D137:O137)</f>
        <v>64.3532891866521</v>
      </c>
      <c r="Q137" s="4" t="n">
        <f aca="false">sobrestock_sustitutos!$F$95</f>
        <v>1</v>
      </c>
    </row>
    <row r="138" customFormat="false" ht="15" hidden="false" customHeight="false" outlineLevel="0" collapsed="false">
      <c r="A138" s="8" t="str">
        <f aca="false">parametros_recargas!A59</f>
        <v>Sales K 6 l</v>
      </c>
      <c r="B138" s="8" t="str">
        <f aca="false">parametros_recargas!B59</f>
        <v>Sales K</v>
      </c>
      <c r="C138" s="11" t="n">
        <f aca="false">parametros_recargas!C59</f>
        <v>1</v>
      </c>
      <c r="D138" s="21" t="n">
        <f aca="false">datos_base!$F$10*parametros_recargas!$B$41+sobrestock_sustitutos!$F$96/12</f>
        <v>47.5223306090119</v>
      </c>
      <c r="E138" s="21" t="n">
        <f aca="false">datos_base!$F$10*parametros_recargas!$C$41+sobrestock_sustitutos!$F$96/12</f>
        <v>47.5223306090119</v>
      </c>
      <c r="F138" s="21" t="n">
        <f aca="false">datos_base!$F$10*parametros_recargas!$D$41+sobrestock_sustitutos!$F$96/12</f>
        <v>47.5223306090119</v>
      </c>
      <c r="G138" s="21" t="n">
        <f aca="false">datos_base!$F$10*parametros_recargas!$E$41+sobrestock_sustitutos!$F$96/12</f>
        <v>47.5223306090119</v>
      </c>
      <c r="H138" s="21" t="n">
        <f aca="false">datos_base!$F$10*parametros_recargas!$F$41+sobrestock_sustitutos!$F$96/12</f>
        <v>47.5223306090119</v>
      </c>
      <c r="I138" s="21" t="n">
        <f aca="false">datos_base!$F$10*parametros_recargas!$G$41+sobrestock_sustitutos!$F$96/12</f>
        <v>47.5223306090119</v>
      </c>
      <c r="J138" s="21" t="n">
        <f aca="false">datos_base!$F$10*parametros_recargas!$H$41+sobrestock_sustitutos!$F$96/12</f>
        <v>47.5223306090119</v>
      </c>
      <c r="K138" s="21" t="n">
        <f aca="false">datos_base!$F$10*parametros_recargas!$I$41+sobrestock_sustitutos!$F$96/12</f>
        <v>47.5223306090119</v>
      </c>
      <c r="L138" s="21" t="n">
        <f aca="false">datos_base!$F$10*parametros_recargas!$J$41+sobrestock_sustitutos!$F$96/12</f>
        <v>47.5223306090119</v>
      </c>
      <c r="M138" s="21" t="n">
        <f aca="false">datos_base!$F$10*parametros_recargas!$K$41+sobrestock_sustitutos!$F$96/12</f>
        <v>47.5223306090119</v>
      </c>
      <c r="N138" s="21" t="n">
        <f aca="false">datos_base!$F$10*parametros_recargas!$L$41+sobrestock_sustitutos!$F$96/12</f>
        <v>47.5223306090119</v>
      </c>
      <c r="O138" s="21" t="n">
        <f aca="false">datos_base!$F$10*parametros_recargas!$M$41+sobrestock_sustitutos!$F$96/12</f>
        <v>47.5223306090119</v>
      </c>
      <c r="P138" s="6" t="n">
        <f aca="false">SUM(D138:O138)</f>
        <v>570.267967308143</v>
      </c>
      <c r="Q138" s="4" t="n">
        <f aca="false">sobrestock_sustitutos!$F$96</f>
        <v>5</v>
      </c>
    </row>
    <row r="139" customFormat="false" ht="15" hidden="false" customHeight="false" outlineLevel="0" collapsed="false">
      <c r="A139" s="8" t="str">
        <f aca="false">parametros_recargas!A60</f>
        <v>CO₂ 2 kg</v>
      </c>
      <c r="B139" s="8" t="str">
        <f aca="false">parametros_recargas!B60</f>
        <v>CO₂</v>
      </c>
      <c r="C139" s="11" t="n">
        <f aca="false">parametros_recargas!C60</f>
        <v>1</v>
      </c>
      <c r="D139" s="21" t="n">
        <f aca="false">datos_base!$F$11*parametros_recargas!$B$41+sobrestock_sustitutos!$F$97/12</f>
        <v>264.632031632363</v>
      </c>
      <c r="E139" s="21" t="n">
        <f aca="false">datos_base!$F$11*parametros_recargas!$C$41+sobrestock_sustitutos!$F$97/12</f>
        <v>264.632031632363</v>
      </c>
      <c r="F139" s="21" t="n">
        <f aca="false">datos_base!$F$11*parametros_recargas!$D$41+sobrestock_sustitutos!$F$97/12</f>
        <v>264.632031632363</v>
      </c>
      <c r="G139" s="21" t="n">
        <f aca="false">datos_base!$F$11*parametros_recargas!$E$41+sobrestock_sustitutos!$F$97/12</f>
        <v>264.632031632363</v>
      </c>
      <c r="H139" s="21" t="n">
        <f aca="false">datos_base!$F$11*parametros_recargas!$F$41+sobrestock_sustitutos!$F$97/12</f>
        <v>264.632031632363</v>
      </c>
      <c r="I139" s="21" t="n">
        <f aca="false">datos_base!$F$11*parametros_recargas!$G$41+sobrestock_sustitutos!$F$97/12</f>
        <v>264.632031632363</v>
      </c>
      <c r="J139" s="21" t="n">
        <f aca="false">datos_base!$F$11*parametros_recargas!$H$41+sobrestock_sustitutos!$F$97/12</f>
        <v>264.632031632363</v>
      </c>
      <c r="K139" s="21" t="n">
        <f aca="false">datos_base!$F$11*parametros_recargas!$I$41+sobrestock_sustitutos!$F$97/12</f>
        <v>264.632031632363</v>
      </c>
      <c r="L139" s="21" t="n">
        <f aca="false">datos_base!$F$11*parametros_recargas!$J$41+sobrestock_sustitutos!$F$97/12</f>
        <v>264.632031632363</v>
      </c>
      <c r="M139" s="21" t="n">
        <f aca="false">datos_base!$F$11*parametros_recargas!$K$41+sobrestock_sustitutos!$F$97/12</f>
        <v>264.632031632363</v>
      </c>
      <c r="N139" s="21" t="n">
        <f aca="false">datos_base!$F$11*parametros_recargas!$L$41+sobrestock_sustitutos!$F$97/12</f>
        <v>264.632031632363</v>
      </c>
      <c r="O139" s="21" t="n">
        <f aca="false">datos_base!$F$11*parametros_recargas!$M$41+sobrestock_sustitutos!$F$97/12</f>
        <v>264.632031632363</v>
      </c>
      <c r="P139" s="6" t="n">
        <f aca="false">SUM(D139:O139)</f>
        <v>3175.58437958836</v>
      </c>
      <c r="Q139" s="4" t="n">
        <f aca="false">sobrestock_sustitutos!$F$97</f>
        <v>28</v>
      </c>
    </row>
    <row r="140" customFormat="false" ht="15" hidden="false" customHeight="false" outlineLevel="0" collapsed="false">
      <c r="A140" s="8" t="str">
        <f aca="false">parametros_recargas!A61</f>
        <v>CO₂ 5 kg</v>
      </c>
      <c r="B140" s="8" t="str">
        <f aca="false">parametros_recargas!B61</f>
        <v>CO₂</v>
      </c>
      <c r="C140" s="11" t="n">
        <f aca="false">parametros_recargas!C61</f>
        <v>1</v>
      </c>
      <c r="D140" s="21" t="n">
        <f aca="false">datos_base!$F$12*parametros_recargas!$B$41+sobrestock_sustitutos!$F$98/12</f>
        <v>85.9060571370789</v>
      </c>
      <c r="E140" s="21" t="n">
        <f aca="false">datos_base!$F$12*parametros_recargas!$C$41+sobrestock_sustitutos!$F$98/12</f>
        <v>85.9060571370789</v>
      </c>
      <c r="F140" s="21" t="n">
        <f aca="false">datos_base!$F$12*parametros_recargas!$D$41+sobrestock_sustitutos!$F$98/12</f>
        <v>85.9060571370789</v>
      </c>
      <c r="G140" s="21" t="n">
        <f aca="false">datos_base!$F$12*parametros_recargas!$E$41+sobrestock_sustitutos!$F$98/12</f>
        <v>85.9060571370789</v>
      </c>
      <c r="H140" s="21" t="n">
        <f aca="false">datos_base!$F$12*parametros_recargas!$F$41+sobrestock_sustitutos!$F$98/12</f>
        <v>85.9060571370789</v>
      </c>
      <c r="I140" s="21" t="n">
        <f aca="false">datos_base!$F$12*parametros_recargas!$G$41+sobrestock_sustitutos!$F$98/12</f>
        <v>85.9060571370789</v>
      </c>
      <c r="J140" s="21" t="n">
        <f aca="false">datos_base!$F$12*parametros_recargas!$H$41+sobrestock_sustitutos!$F$98/12</f>
        <v>85.9060571370789</v>
      </c>
      <c r="K140" s="21" t="n">
        <f aca="false">datos_base!$F$12*parametros_recargas!$I$41+sobrestock_sustitutos!$F$98/12</f>
        <v>85.9060571370789</v>
      </c>
      <c r="L140" s="21" t="n">
        <f aca="false">datos_base!$F$12*parametros_recargas!$J$41+sobrestock_sustitutos!$F$98/12</f>
        <v>85.9060571370789</v>
      </c>
      <c r="M140" s="21" t="n">
        <f aca="false">datos_base!$F$12*parametros_recargas!$K$41+sobrestock_sustitutos!$F$98/12</f>
        <v>85.9060571370789</v>
      </c>
      <c r="N140" s="21" t="n">
        <f aca="false">datos_base!$F$12*parametros_recargas!$L$41+sobrestock_sustitutos!$F$98/12</f>
        <v>85.9060571370789</v>
      </c>
      <c r="O140" s="21" t="n">
        <f aca="false">datos_base!$F$12*parametros_recargas!$M$41+sobrestock_sustitutos!$F$98/12</f>
        <v>85.9060571370789</v>
      </c>
      <c r="P140" s="6" t="n">
        <f aca="false">SUM(D140:O140)</f>
        <v>1030.87268564495</v>
      </c>
      <c r="Q140" s="4" t="n">
        <f aca="false">sobrestock_sustitutos!$F$98</f>
        <v>9</v>
      </c>
    </row>
    <row r="141" customFormat="false" ht="15" hidden="false" customHeight="false" outlineLevel="0" collapsed="false">
      <c r="A141" s="8" t="str">
        <f aca="false">parametros_recargas!A62</f>
        <v>HCFC/HFC 5 kg</v>
      </c>
      <c r="B141" s="8" t="str">
        <f aca="false">parametros_recargas!B62</f>
        <v>Halogenado</v>
      </c>
      <c r="C141" s="11" t="n">
        <f aca="false">parametros_recargas!C62</f>
        <v>1</v>
      </c>
      <c r="D141" s="21" t="n">
        <f aca="false">datos_base!$F$13*parametros_recargas!$B$41+sobrestock_sustitutos!$F$99/12</f>
        <v>13.9661764569909</v>
      </c>
      <c r="E141" s="21" t="n">
        <f aca="false">datos_base!$F$13*parametros_recargas!$C$41+sobrestock_sustitutos!$F$99/12</f>
        <v>13.9661764569909</v>
      </c>
      <c r="F141" s="21" t="n">
        <f aca="false">datos_base!$F$13*parametros_recargas!$D$41+sobrestock_sustitutos!$F$99/12</f>
        <v>13.9661764569909</v>
      </c>
      <c r="G141" s="21" t="n">
        <f aca="false">datos_base!$F$13*parametros_recargas!$E$41+sobrestock_sustitutos!$F$99/12</f>
        <v>13.9661764569909</v>
      </c>
      <c r="H141" s="21" t="n">
        <f aca="false">datos_base!$F$13*parametros_recargas!$F$41+sobrestock_sustitutos!$F$99/12</f>
        <v>13.9661764569909</v>
      </c>
      <c r="I141" s="21" t="n">
        <f aca="false">datos_base!$F$13*parametros_recargas!$G$41+sobrestock_sustitutos!$F$99/12</f>
        <v>13.9661764569909</v>
      </c>
      <c r="J141" s="21" t="n">
        <f aca="false">datos_base!$F$13*parametros_recargas!$H$41+sobrestock_sustitutos!$F$99/12</f>
        <v>13.9661764569909</v>
      </c>
      <c r="K141" s="21" t="n">
        <f aca="false">datos_base!$F$13*parametros_recargas!$I$41+sobrestock_sustitutos!$F$99/12</f>
        <v>13.9661764569909</v>
      </c>
      <c r="L141" s="21" t="n">
        <f aca="false">datos_base!$F$13*parametros_recargas!$J$41+sobrestock_sustitutos!$F$99/12</f>
        <v>13.9661764569909</v>
      </c>
      <c r="M141" s="21" t="n">
        <f aca="false">datos_base!$F$13*parametros_recargas!$K$41+sobrestock_sustitutos!$F$99/12</f>
        <v>13.9661764569909</v>
      </c>
      <c r="N141" s="21" t="n">
        <f aca="false">datos_base!$F$13*parametros_recargas!$L$41+sobrestock_sustitutos!$F$99/12</f>
        <v>13.9661764569909</v>
      </c>
      <c r="O141" s="21" t="n">
        <f aca="false">datos_base!$F$13*parametros_recargas!$M$41+sobrestock_sustitutos!$F$99/12</f>
        <v>13.9661764569909</v>
      </c>
      <c r="P141" s="6" t="n">
        <f aca="false">SUM(D141:O141)</f>
        <v>167.594117483891</v>
      </c>
      <c r="Q141" s="4" t="n">
        <f aca="false">sobrestock_sustitutos!$F$99</f>
        <v>2</v>
      </c>
    </row>
    <row r="142" customFormat="false" ht="15" hidden="false" customHeight="false" outlineLevel="0" collapsed="false">
      <c r="A142" s="8" t="str">
        <f aca="false">parametros_recargas!A63</f>
        <v>Clase D 9 l</v>
      </c>
      <c r="B142" s="8" t="str">
        <f aca="false">parametros_recargas!B63</f>
        <v>Clase D</v>
      </c>
      <c r="C142" s="11" t="n">
        <f aca="false">parametros_recargas!C63</f>
        <v>1</v>
      </c>
      <c r="D142" s="21" t="n">
        <f aca="false">datos_base!$F$14*parametros_recargas!$B$41+sobrestock_sustitutos!$F$100/12</f>
        <v>5.01280336285648</v>
      </c>
      <c r="E142" s="21" t="n">
        <f aca="false">datos_base!$F$14*parametros_recargas!$C$41+sobrestock_sustitutos!$F$100/12</f>
        <v>5.01280336285648</v>
      </c>
      <c r="F142" s="21" t="n">
        <f aca="false">datos_base!$F$14*parametros_recargas!$D$41+sobrestock_sustitutos!$F$100/12</f>
        <v>5.01280336285648</v>
      </c>
      <c r="G142" s="21" t="n">
        <f aca="false">datos_base!$F$14*parametros_recargas!$E$41+sobrestock_sustitutos!$F$100/12</f>
        <v>5.01280336285648</v>
      </c>
      <c r="H142" s="21" t="n">
        <f aca="false">datos_base!$F$14*parametros_recargas!$F$41+sobrestock_sustitutos!$F$100/12</f>
        <v>5.01280336285648</v>
      </c>
      <c r="I142" s="21" t="n">
        <f aca="false">datos_base!$F$14*parametros_recargas!$G$41+sobrestock_sustitutos!$F$100/12</f>
        <v>5.01280336285648</v>
      </c>
      <c r="J142" s="21" t="n">
        <f aca="false">datos_base!$F$14*parametros_recargas!$H$41+sobrestock_sustitutos!$F$100/12</f>
        <v>5.01280336285648</v>
      </c>
      <c r="K142" s="21" t="n">
        <f aca="false">datos_base!$F$14*parametros_recargas!$I$41+sobrestock_sustitutos!$F$100/12</f>
        <v>5.01280336285648</v>
      </c>
      <c r="L142" s="21" t="n">
        <f aca="false">datos_base!$F$14*parametros_recargas!$J$41+sobrestock_sustitutos!$F$100/12</f>
        <v>5.01280336285648</v>
      </c>
      <c r="M142" s="21" t="n">
        <f aca="false">datos_base!$F$14*parametros_recargas!$K$41+sobrestock_sustitutos!$F$100/12</f>
        <v>5.01280336285648</v>
      </c>
      <c r="N142" s="21" t="n">
        <f aca="false">datos_base!$F$14*parametros_recargas!$L$41+sobrestock_sustitutos!$F$100/12</f>
        <v>5.01280336285648</v>
      </c>
      <c r="O142" s="21" t="n">
        <f aca="false">datos_base!$F$14*parametros_recargas!$M$41+sobrestock_sustitutos!$F$100/12</f>
        <v>5.01280336285648</v>
      </c>
      <c r="P142" s="6" t="n">
        <f aca="false">SUM(D142:O142)</f>
        <v>60.1536403542778</v>
      </c>
      <c r="Q142" s="4" t="n">
        <f aca="false">sobrestock_sustitutos!$F$100</f>
        <v>1</v>
      </c>
    </row>
    <row r="143" customFormat="false" ht="15" hidden="false" customHeight="false" outlineLevel="0" collapsed="false">
      <c r="A143" s="8" t="str">
        <f aca="false">parametros_recargas!A64</f>
        <v>ABC 25 kg s/ruedas</v>
      </c>
      <c r="B143" s="8" t="str">
        <f aca="false">parametros_recargas!B64</f>
        <v>ABC</v>
      </c>
      <c r="C143" s="11" t="n">
        <f aca="false">parametros_recargas!C64</f>
        <v>3</v>
      </c>
      <c r="D143" s="21" t="n">
        <f aca="false">datos_base!$F$15*parametros_recargas!$B$41+sobrestock_sustitutos!$F$101/12</f>
        <v>11.7953906871797</v>
      </c>
      <c r="E143" s="21" t="n">
        <f aca="false">datos_base!$F$15*parametros_recargas!$C$41+sobrestock_sustitutos!$F$101/12</f>
        <v>11.7953906871797</v>
      </c>
      <c r="F143" s="21" t="n">
        <f aca="false">datos_base!$F$15*parametros_recargas!$D$41+sobrestock_sustitutos!$F$101/12</f>
        <v>11.7953906871797</v>
      </c>
      <c r="G143" s="21" t="n">
        <f aca="false">datos_base!$F$15*parametros_recargas!$E$41+sobrestock_sustitutos!$F$101/12</f>
        <v>11.7953906871797</v>
      </c>
      <c r="H143" s="21" t="n">
        <f aca="false">datos_base!$F$15*parametros_recargas!$F$41+sobrestock_sustitutos!$F$101/12</f>
        <v>11.7953906871797</v>
      </c>
      <c r="I143" s="21" t="n">
        <f aca="false">datos_base!$F$15*parametros_recargas!$G$41+sobrestock_sustitutos!$F$101/12</f>
        <v>11.7953906871797</v>
      </c>
      <c r="J143" s="21" t="n">
        <f aca="false">datos_base!$F$15*parametros_recargas!$H$41+sobrestock_sustitutos!$F$101/12</f>
        <v>11.7953906871797</v>
      </c>
      <c r="K143" s="21" t="n">
        <f aca="false">datos_base!$F$15*parametros_recargas!$I$41+sobrestock_sustitutos!$F$101/12</f>
        <v>11.7953906871797</v>
      </c>
      <c r="L143" s="21" t="n">
        <f aca="false">datos_base!$F$15*parametros_recargas!$J$41+sobrestock_sustitutos!$F$101/12</f>
        <v>11.7953906871797</v>
      </c>
      <c r="M143" s="21" t="n">
        <f aca="false">datos_base!$F$15*parametros_recargas!$K$41+sobrestock_sustitutos!$F$101/12</f>
        <v>11.7953906871797</v>
      </c>
      <c r="N143" s="21" t="n">
        <f aca="false">datos_base!$F$15*parametros_recargas!$L$41+sobrestock_sustitutos!$F$101/12</f>
        <v>11.7953906871797</v>
      </c>
      <c r="O143" s="21" t="n">
        <f aca="false">datos_base!$F$15*parametros_recargas!$M$41+sobrestock_sustitutos!$F$101/12</f>
        <v>11.7953906871797</v>
      </c>
      <c r="P143" s="6" t="n">
        <f aca="false">SUM(D143:O143)</f>
        <v>141.544688246156</v>
      </c>
      <c r="Q143" s="4" t="n">
        <f aca="false">sobrestock_sustitutos!$F$101</f>
        <v>2</v>
      </c>
    </row>
    <row r="144" customFormat="false" ht="15" hidden="false" customHeight="false" outlineLevel="0" collapsed="false">
      <c r="A144" s="8" t="str">
        <f aca="false">parametros_recargas!A65</f>
        <v>ABC 50 kg s/ruedas</v>
      </c>
      <c r="B144" s="8" t="str">
        <f aca="false">parametros_recargas!B65</f>
        <v>ABC</v>
      </c>
      <c r="C144" s="11" t="n">
        <f aca="false">parametros_recargas!C65</f>
        <v>3</v>
      </c>
      <c r="D144" s="21" t="n">
        <f aca="false">datos_base!$F$16*parametros_recargas!$B$41+sobrestock_sustitutos!$F$102/12</f>
        <v>25.8331928307168</v>
      </c>
      <c r="E144" s="21" t="n">
        <f aca="false">datos_base!$F$16*parametros_recargas!$C$41+sobrestock_sustitutos!$F$102/12</f>
        <v>25.8331928307168</v>
      </c>
      <c r="F144" s="21" t="n">
        <f aca="false">datos_base!$F$16*parametros_recargas!$D$41+sobrestock_sustitutos!$F$102/12</f>
        <v>25.8331928307168</v>
      </c>
      <c r="G144" s="21" t="n">
        <f aca="false">datos_base!$F$16*parametros_recargas!$E$41+sobrestock_sustitutos!$F$102/12</f>
        <v>25.8331928307168</v>
      </c>
      <c r="H144" s="21" t="n">
        <f aca="false">datos_base!$F$16*parametros_recargas!$F$41+sobrestock_sustitutos!$F$102/12</f>
        <v>25.8331928307168</v>
      </c>
      <c r="I144" s="21" t="n">
        <f aca="false">datos_base!$F$16*parametros_recargas!$G$41+sobrestock_sustitutos!$F$102/12</f>
        <v>25.8331928307168</v>
      </c>
      <c r="J144" s="21" t="n">
        <f aca="false">datos_base!$F$16*parametros_recargas!$H$41+sobrestock_sustitutos!$F$102/12</f>
        <v>25.8331928307168</v>
      </c>
      <c r="K144" s="21" t="n">
        <f aca="false">datos_base!$F$16*parametros_recargas!$I$41+sobrestock_sustitutos!$F$102/12</f>
        <v>25.8331928307168</v>
      </c>
      <c r="L144" s="21" t="n">
        <f aca="false">datos_base!$F$16*parametros_recargas!$J$41+sobrestock_sustitutos!$F$102/12</f>
        <v>25.8331928307168</v>
      </c>
      <c r="M144" s="21" t="n">
        <f aca="false">datos_base!$F$16*parametros_recargas!$K$41+sobrestock_sustitutos!$F$102/12</f>
        <v>25.8331928307168</v>
      </c>
      <c r="N144" s="21" t="n">
        <f aca="false">datos_base!$F$16*parametros_recargas!$L$41+sobrestock_sustitutos!$F$102/12</f>
        <v>25.8331928307168</v>
      </c>
      <c r="O144" s="21" t="n">
        <f aca="false">datos_base!$F$16*parametros_recargas!$M$41+sobrestock_sustitutos!$F$102/12</f>
        <v>25.8331928307168</v>
      </c>
      <c r="P144" s="6" t="n">
        <f aca="false">SUM(D144:O144)</f>
        <v>309.998313968602</v>
      </c>
      <c r="Q144" s="4" t="n">
        <f aca="false">sobrestock_sustitutos!$F$102</f>
        <v>3</v>
      </c>
    </row>
    <row r="145" customFormat="false" ht="15" hidden="false" customHeight="false" outlineLevel="0" collapsed="false">
      <c r="A145" s="8" t="str">
        <f aca="false">parametros_recargas!A66</f>
        <v>ABC 70 kg s/ruedas</v>
      </c>
      <c r="B145" s="8" t="str">
        <f aca="false">parametros_recargas!B66</f>
        <v>ABC</v>
      </c>
      <c r="C145" s="11" t="n">
        <f aca="false">parametros_recargas!C66</f>
        <v>3</v>
      </c>
      <c r="D145" s="21" t="n">
        <f aca="false">datos_base!$F$17*parametros_recargas!$B$41+sobrestock_sustitutos!$F$103/12</f>
        <v>5.6651208622188</v>
      </c>
      <c r="E145" s="21" t="n">
        <f aca="false">datos_base!$F$17*parametros_recargas!$C$41+sobrestock_sustitutos!$F$103/12</f>
        <v>5.6651208622188</v>
      </c>
      <c r="F145" s="21" t="n">
        <f aca="false">datos_base!$F$17*parametros_recargas!$D$41+sobrestock_sustitutos!$F$103/12</f>
        <v>5.6651208622188</v>
      </c>
      <c r="G145" s="21" t="n">
        <f aca="false">datos_base!$F$17*parametros_recargas!$E$41+sobrestock_sustitutos!$F$103/12</f>
        <v>5.6651208622188</v>
      </c>
      <c r="H145" s="21" t="n">
        <f aca="false">datos_base!$F$17*parametros_recargas!$F$41+sobrestock_sustitutos!$F$103/12</f>
        <v>5.6651208622188</v>
      </c>
      <c r="I145" s="21" t="n">
        <f aca="false">datos_base!$F$17*parametros_recargas!$G$41+sobrestock_sustitutos!$F$103/12</f>
        <v>5.6651208622188</v>
      </c>
      <c r="J145" s="21" t="n">
        <f aca="false">datos_base!$F$17*parametros_recargas!$H$41+sobrestock_sustitutos!$F$103/12</f>
        <v>5.6651208622188</v>
      </c>
      <c r="K145" s="21" t="n">
        <f aca="false">datos_base!$F$17*parametros_recargas!$I$41+sobrestock_sustitutos!$F$103/12</f>
        <v>5.6651208622188</v>
      </c>
      <c r="L145" s="21" t="n">
        <f aca="false">datos_base!$F$17*parametros_recargas!$J$41+sobrestock_sustitutos!$F$103/12</f>
        <v>5.6651208622188</v>
      </c>
      <c r="M145" s="21" t="n">
        <f aca="false">datos_base!$F$17*parametros_recargas!$K$41+sobrestock_sustitutos!$F$103/12</f>
        <v>5.6651208622188</v>
      </c>
      <c r="N145" s="21" t="n">
        <f aca="false">datos_base!$F$17*parametros_recargas!$L$41+sobrestock_sustitutos!$F$103/12</f>
        <v>5.6651208622188</v>
      </c>
      <c r="O145" s="21" t="n">
        <f aca="false">datos_base!$F$17*parametros_recargas!$M$41+sobrestock_sustitutos!$F$103/12</f>
        <v>5.6651208622188</v>
      </c>
      <c r="P145" s="6" t="n">
        <f aca="false">SUM(D145:O145)</f>
        <v>67.9814503466256</v>
      </c>
      <c r="Q145" s="4" t="n">
        <f aca="false">sobrestock_sustitutos!$F$103</f>
        <v>1</v>
      </c>
    </row>
    <row r="146" customFormat="false" ht="15" hidden="false" customHeight="false" outlineLevel="0" collapsed="false">
      <c r="A146" s="8" t="str">
        <f aca="false">parametros_recargas!A67</f>
        <v>ABC 100 kg s/ruedas</v>
      </c>
      <c r="B146" s="8" t="str">
        <f aca="false">parametros_recargas!B67</f>
        <v>ABC</v>
      </c>
      <c r="C146" s="11" t="n">
        <f aca="false">parametros_recargas!C67</f>
        <v>3</v>
      </c>
      <c r="D146" s="21" t="n">
        <f aca="false">datos_base!$F$18*parametros_recargas!$B$41+sobrestock_sustitutos!$F$104/12</f>
        <v>3.80452501125041</v>
      </c>
      <c r="E146" s="21" t="n">
        <f aca="false">datos_base!$F$18*parametros_recargas!$C$41+sobrestock_sustitutos!$F$104/12</f>
        <v>3.80452501125041</v>
      </c>
      <c r="F146" s="21" t="n">
        <f aca="false">datos_base!$F$18*parametros_recargas!$D$41+sobrestock_sustitutos!$F$104/12</f>
        <v>3.80452501125041</v>
      </c>
      <c r="G146" s="21" t="n">
        <f aca="false">datos_base!$F$18*parametros_recargas!$E$41+sobrestock_sustitutos!$F$104/12</f>
        <v>3.80452501125041</v>
      </c>
      <c r="H146" s="21" t="n">
        <f aca="false">datos_base!$F$18*parametros_recargas!$F$41+sobrestock_sustitutos!$F$104/12</f>
        <v>3.80452501125041</v>
      </c>
      <c r="I146" s="21" t="n">
        <f aca="false">datos_base!$F$18*parametros_recargas!$G$41+sobrestock_sustitutos!$F$104/12</f>
        <v>3.80452501125041</v>
      </c>
      <c r="J146" s="21" t="n">
        <f aca="false">datos_base!$F$18*parametros_recargas!$H$41+sobrestock_sustitutos!$F$104/12</f>
        <v>3.80452501125041</v>
      </c>
      <c r="K146" s="21" t="n">
        <f aca="false">datos_base!$F$18*parametros_recargas!$I$41+sobrestock_sustitutos!$F$104/12</f>
        <v>3.80452501125041</v>
      </c>
      <c r="L146" s="21" t="n">
        <f aca="false">datos_base!$F$18*parametros_recargas!$J$41+sobrestock_sustitutos!$F$104/12</f>
        <v>3.80452501125041</v>
      </c>
      <c r="M146" s="21" t="n">
        <f aca="false">datos_base!$F$18*parametros_recargas!$K$41+sobrestock_sustitutos!$F$104/12</f>
        <v>3.80452501125041</v>
      </c>
      <c r="N146" s="21" t="n">
        <f aca="false">datos_base!$F$18*parametros_recargas!$L$41+sobrestock_sustitutos!$F$104/12</f>
        <v>3.80452501125041</v>
      </c>
      <c r="O146" s="21" t="n">
        <f aca="false">datos_base!$F$18*parametros_recargas!$M$41+sobrestock_sustitutos!$F$104/12</f>
        <v>3.80452501125041</v>
      </c>
      <c r="P146" s="6" t="n">
        <f aca="false">SUM(D146:O146)</f>
        <v>45.6543001350049</v>
      </c>
      <c r="Q146" s="4" t="n">
        <f aca="false">sobrestock_sustitutos!$F$104</f>
        <v>1</v>
      </c>
    </row>
    <row r="147" customFormat="false" ht="15" hidden="false" customHeight="false" outlineLevel="0" collapsed="false">
      <c r="A147" s="5" t="s">
        <v>306</v>
      </c>
      <c r="D147" s="6" t="n">
        <f aca="false">SUM(D130:D146)</f>
        <v>4050.28135514312</v>
      </c>
      <c r="E147" s="6" t="n">
        <f aca="false">SUM(E130:E146)</f>
        <v>4050.28135514312</v>
      </c>
      <c r="F147" s="6" t="n">
        <f aca="false">SUM(F130:F146)</f>
        <v>4050.28135514312</v>
      </c>
      <c r="G147" s="6" t="n">
        <f aca="false">SUM(G130:G146)</f>
        <v>4050.28135514312</v>
      </c>
      <c r="H147" s="6" t="n">
        <f aca="false">SUM(H130:H146)</f>
        <v>4050.28135514312</v>
      </c>
      <c r="I147" s="6" t="n">
        <f aca="false">SUM(I130:I146)</f>
        <v>4050.28135514312</v>
      </c>
      <c r="J147" s="6" t="n">
        <f aca="false">SUM(J130:J146)</f>
        <v>4050.28135514312</v>
      </c>
      <c r="K147" s="6" t="n">
        <f aca="false">SUM(K130:K146)</f>
        <v>4050.28135514312</v>
      </c>
      <c r="L147" s="6" t="n">
        <f aca="false">SUM(L130:L146)</f>
        <v>4050.28135514312</v>
      </c>
      <c r="M147" s="6" t="n">
        <f aca="false">SUM(M130:M146)</f>
        <v>4050.28135514312</v>
      </c>
      <c r="N147" s="6" t="n">
        <f aca="false">SUM(N130:N146)</f>
        <v>4050.28135514312</v>
      </c>
      <c r="O147" s="6" t="n">
        <f aca="false">SUM(O130:O146)</f>
        <v>4050.28135514312</v>
      </c>
      <c r="P147" s="6" t="n">
        <f aca="false">SUM(P130:P146)</f>
        <v>48603.3762617174</v>
      </c>
    </row>
    <row r="148" customFormat="false" ht="15" hidden="false" customHeight="false" outlineLevel="0" collapsed="false">
      <c r="A148" s="5" t="s">
        <v>307</v>
      </c>
    </row>
    <row r="149" customFormat="false" ht="15" hidden="false" customHeight="false" outlineLevel="0" collapsed="false">
      <c r="A149" s="3" t="s">
        <v>148</v>
      </c>
      <c r="D149" s="21" t="n">
        <f aca="false">SUMPRODUCT(($B$130:$B$146=$A149)*D$130:D$146*$C$130:$C$146)</f>
        <v>3597.58802571368</v>
      </c>
      <c r="E149" s="21" t="n">
        <f aca="false">SUMPRODUCT(($B$130:$B$146=$A149)*E$130:E$146*$C$130:$C$146)</f>
        <v>3597.58802571368</v>
      </c>
      <c r="F149" s="21" t="n">
        <f aca="false">SUMPRODUCT(($B$130:$B$146=$A149)*F$130:F$146*$C$130:$C$146)</f>
        <v>3597.58802571368</v>
      </c>
      <c r="G149" s="21" t="n">
        <f aca="false">SUMPRODUCT(($B$130:$B$146=$A149)*G$130:G$146*$C$130:$C$146)</f>
        <v>3597.58802571368</v>
      </c>
      <c r="H149" s="21" t="n">
        <f aca="false">SUMPRODUCT(($B$130:$B$146=$A149)*H$130:H$146*$C$130:$C$146)</f>
        <v>3597.58802571368</v>
      </c>
      <c r="I149" s="21" t="n">
        <f aca="false">SUMPRODUCT(($B$130:$B$146=$A149)*I$130:I$146*$C$130:$C$146)</f>
        <v>3597.58802571368</v>
      </c>
      <c r="J149" s="21" t="n">
        <f aca="false">SUMPRODUCT(($B$130:$B$146=$A149)*J$130:J$146*$C$130:$C$146)</f>
        <v>3597.58802571368</v>
      </c>
      <c r="K149" s="21" t="n">
        <f aca="false">SUMPRODUCT(($B$130:$B$146=$A149)*K$130:K$146*$C$130:$C$146)</f>
        <v>3597.58802571368</v>
      </c>
      <c r="L149" s="21" t="n">
        <f aca="false">SUMPRODUCT(($B$130:$B$146=$A149)*L$130:L$146*$C$130:$C$146)</f>
        <v>3597.58802571368</v>
      </c>
      <c r="M149" s="21" t="n">
        <f aca="false">SUMPRODUCT(($B$130:$B$146=$A149)*M$130:M$146*$C$130:$C$146)</f>
        <v>3597.58802571368</v>
      </c>
      <c r="N149" s="21" t="n">
        <f aca="false">SUMPRODUCT(($B$130:$B$146=$A149)*N$130:N$146*$C$130:$C$146)</f>
        <v>3597.58802571368</v>
      </c>
      <c r="O149" s="21" t="n">
        <f aca="false">SUMPRODUCT(($B$130:$B$146=$A149)*O$130:O$146*$C$130:$C$146)</f>
        <v>3597.58802571368</v>
      </c>
      <c r="P149" s="21" t="n">
        <f aca="false">SUMPRODUCT(($B$130:$B$146=$A149)*P$130:P$146*$C$130:$C$146)</f>
        <v>43171.0563085642</v>
      </c>
    </row>
    <row r="150" customFormat="false" ht="15" hidden="false" customHeight="false" outlineLevel="0" collapsed="false">
      <c r="A150" s="3" t="s">
        <v>154</v>
      </c>
      <c r="D150" s="21" t="n">
        <f aca="false">SUMPRODUCT(($B$130:$B$146=$A150)*D$130:D$146*$C$130:$C$146)</f>
        <v>5.36277409888768</v>
      </c>
      <c r="E150" s="21" t="n">
        <f aca="false">SUMPRODUCT(($B$130:$B$146=$A150)*E$130:E$146*$C$130:$C$146)</f>
        <v>5.36277409888768</v>
      </c>
      <c r="F150" s="21" t="n">
        <f aca="false">SUMPRODUCT(($B$130:$B$146=$A150)*F$130:F$146*$C$130:$C$146)</f>
        <v>5.36277409888768</v>
      </c>
      <c r="G150" s="21" t="n">
        <f aca="false">SUMPRODUCT(($B$130:$B$146=$A150)*G$130:G$146*$C$130:$C$146)</f>
        <v>5.36277409888768</v>
      </c>
      <c r="H150" s="21" t="n">
        <f aca="false">SUMPRODUCT(($B$130:$B$146=$A150)*H$130:H$146*$C$130:$C$146)</f>
        <v>5.36277409888768</v>
      </c>
      <c r="I150" s="21" t="n">
        <f aca="false">SUMPRODUCT(($B$130:$B$146=$A150)*I$130:I$146*$C$130:$C$146)</f>
        <v>5.36277409888768</v>
      </c>
      <c r="J150" s="21" t="n">
        <f aca="false">SUMPRODUCT(($B$130:$B$146=$A150)*J$130:J$146*$C$130:$C$146)</f>
        <v>5.36277409888768</v>
      </c>
      <c r="K150" s="21" t="n">
        <f aca="false">SUMPRODUCT(($B$130:$B$146=$A150)*K$130:K$146*$C$130:$C$146)</f>
        <v>5.36277409888768</v>
      </c>
      <c r="L150" s="21" t="n">
        <f aca="false">SUMPRODUCT(($B$130:$B$146=$A150)*L$130:L$146*$C$130:$C$146)</f>
        <v>5.36277409888768</v>
      </c>
      <c r="M150" s="21" t="n">
        <f aca="false">SUMPRODUCT(($B$130:$B$146=$A150)*M$130:M$146*$C$130:$C$146)</f>
        <v>5.36277409888768</v>
      </c>
      <c r="N150" s="21" t="n">
        <f aca="false">SUMPRODUCT(($B$130:$B$146=$A150)*N$130:N$146*$C$130:$C$146)</f>
        <v>5.36277409888768</v>
      </c>
      <c r="O150" s="21" t="n">
        <f aca="false">SUMPRODUCT(($B$130:$B$146=$A150)*O$130:O$146*$C$130:$C$146)</f>
        <v>5.36277409888768</v>
      </c>
      <c r="P150" s="21" t="n">
        <f aca="false">SUMPRODUCT(($B$130:$B$146=$A150)*P$130:P$146*$C$130:$C$146)</f>
        <v>64.3532891866521</v>
      </c>
    </row>
    <row r="151" customFormat="false" ht="15" hidden="false" customHeight="false" outlineLevel="0" collapsed="false">
      <c r="A151" s="3" t="s">
        <v>160</v>
      </c>
      <c r="D151" s="21" t="n">
        <f aca="false">SUMPRODUCT(($B$130:$B$146=$A151)*D$130:D$146*$C$130:$C$146)</f>
        <v>5.01280336285648</v>
      </c>
      <c r="E151" s="21" t="n">
        <f aca="false">SUMPRODUCT(($B$130:$B$146=$A151)*E$130:E$146*$C$130:$C$146)</f>
        <v>5.01280336285648</v>
      </c>
      <c r="F151" s="21" t="n">
        <f aca="false">SUMPRODUCT(($B$130:$B$146=$A151)*F$130:F$146*$C$130:$C$146)</f>
        <v>5.01280336285648</v>
      </c>
      <c r="G151" s="21" t="n">
        <f aca="false">SUMPRODUCT(($B$130:$B$146=$A151)*G$130:G$146*$C$130:$C$146)</f>
        <v>5.01280336285648</v>
      </c>
      <c r="H151" s="21" t="n">
        <f aca="false">SUMPRODUCT(($B$130:$B$146=$A151)*H$130:H$146*$C$130:$C$146)</f>
        <v>5.01280336285648</v>
      </c>
      <c r="I151" s="21" t="n">
        <f aca="false">SUMPRODUCT(($B$130:$B$146=$A151)*I$130:I$146*$C$130:$C$146)</f>
        <v>5.01280336285648</v>
      </c>
      <c r="J151" s="21" t="n">
        <f aca="false">SUMPRODUCT(($B$130:$B$146=$A151)*J$130:J$146*$C$130:$C$146)</f>
        <v>5.01280336285648</v>
      </c>
      <c r="K151" s="21" t="n">
        <f aca="false">SUMPRODUCT(($B$130:$B$146=$A151)*K$130:K$146*$C$130:$C$146)</f>
        <v>5.01280336285648</v>
      </c>
      <c r="L151" s="21" t="n">
        <f aca="false">SUMPRODUCT(($B$130:$B$146=$A151)*L$130:L$146*$C$130:$C$146)</f>
        <v>5.01280336285648</v>
      </c>
      <c r="M151" s="21" t="n">
        <f aca="false">SUMPRODUCT(($B$130:$B$146=$A151)*M$130:M$146*$C$130:$C$146)</f>
        <v>5.01280336285648</v>
      </c>
      <c r="N151" s="21" t="n">
        <f aca="false">SUMPRODUCT(($B$130:$B$146=$A151)*N$130:N$146*$C$130:$C$146)</f>
        <v>5.01280336285648</v>
      </c>
      <c r="O151" s="21" t="n">
        <f aca="false">SUMPRODUCT(($B$130:$B$146=$A151)*O$130:O$146*$C$130:$C$146)</f>
        <v>5.01280336285648</v>
      </c>
      <c r="P151" s="21" t="n">
        <f aca="false">SUMPRODUCT(($B$130:$B$146=$A151)*P$130:P$146*$C$130:$C$146)</f>
        <v>60.1536403542778</v>
      </c>
    </row>
    <row r="152" customFormat="false" ht="15" hidden="false" customHeight="false" outlineLevel="0" collapsed="false">
      <c r="A152" s="3" t="s">
        <v>151</v>
      </c>
      <c r="D152" s="21" t="n">
        <f aca="false">SUMPRODUCT(($B$130:$B$146=$A152)*D$130:D$146*$C$130:$C$146)</f>
        <v>96.7071655938188</v>
      </c>
      <c r="E152" s="21" t="n">
        <f aca="false">SUMPRODUCT(($B$130:$B$146=$A152)*E$130:E$146*$C$130:$C$146)</f>
        <v>96.7071655938188</v>
      </c>
      <c r="F152" s="21" t="n">
        <f aca="false">SUMPRODUCT(($B$130:$B$146=$A152)*F$130:F$146*$C$130:$C$146)</f>
        <v>96.7071655938188</v>
      </c>
      <c r="G152" s="21" t="n">
        <f aca="false">SUMPRODUCT(($B$130:$B$146=$A152)*G$130:G$146*$C$130:$C$146)</f>
        <v>96.7071655938188</v>
      </c>
      <c r="H152" s="21" t="n">
        <f aca="false">SUMPRODUCT(($B$130:$B$146=$A152)*H$130:H$146*$C$130:$C$146)</f>
        <v>96.7071655938188</v>
      </c>
      <c r="I152" s="21" t="n">
        <f aca="false">SUMPRODUCT(($B$130:$B$146=$A152)*I$130:I$146*$C$130:$C$146)</f>
        <v>96.7071655938188</v>
      </c>
      <c r="J152" s="21" t="n">
        <f aca="false">SUMPRODUCT(($B$130:$B$146=$A152)*J$130:J$146*$C$130:$C$146)</f>
        <v>96.7071655938188</v>
      </c>
      <c r="K152" s="21" t="n">
        <f aca="false">SUMPRODUCT(($B$130:$B$146=$A152)*K$130:K$146*$C$130:$C$146)</f>
        <v>96.7071655938188</v>
      </c>
      <c r="L152" s="21" t="n">
        <f aca="false">SUMPRODUCT(($B$130:$B$146=$A152)*L$130:L$146*$C$130:$C$146)</f>
        <v>96.7071655938188</v>
      </c>
      <c r="M152" s="21" t="n">
        <f aca="false">SUMPRODUCT(($B$130:$B$146=$A152)*M$130:M$146*$C$130:$C$146)</f>
        <v>96.7071655938188</v>
      </c>
      <c r="N152" s="21" t="n">
        <f aca="false">SUMPRODUCT(($B$130:$B$146=$A152)*N$130:N$146*$C$130:$C$146)</f>
        <v>96.7071655938188</v>
      </c>
      <c r="O152" s="21" t="n">
        <f aca="false">SUMPRODUCT(($B$130:$B$146=$A152)*O$130:O$146*$C$130:$C$146)</f>
        <v>96.7071655938188</v>
      </c>
      <c r="P152" s="21" t="n">
        <f aca="false">SUMPRODUCT(($B$130:$B$146=$A152)*P$130:P$146*$C$130:$C$146)</f>
        <v>1160.48598712583</v>
      </c>
    </row>
    <row r="153" customFormat="false" ht="15" hidden="false" customHeight="false" outlineLevel="0" collapsed="false">
      <c r="A153" s="3" t="s">
        <v>152</v>
      </c>
      <c r="D153" s="21" t="n">
        <f aca="false">SUMPRODUCT(($B$130:$B$146=$A153)*D$130:D$146*$C$130:$C$146)</f>
        <v>47.2768268593829</v>
      </c>
      <c r="E153" s="21" t="n">
        <f aca="false">SUMPRODUCT(($B$130:$B$146=$A153)*E$130:E$146*$C$130:$C$146)</f>
        <v>47.2768268593829</v>
      </c>
      <c r="F153" s="21" t="n">
        <f aca="false">SUMPRODUCT(($B$130:$B$146=$A153)*F$130:F$146*$C$130:$C$146)</f>
        <v>47.2768268593829</v>
      </c>
      <c r="G153" s="21" t="n">
        <f aca="false">SUMPRODUCT(($B$130:$B$146=$A153)*G$130:G$146*$C$130:$C$146)</f>
        <v>47.2768268593829</v>
      </c>
      <c r="H153" s="21" t="n">
        <f aca="false">SUMPRODUCT(($B$130:$B$146=$A153)*H$130:H$146*$C$130:$C$146)</f>
        <v>47.2768268593829</v>
      </c>
      <c r="I153" s="21" t="n">
        <f aca="false">SUMPRODUCT(($B$130:$B$146=$A153)*I$130:I$146*$C$130:$C$146)</f>
        <v>47.2768268593829</v>
      </c>
      <c r="J153" s="21" t="n">
        <f aca="false">SUMPRODUCT(($B$130:$B$146=$A153)*J$130:J$146*$C$130:$C$146)</f>
        <v>47.2768268593829</v>
      </c>
      <c r="K153" s="21" t="n">
        <f aca="false">SUMPRODUCT(($B$130:$B$146=$A153)*K$130:K$146*$C$130:$C$146)</f>
        <v>47.2768268593829</v>
      </c>
      <c r="L153" s="21" t="n">
        <f aca="false">SUMPRODUCT(($B$130:$B$146=$A153)*L$130:L$146*$C$130:$C$146)</f>
        <v>47.2768268593829</v>
      </c>
      <c r="M153" s="21" t="n">
        <f aca="false">SUMPRODUCT(($B$130:$B$146=$A153)*M$130:M$146*$C$130:$C$146)</f>
        <v>47.2768268593829</v>
      </c>
      <c r="N153" s="21" t="n">
        <f aca="false">SUMPRODUCT(($B$130:$B$146=$A153)*N$130:N$146*$C$130:$C$146)</f>
        <v>47.2768268593829</v>
      </c>
      <c r="O153" s="21" t="n">
        <f aca="false">SUMPRODUCT(($B$130:$B$146=$A153)*O$130:O$146*$C$130:$C$146)</f>
        <v>47.2768268593829</v>
      </c>
      <c r="P153" s="21" t="n">
        <f aca="false">SUMPRODUCT(($B$130:$B$146=$A153)*P$130:P$146*$C$130:$C$146)</f>
        <v>567.321922312595</v>
      </c>
    </row>
    <row r="154" customFormat="false" ht="15" hidden="false" customHeight="false" outlineLevel="0" collapsed="false">
      <c r="A154" s="3" t="s">
        <v>155</v>
      </c>
      <c r="D154" s="21" t="n">
        <f aca="false">SUMPRODUCT(($B$130:$B$146=$A154)*D$130:D$146*$C$130:$C$146)</f>
        <v>47.5223306090119</v>
      </c>
      <c r="E154" s="21" t="n">
        <f aca="false">SUMPRODUCT(($B$130:$B$146=$A154)*E$130:E$146*$C$130:$C$146)</f>
        <v>47.5223306090119</v>
      </c>
      <c r="F154" s="21" t="n">
        <f aca="false">SUMPRODUCT(($B$130:$B$146=$A154)*F$130:F$146*$C$130:$C$146)</f>
        <v>47.5223306090119</v>
      </c>
      <c r="G154" s="21" t="n">
        <f aca="false">SUMPRODUCT(($B$130:$B$146=$A154)*G$130:G$146*$C$130:$C$146)</f>
        <v>47.5223306090119</v>
      </c>
      <c r="H154" s="21" t="n">
        <f aca="false">SUMPRODUCT(($B$130:$B$146=$A154)*H$130:H$146*$C$130:$C$146)</f>
        <v>47.5223306090119</v>
      </c>
      <c r="I154" s="21" t="n">
        <f aca="false">SUMPRODUCT(($B$130:$B$146=$A154)*I$130:I$146*$C$130:$C$146)</f>
        <v>47.5223306090119</v>
      </c>
      <c r="J154" s="21" t="n">
        <f aca="false">SUMPRODUCT(($B$130:$B$146=$A154)*J$130:J$146*$C$130:$C$146)</f>
        <v>47.5223306090119</v>
      </c>
      <c r="K154" s="21" t="n">
        <f aca="false">SUMPRODUCT(($B$130:$B$146=$A154)*K$130:K$146*$C$130:$C$146)</f>
        <v>47.5223306090119</v>
      </c>
      <c r="L154" s="21" t="n">
        <f aca="false">SUMPRODUCT(($B$130:$B$146=$A154)*L$130:L$146*$C$130:$C$146)</f>
        <v>47.5223306090119</v>
      </c>
      <c r="M154" s="21" t="n">
        <f aca="false">SUMPRODUCT(($B$130:$B$146=$A154)*M$130:M$146*$C$130:$C$146)</f>
        <v>47.5223306090119</v>
      </c>
      <c r="N154" s="21" t="n">
        <f aca="false">SUMPRODUCT(($B$130:$B$146=$A154)*N$130:N$146*$C$130:$C$146)</f>
        <v>47.5223306090119</v>
      </c>
      <c r="O154" s="21" t="n">
        <f aca="false">SUMPRODUCT(($B$130:$B$146=$A154)*O$130:O$146*$C$130:$C$146)</f>
        <v>47.5223306090119</v>
      </c>
      <c r="P154" s="21" t="n">
        <f aca="false">SUMPRODUCT(($B$130:$B$146=$A154)*P$130:P$146*$C$130:$C$146)</f>
        <v>570.267967308143</v>
      </c>
    </row>
    <row r="155" customFormat="false" ht="15" hidden="false" customHeight="false" outlineLevel="0" collapsed="false">
      <c r="A155" s="3" t="s">
        <v>156</v>
      </c>
      <c r="D155" s="21" t="n">
        <f aca="false">SUMPRODUCT(($B$130:$B$146=$A155)*D$130:D$146*$C$130:$C$146)</f>
        <v>350.538088769442</v>
      </c>
      <c r="E155" s="21" t="n">
        <f aca="false">SUMPRODUCT(($B$130:$B$146=$A155)*E$130:E$146*$C$130:$C$146)</f>
        <v>350.538088769442</v>
      </c>
      <c r="F155" s="21" t="n">
        <f aca="false">SUMPRODUCT(($B$130:$B$146=$A155)*F$130:F$146*$C$130:$C$146)</f>
        <v>350.538088769442</v>
      </c>
      <c r="G155" s="21" t="n">
        <f aca="false">SUMPRODUCT(($B$130:$B$146=$A155)*G$130:G$146*$C$130:$C$146)</f>
        <v>350.538088769442</v>
      </c>
      <c r="H155" s="21" t="n">
        <f aca="false">SUMPRODUCT(($B$130:$B$146=$A155)*H$130:H$146*$C$130:$C$146)</f>
        <v>350.538088769442</v>
      </c>
      <c r="I155" s="21" t="n">
        <f aca="false">SUMPRODUCT(($B$130:$B$146=$A155)*I$130:I$146*$C$130:$C$146)</f>
        <v>350.538088769442</v>
      </c>
      <c r="J155" s="21" t="n">
        <f aca="false">SUMPRODUCT(($B$130:$B$146=$A155)*J$130:J$146*$C$130:$C$146)</f>
        <v>350.538088769442</v>
      </c>
      <c r="K155" s="21" t="n">
        <f aca="false">SUMPRODUCT(($B$130:$B$146=$A155)*K$130:K$146*$C$130:$C$146)</f>
        <v>350.538088769442</v>
      </c>
      <c r="L155" s="21" t="n">
        <f aca="false">SUMPRODUCT(($B$130:$B$146=$A155)*L$130:L$146*$C$130:$C$146)</f>
        <v>350.538088769442</v>
      </c>
      <c r="M155" s="21" t="n">
        <f aca="false">SUMPRODUCT(($B$130:$B$146=$A155)*M$130:M$146*$C$130:$C$146)</f>
        <v>350.538088769442</v>
      </c>
      <c r="N155" s="21" t="n">
        <f aca="false">SUMPRODUCT(($B$130:$B$146=$A155)*N$130:N$146*$C$130:$C$146)</f>
        <v>350.538088769442</v>
      </c>
      <c r="O155" s="21" t="n">
        <f aca="false">SUMPRODUCT(($B$130:$B$146=$A155)*O$130:O$146*$C$130:$C$146)</f>
        <v>350.538088769442</v>
      </c>
      <c r="P155" s="21" t="n">
        <f aca="false">SUMPRODUCT(($B$130:$B$146=$A155)*P$130:P$146*$C$130:$C$146)</f>
        <v>4206.45706523331</v>
      </c>
    </row>
    <row r="156" customFormat="false" ht="15" hidden="false" customHeight="false" outlineLevel="0" collapsed="false">
      <c r="A156" s="3" t="s">
        <v>159</v>
      </c>
      <c r="D156" s="21" t="n">
        <f aca="false">SUMPRODUCT(($B$130:$B$146=$A156)*D$130:D$146*$C$130:$C$146)</f>
        <v>13.9661764569909</v>
      </c>
      <c r="E156" s="21" t="n">
        <f aca="false">SUMPRODUCT(($B$130:$B$146=$A156)*E$130:E$146*$C$130:$C$146)</f>
        <v>13.9661764569909</v>
      </c>
      <c r="F156" s="21" t="n">
        <f aca="false">SUMPRODUCT(($B$130:$B$146=$A156)*F$130:F$146*$C$130:$C$146)</f>
        <v>13.9661764569909</v>
      </c>
      <c r="G156" s="21" t="n">
        <f aca="false">SUMPRODUCT(($B$130:$B$146=$A156)*G$130:G$146*$C$130:$C$146)</f>
        <v>13.9661764569909</v>
      </c>
      <c r="H156" s="21" t="n">
        <f aca="false">SUMPRODUCT(($B$130:$B$146=$A156)*H$130:H$146*$C$130:$C$146)</f>
        <v>13.9661764569909</v>
      </c>
      <c r="I156" s="21" t="n">
        <f aca="false">SUMPRODUCT(($B$130:$B$146=$A156)*I$130:I$146*$C$130:$C$146)</f>
        <v>13.9661764569909</v>
      </c>
      <c r="J156" s="21" t="n">
        <f aca="false">SUMPRODUCT(($B$130:$B$146=$A156)*J$130:J$146*$C$130:$C$146)</f>
        <v>13.9661764569909</v>
      </c>
      <c r="K156" s="21" t="n">
        <f aca="false">SUMPRODUCT(($B$130:$B$146=$A156)*K$130:K$146*$C$130:$C$146)</f>
        <v>13.9661764569909</v>
      </c>
      <c r="L156" s="21" t="n">
        <f aca="false">SUMPRODUCT(($B$130:$B$146=$A156)*L$130:L$146*$C$130:$C$146)</f>
        <v>13.9661764569909</v>
      </c>
      <c r="M156" s="21" t="n">
        <f aca="false">SUMPRODUCT(($B$130:$B$146=$A156)*M$130:M$146*$C$130:$C$146)</f>
        <v>13.9661764569909</v>
      </c>
      <c r="N156" s="21" t="n">
        <f aca="false">SUMPRODUCT(($B$130:$B$146=$A156)*N$130:N$146*$C$130:$C$146)</f>
        <v>13.9661764569909</v>
      </c>
      <c r="O156" s="21" t="n">
        <f aca="false">SUMPRODUCT(($B$130:$B$146=$A156)*O$130:O$146*$C$130:$C$146)</f>
        <v>13.9661764569909</v>
      </c>
      <c r="P156" s="21" t="n">
        <f aca="false">SUMPRODUCT(($B$130:$B$146=$A156)*P$130:P$146*$C$130:$C$146)</f>
        <v>167.594117483891</v>
      </c>
    </row>
    <row r="157" customFormat="false" ht="15" hidden="false" customHeight="false" outlineLevel="0" collapsed="false">
      <c r="A157" s="5" t="s">
        <v>308</v>
      </c>
      <c r="D157" s="22" t="n">
        <f aca="false">SUMPRODUCT(D$130:D$146*parametros_recargas!$D$51:$D$67)</f>
        <v>142.752475297556</v>
      </c>
      <c r="E157" s="22" t="n">
        <f aca="false">SUMPRODUCT(E$130:E$146*parametros_recargas!$D$51:$D$67)</f>
        <v>142.752475297556</v>
      </c>
      <c r="F157" s="22" t="n">
        <f aca="false">SUMPRODUCT(F$130:F$146*parametros_recargas!$D$51:$D$67)</f>
        <v>142.752475297556</v>
      </c>
      <c r="G157" s="22" t="n">
        <f aca="false">SUMPRODUCT(G$130:G$146*parametros_recargas!$D$51:$D$67)</f>
        <v>142.752475297556</v>
      </c>
      <c r="H157" s="22" t="n">
        <f aca="false">SUMPRODUCT(H$130:H$146*parametros_recargas!$D$51:$D$67)</f>
        <v>142.752475297556</v>
      </c>
      <c r="I157" s="22" t="n">
        <f aca="false">SUMPRODUCT(I$130:I$146*parametros_recargas!$D$51:$D$67)</f>
        <v>142.752475297556</v>
      </c>
      <c r="J157" s="22" t="n">
        <f aca="false">SUMPRODUCT(J$130:J$146*parametros_recargas!$D$51:$D$67)</f>
        <v>142.752475297556</v>
      </c>
      <c r="K157" s="22" t="n">
        <f aca="false">SUMPRODUCT(K$130:K$146*parametros_recargas!$D$51:$D$67)</f>
        <v>142.752475297556</v>
      </c>
      <c r="L157" s="22" t="n">
        <f aca="false">SUMPRODUCT(L$130:L$146*parametros_recargas!$D$51:$D$67)</f>
        <v>142.752475297556</v>
      </c>
      <c r="M157" s="22" t="n">
        <f aca="false">SUMPRODUCT(M$130:M$146*parametros_recargas!$D$51:$D$67)</f>
        <v>142.752475297556</v>
      </c>
      <c r="N157" s="22" t="n">
        <f aca="false">SUMPRODUCT(N$130:N$146*parametros_recargas!$D$51:$D$67)</f>
        <v>142.752475297556</v>
      </c>
      <c r="O157" s="22" t="n">
        <f aca="false">SUMPRODUCT(O$130:O$146*parametros_recargas!$D$51:$D$67)</f>
        <v>142.752475297556</v>
      </c>
      <c r="P157" s="22" t="n">
        <f aca="false">SUMPRODUCT(P$130:P$146*parametros_recargas!$D$51:$D$67)</f>
        <v>1713.02970357068</v>
      </c>
    </row>
    <row r="161" customFormat="false" ht="23.85" hidden="false" customHeight="false" outlineLevel="0" collapsed="false">
      <c r="A161" s="23" t="n">
        <v>2031</v>
      </c>
      <c r="B161" s="2" t="s">
        <v>303</v>
      </c>
      <c r="C161" s="2" t="s">
        <v>304</v>
      </c>
      <c r="D161" s="2" t="s">
        <v>130</v>
      </c>
      <c r="E161" s="2" t="s">
        <v>131</v>
      </c>
      <c r="F161" s="2" t="s">
        <v>132</v>
      </c>
      <c r="G161" s="2" t="s">
        <v>133</v>
      </c>
      <c r="H161" s="2" t="s">
        <v>134</v>
      </c>
      <c r="I161" s="2" t="s">
        <v>135</v>
      </c>
      <c r="J161" s="2" t="s">
        <v>136</v>
      </c>
      <c r="K161" s="2" t="s">
        <v>137</v>
      </c>
      <c r="L161" s="2" t="s">
        <v>138</v>
      </c>
      <c r="M161" s="2" t="s">
        <v>139</v>
      </c>
      <c r="N161" s="2" t="s">
        <v>140</v>
      </c>
      <c r="O161" s="2" t="s">
        <v>141</v>
      </c>
      <c r="P161" s="2" t="s">
        <v>66</v>
      </c>
      <c r="Q161" s="2" t="s">
        <v>305</v>
      </c>
    </row>
    <row r="162" customFormat="false" ht="15" hidden="false" customHeight="false" outlineLevel="0" collapsed="false">
      <c r="A162" s="8" t="str">
        <f aca="false">parametros_recargas!A51</f>
        <v>ABC 1 kg</v>
      </c>
      <c r="B162" s="8" t="str">
        <f aca="false">parametros_recargas!B51</f>
        <v>ABC</v>
      </c>
      <c r="C162" s="11" t="n">
        <f aca="false">parametros_recargas!C51</f>
        <v>1</v>
      </c>
      <c r="D162" s="21" t="n">
        <f aca="false">datos_base!$G$2*parametros_recargas!$B$42+sobrestock_sustitutos!$G$88/12</f>
        <v>2820.10172072551</v>
      </c>
      <c r="E162" s="21" t="n">
        <f aca="false">datos_base!$G$2*parametros_recargas!$C$42+sobrestock_sustitutos!$G$88/12</f>
        <v>2820.10172072551</v>
      </c>
      <c r="F162" s="21" t="n">
        <f aca="false">datos_base!$G$2*parametros_recargas!$D$42+sobrestock_sustitutos!$G$88/12</f>
        <v>2820.10172072551</v>
      </c>
      <c r="G162" s="21" t="n">
        <f aca="false">datos_base!$G$2*parametros_recargas!$E$42+sobrestock_sustitutos!$G$88/12</f>
        <v>2820.10172072551</v>
      </c>
      <c r="H162" s="21" t="n">
        <f aca="false">datos_base!$G$2*parametros_recargas!$F$42+sobrestock_sustitutos!$G$88/12</f>
        <v>2820.10172072551</v>
      </c>
      <c r="I162" s="21" t="n">
        <f aca="false">datos_base!$G$2*parametros_recargas!$G$42+sobrestock_sustitutos!$G$88/12</f>
        <v>2820.10172072551</v>
      </c>
      <c r="J162" s="21" t="n">
        <f aca="false">datos_base!$G$2*parametros_recargas!$H$42+sobrestock_sustitutos!$G$88/12</f>
        <v>2820.10172072551</v>
      </c>
      <c r="K162" s="21" t="n">
        <f aca="false">datos_base!$G$2*parametros_recargas!$I$42+sobrestock_sustitutos!$G$88/12</f>
        <v>2820.10172072551</v>
      </c>
      <c r="L162" s="21" t="n">
        <f aca="false">datos_base!$G$2*parametros_recargas!$J$42+sobrestock_sustitutos!$G$88/12</f>
        <v>2820.10172072551</v>
      </c>
      <c r="M162" s="21" t="n">
        <f aca="false">datos_base!$G$2*parametros_recargas!$K$42+sobrestock_sustitutos!$G$88/12</f>
        <v>2820.10172072551</v>
      </c>
      <c r="N162" s="21" t="n">
        <f aca="false">datos_base!$G$2*parametros_recargas!$L$42+sobrestock_sustitutos!$G$88/12</f>
        <v>2820.10172072551</v>
      </c>
      <c r="O162" s="21" t="n">
        <f aca="false">datos_base!$G$2*parametros_recargas!$M$42+sobrestock_sustitutos!$G$88/12</f>
        <v>2820.10172072551</v>
      </c>
      <c r="P162" s="6" t="n">
        <f aca="false">SUM(D162:O162)</f>
        <v>33841.2206487062</v>
      </c>
      <c r="Q162" s="4" t="n">
        <f aca="false">sobrestock_sustitutos!$G$88</f>
        <v>0</v>
      </c>
    </row>
    <row r="163" customFormat="false" ht="15" hidden="false" customHeight="false" outlineLevel="0" collapsed="false">
      <c r="A163" s="8" t="str">
        <f aca="false">parametros_recargas!A52</f>
        <v>ABC 2,5 kg</v>
      </c>
      <c r="B163" s="8" t="str">
        <f aca="false">parametros_recargas!B52</f>
        <v>ABC</v>
      </c>
      <c r="C163" s="11" t="n">
        <f aca="false">parametros_recargas!C52</f>
        <v>1</v>
      </c>
      <c r="D163" s="21" t="n">
        <f aca="false">datos_base!$G$3*parametros_recargas!$B$42+sobrestock_sustitutos!$G$89/12</f>
        <v>252.79675760041</v>
      </c>
      <c r="E163" s="21" t="n">
        <f aca="false">datos_base!$G$3*parametros_recargas!$C$42+sobrestock_sustitutos!$G$89/12</f>
        <v>252.79675760041</v>
      </c>
      <c r="F163" s="21" t="n">
        <f aca="false">datos_base!$G$3*parametros_recargas!$D$42+sobrestock_sustitutos!$G$89/12</f>
        <v>252.79675760041</v>
      </c>
      <c r="G163" s="21" t="n">
        <f aca="false">datos_base!$G$3*parametros_recargas!$E$42+sobrestock_sustitutos!$G$89/12</f>
        <v>252.79675760041</v>
      </c>
      <c r="H163" s="21" t="n">
        <f aca="false">datos_base!$G$3*parametros_recargas!$F$42+sobrestock_sustitutos!$G$89/12</f>
        <v>252.79675760041</v>
      </c>
      <c r="I163" s="21" t="n">
        <f aca="false">datos_base!$G$3*parametros_recargas!$G$42+sobrestock_sustitutos!$G$89/12</f>
        <v>252.79675760041</v>
      </c>
      <c r="J163" s="21" t="n">
        <f aca="false">datos_base!$G$3*parametros_recargas!$H$42+sobrestock_sustitutos!$G$89/12</f>
        <v>252.79675760041</v>
      </c>
      <c r="K163" s="21" t="n">
        <f aca="false">datos_base!$G$3*parametros_recargas!$I$42+sobrestock_sustitutos!$G$89/12</f>
        <v>252.79675760041</v>
      </c>
      <c r="L163" s="21" t="n">
        <f aca="false">datos_base!$G$3*parametros_recargas!$J$42+sobrestock_sustitutos!$G$89/12</f>
        <v>252.79675760041</v>
      </c>
      <c r="M163" s="21" t="n">
        <f aca="false">datos_base!$G$3*parametros_recargas!$K$42+sobrestock_sustitutos!$G$89/12</f>
        <v>252.79675760041</v>
      </c>
      <c r="N163" s="21" t="n">
        <f aca="false">datos_base!$G$3*parametros_recargas!$L$42+sobrestock_sustitutos!$G$89/12</f>
        <v>252.79675760041</v>
      </c>
      <c r="O163" s="21" t="n">
        <f aca="false">datos_base!$G$3*parametros_recargas!$M$42+sobrestock_sustitutos!$G$89/12</f>
        <v>252.79675760041</v>
      </c>
      <c r="P163" s="6" t="n">
        <f aca="false">SUM(D163:O163)</f>
        <v>3033.56109120491</v>
      </c>
      <c r="Q163" s="4" t="n">
        <f aca="false">sobrestock_sustitutos!$G$89</f>
        <v>29</v>
      </c>
    </row>
    <row r="164" customFormat="false" ht="15" hidden="false" customHeight="false" outlineLevel="0" collapsed="false">
      <c r="A164" s="8" t="str">
        <f aca="false">parametros_recargas!A53</f>
        <v>ABC 5 kg</v>
      </c>
      <c r="B164" s="8" t="str">
        <f aca="false">parametros_recargas!B53</f>
        <v>ABC</v>
      </c>
      <c r="C164" s="11" t="n">
        <f aca="false">parametros_recargas!C53</f>
        <v>1</v>
      </c>
      <c r="D164" s="21" t="n">
        <f aca="false">datos_base!$G$4*parametros_recargas!$B$42+sobrestock_sustitutos!$G$90/12</f>
        <v>1559.60408902246</v>
      </c>
      <c r="E164" s="21" t="n">
        <f aca="false">datos_base!$G$4*parametros_recargas!$C$42+sobrestock_sustitutos!$G$90/12</f>
        <v>1559.60408902246</v>
      </c>
      <c r="F164" s="21" t="n">
        <f aca="false">datos_base!$G$4*parametros_recargas!$D$42+sobrestock_sustitutos!$G$90/12</f>
        <v>1559.60408902246</v>
      </c>
      <c r="G164" s="21" t="n">
        <f aca="false">datos_base!$G$4*parametros_recargas!$E$42+sobrestock_sustitutos!$G$90/12</f>
        <v>1559.60408902246</v>
      </c>
      <c r="H164" s="21" t="n">
        <f aca="false">datos_base!$G$4*parametros_recargas!$F$42+sobrestock_sustitutos!$G$90/12</f>
        <v>1559.60408902246</v>
      </c>
      <c r="I164" s="21" t="n">
        <f aca="false">datos_base!$G$4*parametros_recargas!$G$42+sobrestock_sustitutos!$G$90/12</f>
        <v>1559.60408902246</v>
      </c>
      <c r="J164" s="21" t="n">
        <f aca="false">datos_base!$G$4*parametros_recargas!$H$42+sobrestock_sustitutos!$G$90/12</f>
        <v>1559.60408902246</v>
      </c>
      <c r="K164" s="21" t="n">
        <f aca="false">datos_base!$G$4*parametros_recargas!$I$42+sobrestock_sustitutos!$G$90/12</f>
        <v>1559.60408902246</v>
      </c>
      <c r="L164" s="21" t="n">
        <f aca="false">datos_base!$G$4*parametros_recargas!$J$42+sobrestock_sustitutos!$G$90/12</f>
        <v>1559.60408902246</v>
      </c>
      <c r="M164" s="21" t="n">
        <f aca="false">datos_base!$G$4*parametros_recargas!$K$42+sobrestock_sustitutos!$G$90/12</f>
        <v>1559.60408902246</v>
      </c>
      <c r="N164" s="21" t="n">
        <f aca="false">datos_base!$G$4*parametros_recargas!$L$42+sobrestock_sustitutos!$G$90/12</f>
        <v>1559.60408902246</v>
      </c>
      <c r="O164" s="21" t="n">
        <f aca="false">datos_base!$G$4*parametros_recargas!$M$42+sobrestock_sustitutos!$G$90/12</f>
        <v>1559.60408902246</v>
      </c>
      <c r="P164" s="6" t="n">
        <f aca="false">SUM(D164:O164)</f>
        <v>18715.2490682695</v>
      </c>
      <c r="Q164" s="4" t="n">
        <f aca="false">sobrestock_sustitutos!$G$90</f>
        <v>175</v>
      </c>
    </row>
    <row r="165" customFormat="false" ht="15" hidden="false" customHeight="false" outlineLevel="0" collapsed="false">
      <c r="A165" s="8" t="str">
        <f aca="false">parametros_recargas!A54</f>
        <v>ABC 10 kg</v>
      </c>
      <c r="B165" s="8" t="str">
        <f aca="false">parametros_recargas!B54</f>
        <v>ABC</v>
      </c>
      <c r="C165" s="11" t="n">
        <f aca="false">parametros_recargas!C54</f>
        <v>1</v>
      </c>
      <c r="D165" s="21" t="n">
        <f aca="false">datos_base!$G$5*parametros_recargas!$B$42+sobrestock_sustitutos!$G$91/12</f>
        <v>92.4411397896043</v>
      </c>
      <c r="E165" s="21" t="n">
        <f aca="false">datos_base!$G$5*parametros_recargas!$C$42+sobrestock_sustitutos!$G$91/12</f>
        <v>92.4411397896043</v>
      </c>
      <c r="F165" s="21" t="n">
        <f aca="false">datos_base!$G$5*parametros_recargas!$D$42+sobrestock_sustitutos!$G$91/12</f>
        <v>92.4411397896043</v>
      </c>
      <c r="G165" s="21" t="n">
        <f aca="false">datos_base!$G$5*parametros_recargas!$E$42+sobrestock_sustitutos!$G$91/12</f>
        <v>92.4411397896043</v>
      </c>
      <c r="H165" s="21" t="n">
        <f aca="false">datos_base!$G$5*parametros_recargas!$F$42+sobrestock_sustitutos!$G$91/12</f>
        <v>92.4411397896043</v>
      </c>
      <c r="I165" s="21" t="n">
        <f aca="false">datos_base!$G$5*parametros_recargas!$G$42+sobrestock_sustitutos!$G$91/12</f>
        <v>92.4411397896043</v>
      </c>
      <c r="J165" s="21" t="n">
        <f aca="false">datos_base!$G$5*parametros_recargas!$H$42+sobrestock_sustitutos!$G$91/12</f>
        <v>92.4411397896043</v>
      </c>
      <c r="K165" s="21" t="n">
        <f aca="false">datos_base!$G$5*parametros_recargas!$I$42+sobrestock_sustitutos!$G$91/12</f>
        <v>92.4411397896043</v>
      </c>
      <c r="L165" s="21" t="n">
        <f aca="false">datos_base!$G$5*parametros_recargas!$J$42+sobrestock_sustitutos!$G$91/12</f>
        <v>92.4411397896043</v>
      </c>
      <c r="M165" s="21" t="n">
        <f aca="false">datos_base!$G$5*parametros_recargas!$K$42+sobrestock_sustitutos!$G$91/12</f>
        <v>92.4411397896043</v>
      </c>
      <c r="N165" s="21" t="n">
        <f aca="false">datos_base!$G$5*parametros_recargas!$L$42+sobrestock_sustitutos!$G$91/12</f>
        <v>92.4411397896043</v>
      </c>
      <c r="O165" s="21" t="n">
        <f aca="false">datos_base!$G$5*parametros_recargas!$M$42+sobrestock_sustitutos!$G$91/12</f>
        <v>92.4411397896043</v>
      </c>
      <c r="P165" s="6" t="n">
        <f aca="false">SUM(D165:O165)</f>
        <v>1109.29367747525</v>
      </c>
      <c r="Q165" s="4" t="n">
        <f aca="false">sobrestock_sustitutos!$G$91</f>
        <v>11</v>
      </c>
    </row>
    <row r="166" customFormat="false" ht="15" hidden="false" customHeight="false" outlineLevel="0" collapsed="false">
      <c r="A166" s="8" t="str">
        <f aca="false">parametros_recargas!A55</f>
        <v>Agua 10 l</v>
      </c>
      <c r="B166" s="8" t="str">
        <f aca="false">parametros_recargas!B55</f>
        <v>Agua</v>
      </c>
      <c r="C166" s="11" t="n">
        <f aca="false">parametros_recargas!C55</f>
        <v>1</v>
      </c>
      <c r="D166" s="21" t="n">
        <f aca="false">datos_base!$G$6*parametros_recargas!$B$42+sobrestock_sustitutos!$G$92/12</f>
        <v>129.413300019052</v>
      </c>
      <c r="E166" s="21" t="n">
        <f aca="false">datos_base!$G$6*parametros_recargas!$C$42+sobrestock_sustitutos!$G$92/12</f>
        <v>129.413300019052</v>
      </c>
      <c r="F166" s="21" t="n">
        <f aca="false">datos_base!$G$6*parametros_recargas!$D$42+sobrestock_sustitutos!$G$92/12</f>
        <v>129.413300019052</v>
      </c>
      <c r="G166" s="21" t="n">
        <f aca="false">datos_base!$G$6*parametros_recargas!$E$42+sobrestock_sustitutos!$G$92/12</f>
        <v>129.413300019052</v>
      </c>
      <c r="H166" s="21" t="n">
        <f aca="false">datos_base!$G$6*parametros_recargas!$F$42+sobrestock_sustitutos!$G$92/12</f>
        <v>129.413300019052</v>
      </c>
      <c r="I166" s="21" t="n">
        <f aca="false">datos_base!$G$6*parametros_recargas!$G$42+sobrestock_sustitutos!$G$92/12</f>
        <v>129.413300019052</v>
      </c>
      <c r="J166" s="21" t="n">
        <f aca="false">datos_base!$G$6*parametros_recargas!$H$42+sobrestock_sustitutos!$G$92/12</f>
        <v>129.413300019052</v>
      </c>
      <c r="K166" s="21" t="n">
        <f aca="false">datos_base!$G$6*parametros_recargas!$I$42+sobrestock_sustitutos!$G$92/12</f>
        <v>129.413300019052</v>
      </c>
      <c r="L166" s="21" t="n">
        <f aca="false">datos_base!$G$6*parametros_recargas!$J$42+sobrestock_sustitutos!$G$92/12</f>
        <v>129.413300019052</v>
      </c>
      <c r="M166" s="21" t="n">
        <f aca="false">datos_base!$G$6*parametros_recargas!$K$42+sobrestock_sustitutos!$G$92/12</f>
        <v>129.413300019052</v>
      </c>
      <c r="N166" s="21" t="n">
        <f aca="false">datos_base!$G$6*parametros_recargas!$L$42+sobrestock_sustitutos!$G$92/12</f>
        <v>129.413300019052</v>
      </c>
      <c r="O166" s="21" t="n">
        <f aca="false">datos_base!$G$6*parametros_recargas!$M$42+sobrestock_sustitutos!$G$92/12</f>
        <v>129.413300019052</v>
      </c>
      <c r="P166" s="6" t="n">
        <f aca="false">SUM(D166:O166)</f>
        <v>1552.95960022863</v>
      </c>
      <c r="Q166" s="4" t="n">
        <f aca="false">sobrestock_sustitutos!$G$92</f>
        <v>15</v>
      </c>
    </row>
    <row r="167" customFormat="false" ht="15" hidden="false" customHeight="false" outlineLevel="0" collapsed="false">
      <c r="A167" s="8" t="str">
        <f aca="false">parametros_recargas!A56</f>
        <v>AFFF 10 l</v>
      </c>
      <c r="B167" s="8" t="str">
        <f aca="false">parametros_recargas!B56</f>
        <v>AFFF</v>
      </c>
      <c r="C167" s="11" t="n">
        <f aca="false">parametros_recargas!C56</f>
        <v>1</v>
      </c>
      <c r="D167" s="21" t="n">
        <f aca="false">datos_base!$G$7*parametros_recargas!$B$42+sobrestock_sustitutos!$G$93/12</f>
        <v>23.3779611296697</v>
      </c>
      <c r="E167" s="21" t="n">
        <f aca="false">datos_base!$G$7*parametros_recargas!$C$42+sobrestock_sustitutos!$G$93/12</f>
        <v>23.3779611296697</v>
      </c>
      <c r="F167" s="21" t="n">
        <f aca="false">datos_base!$G$7*parametros_recargas!$D$42+sobrestock_sustitutos!$G$93/12</f>
        <v>23.3779611296697</v>
      </c>
      <c r="G167" s="21" t="n">
        <f aca="false">datos_base!$G$7*parametros_recargas!$E$42+sobrestock_sustitutos!$G$93/12</f>
        <v>23.3779611296697</v>
      </c>
      <c r="H167" s="21" t="n">
        <f aca="false">datos_base!$G$7*parametros_recargas!$F$42+sobrestock_sustitutos!$G$93/12</f>
        <v>23.3779611296697</v>
      </c>
      <c r="I167" s="21" t="n">
        <f aca="false">datos_base!$G$7*parametros_recargas!$G$42+sobrestock_sustitutos!$G$93/12</f>
        <v>23.3779611296697</v>
      </c>
      <c r="J167" s="21" t="n">
        <f aca="false">datos_base!$G$7*parametros_recargas!$H$42+sobrestock_sustitutos!$G$93/12</f>
        <v>23.3779611296697</v>
      </c>
      <c r="K167" s="21" t="n">
        <f aca="false">datos_base!$G$7*parametros_recargas!$I$42+sobrestock_sustitutos!$G$93/12</f>
        <v>23.3779611296697</v>
      </c>
      <c r="L167" s="21" t="n">
        <f aca="false">datos_base!$G$7*parametros_recargas!$J$42+sobrestock_sustitutos!$G$93/12</f>
        <v>23.3779611296697</v>
      </c>
      <c r="M167" s="21" t="n">
        <f aca="false">datos_base!$G$7*parametros_recargas!$K$42+sobrestock_sustitutos!$G$93/12</f>
        <v>23.3779611296697</v>
      </c>
      <c r="N167" s="21" t="n">
        <f aca="false">datos_base!$G$7*parametros_recargas!$L$42+sobrestock_sustitutos!$G$93/12</f>
        <v>23.3779611296697</v>
      </c>
      <c r="O167" s="21" t="n">
        <f aca="false">datos_base!$G$7*parametros_recargas!$M$42+sobrestock_sustitutos!$G$93/12</f>
        <v>23.3779611296697</v>
      </c>
      <c r="P167" s="6" t="n">
        <f aca="false">SUM(D167:O167)</f>
        <v>280.535533556036</v>
      </c>
      <c r="Q167" s="4" t="n">
        <f aca="false">sobrestock_sustitutos!$G$93</f>
        <v>3</v>
      </c>
    </row>
    <row r="168" customFormat="false" ht="15" hidden="false" customHeight="false" outlineLevel="0" collapsed="false">
      <c r="A168" s="8" t="str">
        <f aca="false">parametros_recargas!A57</f>
        <v>AFFF 50 l s/ruedas</v>
      </c>
      <c r="B168" s="8" t="str">
        <f aca="false">parametros_recargas!B57</f>
        <v>AFFF</v>
      </c>
      <c r="C168" s="11" t="n">
        <f aca="false">parametros_recargas!C57</f>
        <v>3</v>
      </c>
      <c r="D168" s="21" t="n">
        <f aca="false">datos_base!$G$8*parametros_recargas!$B$42+sobrestock_sustitutos!$G$94/12</f>
        <v>12.5254621937138</v>
      </c>
      <c r="E168" s="21" t="n">
        <f aca="false">datos_base!$G$8*parametros_recargas!$C$42+sobrestock_sustitutos!$G$94/12</f>
        <v>12.5254621937138</v>
      </c>
      <c r="F168" s="21" t="n">
        <f aca="false">datos_base!$G$8*parametros_recargas!$D$42+sobrestock_sustitutos!$G$94/12</f>
        <v>12.5254621937138</v>
      </c>
      <c r="G168" s="21" t="n">
        <f aca="false">datos_base!$G$8*parametros_recargas!$E$42+sobrestock_sustitutos!$G$94/12</f>
        <v>12.5254621937138</v>
      </c>
      <c r="H168" s="21" t="n">
        <f aca="false">datos_base!$G$8*parametros_recargas!$F$42+sobrestock_sustitutos!$G$94/12</f>
        <v>12.5254621937138</v>
      </c>
      <c r="I168" s="21" t="n">
        <f aca="false">datos_base!$G$8*parametros_recargas!$G$42+sobrestock_sustitutos!$G$94/12</f>
        <v>12.5254621937138</v>
      </c>
      <c r="J168" s="21" t="n">
        <f aca="false">datos_base!$G$8*parametros_recargas!$H$42+sobrestock_sustitutos!$G$94/12</f>
        <v>12.5254621937138</v>
      </c>
      <c r="K168" s="21" t="n">
        <f aca="false">datos_base!$G$8*parametros_recargas!$I$42+sobrestock_sustitutos!$G$94/12</f>
        <v>12.5254621937138</v>
      </c>
      <c r="L168" s="21" t="n">
        <f aca="false">datos_base!$G$8*parametros_recargas!$J$42+sobrestock_sustitutos!$G$94/12</f>
        <v>12.5254621937138</v>
      </c>
      <c r="M168" s="21" t="n">
        <f aca="false">datos_base!$G$8*parametros_recargas!$K$42+sobrestock_sustitutos!$G$94/12</f>
        <v>12.5254621937138</v>
      </c>
      <c r="N168" s="21" t="n">
        <f aca="false">datos_base!$G$8*parametros_recargas!$L$42+sobrestock_sustitutos!$G$94/12</f>
        <v>12.5254621937138</v>
      </c>
      <c r="O168" s="21" t="n">
        <f aca="false">datos_base!$G$8*parametros_recargas!$M$42+sobrestock_sustitutos!$G$94/12</f>
        <v>12.5254621937138</v>
      </c>
      <c r="P168" s="6" t="n">
        <f aca="false">SUM(D168:O168)</f>
        <v>150.305546324566</v>
      </c>
      <c r="Q168" s="4" t="n">
        <f aca="false">sobrestock_sustitutos!$G$94</f>
        <v>2</v>
      </c>
    </row>
    <row r="169" customFormat="false" ht="15" hidden="false" customHeight="false" outlineLevel="0" collapsed="false">
      <c r="A169" s="8" t="str">
        <f aca="false">parametros_recargas!A58</f>
        <v>BC 5 kg</v>
      </c>
      <c r="B169" s="8" t="str">
        <f aca="false">parametros_recargas!B58</f>
        <v>BC</v>
      </c>
      <c r="C169" s="11" t="n">
        <f aca="false">parametros_recargas!C58</f>
        <v>1</v>
      </c>
      <c r="D169" s="21" t="n">
        <f aca="false">datos_base!$G$9*parametros_recargas!$B$42+sobrestock_sustitutos!$G$95/12</f>
        <v>7.09396220745989</v>
      </c>
      <c r="E169" s="21" t="n">
        <f aca="false">datos_base!$G$9*parametros_recargas!$C$42+sobrestock_sustitutos!$G$95/12</f>
        <v>7.09396220745989</v>
      </c>
      <c r="F169" s="21" t="n">
        <f aca="false">datos_base!$G$9*parametros_recargas!$D$42+sobrestock_sustitutos!$G$95/12</f>
        <v>7.09396220745989</v>
      </c>
      <c r="G169" s="21" t="n">
        <f aca="false">datos_base!$G$9*parametros_recargas!$E$42+sobrestock_sustitutos!$G$95/12</f>
        <v>7.09396220745989</v>
      </c>
      <c r="H169" s="21" t="n">
        <f aca="false">datos_base!$G$9*parametros_recargas!$F$42+sobrestock_sustitutos!$G$95/12</f>
        <v>7.09396220745989</v>
      </c>
      <c r="I169" s="21" t="n">
        <f aca="false">datos_base!$G$9*parametros_recargas!$G$42+sobrestock_sustitutos!$G$95/12</f>
        <v>7.09396220745989</v>
      </c>
      <c r="J169" s="21" t="n">
        <f aca="false">datos_base!$G$9*parametros_recargas!$H$42+sobrestock_sustitutos!$G$95/12</f>
        <v>7.09396220745989</v>
      </c>
      <c r="K169" s="21" t="n">
        <f aca="false">datos_base!$G$9*parametros_recargas!$I$42+sobrestock_sustitutos!$G$95/12</f>
        <v>7.09396220745989</v>
      </c>
      <c r="L169" s="21" t="n">
        <f aca="false">datos_base!$G$9*parametros_recargas!$J$42+sobrestock_sustitutos!$G$95/12</f>
        <v>7.09396220745989</v>
      </c>
      <c r="M169" s="21" t="n">
        <f aca="false">datos_base!$G$9*parametros_recargas!$K$42+sobrestock_sustitutos!$G$95/12</f>
        <v>7.09396220745989</v>
      </c>
      <c r="N169" s="21" t="n">
        <f aca="false">datos_base!$G$9*parametros_recargas!$L$42+sobrestock_sustitutos!$G$95/12</f>
        <v>7.09396220745989</v>
      </c>
      <c r="O169" s="21" t="n">
        <f aca="false">datos_base!$G$9*parametros_recargas!$M$42+sobrestock_sustitutos!$G$95/12</f>
        <v>7.09396220745989</v>
      </c>
      <c r="P169" s="6" t="n">
        <f aca="false">SUM(D169:O169)</f>
        <v>85.1275464895187</v>
      </c>
      <c r="Q169" s="4" t="n">
        <f aca="false">sobrestock_sustitutos!$G$95</f>
        <v>1</v>
      </c>
    </row>
    <row r="170" customFormat="false" ht="15" hidden="false" customHeight="false" outlineLevel="0" collapsed="false">
      <c r="A170" s="8" t="str">
        <f aca="false">parametros_recargas!A59</f>
        <v>Sales K 6 l</v>
      </c>
      <c r="B170" s="8" t="str">
        <f aca="false">parametros_recargas!B59</f>
        <v>Sales K</v>
      </c>
      <c r="C170" s="11" t="n">
        <f aca="false">parametros_recargas!C59</f>
        <v>1</v>
      </c>
      <c r="D170" s="21" t="n">
        <f aca="false">datos_base!$G$10*parametros_recargas!$B$42+sobrestock_sustitutos!$G$96/12</f>
        <v>63.082874665993</v>
      </c>
      <c r="E170" s="21" t="n">
        <f aca="false">datos_base!$G$10*parametros_recargas!$C$42+sobrestock_sustitutos!$G$96/12</f>
        <v>63.082874665993</v>
      </c>
      <c r="F170" s="21" t="n">
        <f aca="false">datos_base!$G$10*parametros_recargas!$D$42+sobrestock_sustitutos!$G$96/12</f>
        <v>63.082874665993</v>
      </c>
      <c r="G170" s="21" t="n">
        <f aca="false">datos_base!$G$10*parametros_recargas!$E$42+sobrestock_sustitutos!$G$96/12</f>
        <v>63.082874665993</v>
      </c>
      <c r="H170" s="21" t="n">
        <f aca="false">datos_base!$G$10*parametros_recargas!$F$42+sobrestock_sustitutos!$G$96/12</f>
        <v>63.082874665993</v>
      </c>
      <c r="I170" s="21" t="n">
        <f aca="false">datos_base!$G$10*parametros_recargas!$G$42+sobrestock_sustitutos!$G$96/12</f>
        <v>63.082874665993</v>
      </c>
      <c r="J170" s="21" t="n">
        <f aca="false">datos_base!$G$10*parametros_recargas!$H$42+sobrestock_sustitutos!$G$96/12</f>
        <v>63.082874665993</v>
      </c>
      <c r="K170" s="21" t="n">
        <f aca="false">datos_base!$G$10*parametros_recargas!$I$42+sobrestock_sustitutos!$G$96/12</f>
        <v>63.082874665993</v>
      </c>
      <c r="L170" s="21" t="n">
        <f aca="false">datos_base!$G$10*parametros_recargas!$J$42+sobrestock_sustitutos!$G$96/12</f>
        <v>63.082874665993</v>
      </c>
      <c r="M170" s="21" t="n">
        <f aca="false">datos_base!$G$10*parametros_recargas!$K$42+sobrestock_sustitutos!$G$96/12</f>
        <v>63.082874665993</v>
      </c>
      <c r="N170" s="21" t="n">
        <f aca="false">datos_base!$G$10*parametros_recargas!$L$42+sobrestock_sustitutos!$G$96/12</f>
        <v>63.082874665993</v>
      </c>
      <c r="O170" s="21" t="n">
        <f aca="false">datos_base!$G$10*parametros_recargas!$M$42+sobrestock_sustitutos!$G$96/12</f>
        <v>63.082874665993</v>
      </c>
      <c r="P170" s="6" t="n">
        <f aca="false">SUM(D170:O170)</f>
        <v>756.994495991916</v>
      </c>
      <c r="Q170" s="4" t="n">
        <f aca="false">sobrestock_sustitutos!$G$96</f>
        <v>8</v>
      </c>
    </row>
    <row r="171" customFormat="false" ht="15" hidden="false" customHeight="false" outlineLevel="0" collapsed="false">
      <c r="A171" s="8" t="str">
        <f aca="false">parametros_recargas!A60</f>
        <v>CO₂ 2 kg</v>
      </c>
      <c r="B171" s="8" t="str">
        <f aca="false">parametros_recargas!B60</f>
        <v>CO₂</v>
      </c>
      <c r="C171" s="11" t="n">
        <f aca="false">parametros_recargas!C60</f>
        <v>1</v>
      </c>
      <c r="D171" s="21" t="n">
        <f aca="false">datos_base!$G$11*parametros_recargas!$B$42+sobrestock_sustitutos!$G$97/12</f>
        <v>351.9766494622</v>
      </c>
      <c r="E171" s="21" t="n">
        <f aca="false">datos_base!$G$11*parametros_recargas!$C$42+sobrestock_sustitutos!$G$97/12</f>
        <v>351.9766494622</v>
      </c>
      <c r="F171" s="21" t="n">
        <f aca="false">datos_base!$G$11*parametros_recargas!$D$42+sobrestock_sustitutos!$G$97/12</f>
        <v>351.9766494622</v>
      </c>
      <c r="G171" s="21" t="n">
        <f aca="false">datos_base!$G$11*parametros_recargas!$E$42+sobrestock_sustitutos!$G$97/12</f>
        <v>351.9766494622</v>
      </c>
      <c r="H171" s="21" t="n">
        <f aca="false">datos_base!$G$11*parametros_recargas!$F$42+sobrestock_sustitutos!$G$97/12</f>
        <v>351.9766494622</v>
      </c>
      <c r="I171" s="21" t="n">
        <f aca="false">datos_base!$G$11*parametros_recargas!$G$42+sobrestock_sustitutos!$G$97/12</f>
        <v>351.9766494622</v>
      </c>
      <c r="J171" s="21" t="n">
        <f aca="false">datos_base!$G$11*parametros_recargas!$H$42+sobrestock_sustitutos!$G$97/12</f>
        <v>351.9766494622</v>
      </c>
      <c r="K171" s="21" t="n">
        <f aca="false">datos_base!$G$11*parametros_recargas!$I$42+sobrestock_sustitutos!$G$97/12</f>
        <v>351.9766494622</v>
      </c>
      <c r="L171" s="21" t="n">
        <f aca="false">datos_base!$G$11*parametros_recargas!$J$42+sobrestock_sustitutos!$G$97/12</f>
        <v>351.9766494622</v>
      </c>
      <c r="M171" s="21" t="n">
        <f aca="false">datos_base!$G$11*parametros_recargas!$K$42+sobrestock_sustitutos!$G$97/12</f>
        <v>351.9766494622</v>
      </c>
      <c r="N171" s="21" t="n">
        <f aca="false">datos_base!$G$11*parametros_recargas!$L$42+sobrestock_sustitutos!$G$97/12</f>
        <v>351.9766494622</v>
      </c>
      <c r="O171" s="21" t="n">
        <f aca="false">datos_base!$G$11*parametros_recargas!$M$42+sobrestock_sustitutos!$G$97/12</f>
        <v>351.9766494622</v>
      </c>
      <c r="P171" s="6" t="n">
        <f aca="false">SUM(D171:O171)</f>
        <v>4223.7197935464</v>
      </c>
      <c r="Q171" s="4" t="n">
        <f aca="false">sobrestock_sustitutos!$G$97</f>
        <v>40</v>
      </c>
    </row>
    <row r="172" customFormat="false" ht="15" hidden="false" customHeight="false" outlineLevel="0" collapsed="false">
      <c r="A172" s="8" t="str">
        <f aca="false">parametros_recargas!A61</f>
        <v>CO₂ 5 kg</v>
      </c>
      <c r="B172" s="8" t="str">
        <f aca="false">parametros_recargas!B61</f>
        <v>CO₂</v>
      </c>
      <c r="C172" s="11" t="n">
        <f aca="false">parametros_recargas!C61</f>
        <v>1</v>
      </c>
      <c r="D172" s="21" t="n">
        <f aca="false">datos_base!$G$12*parametros_recargas!$B$42+sobrestock_sustitutos!$G$98/12</f>
        <v>114.53950987358</v>
      </c>
      <c r="E172" s="21" t="n">
        <f aca="false">datos_base!$G$12*parametros_recargas!$C$42+sobrestock_sustitutos!$G$98/12</f>
        <v>114.53950987358</v>
      </c>
      <c r="F172" s="21" t="n">
        <f aca="false">datos_base!$G$12*parametros_recargas!$D$42+sobrestock_sustitutos!$G$98/12</f>
        <v>114.53950987358</v>
      </c>
      <c r="G172" s="21" t="n">
        <f aca="false">datos_base!$G$12*parametros_recargas!$E$42+sobrestock_sustitutos!$G$98/12</f>
        <v>114.53950987358</v>
      </c>
      <c r="H172" s="21" t="n">
        <f aca="false">datos_base!$G$12*parametros_recargas!$F$42+sobrestock_sustitutos!$G$98/12</f>
        <v>114.53950987358</v>
      </c>
      <c r="I172" s="21" t="n">
        <f aca="false">datos_base!$G$12*parametros_recargas!$G$42+sobrestock_sustitutos!$G$98/12</f>
        <v>114.53950987358</v>
      </c>
      <c r="J172" s="21" t="n">
        <f aca="false">datos_base!$G$12*parametros_recargas!$H$42+sobrestock_sustitutos!$G$98/12</f>
        <v>114.53950987358</v>
      </c>
      <c r="K172" s="21" t="n">
        <f aca="false">datos_base!$G$12*parametros_recargas!$I$42+sobrestock_sustitutos!$G$98/12</f>
        <v>114.53950987358</v>
      </c>
      <c r="L172" s="21" t="n">
        <f aca="false">datos_base!$G$12*parametros_recargas!$J$42+sobrestock_sustitutos!$G$98/12</f>
        <v>114.53950987358</v>
      </c>
      <c r="M172" s="21" t="n">
        <f aca="false">datos_base!$G$12*parametros_recargas!$K$42+sobrestock_sustitutos!$G$98/12</f>
        <v>114.53950987358</v>
      </c>
      <c r="N172" s="21" t="n">
        <f aca="false">datos_base!$G$12*parametros_recargas!$L$42+sobrestock_sustitutos!$G$98/12</f>
        <v>114.53950987358</v>
      </c>
      <c r="O172" s="21" t="n">
        <f aca="false">datos_base!$G$12*parametros_recargas!$M$42+sobrestock_sustitutos!$G$98/12</f>
        <v>114.53950987358</v>
      </c>
      <c r="P172" s="6" t="n">
        <f aca="false">SUM(D172:O172)</f>
        <v>1374.47411848296</v>
      </c>
      <c r="Q172" s="4" t="n">
        <f aca="false">sobrestock_sustitutos!$G$98</f>
        <v>13</v>
      </c>
    </row>
    <row r="173" customFormat="false" ht="15" hidden="false" customHeight="false" outlineLevel="0" collapsed="false">
      <c r="A173" s="8" t="str">
        <f aca="false">parametros_recargas!A62</f>
        <v>HCFC/HFC 5 kg</v>
      </c>
      <c r="B173" s="8" t="str">
        <f aca="false">parametros_recargas!B62</f>
        <v>Halogenado</v>
      </c>
      <c r="C173" s="11" t="n">
        <f aca="false">parametros_recargas!C62</f>
        <v>1</v>
      </c>
      <c r="D173" s="21" t="n">
        <f aca="false">datos_base!$G$13*parametros_recargas!$B$42+sobrestock_sustitutos!$G$99/12</f>
        <v>18.3691621927284</v>
      </c>
      <c r="E173" s="21" t="n">
        <f aca="false">datos_base!$G$13*parametros_recargas!$C$42+sobrestock_sustitutos!$G$99/12</f>
        <v>18.3691621927284</v>
      </c>
      <c r="F173" s="21" t="n">
        <f aca="false">datos_base!$G$13*parametros_recargas!$D$42+sobrestock_sustitutos!$G$99/12</f>
        <v>18.3691621927284</v>
      </c>
      <c r="G173" s="21" t="n">
        <f aca="false">datos_base!$G$13*parametros_recargas!$E$42+sobrestock_sustitutos!$G$99/12</f>
        <v>18.3691621927284</v>
      </c>
      <c r="H173" s="21" t="n">
        <f aca="false">datos_base!$G$13*parametros_recargas!$F$42+sobrestock_sustitutos!$G$99/12</f>
        <v>18.3691621927284</v>
      </c>
      <c r="I173" s="21" t="n">
        <f aca="false">datos_base!$G$13*parametros_recargas!$G$42+sobrestock_sustitutos!$G$99/12</f>
        <v>18.3691621927284</v>
      </c>
      <c r="J173" s="21" t="n">
        <f aca="false">datos_base!$G$13*parametros_recargas!$H$42+sobrestock_sustitutos!$G$99/12</f>
        <v>18.3691621927284</v>
      </c>
      <c r="K173" s="21" t="n">
        <f aca="false">datos_base!$G$13*parametros_recargas!$I$42+sobrestock_sustitutos!$G$99/12</f>
        <v>18.3691621927284</v>
      </c>
      <c r="L173" s="21" t="n">
        <f aca="false">datos_base!$G$13*parametros_recargas!$J$42+sobrestock_sustitutos!$G$99/12</f>
        <v>18.3691621927284</v>
      </c>
      <c r="M173" s="21" t="n">
        <f aca="false">datos_base!$G$13*parametros_recargas!$K$42+sobrestock_sustitutos!$G$99/12</f>
        <v>18.3691621927284</v>
      </c>
      <c r="N173" s="21" t="n">
        <f aca="false">datos_base!$G$13*parametros_recargas!$L$42+sobrestock_sustitutos!$G$99/12</f>
        <v>18.3691621927284</v>
      </c>
      <c r="O173" s="21" t="n">
        <f aca="false">datos_base!$G$13*parametros_recargas!$M$42+sobrestock_sustitutos!$G$99/12</f>
        <v>18.3691621927284</v>
      </c>
      <c r="P173" s="6" t="n">
        <f aca="false">SUM(D173:O173)</f>
        <v>220.42994631274</v>
      </c>
      <c r="Q173" s="4" t="n">
        <f aca="false">sobrestock_sustitutos!$G$99</f>
        <v>3</v>
      </c>
    </row>
    <row r="174" customFormat="false" ht="15" hidden="false" customHeight="false" outlineLevel="0" collapsed="false">
      <c r="A174" s="8" t="str">
        <f aca="false">parametros_recargas!A63</f>
        <v>Clase D 9 l</v>
      </c>
      <c r="B174" s="8" t="str">
        <f aca="false">parametros_recargas!B63</f>
        <v>Clase D</v>
      </c>
      <c r="C174" s="11" t="n">
        <f aca="false">parametros_recargas!C63</f>
        <v>1</v>
      </c>
      <c r="D174" s="21" t="n">
        <f aca="false">datos_base!$G$14*parametros_recargas!$B$42+sobrestock_sustitutos!$G$100/12</f>
        <v>6.22673763529173</v>
      </c>
      <c r="E174" s="21" t="n">
        <f aca="false">datos_base!$G$14*parametros_recargas!$C$42+sobrestock_sustitutos!$G$100/12</f>
        <v>6.22673763529173</v>
      </c>
      <c r="F174" s="21" t="n">
        <f aca="false">datos_base!$G$14*parametros_recargas!$D$42+sobrestock_sustitutos!$G$100/12</f>
        <v>6.22673763529173</v>
      </c>
      <c r="G174" s="21" t="n">
        <f aca="false">datos_base!$G$14*parametros_recargas!$E$42+sobrestock_sustitutos!$G$100/12</f>
        <v>6.22673763529173</v>
      </c>
      <c r="H174" s="21" t="n">
        <f aca="false">datos_base!$G$14*parametros_recargas!$F$42+sobrestock_sustitutos!$G$100/12</f>
        <v>6.22673763529173</v>
      </c>
      <c r="I174" s="21" t="n">
        <f aca="false">datos_base!$G$14*parametros_recargas!$G$42+sobrestock_sustitutos!$G$100/12</f>
        <v>6.22673763529173</v>
      </c>
      <c r="J174" s="21" t="n">
        <f aca="false">datos_base!$G$14*parametros_recargas!$H$42+sobrestock_sustitutos!$G$100/12</f>
        <v>6.22673763529173</v>
      </c>
      <c r="K174" s="21" t="n">
        <f aca="false">datos_base!$G$14*parametros_recargas!$I$42+sobrestock_sustitutos!$G$100/12</f>
        <v>6.22673763529173</v>
      </c>
      <c r="L174" s="21" t="n">
        <f aca="false">datos_base!$G$14*parametros_recargas!$J$42+sobrestock_sustitutos!$G$100/12</f>
        <v>6.22673763529173</v>
      </c>
      <c r="M174" s="21" t="n">
        <f aca="false">datos_base!$G$14*parametros_recargas!$K$42+sobrestock_sustitutos!$G$100/12</f>
        <v>6.22673763529173</v>
      </c>
      <c r="N174" s="21" t="n">
        <f aca="false">datos_base!$G$14*parametros_recargas!$L$42+sobrestock_sustitutos!$G$100/12</f>
        <v>6.22673763529173</v>
      </c>
      <c r="O174" s="21" t="n">
        <f aca="false">datos_base!$G$14*parametros_recargas!$M$42+sobrestock_sustitutos!$G$100/12</f>
        <v>6.22673763529173</v>
      </c>
      <c r="P174" s="6" t="n">
        <f aca="false">SUM(D174:O174)</f>
        <v>74.7208516235008</v>
      </c>
      <c r="Q174" s="4" t="n">
        <f aca="false">sobrestock_sustitutos!$G$100</f>
        <v>1</v>
      </c>
    </row>
    <row r="175" customFormat="false" ht="15" hidden="false" customHeight="false" outlineLevel="0" collapsed="false">
      <c r="A175" s="8" t="str">
        <f aca="false">parametros_recargas!A64</f>
        <v>ABC 25 kg s/ruedas</v>
      </c>
      <c r="B175" s="8" t="str">
        <f aca="false">parametros_recargas!B64</f>
        <v>ABC</v>
      </c>
      <c r="C175" s="11" t="n">
        <f aca="false">parametros_recargas!C64</f>
        <v>3</v>
      </c>
      <c r="D175" s="21" t="n">
        <f aca="false">datos_base!$G$15*parametros_recargas!$B$42+sobrestock_sustitutos!$G$101/12</f>
        <v>15.6166330032304</v>
      </c>
      <c r="E175" s="21" t="n">
        <f aca="false">datos_base!$G$15*parametros_recargas!$C$42+sobrestock_sustitutos!$G$101/12</f>
        <v>15.6166330032304</v>
      </c>
      <c r="F175" s="21" t="n">
        <f aca="false">datos_base!$G$15*parametros_recargas!$D$42+sobrestock_sustitutos!$G$101/12</f>
        <v>15.6166330032304</v>
      </c>
      <c r="G175" s="21" t="n">
        <f aca="false">datos_base!$G$15*parametros_recargas!$E$42+sobrestock_sustitutos!$G$101/12</f>
        <v>15.6166330032304</v>
      </c>
      <c r="H175" s="21" t="n">
        <f aca="false">datos_base!$G$15*parametros_recargas!$F$42+sobrestock_sustitutos!$G$101/12</f>
        <v>15.6166330032304</v>
      </c>
      <c r="I175" s="21" t="n">
        <f aca="false">datos_base!$G$15*parametros_recargas!$G$42+sobrestock_sustitutos!$G$101/12</f>
        <v>15.6166330032304</v>
      </c>
      <c r="J175" s="21" t="n">
        <f aca="false">datos_base!$G$15*parametros_recargas!$H$42+sobrestock_sustitutos!$G$101/12</f>
        <v>15.6166330032304</v>
      </c>
      <c r="K175" s="21" t="n">
        <f aca="false">datos_base!$G$15*parametros_recargas!$I$42+sobrestock_sustitutos!$G$101/12</f>
        <v>15.6166330032304</v>
      </c>
      <c r="L175" s="21" t="n">
        <f aca="false">datos_base!$G$15*parametros_recargas!$J$42+sobrestock_sustitutos!$G$101/12</f>
        <v>15.6166330032304</v>
      </c>
      <c r="M175" s="21" t="n">
        <f aca="false">datos_base!$G$15*parametros_recargas!$K$42+sobrestock_sustitutos!$G$101/12</f>
        <v>15.6166330032304</v>
      </c>
      <c r="N175" s="21" t="n">
        <f aca="false">datos_base!$G$15*parametros_recargas!$L$42+sobrestock_sustitutos!$G$101/12</f>
        <v>15.6166330032304</v>
      </c>
      <c r="O175" s="21" t="n">
        <f aca="false">datos_base!$G$15*parametros_recargas!$M$42+sobrestock_sustitutos!$G$101/12</f>
        <v>15.6166330032304</v>
      </c>
      <c r="P175" s="6" t="n">
        <f aca="false">SUM(D175:O175)</f>
        <v>187.399596038765</v>
      </c>
      <c r="Q175" s="4" t="n">
        <f aca="false">sobrestock_sustitutos!$G$101</f>
        <v>2</v>
      </c>
    </row>
    <row r="176" customFormat="false" ht="15" hidden="false" customHeight="false" outlineLevel="0" collapsed="false">
      <c r="A176" s="8" t="str">
        <f aca="false">parametros_recargas!A65</f>
        <v>ABC 50 kg s/ruedas</v>
      </c>
      <c r="B176" s="8" t="str">
        <f aca="false">parametros_recargas!B65</f>
        <v>ABC</v>
      </c>
      <c r="C176" s="11" t="n">
        <f aca="false">parametros_recargas!C65</f>
        <v>3</v>
      </c>
      <c r="D176" s="21" t="n">
        <f aca="false">datos_base!$G$16*parametros_recargas!$B$42+sobrestock_sustitutos!$G$102/12</f>
        <v>34.3232592977932</v>
      </c>
      <c r="E176" s="21" t="n">
        <f aca="false">datos_base!$G$16*parametros_recargas!$C$42+sobrestock_sustitutos!$G$102/12</f>
        <v>34.3232592977932</v>
      </c>
      <c r="F176" s="21" t="n">
        <f aca="false">datos_base!$G$16*parametros_recargas!$D$42+sobrestock_sustitutos!$G$102/12</f>
        <v>34.3232592977932</v>
      </c>
      <c r="G176" s="21" t="n">
        <f aca="false">datos_base!$G$16*parametros_recargas!$E$42+sobrestock_sustitutos!$G$102/12</f>
        <v>34.3232592977932</v>
      </c>
      <c r="H176" s="21" t="n">
        <f aca="false">datos_base!$G$16*parametros_recargas!$F$42+sobrestock_sustitutos!$G$102/12</f>
        <v>34.3232592977932</v>
      </c>
      <c r="I176" s="21" t="n">
        <f aca="false">datos_base!$G$16*parametros_recargas!$G$42+sobrestock_sustitutos!$G$102/12</f>
        <v>34.3232592977932</v>
      </c>
      <c r="J176" s="21" t="n">
        <f aca="false">datos_base!$G$16*parametros_recargas!$H$42+sobrestock_sustitutos!$G$102/12</f>
        <v>34.3232592977932</v>
      </c>
      <c r="K176" s="21" t="n">
        <f aca="false">datos_base!$G$16*parametros_recargas!$I$42+sobrestock_sustitutos!$G$102/12</f>
        <v>34.3232592977932</v>
      </c>
      <c r="L176" s="21" t="n">
        <f aca="false">datos_base!$G$16*parametros_recargas!$J$42+sobrestock_sustitutos!$G$102/12</f>
        <v>34.3232592977932</v>
      </c>
      <c r="M176" s="21" t="n">
        <f aca="false">datos_base!$G$16*parametros_recargas!$K$42+sobrestock_sustitutos!$G$102/12</f>
        <v>34.3232592977932</v>
      </c>
      <c r="N176" s="21" t="n">
        <f aca="false">datos_base!$G$16*parametros_recargas!$L$42+sobrestock_sustitutos!$G$102/12</f>
        <v>34.3232592977932</v>
      </c>
      <c r="O176" s="21" t="n">
        <f aca="false">datos_base!$G$16*parametros_recargas!$M$42+sobrestock_sustitutos!$G$102/12</f>
        <v>34.3232592977932</v>
      </c>
      <c r="P176" s="6" t="n">
        <f aca="false">SUM(D176:O176)</f>
        <v>411.879111573519</v>
      </c>
      <c r="Q176" s="4" t="n">
        <f aca="false">sobrestock_sustitutos!$G$102</f>
        <v>4</v>
      </c>
    </row>
    <row r="177" customFormat="false" ht="15" hidden="false" customHeight="false" outlineLevel="0" collapsed="false">
      <c r="A177" s="8" t="str">
        <f aca="false">parametros_recargas!A66</f>
        <v>ABC 70 kg s/ruedas</v>
      </c>
      <c r="B177" s="8" t="str">
        <f aca="false">parametros_recargas!B66</f>
        <v>ABC</v>
      </c>
      <c r="C177" s="11" t="n">
        <f aca="false">parametros_recargas!C66</f>
        <v>3</v>
      </c>
      <c r="D177" s="21" t="n">
        <f aca="false">datos_base!$G$17*parametros_recargas!$B$42+sobrestock_sustitutos!$G$103/12</f>
        <v>7.49931717968786</v>
      </c>
      <c r="E177" s="21" t="n">
        <f aca="false">datos_base!$G$17*parametros_recargas!$C$42+sobrestock_sustitutos!$G$103/12</f>
        <v>7.49931717968786</v>
      </c>
      <c r="F177" s="21" t="n">
        <f aca="false">datos_base!$G$17*parametros_recargas!$D$42+sobrestock_sustitutos!$G$103/12</f>
        <v>7.49931717968786</v>
      </c>
      <c r="G177" s="21" t="n">
        <f aca="false">datos_base!$G$17*parametros_recargas!$E$42+sobrestock_sustitutos!$G$103/12</f>
        <v>7.49931717968786</v>
      </c>
      <c r="H177" s="21" t="n">
        <f aca="false">datos_base!$G$17*parametros_recargas!$F$42+sobrestock_sustitutos!$G$103/12</f>
        <v>7.49931717968786</v>
      </c>
      <c r="I177" s="21" t="n">
        <f aca="false">datos_base!$G$17*parametros_recargas!$G$42+sobrestock_sustitutos!$G$103/12</f>
        <v>7.49931717968786</v>
      </c>
      <c r="J177" s="21" t="n">
        <f aca="false">datos_base!$G$17*parametros_recargas!$H$42+sobrestock_sustitutos!$G$103/12</f>
        <v>7.49931717968786</v>
      </c>
      <c r="K177" s="21" t="n">
        <f aca="false">datos_base!$G$17*parametros_recargas!$I$42+sobrestock_sustitutos!$G$103/12</f>
        <v>7.49931717968786</v>
      </c>
      <c r="L177" s="21" t="n">
        <f aca="false">datos_base!$G$17*parametros_recargas!$J$42+sobrestock_sustitutos!$G$103/12</f>
        <v>7.49931717968786</v>
      </c>
      <c r="M177" s="21" t="n">
        <f aca="false">datos_base!$G$17*parametros_recargas!$K$42+sobrestock_sustitutos!$G$103/12</f>
        <v>7.49931717968786</v>
      </c>
      <c r="N177" s="21" t="n">
        <f aca="false">datos_base!$G$17*parametros_recargas!$L$42+sobrestock_sustitutos!$G$103/12</f>
        <v>7.49931717968786</v>
      </c>
      <c r="O177" s="21" t="n">
        <f aca="false">datos_base!$G$17*parametros_recargas!$M$42+sobrestock_sustitutos!$G$103/12</f>
        <v>7.49931717968786</v>
      </c>
      <c r="P177" s="6" t="n">
        <f aca="false">SUM(D177:O177)</f>
        <v>89.9918061562543</v>
      </c>
      <c r="Q177" s="4" t="n">
        <f aca="false">sobrestock_sustitutos!$G$103</f>
        <v>1</v>
      </c>
    </row>
    <row r="178" customFormat="false" ht="15" hidden="false" customHeight="false" outlineLevel="0" collapsed="false">
      <c r="A178" s="8" t="str">
        <f aca="false">parametros_recargas!A67</f>
        <v>ABC 100 kg s/ruedas</v>
      </c>
      <c r="B178" s="8" t="str">
        <f aca="false">parametros_recargas!B67</f>
        <v>ABC</v>
      </c>
      <c r="C178" s="11" t="n">
        <f aca="false">parametros_recargas!C67</f>
        <v>3</v>
      </c>
      <c r="D178" s="21" t="n">
        <f aca="false">datos_base!$G$18*parametros_recargas!$B$42+sobrestock_sustitutos!$G$104/12</f>
        <v>5.02732255622978</v>
      </c>
      <c r="E178" s="21" t="n">
        <f aca="false">datos_base!$G$18*parametros_recargas!$C$42+sobrestock_sustitutos!$G$104/12</f>
        <v>5.02732255622978</v>
      </c>
      <c r="F178" s="21" t="n">
        <f aca="false">datos_base!$G$18*parametros_recargas!$D$42+sobrestock_sustitutos!$G$104/12</f>
        <v>5.02732255622978</v>
      </c>
      <c r="G178" s="21" t="n">
        <f aca="false">datos_base!$G$18*parametros_recargas!$E$42+sobrestock_sustitutos!$G$104/12</f>
        <v>5.02732255622978</v>
      </c>
      <c r="H178" s="21" t="n">
        <f aca="false">datos_base!$G$18*parametros_recargas!$F$42+sobrestock_sustitutos!$G$104/12</f>
        <v>5.02732255622978</v>
      </c>
      <c r="I178" s="21" t="n">
        <f aca="false">datos_base!$G$18*parametros_recargas!$G$42+sobrestock_sustitutos!$G$104/12</f>
        <v>5.02732255622978</v>
      </c>
      <c r="J178" s="21" t="n">
        <f aca="false">datos_base!$G$18*parametros_recargas!$H$42+sobrestock_sustitutos!$G$104/12</f>
        <v>5.02732255622978</v>
      </c>
      <c r="K178" s="21" t="n">
        <f aca="false">datos_base!$G$18*parametros_recargas!$I$42+sobrestock_sustitutos!$G$104/12</f>
        <v>5.02732255622978</v>
      </c>
      <c r="L178" s="21" t="n">
        <f aca="false">datos_base!$G$18*parametros_recargas!$J$42+sobrestock_sustitutos!$G$104/12</f>
        <v>5.02732255622978</v>
      </c>
      <c r="M178" s="21" t="n">
        <f aca="false">datos_base!$G$18*parametros_recargas!$K$42+sobrestock_sustitutos!$G$104/12</f>
        <v>5.02732255622978</v>
      </c>
      <c r="N178" s="21" t="n">
        <f aca="false">datos_base!$G$18*parametros_recargas!$L$42+sobrestock_sustitutos!$G$104/12</f>
        <v>5.02732255622978</v>
      </c>
      <c r="O178" s="21" t="n">
        <f aca="false">datos_base!$G$18*parametros_recargas!$M$42+sobrestock_sustitutos!$G$104/12</f>
        <v>5.02732255622978</v>
      </c>
      <c r="P178" s="6" t="n">
        <f aca="false">SUM(D178:O178)</f>
        <v>60.3278706747574</v>
      </c>
      <c r="Q178" s="4" t="n">
        <f aca="false">sobrestock_sustitutos!$G$104</f>
        <v>1</v>
      </c>
    </row>
    <row r="179" customFormat="false" ht="15" hidden="false" customHeight="false" outlineLevel="0" collapsed="false">
      <c r="A179" s="5" t="s">
        <v>306</v>
      </c>
      <c r="D179" s="6" t="n">
        <f aca="false">SUM(D162:D178)</f>
        <v>5514.01585855461</v>
      </c>
      <c r="E179" s="6" t="n">
        <f aca="false">SUM(E162:E178)</f>
        <v>5514.01585855461</v>
      </c>
      <c r="F179" s="6" t="n">
        <f aca="false">SUM(F162:F178)</f>
        <v>5514.01585855461</v>
      </c>
      <c r="G179" s="6" t="n">
        <f aca="false">SUM(G162:G178)</f>
        <v>5514.01585855461</v>
      </c>
      <c r="H179" s="6" t="n">
        <f aca="false">SUM(H162:H178)</f>
        <v>5514.01585855461</v>
      </c>
      <c r="I179" s="6" t="n">
        <f aca="false">SUM(I162:I178)</f>
        <v>5514.01585855461</v>
      </c>
      <c r="J179" s="6" t="n">
        <f aca="false">SUM(J162:J178)</f>
        <v>5514.01585855461</v>
      </c>
      <c r="K179" s="6" t="n">
        <f aca="false">SUM(K162:K178)</f>
        <v>5514.01585855461</v>
      </c>
      <c r="L179" s="6" t="n">
        <f aca="false">SUM(L162:L178)</f>
        <v>5514.01585855461</v>
      </c>
      <c r="M179" s="6" t="n">
        <f aca="false">SUM(M162:M178)</f>
        <v>5514.01585855461</v>
      </c>
      <c r="N179" s="6" t="n">
        <f aca="false">SUM(N162:N178)</f>
        <v>5514.01585855461</v>
      </c>
      <c r="O179" s="6" t="n">
        <f aca="false">SUM(O162:O178)</f>
        <v>5514.01585855461</v>
      </c>
      <c r="P179" s="6" t="n">
        <f aca="false">SUM(P162:P178)</f>
        <v>66168.1903026554</v>
      </c>
    </row>
    <row r="180" customFormat="false" ht="15" hidden="false" customHeight="false" outlineLevel="0" collapsed="false">
      <c r="A180" s="5" t="s">
        <v>307</v>
      </c>
    </row>
    <row r="181" customFormat="false" ht="15" hidden="false" customHeight="false" outlineLevel="0" collapsed="false">
      <c r="A181" s="3" t="s">
        <v>148</v>
      </c>
      <c r="D181" s="21" t="n">
        <f aca="false">SUMPRODUCT(($B$162:$B$178=$A181)*D$162:D$178*$C$162:$C$178)</f>
        <v>4912.34330324881</v>
      </c>
      <c r="E181" s="21" t="n">
        <f aca="false">SUMPRODUCT(($B$162:$B$178=$A181)*E$162:E$178*$C$162:$C$178)</f>
        <v>4912.34330324881</v>
      </c>
      <c r="F181" s="21" t="n">
        <f aca="false">SUMPRODUCT(($B$162:$B$178=$A181)*F$162:F$178*$C$162:$C$178)</f>
        <v>4912.34330324881</v>
      </c>
      <c r="G181" s="21" t="n">
        <f aca="false">SUMPRODUCT(($B$162:$B$178=$A181)*G$162:G$178*$C$162:$C$178)</f>
        <v>4912.34330324881</v>
      </c>
      <c r="H181" s="21" t="n">
        <f aca="false">SUMPRODUCT(($B$162:$B$178=$A181)*H$162:H$178*$C$162:$C$178)</f>
        <v>4912.34330324881</v>
      </c>
      <c r="I181" s="21" t="n">
        <f aca="false">SUMPRODUCT(($B$162:$B$178=$A181)*I$162:I$178*$C$162:$C$178)</f>
        <v>4912.34330324881</v>
      </c>
      <c r="J181" s="21" t="n">
        <f aca="false">SUMPRODUCT(($B$162:$B$178=$A181)*J$162:J$178*$C$162:$C$178)</f>
        <v>4912.34330324881</v>
      </c>
      <c r="K181" s="21" t="n">
        <f aca="false">SUMPRODUCT(($B$162:$B$178=$A181)*K$162:K$178*$C$162:$C$178)</f>
        <v>4912.34330324881</v>
      </c>
      <c r="L181" s="21" t="n">
        <f aca="false">SUMPRODUCT(($B$162:$B$178=$A181)*L$162:L$178*$C$162:$C$178)</f>
        <v>4912.34330324881</v>
      </c>
      <c r="M181" s="21" t="n">
        <f aca="false">SUMPRODUCT(($B$162:$B$178=$A181)*M$162:M$178*$C$162:$C$178)</f>
        <v>4912.34330324881</v>
      </c>
      <c r="N181" s="21" t="n">
        <f aca="false">SUMPRODUCT(($B$162:$B$178=$A181)*N$162:N$178*$C$162:$C$178)</f>
        <v>4912.34330324881</v>
      </c>
      <c r="O181" s="21" t="n">
        <f aca="false">SUMPRODUCT(($B$162:$B$178=$A181)*O$162:O$178*$C$162:$C$178)</f>
        <v>4912.34330324881</v>
      </c>
      <c r="P181" s="21" t="n">
        <f aca="false">SUMPRODUCT(($B$162:$B$178=$A181)*P$162:P$178*$C$162:$C$178)</f>
        <v>58948.1196389857</v>
      </c>
    </row>
    <row r="182" customFormat="false" ht="15" hidden="false" customHeight="false" outlineLevel="0" collapsed="false">
      <c r="A182" s="3" t="s">
        <v>154</v>
      </c>
      <c r="D182" s="21" t="n">
        <f aca="false">SUMPRODUCT(($B$162:$B$178=$A182)*D$162:D$178*$C$162:$C$178)</f>
        <v>7.09396220745989</v>
      </c>
      <c r="E182" s="21" t="n">
        <f aca="false">SUMPRODUCT(($B$162:$B$178=$A182)*E$162:E$178*$C$162:$C$178)</f>
        <v>7.09396220745989</v>
      </c>
      <c r="F182" s="21" t="n">
        <f aca="false">SUMPRODUCT(($B$162:$B$178=$A182)*F$162:F$178*$C$162:$C$178)</f>
        <v>7.09396220745989</v>
      </c>
      <c r="G182" s="21" t="n">
        <f aca="false">SUMPRODUCT(($B$162:$B$178=$A182)*G$162:G$178*$C$162:$C$178)</f>
        <v>7.09396220745989</v>
      </c>
      <c r="H182" s="21" t="n">
        <f aca="false">SUMPRODUCT(($B$162:$B$178=$A182)*H$162:H$178*$C$162:$C$178)</f>
        <v>7.09396220745989</v>
      </c>
      <c r="I182" s="21" t="n">
        <f aca="false">SUMPRODUCT(($B$162:$B$178=$A182)*I$162:I$178*$C$162:$C$178)</f>
        <v>7.09396220745989</v>
      </c>
      <c r="J182" s="21" t="n">
        <f aca="false">SUMPRODUCT(($B$162:$B$178=$A182)*J$162:J$178*$C$162:$C$178)</f>
        <v>7.09396220745989</v>
      </c>
      <c r="K182" s="21" t="n">
        <f aca="false">SUMPRODUCT(($B$162:$B$178=$A182)*K$162:K$178*$C$162:$C$178)</f>
        <v>7.09396220745989</v>
      </c>
      <c r="L182" s="21" t="n">
        <f aca="false">SUMPRODUCT(($B$162:$B$178=$A182)*L$162:L$178*$C$162:$C$178)</f>
        <v>7.09396220745989</v>
      </c>
      <c r="M182" s="21" t="n">
        <f aca="false">SUMPRODUCT(($B$162:$B$178=$A182)*M$162:M$178*$C$162:$C$178)</f>
        <v>7.09396220745989</v>
      </c>
      <c r="N182" s="21" t="n">
        <f aca="false">SUMPRODUCT(($B$162:$B$178=$A182)*N$162:N$178*$C$162:$C$178)</f>
        <v>7.09396220745989</v>
      </c>
      <c r="O182" s="21" t="n">
        <f aca="false">SUMPRODUCT(($B$162:$B$178=$A182)*O$162:O$178*$C$162:$C$178)</f>
        <v>7.09396220745989</v>
      </c>
      <c r="P182" s="21" t="n">
        <f aca="false">SUMPRODUCT(($B$162:$B$178=$A182)*P$162:P$178*$C$162:$C$178)</f>
        <v>85.1275464895187</v>
      </c>
    </row>
    <row r="183" customFormat="false" ht="15" hidden="false" customHeight="false" outlineLevel="0" collapsed="false">
      <c r="A183" s="3" t="s">
        <v>160</v>
      </c>
      <c r="D183" s="21" t="n">
        <f aca="false">SUMPRODUCT(($B$162:$B$178=$A183)*D$162:D$178*$C$162:$C$178)</f>
        <v>6.22673763529173</v>
      </c>
      <c r="E183" s="21" t="n">
        <f aca="false">SUMPRODUCT(($B$162:$B$178=$A183)*E$162:E$178*$C$162:$C$178)</f>
        <v>6.22673763529173</v>
      </c>
      <c r="F183" s="21" t="n">
        <f aca="false">SUMPRODUCT(($B$162:$B$178=$A183)*F$162:F$178*$C$162:$C$178)</f>
        <v>6.22673763529173</v>
      </c>
      <c r="G183" s="21" t="n">
        <f aca="false">SUMPRODUCT(($B$162:$B$178=$A183)*G$162:G$178*$C$162:$C$178)</f>
        <v>6.22673763529173</v>
      </c>
      <c r="H183" s="21" t="n">
        <f aca="false">SUMPRODUCT(($B$162:$B$178=$A183)*H$162:H$178*$C$162:$C$178)</f>
        <v>6.22673763529173</v>
      </c>
      <c r="I183" s="21" t="n">
        <f aca="false">SUMPRODUCT(($B$162:$B$178=$A183)*I$162:I$178*$C$162:$C$178)</f>
        <v>6.22673763529173</v>
      </c>
      <c r="J183" s="21" t="n">
        <f aca="false">SUMPRODUCT(($B$162:$B$178=$A183)*J$162:J$178*$C$162:$C$178)</f>
        <v>6.22673763529173</v>
      </c>
      <c r="K183" s="21" t="n">
        <f aca="false">SUMPRODUCT(($B$162:$B$178=$A183)*K$162:K$178*$C$162:$C$178)</f>
        <v>6.22673763529173</v>
      </c>
      <c r="L183" s="21" t="n">
        <f aca="false">SUMPRODUCT(($B$162:$B$178=$A183)*L$162:L$178*$C$162:$C$178)</f>
        <v>6.22673763529173</v>
      </c>
      <c r="M183" s="21" t="n">
        <f aca="false">SUMPRODUCT(($B$162:$B$178=$A183)*M$162:M$178*$C$162:$C$178)</f>
        <v>6.22673763529173</v>
      </c>
      <c r="N183" s="21" t="n">
        <f aca="false">SUMPRODUCT(($B$162:$B$178=$A183)*N$162:N$178*$C$162:$C$178)</f>
        <v>6.22673763529173</v>
      </c>
      <c r="O183" s="21" t="n">
        <f aca="false">SUMPRODUCT(($B$162:$B$178=$A183)*O$162:O$178*$C$162:$C$178)</f>
        <v>6.22673763529173</v>
      </c>
      <c r="P183" s="21" t="n">
        <f aca="false">SUMPRODUCT(($B$162:$B$178=$A183)*P$162:P$178*$C$162:$C$178)</f>
        <v>74.7208516235008</v>
      </c>
    </row>
    <row r="184" customFormat="false" ht="15" hidden="false" customHeight="false" outlineLevel="0" collapsed="false">
      <c r="A184" s="3" t="s">
        <v>151</v>
      </c>
      <c r="D184" s="21" t="n">
        <f aca="false">SUMPRODUCT(($B$162:$B$178=$A184)*D$162:D$178*$C$162:$C$178)</f>
        <v>129.413300019052</v>
      </c>
      <c r="E184" s="21" t="n">
        <f aca="false">SUMPRODUCT(($B$162:$B$178=$A184)*E$162:E$178*$C$162:$C$178)</f>
        <v>129.413300019052</v>
      </c>
      <c r="F184" s="21" t="n">
        <f aca="false">SUMPRODUCT(($B$162:$B$178=$A184)*F$162:F$178*$C$162:$C$178)</f>
        <v>129.413300019052</v>
      </c>
      <c r="G184" s="21" t="n">
        <f aca="false">SUMPRODUCT(($B$162:$B$178=$A184)*G$162:G$178*$C$162:$C$178)</f>
        <v>129.413300019052</v>
      </c>
      <c r="H184" s="21" t="n">
        <f aca="false">SUMPRODUCT(($B$162:$B$178=$A184)*H$162:H$178*$C$162:$C$178)</f>
        <v>129.413300019052</v>
      </c>
      <c r="I184" s="21" t="n">
        <f aca="false">SUMPRODUCT(($B$162:$B$178=$A184)*I$162:I$178*$C$162:$C$178)</f>
        <v>129.413300019052</v>
      </c>
      <c r="J184" s="21" t="n">
        <f aca="false">SUMPRODUCT(($B$162:$B$178=$A184)*J$162:J$178*$C$162:$C$178)</f>
        <v>129.413300019052</v>
      </c>
      <c r="K184" s="21" t="n">
        <f aca="false">SUMPRODUCT(($B$162:$B$178=$A184)*K$162:K$178*$C$162:$C$178)</f>
        <v>129.413300019052</v>
      </c>
      <c r="L184" s="21" t="n">
        <f aca="false">SUMPRODUCT(($B$162:$B$178=$A184)*L$162:L$178*$C$162:$C$178)</f>
        <v>129.413300019052</v>
      </c>
      <c r="M184" s="21" t="n">
        <f aca="false">SUMPRODUCT(($B$162:$B$178=$A184)*M$162:M$178*$C$162:$C$178)</f>
        <v>129.413300019052</v>
      </c>
      <c r="N184" s="21" t="n">
        <f aca="false">SUMPRODUCT(($B$162:$B$178=$A184)*N$162:N$178*$C$162:$C$178)</f>
        <v>129.413300019052</v>
      </c>
      <c r="O184" s="21" t="n">
        <f aca="false">SUMPRODUCT(($B$162:$B$178=$A184)*O$162:O$178*$C$162:$C$178)</f>
        <v>129.413300019052</v>
      </c>
      <c r="P184" s="21" t="n">
        <f aca="false">SUMPRODUCT(($B$162:$B$178=$A184)*P$162:P$178*$C$162:$C$178)</f>
        <v>1552.95960022863</v>
      </c>
    </row>
    <row r="185" customFormat="false" ht="15" hidden="false" customHeight="false" outlineLevel="0" collapsed="false">
      <c r="A185" s="3" t="s">
        <v>152</v>
      </c>
      <c r="D185" s="21" t="n">
        <f aca="false">SUMPRODUCT(($B$162:$B$178=$A185)*D$162:D$178*$C$162:$C$178)</f>
        <v>60.9543477108112</v>
      </c>
      <c r="E185" s="21" t="n">
        <f aca="false">SUMPRODUCT(($B$162:$B$178=$A185)*E$162:E$178*$C$162:$C$178)</f>
        <v>60.9543477108112</v>
      </c>
      <c r="F185" s="21" t="n">
        <f aca="false">SUMPRODUCT(($B$162:$B$178=$A185)*F$162:F$178*$C$162:$C$178)</f>
        <v>60.9543477108112</v>
      </c>
      <c r="G185" s="21" t="n">
        <f aca="false">SUMPRODUCT(($B$162:$B$178=$A185)*G$162:G$178*$C$162:$C$178)</f>
        <v>60.9543477108112</v>
      </c>
      <c r="H185" s="21" t="n">
        <f aca="false">SUMPRODUCT(($B$162:$B$178=$A185)*H$162:H$178*$C$162:$C$178)</f>
        <v>60.9543477108112</v>
      </c>
      <c r="I185" s="21" t="n">
        <f aca="false">SUMPRODUCT(($B$162:$B$178=$A185)*I$162:I$178*$C$162:$C$178)</f>
        <v>60.9543477108112</v>
      </c>
      <c r="J185" s="21" t="n">
        <f aca="false">SUMPRODUCT(($B$162:$B$178=$A185)*J$162:J$178*$C$162:$C$178)</f>
        <v>60.9543477108112</v>
      </c>
      <c r="K185" s="21" t="n">
        <f aca="false">SUMPRODUCT(($B$162:$B$178=$A185)*K$162:K$178*$C$162:$C$178)</f>
        <v>60.9543477108112</v>
      </c>
      <c r="L185" s="21" t="n">
        <f aca="false">SUMPRODUCT(($B$162:$B$178=$A185)*L$162:L$178*$C$162:$C$178)</f>
        <v>60.9543477108112</v>
      </c>
      <c r="M185" s="21" t="n">
        <f aca="false">SUMPRODUCT(($B$162:$B$178=$A185)*M$162:M$178*$C$162:$C$178)</f>
        <v>60.9543477108112</v>
      </c>
      <c r="N185" s="21" t="n">
        <f aca="false">SUMPRODUCT(($B$162:$B$178=$A185)*N$162:N$178*$C$162:$C$178)</f>
        <v>60.9543477108112</v>
      </c>
      <c r="O185" s="21" t="n">
        <f aca="false">SUMPRODUCT(($B$162:$B$178=$A185)*O$162:O$178*$C$162:$C$178)</f>
        <v>60.9543477108112</v>
      </c>
      <c r="P185" s="21" t="n">
        <f aca="false">SUMPRODUCT(($B$162:$B$178=$A185)*P$162:P$178*$C$162:$C$178)</f>
        <v>731.452172529735</v>
      </c>
    </row>
    <row r="186" customFormat="false" ht="15" hidden="false" customHeight="false" outlineLevel="0" collapsed="false">
      <c r="A186" s="3" t="s">
        <v>155</v>
      </c>
      <c r="D186" s="21" t="n">
        <f aca="false">SUMPRODUCT(($B$162:$B$178=$A186)*D$162:D$178*$C$162:$C$178)</f>
        <v>63.082874665993</v>
      </c>
      <c r="E186" s="21" t="n">
        <f aca="false">SUMPRODUCT(($B$162:$B$178=$A186)*E$162:E$178*$C$162:$C$178)</f>
        <v>63.082874665993</v>
      </c>
      <c r="F186" s="21" t="n">
        <f aca="false">SUMPRODUCT(($B$162:$B$178=$A186)*F$162:F$178*$C$162:$C$178)</f>
        <v>63.082874665993</v>
      </c>
      <c r="G186" s="21" t="n">
        <f aca="false">SUMPRODUCT(($B$162:$B$178=$A186)*G$162:G$178*$C$162:$C$178)</f>
        <v>63.082874665993</v>
      </c>
      <c r="H186" s="21" t="n">
        <f aca="false">SUMPRODUCT(($B$162:$B$178=$A186)*H$162:H$178*$C$162:$C$178)</f>
        <v>63.082874665993</v>
      </c>
      <c r="I186" s="21" t="n">
        <f aca="false">SUMPRODUCT(($B$162:$B$178=$A186)*I$162:I$178*$C$162:$C$178)</f>
        <v>63.082874665993</v>
      </c>
      <c r="J186" s="21" t="n">
        <f aca="false">SUMPRODUCT(($B$162:$B$178=$A186)*J$162:J$178*$C$162:$C$178)</f>
        <v>63.082874665993</v>
      </c>
      <c r="K186" s="21" t="n">
        <f aca="false">SUMPRODUCT(($B$162:$B$178=$A186)*K$162:K$178*$C$162:$C$178)</f>
        <v>63.082874665993</v>
      </c>
      <c r="L186" s="21" t="n">
        <f aca="false">SUMPRODUCT(($B$162:$B$178=$A186)*L$162:L$178*$C$162:$C$178)</f>
        <v>63.082874665993</v>
      </c>
      <c r="M186" s="21" t="n">
        <f aca="false">SUMPRODUCT(($B$162:$B$178=$A186)*M$162:M$178*$C$162:$C$178)</f>
        <v>63.082874665993</v>
      </c>
      <c r="N186" s="21" t="n">
        <f aca="false">SUMPRODUCT(($B$162:$B$178=$A186)*N$162:N$178*$C$162:$C$178)</f>
        <v>63.082874665993</v>
      </c>
      <c r="O186" s="21" t="n">
        <f aca="false">SUMPRODUCT(($B$162:$B$178=$A186)*O$162:O$178*$C$162:$C$178)</f>
        <v>63.082874665993</v>
      </c>
      <c r="P186" s="21" t="n">
        <f aca="false">SUMPRODUCT(($B$162:$B$178=$A186)*P$162:P$178*$C$162:$C$178)</f>
        <v>756.994495991916</v>
      </c>
    </row>
    <row r="187" customFormat="false" ht="15" hidden="false" customHeight="false" outlineLevel="0" collapsed="false">
      <c r="A187" s="3" t="s">
        <v>156</v>
      </c>
      <c r="D187" s="21" t="n">
        <f aca="false">SUMPRODUCT(($B$162:$B$178=$A187)*D$162:D$178*$C$162:$C$178)</f>
        <v>466.51615933578</v>
      </c>
      <c r="E187" s="21" t="n">
        <f aca="false">SUMPRODUCT(($B$162:$B$178=$A187)*E$162:E$178*$C$162:$C$178)</f>
        <v>466.51615933578</v>
      </c>
      <c r="F187" s="21" t="n">
        <f aca="false">SUMPRODUCT(($B$162:$B$178=$A187)*F$162:F$178*$C$162:$C$178)</f>
        <v>466.51615933578</v>
      </c>
      <c r="G187" s="21" t="n">
        <f aca="false">SUMPRODUCT(($B$162:$B$178=$A187)*G$162:G$178*$C$162:$C$178)</f>
        <v>466.51615933578</v>
      </c>
      <c r="H187" s="21" t="n">
        <f aca="false">SUMPRODUCT(($B$162:$B$178=$A187)*H$162:H$178*$C$162:$C$178)</f>
        <v>466.51615933578</v>
      </c>
      <c r="I187" s="21" t="n">
        <f aca="false">SUMPRODUCT(($B$162:$B$178=$A187)*I$162:I$178*$C$162:$C$178)</f>
        <v>466.51615933578</v>
      </c>
      <c r="J187" s="21" t="n">
        <f aca="false">SUMPRODUCT(($B$162:$B$178=$A187)*J$162:J$178*$C$162:$C$178)</f>
        <v>466.51615933578</v>
      </c>
      <c r="K187" s="21" t="n">
        <f aca="false">SUMPRODUCT(($B$162:$B$178=$A187)*K$162:K$178*$C$162:$C$178)</f>
        <v>466.51615933578</v>
      </c>
      <c r="L187" s="21" t="n">
        <f aca="false">SUMPRODUCT(($B$162:$B$178=$A187)*L$162:L$178*$C$162:$C$178)</f>
        <v>466.51615933578</v>
      </c>
      <c r="M187" s="21" t="n">
        <f aca="false">SUMPRODUCT(($B$162:$B$178=$A187)*M$162:M$178*$C$162:$C$178)</f>
        <v>466.51615933578</v>
      </c>
      <c r="N187" s="21" t="n">
        <f aca="false">SUMPRODUCT(($B$162:$B$178=$A187)*N$162:N$178*$C$162:$C$178)</f>
        <v>466.51615933578</v>
      </c>
      <c r="O187" s="21" t="n">
        <f aca="false">SUMPRODUCT(($B$162:$B$178=$A187)*O$162:O$178*$C$162:$C$178)</f>
        <v>466.51615933578</v>
      </c>
      <c r="P187" s="21" t="n">
        <f aca="false">SUMPRODUCT(($B$162:$B$178=$A187)*P$162:P$178*$C$162:$C$178)</f>
        <v>5598.19391202935</v>
      </c>
    </row>
    <row r="188" customFormat="false" ht="15" hidden="false" customHeight="false" outlineLevel="0" collapsed="false">
      <c r="A188" s="3" t="s">
        <v>159</v>
      </c>
      <c r="D188" s="21" t="n">
        <f aca="false">SUMPRODUCT(($B$162:$B$178=$A188)*D$162:D$178*$C$162:$C$178)</f>
        <v>18.3691621927284</v>
      </c>
      <c r="E188" s="21" t="n">
        <f aca="false">SUMPRODUCT(($B$162:$B$178=$A188)*E$162:E$178*$C$162:$C$178)</f>
        <v>18.3691621927284</v>
      </c>
      <c r="F188" s="21" t="n">
        <f aca="false">SUMPRODUCT(($B$162:$B$178=$A188)*F$162:F$178*$C$162:$C$178)</f>
        <v>18.3691621927284</v>
      </c>
      <c r="G188" s="21" t="n">
        <f aca="false">SUMPRODUCT(($B$162:$B$178=$A188)*G$162:G$178*$C$162:$C$178)</f>
        <v>18.3691621927284</v>
      </c>
      <c r="H188" s="21" t="n">
        <f aca="false">SUMPRODUCT(($B$162:$B$178=$A188)*H$162:H$178*$C$162:$C$178)</f>
        <v>18.3691621927284</v>
      </c>
      <c r="I188" s="21" t="n">
        <f aca="false">SUMPRODUCT(($B$162:$B$178=$A188)*I$162:I$178*$C$162:$C$178)</f>
        <v>18.3691621927284</v>
      </c>
      <c r="J188" s="21" t="n">
        <f aca="false">SUMPRODUCT(($B$162:$B$178=$A188)*J$162:J$178*$C$162:$C$178)</f>
        <v>18.3691621927284</v>
      </c>
      <c r="K188" s="21" t="n">
        <f aca="false">SUMPRODUCT(($B$162:$B$178=$A188)*K$162:K$178*$C$162:$C$178)</f>
        <v>18.3691621927284</v>
      </c>
      <c r="L188" s="21" t="n">
        <f aca="false">SUMPRODUCT(($B$162:$B$178=$A188)*L$162:L$178*$C$162:$C$178)</f>
        <v>18.3691621927284</v>
      </c>
      <c r="M188" s="21" t="n">
        <f aca="false">SUMPRODUCT(($B$162:$B$178=$A188)*M$162:M$178*$C$162:$C$178)</f>
        <v>18.3691621927284</v>
      </c>
      <c r="N188" s="21" t="n">
        <f aca="false">SUMPRODUCT(($B$162:$B$178=$A188)*N$162:N$178*$C$162:$C$178)</f>
        <v>18.3691621927284</v>
      </c>
      <c r="O188" s="21" t="n">
        <f aca="false">SUMPRODUCT(($B$162:$B$178=$A188)*O$162:O$178*$C$162:$C$178)</f>
        <v>18.3691621927284</v>
      </c>
      <c r="P188" s="21" t="n">
        <f aca="false">SUMPRODUCT(($B$162:$B$178=$A188)*P$162:P$178*$C$162:$C$178)</f>
        <v>220.42994631274</v>
      </c>
    </row>
    <row r="189" customFormat="false" ht="15" hidden="false" customHeight="false" outlineLevel="0" collapsed="false">
      <c r="A189" s="5" t="s">
        <v>308</v>
      </c>
      <c r="D189" s="22" t="n">
        <f aca="false">SUMPRODUCT(D$162:D$178*parametros_recargas!$D$51:$D$67)</f>
        <v>189.531504104235</v>
      </c>
      <c r="E189" s="22" t="n">
        <f aca="false">SUMPRODUCT(E$162:E$178*parametros_recargas!$D$51:$D$67)</f>
        <v>189.531504104235</v>
      </c>
      <c r="F189" s="22" t="n">
        <f aca="false">SUMPRODUCT(F$162:F$178*parametros_recargas!$D$51:$D$67)</f>
        <v>189.531504104235</v>
      </c>
      <c r="G189" s="22" t="n">
        <f aca="false">SUMPRODUCT(G$162:G$178*parametros_recargas!$D$51:$D$67)</f>
        <v>189.531504104235</v>
      </c>
      <c r="H189" s="22" t="n">
        <f aca="false">SUMPRODUCT(H$162:H$178*parametros_recargas!$D$51:$D$67)</f>
        <v>189.531504104235</v>
      </c>
      <c r="I189" s="22" t="n">
        <f aca="false">SUMPRODUCT(I$162:I$178*parametros_recargas!$D$51:$D$67)</f>
        <v>189.531504104235</v>
      </c>
      <c r="J189" s="22" t="n">
        <f aca="false">SUMPRODUCT(J$162:J$178*parametros_recargas!$D$51:$D$67)</f>
        <v>189.531504104235</v>
      </c>
      <c r="K189" s="22" t="n">
        <f aca="false">SUMPRODUCT(K$162:K$178*parametros_recargas!$D$51:$D$67)</f>
        <v>189.531504104235</v>
      </c>
      <c r="L189" s="22" t="n">
        <f aca="false">SUMPRODUCT(L$162:L$178*parametros_recargas!$D$51:$D$67)</f>
        <v>189.531504104235</v>
      </c>
      <c r="M189" s="22" t="n">
        <f aca="false">SUMPRODUCT(M$162:M$178*parametros_recargas!$D$51:$D$67)</f>
        <v>189.531504104235</v>
      </c>
      <c r="N189" s="22" t="n">
        <f aca="false">SUMPRODUCT(N$162:N$178*parametros_recargas!$D$51:$D$67)</f>
        <v>189.531504104235</v>
      </c>
      <c r="O189" s="22" t="n">
        <f aca="false">SUMPRODUCT(O$162:O$178*parametros_recargas!$D$51:$D$67)</f>
        <v>189.531504104235</v>
      </c>
      <c r="P189" s="22" t="n">
        <f aca="false">SUMPRODUCT(P$162:P$178*parametros_recargas!$D$51:$D$67)</f>
        <v>2274.37804925082</v>
      </c>
    </row>
    <row r="193" customFormat="false" ht="23.85" hidden="false" customHeight="false" outlineLevel="0" collapsed="false">
      <c r="A193" s="23" t="n">
        <v>2032</v>
      </c>
      <c r="B193" s="2" t="s">
        <v>303</v>
      </c>
      <c r="C193" s="2" t="s">
        <v>304</v>
      </c>
      <c r="D193" s="2" t="s">
        <v>130</v>
      </c>
      <c r="E193" s="2" t="s">
        <v>131</v>
      </c>
      <c r="F193" s="2" t="s">
        <v>132</v>
      </c>
      <c r="G193" s="2" t="s">
        <v>133</v>
      </c>
      <c r="H193" s="2" t="s">
        <v>134</v>
      </c>
      <c r="I193" s="2" t="s">
        <v>135</v>
      </c>
      <c r="J193" s="2" t="s">
        <v>136</v>
      </c>
      <c r="K193" s="2" t="s">
        <v>137</v>
      </c>
      <c r="L193" s="2" t="s">
        <v>138</v>
      </c>
      <c r="M193" s="2" t="s">
        <v>139</v>
      </c>
      <c r="N193" s="2" t="s">
        <v>140</v>
      </c>
      <c r="O193" s="2" t="s">
        <v>141</v>
      </c>
      <c r="P193" s="2" t="s">
        <v>66</v>
      </c>
      <c r="Q193" s="2" t="s">
        <v>305</v>
      </c>
    </row>
    <row r="194" customFormat="false" ht="15" hidden="false" customHeight="false" outlineLevel="0" collapsed="false">
      <c r="A194" s="8" t="str">
        <f aca="false">parametros_recargas!A51</f>
        <v>ABC 1 kg</v>
      </c>
      <c r="B194" s="8" t="str">
        <f aca="false">parametros_recargas!B51</f>
        <v>ABC</v>
      </c>
      <c r="C194" s="11" t="n">
        <f aca="false">parametros_recargas!C51</f>
        <v>1</v>
      </c>
      <c r="D194" s="21" t="n">
        <f aca="false">datos_base!$H$2*parametros_recargas!$B$43+sobrestock_sustitutos!$H$88/12</f>
        <v>3545.56448166482</v>
      </c>
      <c r="E194" s="21" t="n">
        <f aca="false">datos_base!$H$2*parametros_recargas!$C$43+sobrestock_sustitutos!$H$88/12</f>
        <v>3545.56448166482</v>
      </c>
      <c r="F194" s="21" t="n">
        <f aca="false">datos_base!$H$2*parametros_recargas!$D$43+sobrestock_sustitutos!$H$88/12</f>
        <v>3545.56448166482</v>
      </c>
      <c r="G194" s="21" t="n">
        <f aca="false">datos_base!$H$2*parametros_recargas!$E$43+sobrestock_sustitutos!$H$88/12</f>
        <v>3545.56448166482</v>
      </c>
      <c r="H194" s="21" t="n">
        <f aca="false">datos_base!$H$2*parametros_recargas!$F$43+sobrestock_sustitutos!$H$88/12</f>
        <v>3545.56448166482</v>
      </c>
      <c r="I194" s="21" t="n">
        <f aca="false">datos_base!$H$2*parametros_recargas!$G$43+sobrestock_sustitutos!$H$88/12</f>
        <v>3545.56448166482</v>
      </c>
      <c r="J194" s="21" t="n">
        <f aca="false">datos_base!$H$2*parametros_recargas!$H$43+sobrestock_sustitutos!$H$88/12</f>
        <v>3545.56448166482</v>
      </c>
      <c r="K194" s="21" t="n">
        <f aca="false">datos_base!$H$2*parametros_recargas!$I$43+sobrestock_sustitutos!$H$88/12</f>
        <v>3545.56448166482</v>
      </c>
      <c r="L194" s="21" t="n">
        <f aca="false">datos_base!$H$2*parametros_recargas!$J$43+sobrestock_sustitutos!$H$88/12</f>
        <v>3545.56448166482</v>
      </c>
      <c r="M194" s="21" t="n">
        <f aca="false">datos_base!$H$2*parametros_recargas!$K$43+sobrestock_sustitutos!$H$88/12</f>
        <v>3545.56448166482</v>
      </c>
      <c r="N194" s="21" t="n">
        <f aca="false">datos_base!$H$2*parametros_recargas!$L$43+sobrestock_sustitutos!$H$88/12</f>
        <v>3545.56448166482</v>
      </c>
      <c r="O194" s="21" t="n">
        <f aca="false">datos_base!$H$2*parametros_recargas!$M$43+sobrestock_sustitutos!$H$88/12</f>
        <v>3545.56448166482</v>
      </c>
      <c r="P194" s="6" t="n">
        <f aca="false">SUM(D194:O194)</f>
        <v>42546.7737799779</v>
      </c>
      <c r="Q194" s="4" t="n">
        <f aca="false">sobrestock_sustitutos!$H$88</f>
        <v>0</v>
      </c>
    </row>
    <row r="195" customFormat="false" ht="15" hidden="false" customHeight="false" outlineLevel="0" collapsed="false">
      <c r="A195" s="8" t="str">
        <f aca="false">parametros_recargas!A52</f>
        <v>ABC 2,5 kg</v>
      </c>
      <c r="B195" s="8" t="str">
        <f aca="false">parametros_recargas!B52</f>
        <v>ABC</v>
      </c>
      <c r="C195" s="11" t="n">
        <f aca="false">parametros_recargas!C52</f>
        <v>1</v>
      </c>
      <c r="D195" s="21" t="n">
        <f aca="false">datos_base!$H$3*parametros_recargas!$B$43+sobrestock_sustitutos!$H$89/12</f>
        <v>310.856631272487</v>
      </c>
      <c r="E195" s="21" t="n">
        <f aca="false">datos_base!$H$3*parametros_recargas!$C$43+sobrestock_sustitutos!$H$89/12</f>
        <v>310.856631272487</v>
      </c>
      <c r="F195" s="21" t="n">
        <f aca="false">datos_base!$H$3*parametros_recargas!$D$43+sobrestock_sustitutos!$H$89/12</f>
        <v>310.856631272487</v>
      </c>
      <c r="G195" s="21" t="n">
        <f aca="false">datos_base!$H$3*parametros_recargas!$E$43+sobrestock_sustitutos!$H$89/12</f>
        <v>310.856631272487</v>
      </c>
      <c r="H195" s="21" t="n">
        <f aca="false">datos_base!$H$3*parametros_recargas!$F$43+sobrestock_sustitutos!$H$89/12</f>
        <v>310.856631272487</v>
      </c>
      <c r="I195" s="21" t="n">
        <f aca="false">datos_base!$H$3*parametros_recargas!$G$43+sobrestock_sustitutos!$H$89/12</f>
        <v>310.856631272487</v>
      </c>
      <c r="J195" s="21" t="n">
        <f aca="false">datos_base!$H$3*parametros_recargas!$H$43+sobrestock_sustitutos!$H$89/12</f>
        <v>310.856631272487</v>
      </c>
      <c r="K195" s="21" t="n">
        <f aca="false">datos_base!$H$3*parametros_recargas!$I$43+sobrestock_sustitutos!$H$89/12</f>
        <v>310.856631272487</v>
      </c>
      <c r="L195" s="21" t="n">
        <f aca="false">datos_base!$H$3*parametros_recargas!$J$43+sobrestock_sustitutos!$H$89/12</f>
        <v>310.856631272487</v>
      </c>
      <c r="M195" s="21" t="n">
        <f aca="false">datos_base!$H$3*parametros_recargas!$K$43+sobrestock_sustitutos!$H$89/12</f>
        <v>310.856631272487</v>
      </c>
      <c r="N195" s="21" t="n">
        <f aca="false">datos_base!$H$3*parametros_recargas!$L$43+sobrestock_sustitutos!$H$89/12</f>
        <v>310.856631272487</v>
      </c>
      <c r="O195" s="21" t="n">
        <f aca="false">datos_base!$H$3*parametros_recargas!$M$43+sobrestock_sustitutos!$H$89/12</f>
        <v>310.856631272487</v>
      </c>
      <c r="P195" s="6" t="n">
        <f aca="false">SUM(D195:O195)</f>
        <v>3730.27957526984</v>
      </c>
      <c r="Q195" s="4" t="n">
        <f aca="false">sobrestock_sustitutos!$H$89</f>
        <v>38</v>
      </c>
    </row>
    <row r="196" customFormat="false" ht="15" hidden="false" customHeight="false" outlineLevel="0" collapsed="false">
      <c r="A196" s="8" t="str">
        <f aca="false">parametros_recargas!A53</f>
        <v>ABC 5 kg</v>
      </c>
      <c r="B196" s="8" t="str">
        <f aca="false">parametros_recargas!B53</f>
        <v>ABC</v>
      </c>
      <c r="C196" s="11" t="n">
        <f aca="false">parametros_recargas!C53</f>
        <v>1</v>
      </c>
      <c r="D196" s="21" t="n">
        <f aca="false">datos_base!$H$4*parametros_recargas!$B$43+sobrestock_sustitutos!$H$90/12</f>
        <v>1910.19124046069</v>
      </c>
      <c r="E196" s="21" t="n">
        <f aca="false">datos_base!$H$4*parametros_recargas!$C$43+sobrestock_sustitutos!$H$90/12</f>
        <v>1910.19124046069</v>
      </c>
      <c r="F196" s="21" t="n">
        <f aca="false">datos_base!$H$4*parametros_recargas!$D$43+sobrestock_sustitutos!$H$90/12</f>
        <v>1910.19124046069</v>
      </c>
      <c r="G196" s="21" t="n">
        <f aca="false">datos_base!$H$4*parametros_recargas!$E$43+sobrestock_sustitutos!$H$90/12</f>
        <v>1910.19124046069</v>
      </c>
      <c r="H196" s="21" t="n">
        <f aca="false">datos_base!$H$4*parametros_recargas!$F$43+sobrestock_sustitutos!$H$90/12</f>
        <v>1910.19124046069</v>
      </c>
      <c r="I196" s="21" t="n">
        <f aca="false">datos_base!$H$4*parametros_recargas!$G$43+sobrestock_sustitutos!$H$90/12</f>
        <v>1910.19124046069</v>
      </c>
      <c r="J196" s="21" t="n">
        <f aca="false">datos_base!$H$4*parametros_recargas!$H$43+sobrestock_sustitutos!$H$90/12</f>
        <v>1910.19124046069</v>
      </c>
      <c r="K196" s="21" t="n">
        <f aca="false">datos_base!$H$4*parametros_recargas!$I$43+sobrestock_sustitutos!$H$90/12</f>
        <v>1910.19124046069</v>
      </c>
      <c r="L196" s="21" t="n">
        <f aca="false">datos_base!$H$4*parametros_recargas!$J$43+sobrestock_sustitutos!$H$90/12</f>
        <v>1910.19124046069</v>
      </c>
      <c r="M196" s="21" t="n">
        <f aca="false">datos_base!$H$4*parametros_recargas!$K$43+sobrestock_sustitutos!$H$90/12</f>
        <v>1910.19124046069</v>
      </c>
      <c r="N196" s="21" t="n">
        <f aca="false">datos_base!$H$4*parametros_recargas!$L$43+sobrestock_sustitutos!$H$90/12</f>
        <v>1910.19124046069</v>
      </c>
      <c r="O196" s="21" t="n">
        <f aca="false">datos_base!$H$4*parametros_recargas!$M$43+sobrestock_sustitutos!$H$90/12</f>
        <v>1910.19124046069</v>
      </c>
      <c r="P196" s="6" t="n">
        <f aca="false">SUM(D196:O196)</f>
        <v>22922.2948855283</v>
      </c>
      <c r="Q196" s="4" t="n">
        <f aca="false">sobrestock_sustitutos!$H$90</f>
        <v>232</v>
      </c>
    </row>
    <row r="197" customFormat="false" ht="15" hidden="false" customHeight="false" outlineLevel="0" collapsed="false">
      <c r="A197" s="8" t="str">
        <f aca="false">parametros_recargas!A54</f>
        <v>ABC 10 kg</v>
      </c>
      <c r="B197" s="8" t="str">
        <f aca="false">parametros_recargas!B54</f>
        <v>ABC</v>
      </c>
      <c r="C197" s="11" t="n">
        <f aca="false">parametros_recargas!C54</f>
        <v>1</v>
      </c>
      <c r="D197" s="21" t="n">
        <f aca="false">datos_base!$H$5*parametros_recargas!$B$43+sobrestock_sustitutos!$H$91/12</f>
        <v>113.186855806149</v>
      </c>
      <c r="E197" s="21" t="n">
        <f aca="false">datos_base!$H$5*parametros_recargas!$C$43+sobrestock_sustitutos!$H$91/12</f>
        <v>113.186855806149</v>
      </c>
      <c r="F197" s="21" t="n">
        <f aca="false">datos_base!$H$5*parametros_recargas!$D$43+sobrestock_sustitutos!$H$91/12</f>
        <v>113.186855806149</v>
      </c>
      <c r="G197" s="21" t="n">
        <f aca="false">datos_base!$H$5*parametros_recargas!$E$43+sobrestock_sustitutos!$H$91/12</f>
        <v>113.186855806149</v>
      </c>
      <c r="H197" s="21" t="n">
        <f aca="false">datos_base!$H$5*parametros_recargas!$F$43+sobrestock_sustitutos!$H$91/12</f>
        <v>113.186855806149</v>
      </c>
      <c r="I197" s="21" t="n">
        <f aca="false">datos_base!$H$5*parametros_recargas!$G$43+sobrestock_sustitutos!$H$91/12</f>
        <v>113.186855806149</v>
      </c>
      <c r="J197" s="21" t="n">
        <f aca="false">datos_base!$H$5*parametros_recargas!$H$43+sobrestock_sustitutos!$H$91/12</f>
        <v>113.186855806149</v>
      </c>
      <c r="K197" s="21" t="n">
        <f aca="false">datos_base!$H$5*parametros_recargas!$I$43+sobrestock_sustitutos!$H$91/12</f>
        <v>113.186855806149</v>
      </c>
      <c r="L197" s="21" t="n">
        <f aca="false">datos_base!$H$5*parametros_recargas!$J$43+sobrestock_sustitutos!$H$91/12</f>
        <v>113.186855806149</v>
      </c>
      <c r="M197" s="21" t="n">
        <f aca="false">datos_base!$H$5*parametros_recargas!$K$43+sobrestock_sustitutos!$H$91/12</f>
        <v>113.186855806149</v>
      </c>
      <c r="N197" s="21" t="n">
        <f aca="false">datos_base!$H$5*parametros_recargas!$L$43+sobrestock_sustitutos!$H$91/12</f>
        <v>113.186855806149</v>
      </c>
      <c r="O197" s="21" t="n">
        <f aca="false">datos_base!$H$5*parametros_recargas!$M$43+sobrestock_sustitutos!$H$91/12</f>
        <v>113.186855806149</v>
      </c>
      <c r="P197" s="6" t="n">
        <f aca="false">SUM(D197:O197)</f>
        <v>1358.24226967378</v>
      </c>
      <c r="Q197" s="4" t="n">
        <f aca="false">sobrestock_sustitutos!$H$91</f>
        <v>14</v>
      </c>
    </row>
    <row r="198" customFormat="false" ht="15" hidden="false" customHeight="false" outlineLevel="0" collapsed="false">
      <c r="A198" s="8" t="str">
        <f aca="false">parametros_recargas!A55</f>
        <v>Agua 10 l</v>
      </c>
      <c r="B198" s="8" t="str">
        <f aca="false">parametros_recargas!B55</f>
        <v>Agua</v>
      </c>
      <c r="C198" s="11" t="n">
        <f aca="false">parametros_recargas!C55</f>
        <v>1</v>
      </c>
      <c r="D198" s="21" t="n">
        <f aca="false">datos_base!$H$6*parametros_recargas!$B$43+sobrestock_sustitutos!$H$92/12</f>
        <v>158.730554933087</v>
      </c>
      <c r="E198" s="21" t="n">
        <f aca="false">datos_base!$H$6*parametros_recargas!$C$43+sobrestock_sustitutos!$H$92/12</f>
        <v>158.730554933087</v>
      </c>
      <c r="F198" s="21" t="n">
        <f aca="false">datos_base!$H$6*parametros_recargas!$D$43+sobrestock_sustitutos!$H$92/12</f>
        <v>158.730554933087</v>
      </c>
      <c r="G198" s="21" t="n">
        <f aca="false">datos_base!$H$6*parametros_recargas!$E$43+sobrestock_sustitutos!$H$92/12</f>
        <v>158.730554933087</v>
      </c>
      <c r="H198" s="21" t="n">
        <f aca="false">datos_base!$H$6*parametros_recargas!$F$43+sobrestock_sustitutos!$H$92/12</f>
        <v>158.730554933087</v>
      </c>
      <c r="I198" s="21" t="n">
        <f aca="false">datos_base!$H$6*parametros_recargas!$G$43+sobrestock_sustitutos!$H$92/12</f>
        <v>158.730554933087</v>
      </c>
      <c r="J198" s="21" t="n">
        <f aca="false">datos_base!$H$6*parametros_recargas!$H$43+sobrestock_sustitutos!$H$92/12</f>
        <v>158.730554933087</v>
      </c>
      <c r="K198" s="21" t="n">
        <f aca="false">datos_base!$H$6*parametros_recargas!$I$43+sobrestock_sustitutos!$H$92/12</f>
        <v>158.730554933087</v>
      </c>
      <c r="L198" s="21" t="n">
        <f aca="false">datos_base!$H$6*parametros_recargas!$J$43+sobrestock_sustitutos!$H$92/12</f>
        <v>158.730554933087</v>
      </c>
      <c r="M198" s="21" t="n">
        <f aca="false">datos_base!$H$6*parametros_recargas!$K$43+sobrestock_sustitutos!$H$92/12</f>
        <v>158.730554933087</v>
      </c>
      <c r="N198" s="21" t="n">
        <f aca="false">datos_base!$H$6*parametros_recargas!$L$43+sobrestock_sustitutos!$H$92/12</f>
        <v>158.730554933087</v>
      </c>
      <c r="O198" s="21" t="n">
        <f aca="false">datos_base!$H$6*parametros_recargas!$M$43+sobrestock_sustitutos!$H$92/12</f>
        <v>158.730554933087</v>
      </c>
      <c r="P198" s="6" t="n">
        <f aca="false">SUM(D198:O198)</f>
        <v>1904.76665919705</v>
      </c>
      <c r="Q198" s="4" t="n">
        <f aca="false">sobrestock_sustitutos!$H$92</f>
        <v>20</v>
      </c>
    </row>
    <row r="199" customFormat="false" ht="15" hidden="false" customHeight="false" outlineLevel="0" collapsed="false">
      <c r="A199" s="8" t="str">
        <f aca="false">parametros_recargas!A56</f>
        <v>AFFF 10 l</v>
      </c>
      <c r="B199" s="8" t="str">
        <f aca="false">parametros_recargas!B56</f>
        <v>AFFF</v>
      </c>
      <c r="C199" s="11" t="n">
        <f aca="false">parametros_recargas!C56</f>
        <v>1</v>
      </c>
      <c r="D199" s="21" t="n">
        <f aca="false">datos_base!$H$7*parametros_recargas!$B$43+sobrestock_sustitutos!$H$93/12</f>
        <v>29.0354971683448</v>
      </c>
      <c r="E199" s="21" t="n">
        <f aca="false">datos_base!$H$7*parametros_recargas!$C$43+sobrestock_sustitutos!$H$93/12</f>
        <v>29.0354971683448</v>
      </c>
      <c r="F199" s="21" t="n">
        <f aca="false">datos_base!$H$7*parametros_recargas!$D$43+sobrestock_sustitutos!$H$93/12</f>
        <v>29.0354971683448</v>
      </c>
      <c r="G199" s="21" t="n">
        <f aca="false">datos_base!$H$7*parametros_recargas!$E$43+sobrestock_sustitutos!$H$93/12</f>
        <v>29.0354971683448</v>
      </c>
      <c r="H199" s="21" t="n">
        <f aca="false">datos_base!$H$7*parametros_recargas!$F$43+sobrestock_sustitutos!$H$93/12</f>
        <v>29.0354971683448</v>
      </c>
      <c r="I199" s="21" t="n">
        <f aca="false">datos_base!$H$7*parametros_recargas!$G$43+sobrestock_sustitutos!$H$93/12</f>
        <v>29.0354971683448</v>
      </c>
      <c r="J199" s="21" t="n">
        <f aca="false">datos_base!$H$7*parametros_recargas!$H$43+sobrestock_sustitutos!$H$93/12</f>
        <v>29.0354971683448</v>
      </c>
      <c r="K199" s="21" t="n">
        <f aca="false">datos_base!$H$7*parametros_recargas!$I$43+sobrestock_sustitutos!$H$93/12</f>
        <v>29.0354971683448</v>
      </c>
      <c r="L199" s="21" t="n">
        <f aca="false">datos_base!$H$7*parametros_recargas!$J$43+sobrestock_sustitutos!$H$93/12</f>
        <v>29.0354971683448</v>
      </c>
      <c r="M199" s="21" t="n">
        <f aca="false">datos_base!$H$7*parametros_recargas!$K$43+sobrestock_sustitutos!$H$93/12</f>
        <v>29.0354971683448</v>
      </c>
      <c r="N199" s="21" t="n">
        <f aca="false">datos_base!$H$7*parametros_recargas!$L$43+sobrestock_sustitutos!$H$93/12</f>
        <v>29.0354971683448</v>
      </c>
      <c r="O199" s="21" t="n">
        <f aca="false">datos_base!$H$7*parametros_recargas!$M$43+sobrestock_sustitutos!$H$93/12</f>
        <v>29.0354971683448</v>
      </c>
      <c r="P199" s="6" t="n">
        <f aca="false">SUM(D199:O199)</f>
        <v>348.425966020138</v>
      </c>
      <c r="Q199" s="4" t="n">
        <f aca="false">sobrestock_sustitutos!$H$93</f>
        <v>4</v>
      </c>
    </row>
    <row r="200" customFormat="false" ht="15" hidden="false" customHeight="false" outlineLevel="0" collapsed="false">
      <c r="A200" s="8" t="str">
        <f aca="false">parametros_recargas!A57</f>
        <v>AFFF 50 l s/ruedas</v>
      </c>
      <c r="B200" s="8" t="str">
        <f aca="false">parametros_recargas!B57</f>
        <v>AFFF</v>
      </c>
      <c r="C200" s="11" t="n">
        <f aca="false">parametros_recargas!C57</f>
        <v>3</v>
      </c>
      <c r="D200" s="21" t="n">
        <f aca="false">datos_base!$H$8*parametros_recargas!$B$43+sobrestock_sustitutos!$H$94/12</f>
        <v>15.2766369076494</v>
      </c>
      <c r="E200" s="21" t="n">
        <f aca="false">datos_base!$H$8*parametros_recargas!$C$43+sobrestock_sustitutos!$H$94/12</f>
        <v>15.2766369076494</v>
      </c>
      <c r="F200" s="21" t="n">
        <f aca="false">datos_base!$H$8*parametros_recargas!$D$43+sobrestock_sustitutos!$H$94/12</f>
        <v>15.2766369076494</v>
      </c>
      <c r="G200" s="21" t="n">
        <f aca="false">datos_base!$H$8*parametros_recargas!$E$43+sobrestock_sustitutos!$H$94/12</f>
        <v>15.2766369076494</v>
      </c>
      <c r="H200" s="21" t="n">
        <f aca="false">datos_base!$H$8*parametros_recargas!$F$43+sobrestock_sustitutos!$H$94/12</f>
        <v>15.2766369076494</v>
      </c>
      <c r="I200" s="21" t="n">
        <f aca="false">datos_base!$H$8*parametros_recargas!$G$43+sobrestock_sustitutos!$H$94/12</f>
        <v>15.2766369076494</v>
      </c>
      <c r="J200" s="21" t="n">
        <f aca="false">datos_base!$H$8*parametros_recargas!$H$43+sobrestock_sustitutos!$H$94/12</f>
        <v>15.2766369076494</v>
      </c>
      <c r="K200" s="21" t="n">
        <f aca="false">datos_base!$H$8*parametros_recargas!$I$43+sobrestock_sustitutos!$H$94/12</f>
        <v>15.2766369076494</v>
      </c>
      <c r="L200" s="21" t="n">
        <f aca="false">datos_base!$H$8*parametros_recargas!$J$43+sobrestock_sustitutos!$H$94/12</f>
        <v>15.2766369076494</v>
      </c>
      <c r="M200" s="21" t="n">
        <f aca="false">datos_base!$H$8*parametros_recargas!$K$43+sobrestock_sustitutos!$H$94/12</f>
        <v>15.2766369076494</v>
      </c>
      <c r="N200" s="21" t="n">
        <f aca="false">datos_base!$H$8*parametros_recargas!$L$43+sobrestock_sustitutos!$H$94/12</f>
        <v>15.2766369076494</v>
      </c>
      <c r="O200" s="21" t="n">
        <f aca="false">datos_base!$H$8*parametros_recargas!$M$43+sobrestock_sustitutos!$H$94/12</f>
        <v>15.2766369076494</v>
      </c>
      <c r="P200" s="6" t="n">
        <f aca="false">SUM(D200:O200)</f>
        <v>183.319642891793</v>
      </c>
      <c r="Q200" s="4" t="n">
        <f aca="false">sobrestock_sustitutos!$H$94</f>
        <v>2</v>
      </c>
    </row>
    <row r="201" customFormat="false" ht="15" hidden="false" customHeight="false" outlineLevel="0" collapsed="false">
      <c r="A201" s="8" t="str">
        <f aca="false">parametros_recargas!A58</f>
        <v>BC 5 kg</v>
      </c>
      <c r="B201" s="8" t="str">
        <f aca="false">parametros_recargas!B58</f>
        <v>BC</v>
      </c>
      <c r="C201" s="11" t="n">
        <f aca="false">parametros_recargas!C58</f>
        <v>1</v>
      </c>
      <c r="D201" s="21" t="n">
        <f aca="false">datos_base!$H$9*parametros_recargas!$B$43+sobrestock_sustitutos!$H$95/12</f>
        <v>9.02619619555095</v>
      </c>
      <c r="E201" s="21" t="n">
        <f aca="false">datos_base!$H$9*parametros_recargas!$C$43+sobrestock_sustitutos!$H$95/12</f>
        <v>9.02619619555095</v>
      </c>
      <c r="F201" s="21" t="n">
        <f aca="false">datos_base!$H$9*parametros_recargas!$D$43+sobrestock_sustitutos!$H$95/12</f>
        <v>9.02619619555095</v>
      </c>
      <c r="G201" s="21" t="n">
        <f aca="false">datos_base!$H$9*parametros_recargas!$E$43+sobrestock_sustitutos!$H$95/12</f>
        <v>9.02619619555095</v>
      </c>
      <c r="H201" s="21" t="n">
        <f aca="false">datos_base!$H$9*parametros_recargas!$F$43+sobrestock_sustitutos!$H$95/12</f>
        <v>9.02619619555095</v>
      </c>
      <c r="I201" s="21" t="n">
        <f aca="false">datos_base!$H$9*parametros_recargas!$G$43+sobrestock_sustitutos!$H$95/12</f>
        <v>9.02619619555095</v>
      </c>
      <c r="J201" s="21" t="n">
        <f aca="false">datos_base!$H$9*parametros_recargas!$H$43+sobrestock_sustitutos!$H$95/12</f>
        <v>9.02619619555095</v>
      </c>
      <c r="K201" s="21" t="n">
        <f aca="false">datos_base!$H$9*parametros_recargas!$I$43+sobrestock_sustitutos!$H$95/12</f>
        <v>9.02619619555095</v>
      </c>
      <c r="L201" s="21" t="n">
        <f aca="false">datos_base!$H$9*parametros_recargas!$J$43+sobrestock_sustitutos!$H$95/12</f>
        <v>9.02619619555095</v>
      </c>
      <c r="M201" s="21" t="n">
        <f aca="false">datos_base!$H$9*parametros_recargas!$K$43+sobrestock_sustitutos!$H$95/12</f>
        <v>9.02619619555095</v>
      </c>
      <c r="N201" s="21" t="n">
        <f aca="false">datos_base!$H$9*parametros_recargas!$L$43+sobrestock_sustitutos!$H$95/12</f>
        <v>9.02619619555095</v>
      </c>
      <c r="O201" s="21" t="n">
        <f aca="false">datos_base!$H$9*parametros_recargas!$M$43+sobrestock_sustitutos!$H$95/12</f>
        <v>9.02619619555095</v>
      </c>
      <c r="P201" s="6" t="n">
        <f aca="false">SUM(D201:O201)</f>
        <v>108.314354346611</v>
      </c>
      <c r="Q201" s="4" t="n">
        <f aca="false">sobrestock_sustitutos!$H$95</f>
        <v>2</v>
      </c>
    </row>
    <row r="202" customFormat="false" ht="15" hidden="false" customHeight="false" outlineLevel="0" collapsed="false">
      <c r="A202" s="8" t="str">
        <f aca="false">parametros_recargas!A59</f>
        <v>Sales K 6 l</v>
      </c>
      <c r="B202" s="8" t="str">
        <f aca="false">parametros_recargas!B59</f>
        <v>Sales K</v>
      </c>
      <c r="C202" s="11" t="n">
        <f aca="false">parametros_recargas!C59</f>
        <v>1</v>
      </c>
      <c r="D202" s="21" t="n">
        <f aca="false">datos_base!$H$10*parametros_recargas!$B$43+sobrestock_sustitutos!$H$96/12</f>
        <v>77.630670981105</v>
      </c>
      <c r="E202" s="21" t="n">
        <f aca="false">datos_base!$H$10*parametros_recargas!$C$43+sobrestock_sustitutos!$H$96/12</f>
        <v>77.630670981105</v>
      </c>
      <c r="F202" s="21" t="n">
        <f aca="false">datos_base!$H$10*parametros_recargas!$D$43+sobrestock_sustitutos!$H$96/12</f>
        <v>77.630670981105</v>
      </c>
      <c r="G202" s="21" t="n">
        <f aca="false">datos_base!$H$10*parametros_recargas!$E$43+sobrestock_sustitutos!$H$96/12</f>
        <v>77.630670981105</v>
      </c>
      <c r="H202" s="21" t="n">
        <f aca="false">datos_base!$H$10*parametros_recargas!$F$43+sobrestock_sustitutos!$H$96/12</f>
        <v>77.630670981105</v>
      </c>
      <c r="I202" s="21" t="n">
        <f aca="false">datos_base!$H$10*parametros_recargas!$G$43+sobrestock_sustitutos!$H$96/12</f>
        <v>77.630670981105</v>
      </c>
      <c r="J202" s="21" t="n">
        <f aca="false">datos_base!$H$10*parametros_recargas!$H$43+sobrestock_sustitutos!$H$96/12</f>
        <v>77.630670981105</v>
      </c>
      <c r="K202" s="21" t="n">
        <f aca="false">datos_base!$H$10*parametros_recargas!$I$43+sobrestock_sustitutos!$H$96/12</f>
        <v>77.630670981105</v>
      </c>
      <c r="L202" s="21" t="n">
        <f aca="false">datos_base!$H$10*parametros_recargas!$J$43+sobrestock_sustitutos!$H$96/12</f>
        <v>77.630670981105</v>
      </c>
      <c r="M202" s="21" t="n">
        <f aca="false">datos_base!$H$10*parametros_recargas!$K$43+sobrestock_sustitutos!$H$96/12</f>
        <v>77.630670981105</v>
      </c>
      <c r="N202" s="21" t="n">
        <f aca="false">datos_base!$H$10*parametros_recargas!$L$43+sobrestock_sustitutos!$H$96/12</f>
        <v>77.630670981105</v>
      </c>
      <c r="O202" s="21" t="n">
        <f aca="false">datos_base!$H$10*parametros_recargas!$M$43+sobrestock_sustitutos!$H$96/12</f>
        <v>77.630670981105</v>
      </c>
      <c r="P202" s="6" t="n">
        <f aca="false">SUM(D202:O202)</f>
        <v>931.568051773259</v>
      </c>
      <c r="Q202" s="4" t="n">
        <f aca="false">sobrestock_sustitutos!$H$96</f>
        <v>10</v>
      </c>
    </row>
    <row r="203" customFormat="false" ht="15" hidden="false" customHeight="false" outlineLevel="0" collapsed="false">
      <c r="A203" s="8" t="str">
        <f aca="false">parametros_recargas!A60</f>
        <v>CO₂ 2 kg</v>
      </c>
      <c r="B203" s="8" t="str">
        <f aca="false">parametros_recargas!B60</f>
        <v>CO₂</v>
      </c>
      <c r="C203" s="11" t="n">
        <f aca="false">parametros_recargas!C60</f>
        <v>1</v>
      </c>
      <c r="D203" s="21" t="n">
        <f aca="false">datos_base!$H$11*parametros_recargas!$B$43+sobrestock_sustitutos!$H$97/12</f>
        <v>430.682411203592</v>
      </c>
      <c r="E203" s="21" t="n">
        <f aca="false">datos_base!$H$11*parametros_recargas!$C$43+sobrestock_sustitutos!$H$97/12</f>
        <v>430.682411203592</v>
      </c>
      <c r="F203" s="21" t="n">
        <f aca="false">datos_base!$H$11*parametros_recargas!$D$43+sobrestock_sustitutos!$H$97/12</f>
        <v>430.682411203592</v>
      </c>
      <c r="G203" s="21" t="n">
        <f aca="false">datos_base!$H$11*parametros_recargas!$E$43+sobrestock_sustitutos!$H$97/12</f>
        <v>430.682411203592</v>
      </c>
      <c r="H203" s="21" t="n">
        <f aca="false">datos_base!$H$11*parametros_recargas!$F$43+sobrestock_sustitutos!$H$97/12</f>
        <v>430.682411203592</v>
      </c>
      <c r="I203" s="21" t="n">
        <f aca="false">datos_base!$H$11*parametros_recargas!$G$43+sobrestock_sustitutos!$H$97/12</f>
        <v>430.682411203592</v>
      </c>
      <c r="J203" s="21" t="n">
        <f aca="false">datos_base!$H$11*parametros_recargas!$H$43+sobrestock_sustitutos!$H$97/12</f>
        <v>430.682411203592</v>
      </c>
      <c r="K203" s="21" t="n">
        <f aca="false">datos_base!$H$11*parametros_recargas!$I$43+sobrestock_sustitutos!$H$97/12</f>
        <v>430.682411203592</v>
      </c>
      <c r="L203" s="21" t="n">
        <f aca="false">datos_base!$H$11*parametros_recargas!$J$43+sobrestock_sustitutos!$H$97/12</f>
        <v>430.682411203592</v>
      </c>
      <c r="M203" s="21" t="n">
        <f aca="false">datos_base!$H$11*parametros_recargas!$K$43+sobrestock_sustitutos!$H$97/12</f>
        <v>430.682411203592</v>
      </c>
      <c r="N203" s="21" t="n">
        <f aca="false">datos_base!$H$11*parametros_recargas!$L$43+sobrestock_sustitutos!$H$97/12</f>
        <v>430.682411203592</v>
      </c>
      <c r="O203" s="21" t="n">
        <f aca="false">datos_base!$H$11*parametros_recargas!$M$43+sobrestock_sustitutos!$H$97/12</f>
        <v>430.682411203592</v>
      </c>
      <c r="P203" s="6" t="n">
        <f aca="false">SUM(D203:O203)</f>
        <v>5168.1889344431</v>
      </c>
      <c r="Q203" s="4" t="n">
        <f aca="false">sobrestock_sustitutos!$H$97</f>
        <v>53</v>
      </c>
    </row>
    <row r="204" customFormat="false" ht="15" hidden="false" customHeight="false" outlineLevel="0" collapsed="false">
      <c r="A204" s="8" t="str">
        <f aca="false">parametros_recargas!A61</f>
        <v>CO₂ 5 kg</v>
      </c>
      <c r="B204" s="8" t="str">
        <f aca="false">parametros_recargas!B61</f>
        <v>CO₂</v>
      </c>
      <c r="C204" s="11" t="n">
        <f aca="false">parametros_recargas!C61</f>
        <v>1</v>
      </c>
      <c r="D204" s="21" t="n">
        <f aca="false">datos_base!$H$12*parametros_recargas!$B$43+sobrestock_sustitutos!$H$98/12</f>
        <v>142.10909766959</v>
      </c>
      <c r="E204" s="21" t="n">
        <f aca="false">datos_base!$H$12*parametros_recargas!$C$43+sobrestock_sustitutos!$H$98/12</f>
        <v>142.10909766959</v>
      </c>
      <c r="F204" s="21" t="n">
        <f aca="false">datos_base!$H$12*parametros_recargas!$D$43+sobrestock_sustitutos!$H$98/12</f>
        <v>142.10909766959</v>
      </c>
      <c r="G204" s="21" t="n">
        <f aca="false">datos_base!$H$12*parametros_recargas!$E$43+sobrestock_sustitutos!$H$98/12</f>
        <v>142.10909766959</v>
      </c>
      <c r="H204" s="21" t="n">
        <f aca="false">datos_base!$H$12*parametros_recargas!$F$43+sobrestock_sustitutos!$H$98/12</f>
        <v>142.10909766959</v>
      </c>
      <c r="I204" s="21" t="n">
        <f aca="false">datos_base!$H$12*parametros_recargas!$G$43+sobrestock_sustitutos!$H$98/12</f>
        <v>142.10909766959</v>
      </c>
      <c r="J204" s="21" t="n">
        <f aca="false">datos_base!$H$12*parametros_recargas!$H$43+sobrestock_sustitutos!$H$98/12</f>
        <v>142.10909766959</v>
      </c>
      <c r="K204" s="21" t="n">
        <f aca="false">datos_base!$H$12*parametros_recargas!$I$43+sobrestock_sustitutos!$H$98/12</f>
        <v>142.10909766959</v>
      </c>
      <c r="L204" s="21" t="n">
        <f aca="false">datos_base!$H$12*parametros_recargas!$J$43+sobrestock_sustitutos!$H$98/12</f>
        <v>142.10909766959</v>
      </c>
      <c r="M204" s="21" t="n">
        <f aca="false">datos_base!$H$12*parametros_recargas!$K$43+sobrestock_sustitutos!$H$98/12</f>
        <v>142.10909766959</v>
      </c>
      <c r="N204" s="21" t="n">
        <f aca="false">datos_base!$H$12*parametros_recargas!$L$43+sobrestock_sustitutos!$H$98/12</f>
        <v>142.10909766959</v>
      </c>
      <c r="O204" s="21" t="n">
        <f aca="false">datos_base!$H$12*parametros_recargas!$M$43+sobrestock_sustitutos!$H$98/12</f>
        <v>142.10909766959</v>
      </c>
      <c r="P204" s="6" t="n">
        <f aca="false">SUM(D204:O204)</f>
        <v>1705.30917203508</v>
      </c>
      <c r="Q204" s="4" t="n">
        <f aca="false">sobrestock_sustitutos!$H$98</f>
        <v>18</v>
      </c>
    </row>
    <row r="205" customFormat="false" ht="15" hidden="false" customHeight="false" outlineLevel="0" collapsed="false">
      <c r="A205" s="8" t="str">
        <f aca="false">parametros_recargas!A62</f>
        <v>HCFC/HFC 5 kg</v>
      </c>
      <c r="B205" s="8" t="str">
        <f aca="false">parametros_recargas!B62</f>
        <v>Halogenado</v>
      </c>
      <c r="C205" s="11" t="n">
        <f aca="false">parametros_recargas!C62</f>
        <v>1</v>
      </c>
      <c r="D205" s="21" t="n">
        <f aca="false">datos_base!$H$13*parametros_recargas!$B$43+sobrestock_sustitutos!$H$99/12</f>
        <v>22.9449939889441</v>
      </c>
      <c r="E205" s="21" t="n">
        <f aca="false">datos_base!$H$13*parametros_recargas!$C$43+sobrestock_sustitutos!$H$99/12</f>
        <v>22.9449939889441</v>
      </c>
      <c r="F205" s="21" t="n">
        <f aca="false">datos_base!$H$13*parametros_recargas!$D$43+sobrestock_sustitutos!$H$99/12</f>
        <v>22.9449939889441</v>
      </c>
      <c r="G205" s="21" t="n">
        <f aca="false">datos_base!$H$13*parametros_recargas!$E$43+sobrestock_sustitutos!$H$99/12</f>
        <v>22.9449939889441</v>
      </c>
      <c r="H205" s="21" t="n">
        <f aca="false">datos_base!$H$13*parametros_recargas!$F$43+sobrestock_sustitutos!$H$99/12</f>
        <v>22.9449939889441</v>
      </c>
      <c r="I205" s="21" t="n">
        <f aca="false">datos_base!$H$13*parametros_recargas!$G$43+sobrestock_sustitutos!$H$99/12</f>
        <v>22.9449939889441</v>
      </c>
      <c r="J205" s="21" t="n">
        <f aca="false">datos_base!$H$13*parametros_recargas!$H$43+sobrestock_sustitutos!$H$99/12</f>
        <v>22.9449939889441</v>
      </c>
      <c r="K205" s="21" t="n">
        <f aca="false">datos_base!$H$13*parametros_recargas!$I$43+sobrestock_sustitutos!$H$99/12</f>
        <v>22.9449939889441</v>
      </c>
      <c r="L205" s="21" t="n">
        <f aca="false">datos_base!$H$13*parametros_recargas!$J$43+sobrestock_sustitutos!$H$99/12</f>
        <v>22.9449939889441</v>
      </c>
      <c r="M205" s="21" t="n">
        <f aca="false">datos_base!$H$13*parametros_recargas!$K$43+sobrestock_sustitutos!$H$99/12</f>
        <v>22.9449939889441</v>
      </c>
      <c r="N205" s="21" t="n">
        <f aca="false">datos_base!$H$13*parametros_recargas!$L$43+sobrestock_sustitutos!$H$99/12</f>
        <v>22.9449939889441</v>
      </c>
      <c r="O205" s="21" t="n">
        <f aca="false">datos_base!$H$13*parametros_recargas!$M$43+sobrestock_sustitutos!$H$99/12</f>
        <v>22.9449939889441</v>
      </c>
      <c r="P205" s="6" t="n">
        <f aca="false">SUM(D205:O205)</f>
        <v>275.339927867329</v>
      </c>
      <c r="Q205" s="4" t="n">
        <f aca="false">sobrestock_sustitutos!$H$99</f>
        <v>3</v>
      </c>
    </row>
    <row r="206" customFormat="false" ht="15" hidden="false" customHeight="false" outlineLevel="0" collapsed="false">
      <c r="A206" s="8" t="str">
        <f aca="false">parametros_recargas!A63</f>
        <v>Clase D 9 l</v>
      </c>
      <c r="B206" s="8" t="str">
        <f aca="false">parametros_recargas!B63</f>
        <v>Clase D</v>
      </c>
      <c r="C206" s="11" t="n">
        <f aca="false">parametros_recargas!C63</f>
        <v>1</v>
      </c>
      <c r="D206" s="21" t="n">
        <f aca="false">datos_base!$H$14*parametros_recargas!$B$43+sobrestock_sustitutos!$H$100/12</f>
        <v>7.97183570134346</v>
      </c>
      <c r="E206" s="21" t="n">
        <f aca="false">datos_base!$H$14*parametros_recargas!$C$43+sobrestock_sustitutos!$H$100/12</f>
        <v>7.97183570134346</v>
      </c>
      <c r="F206" s="21" t="n">
        <f aca="false">datos_base!$H$14*parametros_recargas!$D$43+sobrestock_sustitutos!$H$100/12</f>
        <v>7.97183570134346</v>
      </c>
      <c r="G206" s="21" t="n">
        <f aca="false">datos_base!$H$14*parametros_recargas!$E$43+sobrestock_sustitutos!$H$100/12</f>
        <v>7.97183570134346</v>
      </c>
      <c r="H206" s="21" t="n">
        <f aca="false">datos_base!$H$14*parametros_recargas!$F$43+sobrestock_sustitutos!$H$100/12</f>
        <v>7.97183570134346</v>
      </c>
      <c r="I206" s="21" t="n">
        <f aca="false">datos_base!$H$14*parametros_recargas!$G$43+sobrestock_sustitutos!$H$100/12</f>
        <v>7.97183570134346</v>
      </c>
      <c r="J206" s="21" t="n">
        <f aca="false">datos_base!$H$14*parametros_recargas!$H$43+sobrestock_sustitutos!$H$100/12</f>
        <v>7.97183570134346</v>
      </c>
      <c r="K206" s="21" t="n">
        <f aca="false">datos_base!$H$14*parametros_recargas!$I$43+sobrestock_sustitutos!$H$100/12</f>
        <v>7.97183570134346</v>
      </c>
      <c r="L206" s="21" t="n">
        <f aca="false">datos_base!$H$14*parametros_recargas!$J$43+sobrestock_sustitutos!$H$100/12</f>
        <v>7.97183570134346</v>
      </c>
      <c r="M206" s="21" t="n">
        <f aca="false">datos_base!$H$14*parametros_recargas!$K$43+sobrestock_sustitutos!$H$100/12</f>
        <v>7.97183570134346</v>
      </c>
      <c r="N206" s="21" t="n">
        <f aca="false">datos_base!$H$14*parametros_recargas!$L$43+sobrestock_sustitutos!$H$100/12</f>
        <v>7.97183570134346</v>
      </c>
      <c r="O206" s="21" t="n">
        <f aca="false">datos_base!$H$14*parametros_recargas!$M$43+sobrestock_sustitutos!$H$100/12</f>
        <v>7.97183570134346</v>
      </c>
      <c r="P206" s="6" t="n">
        <f aca="false">SUM(D206:O206)</f>
        <v>95.6620284161215</v>
      </c>
      <c r="Q206" s="4" t="n">
        <f aca="false">sobrestock_sustitutos!$H$100</f>
        <v>1</v>
      </c>
    </row>
    <row r="207" customFormat="false" ht="15" hidden="false" customHeight="false" outlineLevel="0" collapsed="false">
      <c r="A207" s="8" t="str">
        <f aca="false">parametros_recargas!A64</f>
        <v>ABC 25 kg s/ruedas</v>
      </c>
      <c r="B207" s="8" t="str">
        <f aca="false">parametros_recargas!B64</f>
        <v>ABC</v>
      </c>
      <c r="C207" s="11" t="n">
        <f aca="false">parametros_recargas!C64</f>
        <v>3</v>
      </c>
      <c r="D207" s="21" t="n">
        <f aca="false">datos_base!$H$15*parametros_recargas!$B$43+sobrestock_sustitutos!$H$101/12</f>
        <v>19.2839796801131</v>
      </c>
      <c r="E207" s="21" t="n">
        <f aca="false">datos_base!$H$15*parametros_recargas!$C$43+sobrestock_sustitutos!$H$101/12</f>
        <v>19.2839796801131</v>
      </c>
      <c r="F207" s="21" t="n">
        <f aca="false">datos_base!$H$15*parametros_recargas!$D$43+sobrestock_sustitutos!$H$101/12</f>
        <v>19.2839796801131</v>
      </c>
      <c r="G207" s="21" t="n">
        <f aca="false">datos_base!$H$15*parametros_recargas!$E$43+sobrestock_sustitutos!$H$101/12</f>
        <v>19.2839796801131</v>
      </c>
      <c r="H207" s="21" t="n">
        <f aca="false">datos_base!$H$15*parametros_recargas!$F$43+sobrestock_sustitutos!$H$101/12</f>
        <v>19.2839796801131</v>
      </c>
      <c r="I207" s="21" t="n">
        <f aca="false">datos_base!$H$15*parametros_recargas!$G$43+sobrestock_sustitutos!$H$101/12</f>
        <v>19.2839796801131</v>
      </c>
      <c r="J207" s="21" t="n">
        <f aca="false">datos_base!$H$15*parametros_recargas!$H$43+sobrestock_sustitutos!$H$101/12</f>
        <v>19.2839796801131</v>
      </c>
      <c r="K207" s="21" t="n">
        <f aca="false">datos_base!$H$15*parametros_recargas!$I$43+sobrestock_sustitutos!$H$101/12</f>
        <v>19.2839796801131</v>
      </c>
      <c r="L207" s="21" t="n">
        <f aca="false">datos_base!$H$15*parametros_recargas!$J$43+sobrestock_sustitutos!$H$101/12</f>
        <v>19.2839796801131</v>
      </c>
      <c r="M207" s="21" t="n">
        <f aca="false">datos_base!$H$15*parametros_recargas!$K$43+sobrestock_sustitutos!$H$101/12</f>
        <v>19.2839796801131</v>
      </c>
      <c r="N207" s="21" t="n">
        <f aca="false">datos_base!$H$15*parametros_recargas!$L$43+sobrestock_sustitutos!$H$101/12</f>
        <v>19.2839796801131</v>
      </c>
      <c r="O207" s="21" t="n">
        <f aca="false">datos_base!$H$15*parametros_recargas!$M$43+sobrestock_sustitutos!$H$101/12</f>
        <v>19.2839796801131</v>
      </c>
      <c r="P207" s="6" t="n">
        <f aca="false">SUM(D207:O207)</f>
        <v>231.407756161358</v>
      </c>
      <c r="Q207" s="4" t="n">
        <f aca="false">sobrestock_sustitutos!$H$101</f>
        <v>3</v>
      </c>
    </row>
    <row r="208" customFormat="false" ht="15" hidden="false" customHeight="false" outlineLevel="0" collapsed="false">
      <c r="A208" s="8" t="str">
        <f aca="false">parametros_recargas!A65</f>
        <v>ABC 50 kg s/ruedas</v>
      </c>
      <c r="B208" s="8" t="str">
        <f aca="false">parametros_recargas!B65</f>
        <v>ABC</v>
      </c>
      <c r="C208" s="11" t="n">
        <f aca="false">parametros_recargas!C65</f>
        <v>3</v>
      </c>
      <c r="D208" s="21" t="n">
        <f aca="false">datos_base!$H$16*parametros_recargas!$B$43+sobrestock_sustitutos!$H$102/12</f>
        <v>42.3747553106607</v>
      </c>
      <c r="E208" s="21" t="n">
        <f aca="false">datos_base!$H$16*parametros_recargas!$C$43+sobrestock_sustitutos!$H$102/12</f>
        <v>42.3747553106607</v>
      </c>
      <c r="F208" s="21" t="n">
        <f aca="false">datos_base!$H$16*parametros_recargas!$D$43+sobrestock_sustitutos!$H$102/12</f>
        <v>42.3747553106607</v>
      </c>
      <c r="G208" s="21" t="n">
        <f aca="false">datos_base!$H$16*parametros_recargas!$E$43+sobrestock_sustitutos!$H$102/12</f>
        <v>42.3747553106607</v>
      </c>
      <c r="H208" s="21" t="n">
        <f aca="false">datos_base!$H$16*parametros_recargas!$F$43+sobrestock_sustitutos!$H$102/12</f>
        <v>42.3747553106607</v>
      </c>
      <c r="I208" s="21" t="n">
        <f aca="false">datos_base!$H$16*parametros_recargas!$G$43+sobrestock_sustitutos!$H$102/12</f>
        <v>42.3747553106607</v>
      </c>
      <c r="J208" s="21" t="n">
        <f aca="false">datos_base!$H$16*parametros_recargas!$H$43+sobrestock_sustitutos!$H$102/12</f>
        <v>42.3747553106607</v>
      </c>
      <c r="K208" s="21" t="n">
        <f aca="false">datos_base!$H$16*parametros_recargas!$I$43+sobrestock_sustitutos!$H$102/12</f>
        <v>42.3747553106607</v>
      </c>
      <c r="L208" s="21" t="n">
        <f aca="false">datos_base!$H$16*parametros_recargas!$J$43+sobrestock_sustitutos!$H$102/12</f>
        <v>42.3747553106607</v>
      </c>
      <c r="M208" s="21" t="n">
        <f aca="false">datos_base!$H$16*parametros_recargas!$K$43+sobrestock_sustitutos!$H$102/12</f>
        <v>42.3747553106607</v>
      </c>
      <c r="N208" s="21" t="n">
        <f aca="false">datos_base!$H$16*parametros_recargas!$L$43+sobrestock_sustitutos!$H$102/12</f>
        <v>42.3747553106607</v>
      </c>
      <c r="O208" s="21" t="n">
        <f aca="false">datos_base!$H$16*parametros_recargas!$M$43+sobrestock_sustitutos!$H$102/12</f>
        <v>42.3747553106607</v>
      </c>
      <c r="P208" s="6" t="n">
        <f aca="false">SUM(D208:O208)</f>
        <v>508.497063727929</v>
      </c>
      <c r="Q208" s="4" t="n">
        <f aca="false">sobrestock_sustitutos!$H$102</f>
        <v>6</v>
      </c>
    </row>
    <row r="209" customFormat="false" ht="15" hidden="false" customHeight="false" outlineLevel="0" collapsed="false">
      <c r="A209" s="8" t="str">
        <f aca="false">parametros_recargas!A66</f>
        <v>ABC 70 kg s/ruedas</v>
      </c>
      <c r="B209" s="8" t="str">
        <f aca="false">parametros_recargas!B66</f>
        <v>ABC</v>
      </c>
      <c r="C209" s="11" t="n">
        <f aca="false">parametros_recargas!C66</f>
        <v>3</v>
      </c>
      <c r="D209" s="21" t="n">
        <f aca="false">datos_base!$H$17*parametros_recargas!$B$43+sobrestock_sustitutos!$H$103/12</f>
        <v>9.30297690927782</v>
      </c>
      <c r="E209" s="21" t="n">
        <f aca="false">datos_base!$H$17*parametros_recargas!$C$43+sobrestock_sustitutos!$H$103/12</f>
        <v>9.30297690927782</v>
      </c>
      <c r="F209" s="21" t="n">
        <f aca="false">datos_base!$H$17*parametros_recargas!$D$43+sobrestock_sustitutos!$H$103/12</f>
        <v>9.30297690927782</v>
      </c>
      <c r="G209" s="21" t="n">
        <f aca="false">datos_base!$H$17*parametros_recargas!$E$43+sobrestock_sustitutos!$H$103/12</f>
        <v>9.30297690927782</v>
      </c>
      <c r="H209" s="21" t="n">
        <f aca="false">datos_base!$H$17*parametros_recargas!$F$43+sobrestock_sustitutos!$H$103/12</f>
        <v>9.30297690927782</v>
      </c>
      <c r="I209" s="21" t="n">
        <f aca="false">datos_base!$H$17*parametros_recargas!$G$43+sobrestock_sustitutos!$H$103/12</f>
        <v>9.30297690927782</v>
      </c>
      <c r="J209" s="21" t="n">
        <f aca="false">datos_base!$H$17*parametros_recargas!$H$43+sobrestock_sustitutos!$H$103/12</f>
        <v>9.30297690927782</v>
      </c>
      <c r="K209" s="21" t="n">
        <f aca="false">datos_base!$H$17*parametros_recargas!$I$43+sobrestock_sustitutos!$H$103/12</f>
        <v>9.30297690927782</v>
      </c>
      <c r="L209" s="21" t="n">
        <f aca="false">datos_base!$H$17*parametros_recargas!$J$43+sobrestock_sustitutos!$H$103/12</f>
        <v>9.30297690927782</v>
      </c>
      <c r="M209" s="21" t="n">
        <f aca="false">datos_base!$H$17*parametros_recargas!$K$43+sobrestock_sustitutos!$H$103/12</f>
        <v>9.30297690927782</v>
      </c>
      <c r="N209" s="21" t="n">
        <f aca="false">datos_base!$H$17*parametros_recargas!$L$43+sobrestock_sustitutos!$H$103/12</f>
        <v>9.30297690927782</v>
      </c>
      <c r="O209" s="21" t="n">
        <f aca="false">datos_base!$H$17*parametros_recargas!$M$43+sobrestock_sustitutos!$H$103/12</f>
        <v>9.30297690927782</v>
      </c>
      <c r="P209" s="6" t="n">
        <f aca="false">SUM(D209:O209)</f>
        <v>111.635722911334</v>
      </c>
      <c r="Q209" s="4" t="n">
        <f aca="false">sobrestock_sustitutos!$H$103</f>
        <v>2</v>
      </c>
    </row>
    <row r="210" customFormat="false" ht="15" hidden="false" customHeight="false" outlineLevel="0" collapsed="false">
      <c r="A210" s="8" t="str">
        <f aca="false">parametros_recargas!A67</f>
        <v>ABC 100 kg s/ruedas</v>
      </c>
      <c r="B210" s="8" t="str">
        <f aca="false">parametros_recargas!B67</f>
        <v>ABC</v>
      </c>
      <c r="C210" s="11" t="n">
        <f aca="false">parametros_recargas!C67</f>
        <v>3</v>
      </c>
      <c r="D210" s="21" t="n">
        <f aca="false">datos_base!$H$18*parametros_recargas!$B$43+sobrestock_sustitutos!$H$104/12</f>
        <v>6.17420684442057</v>
      </c>
      <c r="E210" s="21" t="n">
        <f aca="false">datos_base!$H$18*parametros_recargas!$C$43+sobrestock_sustitutos!$H$104/12</f>
        <v>6.17420684442057</v>
      </c>
      <c r="F210" s="21" t="n">
        <f aca="false">datos_base!$H$18*parametros_recargas!$D$43+sobrestock_sustitutos!$H$104/12</f>
        <v>6.17420684442057</v>
      </c>
      <c r="G210" s="21" t="n">
        <f aca="false">datos_base!$H$18*parametros_recargas!$E$43+sobrestock_sustitutos!$H$104/12</f>
        <v>6.17420684442057</v>
      </c>
      <c r="H210" s="21" t="n">
        <f aca="false">datos_base!$H$18*parametros_recargas!$F$43+sobrestock_sustitutos!$H$104/12</f>
        <v>6.17420684442057</v>
      </c>
      <c r="I210" s="21" t="n">
        <f aca="false">datos_base!$H$18*parametros_recargas!$G$43+sobrestock_sustitutos!$H$104/12</f>
        <v>6.17420684442057</v>
      </c>
      <c r="J210" s="21" t="n">
        <f aca="false">datos_base!$H$18*parametros_recargas!$H$43+sobrestock_sustitutos!$H$104/12</f>
        <v>6.17420684442057</v>
      </c>
      <c r="K210" s="21" t="n">
        <f aca="false">datos_base!$H$18*parametros_recargas!$I$43+sobrestock_sustitutos!$H$104/12</f>
        <v>6.17420684442057</v>
      </c>
      <c r="L210" s="21" t="n">
        <f aca="false">datos_base!$H$18*parametros_recargas!$J$43+sobrestock_sustitutos!$H$104/12</f>
        <v>6.17420684442057</v>
      </c>
      <c r="M210" s="21" t="n">
        <f aca="false">datos_base!$H$18*parametros_recargas!$K$43+sobrestock_sustitutos!$H$104/12</f>
        <v>6.17420684442057</v>
      </c>
      <c r="N210" s="21" t="n">
        <f aca="false">datos_base!$H$18*parametros_recargas!$L$43+sobrestock_sustitutos!$H$104/12</f>
        <v>6.17420684442057</v>
      </c>
      <c r="O210" s="21" t="n">
        <f aca="false">datos_base!$H$18*parametros_recargas!$M$43+sobrestock_sustitutos!$H$104/12</f>
        <v>6.17420684442057</v>
      </c>
      <c r="P210" s="6" t="n">
        <f aca="false">SUM(D210:O210)</f>
        <v>74.0904821330469</v>
      </c>
      <c r="Q210" s="4" t="n">
        <f aca="false">sobrestock_sustitutos!$H$104</f>
        <v>1</v>
      </c>
    </row>
    <row r="211" customFormat="false" ht="15" hidden="false" customHeight="false" outlineLevel="0" collapsed="false">
      <c r="A211" s="5" t="s">
        <v>306</v>
      </c>
      <c r="D211" s="6" t="n">
        <f aca="false">SUM(D194:D210)</f>
        <v>6850.34302269783</v>
      </c>
      <c r="E211" s="6" t="n">
        <f aca="false">SUM(E194:E210)</f>
        <v>6850.34302269783</v>
      </c>
      <c r="F211" s="6" t="n">
        <f aca="false">SUM(F194:F210)</f>
        <v>6850.34302269783</v>
      </c>
      <c r="G211" s="6" t="n">
        <f aca="false">SUM(G194:G210)</f>
        <v>6850.34302269783</v>
      </c>
      <c r="H211" s="6" t="n">
        <f aca="false">SUM(H194:H210)</f>
        <v>6850.34302269783</v>
      </c>
      <c r="I211" s="6" t="n">
        <f aca="false">SUM(I194:I210)</f>
        <v>6850.34302269783</v>
      </c>
      <c r="J211" s="6" t="n">
        <f aca="false">SUM(J194:J210)</f>
        <v>6850.34302269783</v>
      </c>
      <c r="K211" s="6" t="n">
        <f aca="false">SUM(K194:K210)</f>
        <v>6850.34302269783</v>
      </c>
      <c r="L211" s="6" t="n">
        <f aca="false">SUM(L194:L210)</f>
        <v>6850.34302269783</v>
      </c>
      <c r="M211" s="6" t="n">
        <f aca="false">SUM(M194:M210)</f>
        <v>6850.34302269783</v>
      </c>
      <c r="N211" s="6" t="n">
        <f aca="false">SUM(N194:N210)</f>
        <v>6850.34302269783</v>
      </c>
      <c r="O211" s="6" t="n">
        <f aca="false">SUM(O194:O210)</f>
        <v>6850.34302269783</v>
      </c>
      <c r="P211" s="6" t="n">
        <f aca="false">SUM(P194:P210)</f>
        <v>82204.116272374</v>
      </c>
    </row>
    <row r="212" customFormat="false" ht="15" hidden="false" customHeight="false" outlineLevel="0" collapsed="false">
      <c r="A212" s="5" t="s">
        <v>307</v>
      </c>
    </row>
    <row r="213" customFormat="false" ht="15" hidden="false" customHeight="false" outlineLevel="0" collapsed="false">
      <c r="A213" s="3" t="s">
        <v>148</v>
      </c>
      <c r="D213" s="21" t="n">
        <f aca="false">SUMPRODUCT(($B$194:$B$210=$A213)*D$194:D$210*$C$194:$C$210)</f>
        <v>6111.20696543757</v>
      </c>
      <c r="E213" s="21" t="n">
        <f aca="false">SUMPRODUCT(($B$194:$B$210=$A213)*E$194:E$210*$C$194:$C$210)</f>
        <v>6111.20696543757</v>
      </c>
      <c r="F213" s="21" t="n">
        <f aca="false">SUMPRODUCT(($B$194:$B$210=$A213)*F$194:F$210*$C$194:$C$210)</f>
        <v>6111.20696543757</v>
      </c>
      <c r="G213" s="21" t="n">
        <f aca="false">SUMPRODUCT(($B$194:$B$210=$A213)*G$194:G$210*$C$194:$C$210)</f>
        <v>6111.20696543757</v>
      </c>
      <c r="H213" s="21" t="n">
        <f aca="false">SUMPRODUCT(($B$194:$B$210=$A213)*H$194:H$210*$C$194:$C$210)</f>
        <v>6111.20696543757</v>
      </c>
      <c r="I213" s="21" t="n">
        <f aca="false">SUMPRODUCT(($B$194:$B$210=$A213)*I$194:I$210*$C$194:$C$210)</f>
        <v>6111.20696543757</v>
      </c>
      <c r="J213" s="21" t="n">
        <f aca="false">SUMPRODUCT(($B$194:$B$210=$A213)*J$194:J$210*$C$194:$C$210)</f>
        <v>6111.20696543757</v>
      </c>
      <c r="K213" s="21" t="n">
        <f aca="false">SUMPRODUCT(($B$194:$B$210=$A213)*K$194:K$210*$C$194:$C$210)</f>
        <v>6111.20696543757</v>
      </c>
      <c r="L213" s="21" t="n">
        <f aca="false">SUMPRODUCT(($B$194:$B$210=$A213)*L$194:L$210*$C$194:$C$210)</f>
        <v>6111.20696543757</v>
      </c>
      <c r="M213" s="21" t="n">
        <f aca="false">SUMPRODUCT(($B$194:$B$210=$A213)*M$194:M$210*$C$194:$C$210)</f>
        <v>6111.20696543757</v>
      </c>
      <c r="N213" s="21" t="n">
        <f aca="false">SUMPRODUCT(($B$194:$B$210=$A213)*N$194:N$210*$C$194:$C$210)</f>
        <v>6111.20696543757</v>
      </c>
      <c r="O213" s="21" t="n">
        <f aca="false">SUMPRODUCT(($B$194:$B$210=$A213)*O$194:O$210*$C$194:$C$210)</f>
        <v>6111.20696543757</v>
      </c>
      <c r="P213" s="21" t="n">
        <f aca="false">SUMPRODUCT(($B$194:$B$210=$A213)*P$194:P$210*$C$194:$C$210)</f>
        <v>73334.4835852508</v>
      </c>
    </row>
    <row r="214" customFormat="false" ht="15" hidden="false" customHeight="false" outlineLevel="0" collapsed="false">
      <c r="A214" s="3" t="s">
        <v>154</v>
      </c>
      <c r="D214" s="21" t="n">
        <f aca="false">SUMPRODUCT(($B$194:$B$210=$A214)*D$194:D$210*$C$194:$C$210)</f>
        <v>9.02619619555095</v>
      </c>
      <c r="E214" s="21" t="n">
        <f aca="false">SUMPRODUCT(($B$194:$B$210=$A214)*E$194:E$210*$C$194:$C$210)</f>
        <v>9.02619619555095</v>
      </c>
      <c r="F214" s="21" t="n">
        <f aca="false">SUMPRODUCT(($B$194:$B$210=$A214)*F$194:F$210*$C$194:$C$210)</f>
        <v>9.02619619555095</v>
      </c>
      <c r="G214" s="21" t="n">
        <f aca="false">SUMPRODUCT(($B$194:$B$210=$A214)*G$194:G$210*$C$194:$C$210)</f>
        <v>9.02619619555095</v>
      </c>
      <c r="H214" s="21" t="n">
        <f aca="false">SUMPRODUCT(($B$194:$B$210=$A214)*H$194:H$210*$C$194:$C$210)</f>
        <v>9.02619619555095</v>
      </c>
      <c r="I214" s="21" t="n">
        <f aca="false">SUMPRODUCT(($B$194:$B$210=$A214)*I$194:I$210*$C$194:$C$210)</f>
        <v>9.02619619555095</v>
      </c>
      <c r="J214" s="21" t="n">
        <f aca="false">SUMPRODUCT(($B$194:$B$210=$A214)*J$194:J$210*$C$194:$C$210)</f>
        <v>9.02619619555095</v>
      </c>
      <c r="K214" s="21" t="n">
        <f aca="false">SUMPRODUCT(($B$194:$B$210=$A214)*K$194:K$210*$C$194:$C$210)</f>
        <v>9.02619619555095</v>
      </c>
      <c r="L214" s="21" t="n">
        <f aca="false">SUMPRODUCT(($B$194:$B$210=$A214)*L$194:L$210*$C$194:$C$210)</f>
        <v>9.02619619555095</v>
      </c>
      <c r="M214" s="21" t="n">
        <f aca="false">SUMPRODUCT(($B$194:$B$210=$A214)*M$194:M$210*$C$194:$C$210)</f>
        <v>9.02619619555095</v>
      </c>
      <c r="N214" s="21" t="n">
        <f aca="false">SUMPRODUCT(($B$194:$B$210=$A214)*N$194:N$210*$C$194:$C$210)</f>
        <v>9.02619619555095</v>
      </c>
      <c r="O214" s="21" t="n">
        <f aca="false">SUMPRODUCT(($B$194:$B$210=$A214)*O$194:O$210*$C$194:$C$210)</f>
        <v>9.02619619555095</v>
      </c>
      <c r="P214" s="21" t="n">
        <f aca="false">SUMPRODUCT(($B$194:$B$210=$A214)*P$194:P$210*$C$194:$C$210)</f>
        <v>108.314354346611</v>
      </c>
    </row>
    <row r="215" customFormat="false" ht="15" hidden="false" customHeight="false" outlineLevel="0" collapsed="false">
      <c r="A215" s="3" t="s">
        <v>160</v>
      </c>
      <c r="D215" s="21" t="n">
        <f aca="false">SUMPRODUCT(($B$194:$B$210=$A215)*D$194:D$210*$C$194:$C$210)</f>
        <v>7.97183570134346</v>
      </c>
      <c r="E215" s="21" t="n">
        <f aca="false">SUMPRODUCT(($B$194:$B$210=$A215)*E$194:E$210*$C$194:$C$210)</f>
        <v>7.97183570134346</v>
      </c>
      <c r="F215" s="21" t="n">
        <f aca="false">SUMPRODUCT(($B$194:$B$210=$A215)*F$194:F$210*$C$194:$C$210)</f>
        <v>7.97183570134346</v>
      </c>
      <c r="G215" s="21" t="n">
        <f aca="false">SUMPRODUCT(($B$194:$B$210=$A215)*G$194:G$210*$C$194:$C$210)</f>
        <v>7.97183570134346</v>
      </c>
      <c r="H215" s="21" t="n">
        <f aca="false">SUMPRODUCT(($B$194:$B$210=$A215)*H$194:H$210*$C$194:$C$210)</f>
        <v>7.97183570134346</v>
      </c>
      <c r="I215" s="21" t="n">
        <f aca="false">SUMPRODUCT(($B$194:$B$210=$A215)*I$194:I$210*$C$194:$C$210)</f>
        <v>7.97183570134346</v>
      </c>
      <c r="J215" s="21" t="n">
        <f aca="false">SUMPRODUCT(($B$194:$B$210=$A215)*J$194:J$210*$C$194:$C$210)</f>
        <v>7.97183570134346</v>
      </c>
      <c r="K215" s="21" t="n">
        <f aca="false">SUMPRODUCT(($B$194:$B$210=$A215)*K$194:K$210*$C$194:$C$210)</f>
        <v>7.97183570134346</v>
      </c>
      <c r="L215" s="21" t="n">
        <f aca="false">SUMPRODUCT(($B$194:$B$210=$A215)*L$194:L$210*$C$194:$C$210)</f>
        <v>7.97183570134346</v>
      </c>
      <c r="M215" s="21" t="n">
        <f aca="false">SUMPRODUCT(($B$194:$B$210=$A215)*M$194:M$210*$C$194:$C$210)</f>
        <v>7.97183570134346</v>
      </c>
      <c r="N215" s="21" t="n">
        <f aca="false">SUMPRODUCT(($B$194:$B$210=$A215)*N$194:N$210*$C$194:$C$210)</f>
        <v>7.97183570134346</v>
      </c>
      <c r="O215" s="21" t="n">
        <f aca="false">SUMPRODUCT(($B$194:$B$210=$A215)*O$194:O$210*$C$194:$C$210)</f>
        <v>7.97183570134346</v>
      </c>
      <c r="P215" s="21" t="n">
        <f aca="false">SUMPRODUCT(($B$194:$B$210=$A215)*P$194:P$210*$C$194:$C$210)</f>
        <v>95.6620284161215</v>
      </c>
    </row>
    <row r="216" customFormat="false" ht="15" hidden="false" customHeight="false" outlineLevel="0" collapsed="false">
      <c r="A216" s="3" t="s">
        <v>151</v>
      </c>
      <c r="D216" s="21" t="n">
        <f aca="false">SUMPRODUCT(($B$194:$B$210=$A216)*D$194:D$210*$C$194:$C$210)</f>
        <v>158.730554933087</v>
      </c>
      <c r="E216" s="21" t="n">
        <f aca="false">SUMPRODUCT(($B$194:$B$210=$A216)*E$194:E$210*$C$194:$C$210)</f>
        <v>158.730554933087</v>
      </c>
      <c r="F216" s="21" t="n">
        <f aca="false">SUMPRODUCT(($B$194:$B$210=$A216)*F$194:F$210*$C$194:$C$210)</f>
        <v>158.730554933087</v>
      </c>
      <c r="G216" s="21" t="n">
        <f aca="false">SUMPRODUCT(($B$194:$B$210=$A216)*G$194:G$210*$C$194:$C$210)</f>
        <v>158.730554933087</v>
      </c>
      <c r="H216" s="21" t="n">
        <f aca="false">SUMPRODUCT(($B$194:$B$210=$A216)*H$194:H$210*$C$194:$C$210)</f>
        <v>158.730554933087</v>
      </c>
      <c r="I216" s="21" t="n">
        <f aca="false">SUMPRODUCT(($B$194:$B$210=$A216)*I$194:I$210*$C$194:$C$210)</f>
        <v>158.730554933087</v>
      </c>
      <c r="J216" s="21" t="n">
        <f aca="false">SUMPRODUCT(($B$194:$B$210=$A216)*J$194:J$210*$C$194:$C$210)</f>
        <v>158.730554933087</v>
      </c>
      <c r="K216" s="21" t="n">
        <f aca="false">SUMPRODUCT(($B$194:$B$210=$A216)*K$194:K$210*$C$194:$C$210)</f>
        <v>158.730554933087</v>
      </c>
      <c r="L216" s="21" t="n">
        <f aca="false">SUMPRODUCT(($B$194:$B$210=$A216)*L$194:L$210*$C$194:$C$210)</f>
        <v>158.730554933087</v>
      </c>
      <c r="M216" s="21" t="n">
        <f aca="false">SUMPRODUCT(($B$194:$B$210=$A216)*M$194:M$210*$C$194:$C$210)</f>
        <v>158.730554933087</v>
      </c>
      <c r="N216" s="21" t="n">
        <f aca="false">SUMPRODUCT(($B$194:$B$210=$A216)*N$194:N$210*$C$194:$C$210)</f>
        <v>158.730554933087</v>
      </c>
      <c r="O216" s="21" t="n">
        <f aca="false">SUMPRODUCT(($B$194:$B$210=$A216)*O$194:O$210*$C$194:$C$210)</f>
        <v>158.730554933087</v>
      </c>
      <c r="P216" s="21" t="n">
        <f aca="false">SUMPRODUCT(($B$194:$B$210=$A216)*P$194:P$210*$C$194:$C$210)</f>
        <v>1904.76665919705</v>
      </c>
    </row>
    <row r="217" customFormat="false" ht="15" hidden="false" customHeight="false" outlineLevel="0" collapsed="false">
      <c r="A217" s="3" t="s">
        <v>152</v>
      </c>
      <c r="D217" s="21" t="n">
        <f aca="false">SUMPRODUCT(($B$194:$B$210=$A217)*D$194:D$210*$C$194:$C$210)</f>
        <v>74.865407891293</v>
      </c>
      <c r="E217" s="21" t="n">
        <f aca="false">SUMPRODUCT(($B$194:$B$210=$A217)*E$194:E$210*$C$194:$C$210)</f>
        <v>74.865407891293</v>
      </c>
      <c r="F217" s="21" t="n">
        <f aca="false">SUMPRODUCT(($B$194:$B$210=$A217)*F$194:F$210*$C$194:$C$210)</f>
        <v>74.865407891293</v>
      </c>
      <c r="G217" s="21" t="n">
        <f aca="false">SUMPRODUCT(($B$194:$B$210=$A217)*G$194:G$210*$C$194:$C$210)</f>
        <v>74.865407891293</v>
      </c>
      <c r="H217" s="21" t="n">
        <f aca="false">SUMPRODUCT(($B$194:$B$210=$A217)*H$194:H$210*$C$194:$C$210)</f>
        <v>74.865407891293</v>
      </c>
      <c r="I217" s="21" t="n">
        <f aca="false">SUMPRODUCT(($B$194:$B$210=$A217)*I$194:I$210*$C$194:$C$210)</f>
        <v>74.865407891293</v>
      </c>
      <c r="J217" s="21" t="n">
        <f aca="false">SUMPRODUCT(($B$194:$B$210=$A217)*J$194:J$210*$C$194:$C$210)</f>
        <v>74.865407891293</v>
      </c>
      <c r="K217" s="21" t="n">
        <f aca="false">SUMPRODUCT(($B$194:$B$210=$A217)*K$194:K$210*$C$194:$C$210)</f>
        <v>74.865407891293</v>
      </c>
      <c r="L217" s="21" t="n">
        <f aca="false">SUMPRODUCT(($B$194:$B$210=$A217)*L$194:L$210*$C$194:$C$210)</f>
        <v>74.865407891293</v>
      </c>
      <c r="M217" s="21" t="n">
        <f aca="false">SUMPRODUCT(($B$194:$B$210=$A217)*M$194:M$210*$C$194:$C$210)</f>
        <v>74.865407891293</v>
      </c>
      <c r="N217" s="21" t="n">
        <f aca="false">SUMPRODUCT(($B$194:$B$210=$A217)*N$194:N$210*$C$194:$C$210)</f>
        <v>74.865407891293</v>
      </c>
      <c r="O217" s="21" t="n">
        <f aca="false">SUMPRODUCT(($B$194:$B$210=$A217)*O$194:O$210*$C$194:$C$210)</f>
        <v>74.865407891293</v>
      </c>
      <c r="P217" s="21" t="n">
        <f aca="false">SUMPRODUCT(($B$194:$B$210=$A217)*P$194:P$210*$C$194:$C$210)</f>
        <v>898.384894695516</v>
      </c>
    </row>
    <row r="218" customFormat="false" ht="15" hidden="false" customHeight="false" outlineLevel="0" collapsed="false">
      <c r="A218" s="3" t="s">
        <v>155</v>
      </c>
      <c r="D218" s="21" t="n">
        <f aca="false">SUMPRODUCT(($B$194:$B$210=$A218)*D$194:D$210*$C$194:$C$210)</f>
        <v>77.630670981105</v>
      </c>
      <c r="E218" s="21" t="n">
        <f aca="false">SUMPRODUCT(($B$194:$B$210=$A218)*E$194:E$210*$C$194:$C$210)</f>
        <v>77.630670981105</v>
      </c>
      <c r="F218" s="21" t="n">
        <f aca="false">SUMPRODUCT(($B$194:$B$210=$A218)*F$194:F$210*$C$194:$C$210)</f>
        <v>77.630670981105</v>
      </c>
      <c r="G218" s="21" t="n">
        <f aca="false">SUMPRODUCT(($B$194:$B$210=$A218)*G$194:G$210*$C$194:$C$210)</f>
        <v>77.630670981105</v>
      </c>
      <c r="H218" s="21" t="n">
        <f aca="false">SUMPRODUCT(($B$194:$B$210=$A218)*H$194:H$210*$C$194:$C$210)</f>
        <v>77.630670981105</v>
      </c>
      <c r="I218" s="21" t="n">
        <f aca="false">SUMPRODUCT(($B$194:$B$210=$A218)*I$194:I$210*$C$194:$C$210)</f>
        <v>77.630670981105</v>
      </c>
      <c r="J218" s="21" t="n">
        <f aca="false">SUMPRODUCT(($B$194:$B$210=$A218)*J$194:J$210*$C$194:$C$210)</f>
        <v>77.630670981105</v>
      </c>
      <c r="K218" s="21" t="n">
        <f aca="false">SUMPRODUCT(($B$194:$B$210=$A218)*K$194:K$210*$C$194:$C$210)</f>
        <v>77.630670981105</v>
      </c>
      <c r="L218" s="21" t="n">
        <f aca="false">SUMPRODUCT(($B$194:$B$210=$A218)*L$194:L$210*$C$194:$C$210)</f>
        <v>77.630670981105</v>
      </c>
      <c r="M218" s="21" t="n">
        <f aca="false">SUMPRODUCT(($B$194:$B$210=$A218)*M$194:M$210*$C$194:$C$210)</f>
        <v>77.630670981105</v>
      </c>
      <c r="N218" s="21" t="n">
        <f aca="false">SUMPRODUCT(($B$194:$B$210=$A218)*N$194:N$210*$C$194:$C$210)</f>
        <v>77.630670981105</v>
      </c>
      <c r="O218" s="21" t="n">
        <f aca="false">SUMPRODUCT(($B$194:$B$210=$A218)*O$194:O$210*$C$194:$C$210)</f>
        <v>77.630670981105</v>
      </c>
      <c r="P218" s="21" t="n">
        <f aca="false">SUMPRODUCT(($B$194:$B$210=$A218)*P$194:P$210*$C$194:$C$210)</f>
        <v>931.568051773259</v>
      </c>
    </row>
    <row r="219" customFormat="false" ht="15" hidden="false" customHeight="false" outlineLevel="0" collapsed="false">
      <c r="A219" s="3" t="s">
        <v>156</v>
      </c>
      <c r="D219" s="21" t="n">
        <f aca="false">SUMPRODUCT(($B$194:$B$210=$A219)*D$194:D$210*$C$194:$C$210)</f>
        <v>572.791508873181</v>
      </c>
      <c r="E219" s="21" t="n">
        <f aca="false">SUMPRODUCT(($B$194:$B$210=$A219)*E$194:E$210*$C$194:$C$210)</f>
        <v>572.791508873181</v>
      </c>
      <c r="F219" s="21" t="n">
        <f aca="false">SUMPRODUCT(($B$194:$B$210=$A219)*F$194:F$210*$C$194:$C$210)</f>
        <v>572.791508873181</v>
      </c>
      <c r="G219" s="21" t="n">
        <f aca="false">SUMPRODUCT(($B$194:$B$210=$A219)*G$194:G$210*$C$194:$C$210)</f>
        <v>572.791508873181</v>
      </c>
      <c r="H219" s="21" t="n">
        <f aca="false">SUMPRODUCT(($B$194:$B$210=$A219)*H$194:H$210*$C$194:$C$210)</f>
        <v>572.791508873181</v>
      </c>
      <c r="I219" s="21" t="n">
        <f aca="false">SUMPRODUCT(($B$194:$B$210=$A219)*I$194:I$210*$C$194:$C$210)</f>
        <v>572.791508873181</v>
      </c>
      <c r="J219" s="21" t="n">
        <f aca="false">SUMPRODUCT(($B$194:$B$210=$A219)*J$194:J$210*$C$194:$C$210)</f>
        <v>572.791508873181</v>
      </c>
      <c r="K219" s="21" t="n">
        <f aca="false">SUMPRODUCT(($B$194:$B$210=$A219)*K$194:K$210*$C$194:$C$210)</f>
        <v>572.791508873181</v>
      </c>
      <c r="L219" s="21" t="n">
        <f aca="false">SUMPRODUCT(($B$194:$B$210=$A219)*L$194:L$210*$C$194:$C$210)</f>
        <v>572.791508873181</v>
      </c>
      <c r="M219" s="21" t="n">
        <f aca="false">SUMPRODUCT(($B$194:$B$210=$A219)*M$194:M$210*$C$194:$C$210)</f>
        <v>572.791508873181</v>
      </c>
      <c r="N219" s="21" t="n">
        <f aca="false">SUMPRODUCT(($B$194:$B$210=$A219)*N$194:N$210*$C$194:$C$210)</f>
        <v>572.791508873181</v>
      </c>
      <c r="O219" s="21" t="n">
        <f aca="false">SUMPRODUCT(($B$194:$B$210=$A219)*O$194:O$210*$C$194:$C$210)</f>
        <v>572.791508873181</v>
      </c>
      <c r="P219" s="21" t="n">
        <f aca="false">SUMPRODUCT(($B$194:$B$210=$A219)*P$194:P$210*$C$194:$C$210)</f>
        <v>6873.49810647818</v>
      </c>
    </row>
    <row r="220" customFormat="false" ht="15" hidden="false" customHeight="false" outlineLevel="0" collapsed="false">
      <c r="A220" s="3" t="s">
        <v>159</v>
      </c>
      <c r="D220" s="21" t="n">
        <f aca="false">SUMPRODUCT(($B$194:$B$210=$A220)*D$194:D$210*$C$194:$C$210)</f>
        <v>22.9449939889441</v>
      </c>
      <c r="E220" s="21" t="n">
        <f aca="false">SUMPRODUCT(($B$194:$B$210=$A220)*E$194:E$210*$C$194:$C$210)</f>
        <v>22.9449939889441</v>
      </c>
      <c r="F220" s="21" t="n">
        <f aca="false">SUMPRODUCT(($B$194:$B$210=$A220)*F$194:F$210*$C$194:$C$210)</f>
        <v>22.9449939889441</v>
      </c>
      <c r="G220" s="21" t="n">
        <f aca="false">SUMPRODUCT(($B$194:$B$210=$A220)*G$194:G$210*$C$194:$C$210)</f>
        <v>22.9449939889441</v>
      </c>
      <c r="H220" s="21" t="n">
        <f aca="false">SUMPRODUCT(($B$194:$B$210=$A220)*H$194:H$210*$C$194:$C$210)</f>
        <v>22.9449939889441</v>
      </c>
      <c r="I220" s="21" t="n">
        <f aca="false">SUMPRODUCT(($B$194:$B$210=$A220)*I$194:I$210*$C$194:$C$210)</f>
        <v>22.9449939889441</v>
      </c>
      <c r="J220" s="21" t="n">
        <f aca="false">SUMPRODUCT(($B$194:$B$210=$A220)*J$194:J$210*$C$194:$C$210)</f>
        <v>22.9449939889441</v>
      </c>
      <c r="K220" s="21" t="n">
        <f aca="false">SUMPRODUCT(($B$194:$B$210=$A220)*K$194:K$210*$C$194:$C$210)</f>
        <v>22.9449939889441</v>
      </c>
      <c r="L220" s="21" t="n">
        <f aca="false">SUMPRODUCT(($B$194:$B$210=$A220)*L$194:L$210*$C$194:$C$210)</f>
        <v>22.9449939889441</v>
      </c>
      <c r="M220" s="21" t="n">
        <f aca="false">SUMPRODUCT(($B$194:$B$210=$A220)*M$194:M$210*$C$194:$C$210)</f>
        <v>22.9449939889441</v>
      </c>
      <c r="N220" s="21" t="n">
        <f aca="false">SUMPRODUCT(($B$194:$B$210=$A220)*N$194:N$210*$C$194:$C$210)</f>
        <v>22.9449939889441</v>
      </c>
      <c r="O220" s="21" t="n">
        <f aca="false">SUMPRODUCT(($B$194:$B$210=$A220)*O$194:O$210*$C$194:$C$210)</f>
        <v>22.9449939889441</v>
      </c>
      <c r="P220" s="21" t="n">
        <f aca="false">SUMPRODUCT(($B$194:$B$210=$A220)*P$194:P$210*$C$194:$C$210)</f>
        <v>275.339927867329</v>
      </c>
    </row>
    <row r="221" customFormat="false" ht="15" hidden="false" customHeight="false" outlineLevel="0" collapsed="false">
      <c r="A221" s="5" t="s">
        <v>308</v>
      </c>
      <c r="D221" s="22" t="n">
        <f aca="false">SUMPRODUCT(D$194:D$210*parametros_recargas!$D$51:$D$67)</f>
        <v>234.521653321711</v>
      </c>
      <c r="E221" s="22" t="n">
        <f aca="false">SUMPRODUCT(E$194:E$210*parametros_recargas!$D$51:$D$67)</f>
        <v>234.521653321711</v>
      </c>
      <c r="F221" s="22" t="n">
        <f aca="false">SUMPRODUCT(F$194:F$210*parametros_recargas!$D$51:$D$67)</f>
        <v>234.521653321711</v>
      </c>
      <c r="G221" s="22" t="n">
        <f aca="false">SUMPRODUCT(G$194:G$210*parametros_recargas!$D$51:$D$67)</f>
        <v>234.521653321711</v>
      </c>
      <c r="H221" s="22" t="n">
        <f aca="false">SUMPRODUCT(H$194:H$210*parametros_recargas!$D$51:$D$67)</f>
        <v>234.521653321711</v>
      </c>
      <c r="I221" s="22" t="n">
        <f aca="false">SUMPRODUCT(I$194:I$210*parametros_recargas!$D$51:$D$67)</f>
        <v>234.521653321711</v>
      </c>
      <c r="J221" s="22" t="n">
        <f aca="false">SUMPRODUCT(J$194:J$210*parametros_recargas!$D$51:$D$67)</f>
        <v>234.521653321711</v>
      </c>
      <c r="K221" s="22" t="n">
        <f aca="false">SUMPRODUCT(K$194:K$210*parametros_recargas!$D$51:$D$67)</f>
        <v>234.521653321711</v>
      </c>
      <c r="L221" s="22" t="n">
        <f aca="false">SUMPRODUCT(L$194:L$210*parametros_recargas!$D$51:$D$67)</f>
        <v>234.521653321711</v>
      </c>
      <c r="M221" s="22" t="n">
        <f aca="false">SUMPRODUCT(M$194:M$210*parametros_recargas!$D$51:$D$67)</f>
        <v>234.521653321711</v>
      </c>
      <c r="N221" s="22" t="n">
        <f aca="false">SUMPRODUCT(N$194:N$210*parametros_recargas!$D$51:$D$67)</f>
        <v>234.521653321711</v>
      </c>
      <c r="O221" s="22" t="n">
        <f aca="false">SUMPRODUCT(O$194:O$210*parametros_recargas!$D$51:$D$67)</f>
        <v>234.521653321711</v>
      </c>
      <c r="P221" s="22" t="n">
        <f aca="false">SUMPRODUCT(P$194:P$210*parametros_recargas!$D$51:$D$67)</f>
        <v>2814.25983986054</v>
      </c>
    </row>
    <row r="225" customFormat="false" ht="23.85" hidden="false" customHeight="false" outlineLevel="0" collapsed="false">
      <c r="A225" s="23" t="n">
        <v>2033</v>
      </c>
      <c r="B225" s="2" t="s">
        <v>303</v>
      </c>
      <c r="C225" s="2" t="s">
        <v>304</v>
      </c>
      <c r="D225" s="2" t="s">
        <v>130</v>
      </c>
      <c r="E225" s="2" t="s">
        <v>131</v>
      </c>
      <c r="F225" s="2" t="s">
        <v>132</v>
      </c>
      <c r="G225" s="2" t="s">
        <v>133</v>
      </c>
      <c r="H225" s="2" t="s">
        <v>134</v>
      </c>
      <c r="I225" s="2" t="s">
        <v>135</v>
      </c>
      <c r="J225" s="2" t="s">
        <v>136</v>
      </c>
      <c r="K225" s="2" t="s">
        <v>137</v>
      </c>
      <c r="L225" s="2" t="s">
        <v>138</v>
      </c>
      <c r="M225" s="2" t="s">
        <v>139</v>
      </c>
      <c r="N225" s="2" t="s">
        <v>140</v>
      </c>
      <c r="O225" s="2" t="s">
        <v>141</v>
      </c>
      <c r="P225" s="2" t="s">
        <v>66</v>
      </c>
      <c r="Q225" s="2" t="s">
        <v>305</v>
      </c>
    </row>
    <row r="226" customFormat="false" ht="15" hidden="false" customHeight="false" outlineLevel="0" collapsed="false">
      <c r="A226" s="8" t="str">
        <f aca="false">parametros_recargas!A51</f>
        <v>ABC 1 kg</v>
      </c>
      <c r="B226" s="8" t="str">
        <f aca="false">parametros_recargas!B51</f>
        <v>ABC</v>
      </c>
      <c r="C226" s="11" t="n">
        <f aca="false">parametros_recargas!C51</f>
        <v>1</v>
      </c>
      <c r="D226" s="21" t="n">
        <f aca="false">datos_base!$I$2*parametros_recargas!$B$44+sobrestock_sustitutos!$I$88/12</f>
        <v>4117.08282963579</v>
      </c>
      <c r="E226" s="21" t="n">
        <f aca="false">datos_base!$I$2*parametros_recargas!$C$44+sobrestock_sustitutos!$I$88/12</f>
        <v>4117.08282963579</v>
      </c>
      <c r="F226" s="21" t="n">
        <f aca="false">datos_base!$I$2*parametros_recargas!$D$44+sobrestock_sustitutos!$I$88/12</f>
        <v>4117.08282963579</v>
      </c>
      <c r="G226" s="21" t="n">
        <f aca="false">datos_base!$I$2*parametros_recargas!$E$44+sobrestock_sustitutos!$I$88/12</f>
        <v>4117.08282963579</v>
      </c>
      <c r="H226" s="21" t="n">
        <f aca="false">datos_base!$I$2*parametros_recargas!$F$44+sobrestock_sustitutos!$I$88/12</f>
        <v>4117.08282963579</v>
      </c>
      <c r="I226" s="21" t="n">
        <f aca="false">datos_base!$I$2*parametros_recargas!$G$44+sobrestock_sustitutos!$I$88/12</f>
        <v>4117.08282963579</v>
      </c>
      <c r="J226" s="21" t="n">
        <f aca="false">datos_base!$I$2*parametros_recargas!$H$44+sobrestock_sustitutos!$I$88/12</f>
        <v>4117.08282963579</v>
      </c>
      <c r="K226" s="21" t="n">
        <f aca="false">datos_base!$I$2*parametros_recargas!$I$44+sobrestock_sustitutos!$I$88/12</f>
        <v>4117.08282963579</v>
      </c>
      <c r="L226" s="21" t="n">
        <f aca="false">datos_base!$I$2*parametros_recargas!$J$44+sobrestock_sustitutos!$I$88/12</f>
        <v>4117.08282963579</v>
      </c>
      <c r="M226" s="21" t="n">
        <f aca="false">datos_base!$I$2*parametros_recargas!$K$44+sobrestock_sustitutos!$I$88/12</f>
        <v>4117.08282963579</v>
      </c>
      <c r="N226" s="21" t="n">
        <f aca="false">datos_base!$I$2*parametros_recargas!$L$44+sobrestock_sustitutos!$I$88/12</f>
        <v>4117.08282963579</v>
      </c>
      <c r="O226" s="21" t="n">
        <f aca="false">datos_base!$I$2*parametros_recargas!$M$44+sobrestock_sustitutos!$I$88/12</f>
        <v>4117.08282963579</v>
      </c>
      <c r="P226" s="6" t="n">
        <f aca="false">SUM(D226:O226)</f>
        <v>49404.9939556295</v>
      </c>
      <c r="Q226" s="4" t="n">
        <f aca="false">sobrestock_sustitutos!$I$88</f>
        <v>0</v>
      </c>
    </row>
    <row r="227" customFormat="false" ht="15" hidden="false" customHeight="false" outlineLevel="0" collapsed="false">
      <c r="A227" s="8" t="str">
        <f aca="false">parametros_recargas!A52</f>
        <v>ABC 2,5 kg</v>
      </c>
      <c r="B227" s="8" t="str">
        <f aca="false">parametros_recargas!B52</f>
        <v>ABC</v>
      </c>
      <c r="C227" s="11" t="n">
        <f aca="false">parametros_recargas!C52</f>
        <v>1</v>
      </c>
      <c r="D227" s="21" t="n">
        <f aca="false">datos_base!$I$3*parametros_recargas!$B$44+sobrestock_sustitutos!$I$89/12</f>
        <v>346.511413948516</v>
      </c>
      <c r="E227" s="21" t="n">
        <f aca="false">datos_base!$I$3*parametros_recargas!$C$44+sobrestock_sustitutos!$I$89/12</f>
        <v>346.511413948516</v>
      </c>
      <c r="F227" s="21" t="n">
        <f aca="false">datos_base!$I$3*parametros_recargas!$D$44+sobrestock_sustitutos!$I$89/12</f>
        <v>346.511413948516</v>
      </c>
      <c r="G227" s="21" t="n">
        <f aca="false">datos_base!$I$3*parametros_recargas!$E$44+sobrestock_sustitutos!$I$89/12</f>
        <v>346.511413948516</v>
      </c>
      <c r="H227" s="21" t="n">
        <f aca="false">datos_base!$I$3*parametros_recargas!$F$44+sobrestock_sustitutos!$I$89/12</f>
        <v>346.511413948516</v>
      </c>
      <c r="I227" s="21" t="n">
        <f aca="false">datos_base!$I$3*parametros_recargas!$G$44+sobrestock_sustitutos!$I$89/12</f>
        <v>346.511413948516</v>
      </c>
      <c r="J227" s="21" t="n">
        <f aca="false">datos_base!$I$3*parametros_recargas!$H$44+sobrestock_sustitutos!$I$89/12</f>
        <v>346.511413948516</v>
      </c>
      <c r="K227" s="21" t="n">
        <f aca="false">datos_base!$I$3*parametros_recargas!$I$44+sobrestock_sustitutos!$I$89/12</f>
        <v>346.511413948516</v>
      </c>
      <c r="L227" s="21" t="n">
        <f aca="false">datos_base!$I$3*parametros_recargas!$J$44+sobrestock_sustitutos!$I$89/12</f>
        <v>346.511413948516</v>
      </c>
      <c r="M227" s="21" t="n">
        <f aca="false">datos_base!$I$3*parametros_recargas!$K$44+sobrestock_sustitutos!$I$89/12</f>
        <v>346.511413948516</v>
      </c>
      <c r="N227" s="21" t="n">
        <f aca="false">datos_base!$I$3*parametros_recargas!$L$44+sobrestock_sustitutos!$I$89/12</f>
        <v>346.511413948516</v>
      </c>
      <c r="O227" s="21" t="n">
        <f aca="false">datos_base!$I$3*parametros_recargas!$M$44+sobrestock_sustitutos!$I$89/12</f>
        <v>346.511413948516</v>
      </c>
      <c r="P227" s="6" t="n">
        <f aca="false">SUM(D227:O227)</f>
        <v>4158.13696738219</v>
      </c>
      <c r="Q227" s="4" t="n">
        <f aca="false">sobrestock_sustitutos!$I$89</f>
        <v>47</v>
      </c>
    </row>
    <row r="228" customFormat="false" ht="15" hidden="false" customHeight="false" outlineLevel="0" collapsed="false">
      <c r="A228" s="8" t="str">
        <f aca="false">parametros_recargas!A53</f>
        <v>ABC 5 kg</v>
      </c>
      <c r="B228" s="8" t="str">
        <f aca="false">parametros_recargas!B53</f>
        <v>ABC</v>
      </c>
      <c r="C228" s="11" t="n">
        <f aca="false">parametros_recargas!C53</f>
        <v>1</v>
      </c>
      <c r="D228" s="21" t="n">
        <f aca="false">datos_base!$I$4*parametros_recargas!$B$44+sobrestock_sustitutos!$I$90/12</f>
        <v>2119.07910431144</v>
      </c>
      <c r="E228" s="21" t="n">
        <f aca="false">datos_base!$I$4*parametros_recargas!$C$44+sobrestock_sustitutos!$I$90/12</f>
        <v>2119.07910431144</v>
      </c>
      <c r="F228" s="21" t="n">
        <f aca="false">datos_base!$I$4*parametros_recargas!$D$44+sobrestock_sustitutos!$I$90/12</f>
        <v>2119.07910431144</v>
      </c>
      <c r="G228" s="21" t="n">
        <f aca="false">datos_base!$I$4*parametros_recargas!$E$44+sobrestock_sustitutos!$I$90/12</f>
        <v>2119.07910431144</v>
      </c>
      <c r="H228" s="21" t="n">
        <f aca="false">datos_base!$I$4*parametros_recargas!$F$44+sobrestock_sustitutos!$I$90/12</f>
        <v>2119.07910431144</v>
      </c>
      <c r="I228" s="21" t="n">
        <f aca="false">datos_base!$I$4*parametros_recargas!$G$44+sobrestock_sustitutos!$I$90/12</f>
        <v>2119.07910431144</v>
      </c>
      <c r="J228" s="21" t="n">
        <f aca="false">datos_base!$I$4*parametros_recargas!$H$44+sobrestock_sustitutos!$I$90/12</f>
        <v>2119.07910431144</v>
      </c>
      <c r="K228" s="21" t="n">
        <f aca="false">datos_base!$I$4*parametros_recargas!$I$44+sobrestock_sustitutos!$I$90/12</f>
        <v>2119.07910431144</v>
      </c>
      <c r="L228" s="21" t="n">
        <f aca="false">datos_base!$I$4*parametros_recargas!$J$44+sobrestock_sustitutos!$I$90/12</f>
        <v>2119.07910431144</v>
      </c>
      <c r="M228" s="21" t="n">
        <f aca="false">datos_base!$I$4*parametros_recargas!$K$44+sobrestock_sustitutos!$I$90/12</f>
        <v>2119.07910431144</v>
      </c>
      <c r="N228" s="21" t="n">
        <f aca="false">datos_base!$I$4*parametros_recargas!$L$44+sobrestock_sustitutos!$I$90/12</f>
        <v>2119.07910431144</v>
      </c>
      <c r="O228" s="21" t="n">
        <f aca="false">datos_base!$I$4*parametros_recargas!$M$44+sobrestock_sustitutos!$I$90/12</f>
        <v>2119.07910431144</v>
      </c>
      <c r="P228" s="6" t="n">
        <f aca="false">SUM(D228:O228)</f>
        <v>25428.9492517373</v>
      </c>
      <c r="Q228" s="4" t="n">
        <f aca="false">sobrestock_sustitutos!$I$90</f>
        <v>284</v>
      </c>
    </row>
    <row r="229" customFormat="false" ht="15" hidden="false" customHeight="false" outlineLevel="0" collapsed="false">
      <c r="A229" s="8" t="str">
        <f aca="false">parametros_recargas!A54</f>
        <v>ABC 10 kg</v>
      </c>
      <c r="B229" s="8" t="str">
        <f aca="false">parametros_recargas!B54</f>
        <v>ABC</v>
      </c>
      <c r="C229" s="11" t="n">
        <f aca="false">parametros_recargas!C54</f>
        <v>1</v>
      </c>
      <c r="D229" s="21" t="n">
        <f aca="false">datos_base!$I$5*parametros_recargas!$B$44+sobrestock_sustitutos!$I$91/12</f>
        <v>125.466803024662</v>
      </c>
      <c r="E229" s="21" t="n">
        <f aca="false">datos_base!$I$5*parametros_recargas!$C$44+sobrestock_sustitutos!$I$91/12</f>
        <v>125.466803024662</v>
      </c>
      <c r="F229" s="21" t="n">
        <f aca="false">datos_base!$I$5*parametros_recargas!$D$44+sobrestock_sustitutos!$I$91/12</f>
        <v>125.466803024662</v>
      </c>
      <c r="G229" s="21" t="n">
        <f aca="false">datos_base!$I$5*parametros_recargas!$E$44+sobrestock_sustitutos!$I$91/12</f>
        <v>125.466803024662</v>
      </c>
      <c r="H229" s="21" t="n">
        <f aca="false">datos_base!$I$5*parametros_recargas!$F$44+sobrestock_sustitutos!$I$91/12</f>
        <v>125.466803024662</v>
      </c>
      <c r="I229" s="21" t="n">
        <f aca="false">datos_base!$I$5*parametros_recargas!$G$44+sobrestock_sustitutos!$I$91/12</f>
        <v>125.466803024662</v>
      </c>
      <c r="J229" s="21" t="n">
        <f aca="false">datos_base!$I$5*parametros_recargas!$H$44+sobrestock_sustitutos!$I$91/12</f>
        <v>125.466803024662</v>
      </c>
      <c r="K229" s="21" t="n">
        <f aca="false">datos_base!$I$5*parametros_recargas!$I$44+sobrestock_sustitutos!$I$91/12</f>
        <v>125.466803024662</v>
      </c>
      <c r="L229" s="21" t="n">
        <f aca="false">datos_base!$I$5*parametros_recargas!$J$44+sobrestock_sustitutos!$I$91/12</f>
        <v>125.466803024662</v>
      </c>
      <c r="M229" s="21" t="n">
        <f aca="false">datos_base!$I$5*parametros_recargas!$K$44+sobrestock_sustitutos!$I$91/12</f>
        <v>125.466803024662</v>
      </c>
      <c r="N229" s="21" t="n">
        <f aca="false">datos_base!$I$5*parametros_recargas!$L$44+sobrestock_sustitutos!$I$91/12</f>
        <v>125.466803024662</v>
      </c>
      <c r="O229" s="21" t="n">
        <f aca="false">datos_base!$I$5*parametros_recargas!$M$44+sobrestock_sustitutos!$I$91/12</f>
        <v>125.466803024662</v>
      </c>
      <c r="P229" s="6" t="n">
        <f aca="false">SUM(D229:O229)</f>
        <v>1505.60163629595</v>
      </c>
      <c r="Q229" s="4" t="n">
        <f aca="false">sobrestock_sustitutos!$I$91</f>
        <v>17</v>
      </c>
    </row>
    <row r="230" customFormat="false" ht="15" hidden="false" customHeight="false" outlineLevel="0" collapsed="false">
      <c r="A230" s="8" t="str">
        <f aca="false">parametros_recargas!A55</f>
        <v>Agua 10 l</v>
      </c>
      <c r="B230" s="8" t="str">
        <f aca="false">parametros_recargas!B55</f>
        <v>Agua</v>
      </c>
      <c r="C230" s="11" t="n">
        <f aca="false">parametros_recargas!C55</f>
        <v>1</v>
      </c>
      <c r="D230" s="21" t="n">
        <f aca="false">datos_base!$I$6*parametros_recargas!$B$44+sobrestock_sustitutos!$I$92/12</f>
        <v>176.618951705547</v>
      </c>
      <c r="E230" s="21" t="n">
        <f aca="false">datos_base!$I$6*parametros_recargas!$C$44+sobrestock_sustitutos!$I$92/12</f>
        <v>176.618951705547</v>
      </c>
      <c r="F230" s="21" t="n">
        <f aca="false">datos_base!$I$6*parametros_recargas!$D$44+sobrestock_sustitutos!$I$92/12</f>
        <v>176.618951705547</v>
      </c>
      <c r="G230" s="21" t="n">
        <f aca="false">datos_base!$I$6*parametros_recargas!$E$44+sobrestock_sustitutos!$I$92/12</f>
        <v>176.618951705547</v>
      </c>
      <c r="H230" s="21" t="n">
        <f aca="false">datos_base!$I$6*parametros_recargas!$F$44+sobrestock_sustitutos!$I$92/12</f>
        <v>176.618951705547</v>
      </c>
      <c r="I230" s="21" t="n">
        <f aca="false">datos_base!$I$6*parametros_recargas!$G$44+sobrestock_sustitutos!$I$92/12</f>
        <v>176.618951705547</v>
      </c>
      <c r="J230" s="21" t="n">
        <f aca="false">datos_base!$I$6*parametros_recargas!$H$44+sobrestock_sustitutos!$I$92/12</f>
        <v>176.618951705547</v>
      </c>
      <c r="K230" s="21" t="n">
        <f aca="false">datos_base!$I$6*parametros_recargas!$I$44+sobrestock_sustitutos!$I$92/12</f>
        <v>176.618951705547</v>
      </c>
      <c r="L230" s="21" t="n">
        <f aca="false">datos_base!$I$6*parametros_recargas!$J$44+sobrestock_sustitutos!$I$92/12</f>
        <v>176.618951705547</v>
      </c>
      <c r="M230" s="21" t="n">
        <f aca="false">datos_base!$I$6*parametros_recargas!$K$44+sobrestock_sustitutos!$I$92/12</f>
        <v>176.618951705547</v>
      </c>
      <c r="N230" s="21" t="n">
        <f aca="false">datos_base!$I$6*parametros_recargas!$L$44+sobrestock_sustitutos!$I$92/12</f>
        <v>176.618951705547</v>
      </c>
      <c r="O230" s="21" t="n">
        <f aca="false">datos_base!$I$6*parametros_recargas!$M$44+sobrestock_sustitutos!$I$92/12</f>
        <v>176.618951705547</v>
      </c>
      <c r="P230" s="6" t="n">
        <f aca="false">SUM(D230:O230)</f>
        <v>2119.42742046657</v>
      </c>
      <c r="Q230" s="4" t="n">
        <f aca="false">sobrestock_sustitutos!$I$92</f>
        <v>24</v>
      </c>
    </row>
    <row r="231" customFormat="false" ht="15" hidden="false" customHeight="false" outlineLevel="0" collapsed="false">
      <c r="A231" s="8" t="str">
        <f aca="false">parametros_recargas!A56</f>
        <v>AFFF 10 l</v>
      </c>
      <c r="B231" s="8" t="str">
        <f aca="false">parametros_recargas!B56</f>
        <v>AFFF</v>
      </c>
      <c r="C231" s="11" t="n">
        <f aca="false">parametros_recargas!C56</f>
        <v>1</v>
      </c>
      <c r="D231" s="21" t="n">
        <f aca="false">datos_base!$I$7*parametros_recargas!$B$44+sobrestock_sustitutos!$I$93/12</f>
        <v>32.8821178001395</v>
      </c>
      <c r="E231" s="21" t="n">
        <f aca="false">datos_base!$I$7*parametros_recargas!$C$44+sobrestock_sustitutos!$I$93/12</f>
        <v>32.8821178001395</v>
      </c>
      <c r="F231" s="21" t="n">
        <f aca="false">datos_base!$I$7*parametros_recargas!$D$44+sobrestock_sustitutos!$I$93/12</f>
        <v>32.8821178001395</v>
      </c>
      <c r="G231" s="21" t="n">
        <f aca="false">datos_base!$I$7*parametros_recargas!$E$44+sobrestock_sustitutos!$I$93/12</f>
        <v>32.8821178001395</v>
      </c>
      <c r="H231" s="21" t="n">
        <f aca="false">datos_base!$I$7*parametros_recargas!$F$44+sobrestock_sustitutos!$I$93/12</f>
        <v>32.8821178001395</v>
      </c>
      <c r="I231" s="21" t="n">
        <f aca="false">datos_base!$I$7*parametros_recargas!$G$44+sobrestock_sustitutos!$I$93/12</f>
        <v>32.8821178001395</v>
      </c>
      <c r="J231" s="21" t="n">
        <f aca="false">datos_base!$I$7*parametros_recargas!$H$44+sobrestock_sustitutos!$I$93/12</f>
        <v>32.8821178001395</v>
      </c>
      <c r="K231" s="21" t="n">
        <f aca="false">datos_base!$I$7*parametros_recargas!$I$44+sobrestock_sustitutos!$I$93/12</f>
        <v>32.8821178001395</v>
      </c>
      <c r="L231" s="21" t="n">
        <f aca="false">datos_base!$I$7*parametros_recargas!$J$44+sobrestock_sustitutos!$I$93/12</f>
        <v>32.8821178001395</v>
      </c>
      <c r="M231" s="21" t="n">
        <f aca="false">datos_base!$I$7*parametros_recargas!$K$44+sobrestock_sustitutos!$I$93/12</f>
        <v>32.8821178001395</v>
      </c>
      <c r="N231" s="21" t="n">
        <f aca="false">datos_base!$I$7*parametros_recargas!$L$44+sobrestock_sustitutos!$I$93/12</f>
        <v>32.8821178001395</v>
      </c>
      <c r="O231" s="21" t="n">
        <f aca="false">datos_base!$I$7*parametros_recargas!$M$44+sobrestock_sustitutos!$I$93/12</f>
        <v>32.8821178001395</v>
      </c>
      <c r="P231" s="6" t="n">
        <f aca="false">SUM(D231:O231)</f>
        <v>394.585413601674</v>
      </c>
      <c r="Q231" s="4" t="n">
        <f aca="false">sobrestock_sustitutos!$I$93</f>
        <v>5</v>
      </c>
    </row>
    <row r="232" customFormat="false" ht="15" hidden="false" customHeight="false" outlineLevel="0" collapsed="false">
      <c r="A232" s="8" t="str">
        <f aca="false">parametros_recargas!A57</f>
        <v>AFFF 50 l s/ruedas</v>
      </c>
      <c r="B232" s="8" t="str">
        <f aca="false">parametros_recargas!B57</f>
        <v>AFFF</v>
      </c>
      <c r="C232" s="11" t="n">
        <f aca="false">parametros_recargas!C57</f>
        <v>3</v>
      </c>
      <c r="D232" s="21" t="n">
        <f aca="false">datos_base!$I$8*parametros_recargas!$B$44+sobrestock_sustitutos!$I$94/12</f>
        <v>17.3322890355129</v>
      </c>
      <c r="E232" s="21" t="n">
        <f aca="false">datos_base!$I$8*parametros_recargas!$C$44+sobrestock_sustitutos!$I$94/12</f>
        <v>17.3322890355129</v>
      </c>
      <c r="F232" s="21" t="n">
        <f aca="false">datos_base!$I$8*parametros_recargas!$D$44+sobrestock_sustitutos!$I$94/12</f>
        <v>17.3322890355129</v>
      </c>
      <c r="G232" s="21" t="n">
        <f aca="false">datos_base!$I$8*parametros_recargas!$E$44+sobrestock_sustitutos!$I$94/12</f>
        <v>17.3322890355129</v>
      </c>
      <c r="H232" s="21" t="n">
        <f aca="false">datos_base!$I$8*parametros_recargas!$F$44+sobrestock_sustitutos!$I$94/12</f>
        <v>17.3322890355129</v>
      </c>
      <c r="I232" s="21" t="n">
        <f aca="false">datos_base!$I$8*parametros_recargas!$G$44+sobrestock_sustitutos!$I$94/12</f>
        <v>17.3322890355129</v>
      </c>
      <c r="J232" s="21" t="n">
        <f aca="false">datos_base!$I$8*parametros_recargas!$H$44+sobrestock_sustitutos!$I$94/12</f>
        <v>17.3322890355129</v>
      </c>
      <c r="K232" s="21" t="n">
        <f aca="false">datos_base!$I$8*parametros_recargas!$I$44+sobrestock_sustitutos!$I$94/12</f>
        <v>17.3322890355129</v>
      </c>
      <c r="L232" s="21" t="n">
        <f aca="false">datos_base!$I$8*parametros_recargas!$J$44+sobrestock_sustitutos!$I$94/12</f>
        <v>17.3322890355129</v>
      </c>
      <c r="M232" s="21" t="n">
        <f aca="false">datos_base!$I$8*parametros_recargas!$K$44+sobrestock_sustitutos!$I$94/12</f>
        <v>17.3322890355129</v>
      </c>
      <c r="N232" s="21" t="n">
        <f aca="false">datos_base!$I$8*parametros_recargas!$L$44+sobrestock_sustitutos!$I$94/12</f>
        <v>17.3322890355129</v>
      </c>
      <c r="O232" s="21" t="n">
        <f aca="false">datos_base!$I$8*parametros_recargas!$M$44+sobrestock_sustitutos!$I$94/12</f>
        <v>17.3322890355129</v>
      </c>
      <c r="P232" s="6" t="n">
        <f aca="false">SUM(D232:O232)</f>
        <v>207.987468426155</v>
      </c>
      <c r="Q232" s="4" t="n">
        <f aca="false">sobrestock_sustitutos!$I$94</f>
        <v>3</v>
      </c>
    </row>
    <row r="233" customFormat="false" ht="15" hidden="false" customHeight="false" outlineLevel="0" collapsed="false">
      <c r="A233" s="8" t="str">
        <f aca="false">parametros_recargas!A58</f>
        <v>BC 5 kg</v>
      </c>
      <c r="B233" s="8" t="str">
        <f aca="false">parametros_recargas!B58</f>
        <v>BC</v>
      </c>
      <c r="C233" s="11" t="n">
        <f aca="false">parametros_recargas!C58</f>
        <v>1</v>
      </c>
      <c r="D233" s="21" t="n">
        <f aca="false">datos_base!$I$9*parametros_recargas!$B$44+sobrestock_sustitutos!$I$95/12</f>
        <v>9.97653078563615</v>
      </c>
      <c r="E233" s="21" t="n">
        <f aca="false">datos_base!$I$9*parametros_recargas!$C$44+sobrestock_sustitutos!$I$95/12</f>
        <v>9.97653078563615</v>
      </c>
      <c r="F233" s="21" t="n">
        <f aca="false">datos_base!$I$9*parametros_recargas!$D$44+sobrestock_sustitutos!$I$95/12</f>
        <v>9.97653078563615</v>
      </c>
      <c r="G233" s="21" t="n">
        <f aca="false">datos_base!$I$9*parametros_recargas!$E$44+sobrestock_sustitutos!$I$95/12</f>
        <v>9.97653078563615</v>
      </c>
      <c r="H233" s="21" t="n">
        <f aca="false">datos_base!$I$9*parametros_recargas!$F$44+sobrestock_sustitutos!$I$95/12</f>
        <v>9.97653078563615</v>
      </c>
      <c r="I233" s="21" t="n">
        <f aca="false">datos_base!$I$9*parametros_recargas!$G$44+sobrestock_sustitutos!$I$95/12</f>
        <v>9.97653078563615</v>
      </c>
      <c r="J233" s="21" t="n">
        <f aca="false">datos_base!$I$9*parametros_recargas!$H$44+sobrestock_sustitutos!$I$95/12</f>
        <v>9.97653078563615</v>
      </c>
      <c r="K233" s="21" t="n">
        <f aca="false">datos_base!$I$9*parametros_recargas!$I$44+sobrestock_sustitutos!$I$95/12</f>
        <v>9.97653078563615</v>
      </c>
      <c r="L233" s="21" t="n">
        <f aca="false">datos_base!$I$9*parametros_recargas!$J$44+sobrestock_sustitutos!$I$95/12</f>
        <v>9.97653078563615</v>
      </c>
      <c r="M233" s="21" t="n">
        <f aca="false">datos_base!$I$9*parametros_recargas!$K$44+sobrestock_sustitutos!$I$95/12</f>
        <v>9.97653078563615</v>
      </c>
      <c r="N233" s="21" t="n">
        <f aca="false">datos_base!$I$9*parametros_recargas!$L$44+sobrestock_sustitutos!$I$95/12</f>
        <v>9.97653078563615</v>
      </c>
      <c r="O233" s="21" t="n">
        <f aca="false">datos_base!$I$9*parametros_recargas!$M$44+sobrestock_sustitutos!$I$95/12</f>
        <v>9.97653078563615</v>
      </c>
      <c r="P233" s="6" t="n">
        <f aca="false">SUM(D233:O233)</f>
        <v>119.718369427634</v>
      </c>
      <c r="Q233" s="4" t="n">
        <f aca="false">sobrestock_sustitutos!$I$95</f>
        <v>2</v>
      </c>
    </row>
    <row r="234" customFormat="false" ht="15" hidden="false" customHeight="false" outlineLevel="0" collapsed="false">
      <c r="A234" s="8" t="str">
        <f aca="false">parametros_recargas!A59</f>
        <v>Sales K 6 l</v>
      </c>
      <c r="B234" s="8" t="str">
        <f aca="false">parametros_recargas!B59</f>
        <v>Sales K</v>
      </c>
      <c r="C234" s="11" t="n">
        <f aca="false">parametros_recargas!C59</f>
        <v>1</v>
      </c>
      <c r="D234" s="21" t="n">
        <f aca="false">datos_base!$I$10*parametros_recargas!$B$44+sobrestock_sustitutos!$I$96/12</f>
        <v>86.9554755365304</v>
      </c>
      <c r="E234" s="21" t="n">
        <f aca="false">datos_base!$I$10*parametros_recargas!$C$44+sobrestock_sustitutos!$I$96/12</f>
        <v>86.9554755365304</v>
      </c>
      <c r="F234" s="21" t="n">
        <f aca="false">datos_base!$I$10*parametros_recargas!$D$44+sobrestock_sustitutos!$I$96/12</f>
        <v>86.9554755365304</v>
      </c>
      <c r="G234" s="21" t="n">
        <f aca="false">datos_base!$I$10*parametros_recargas!$E$44+sobrestock_sustitutos!$I$96/12</f>
        <v>86.9554755365304</v>
      </c>
      <c r="H234" s="21" t="n">
        <f aca="false">datos_base!$I$10*parametros_recargas!$F$44+sobrestock_sustitutos!$I$96/12</f>
        <v>86.9554755365304</v>
      </c>
      <c r="I234" s="21" t="n">
        <f aca="false">datos_base!$I$10*parametros_recargas!$G$44+sobrestock_sustitutos!$I$96/12</f>
        <v>86.9554755365304</v>
      </c>
      <c r="J234" s="21" t="n">
        <f aca="false">datos_base!$I$10*parametros_recargas!$H$44+sobrestock_sustitutos!$I$96/12</f>
        <v>86.9554755365304</v>
      </c>
      <c r="K234" s="21" t="n">
        <f aca="false">datos_base!$I$10*parametros_recargas!$I$44+sobrestock_sustitutos!$I$96/12</f>
        <v>86.9554755365304</v>
      </c>
      <c r="L234" s="21" t="n">
        <f aca="false">datos_base!$I$10*parametros_recargas!$J$44+sobrestock_sustitutos!$I$96/12</f>
        <v>86.9554755365304</v>
      </c>
      <c r="M234" s="21" t="n">
        <f aca="false">datos_base!$I$10*parametros_recargas!$K$44+sobrestock_sustitutos!$I$96/12</f>
        <v>86.9554755365304</v>
      </c>
      <c r="N234" s="21" t="n">
        <f aca="false">datos_base!$I$10*parametros_recargas!$L$44+sobrestock_sustitutos!$I$96/12</f>
        <v>86.9554755365304</v>
      </c>
      <c r="O234" s="21" t="n">
        <f aca="false">datos_base!$I$10*parametros_recargas!$M$44+sobrestock_sustitutos!$I$96/12</f>
        <v>86.9554755365304</v>
      </c>
      <c r="P234" s="6" t="n">
        <f aca="false">SUM(D234:O234)</f>
        <v>1043.46570643837</v>
      </c>
      <c r="Q234" s="4" t="n">
        <f aca="false">sobrestock_sustitutos!$I$96</f>
        <v>12</v>
      </c>
    </row>
    <row r="235" customFormat="false" ht="15" hidden="false" customHeight="false" outlineLevel="0" collapsed="false">
      <c r="A235" s="8" t="str">
        <f aca="false">parametros_recargas!A60</f>
        <v>CO₂ 2 kg</v>
      </c>
      <c r="B235" s="8" t="str">
        <f aca="false">parametros_recargas!B60</f>
        <v>CO₂</v>
      </c>
      <c r="C235" s="11" t="n">
        <f aca="false">parametros_recargas!C60</f>
        <v>1</v>
      </c>
      <c r="D235" s="21" t="n">
        <f aca="false">datos_base!$I$11*parametros_recargas!$B$44+sobrestock_sustitutos!$I$97/12</f>
        <v>476.532895788827</v>
      </c>
      <c r="E235" s="21" t="n">
        <f aca="false">datos_base!$I$11*parametros_recargas!$C$44+sobrestock_sustitutos!$I$97/12</f>
        <v>476.532895788827</v>
      </c>
      <c r="F235" s="21" t="n">
        <f aca="false">datos_base!$I$11*parametros_recargas!$D$44+sobrestock_sustitutos!$I$97/12</f>
        <v>476.532895788827</v>
      </c>
      <c r="G235" s="21" t="n">
        <f aca="false">datos_base!$I$11*parametros_recargas!$E$44+sobrestock_sustitutos!$I$97/12</f>
        <v>476.532895788827</v>
      </c>
      <c r="H235" s="21" t="n">
        <f aca="false">datos_base!$I$11*parametros_recargas!$F$44+sobrestock_sustitutos!$I$97/12</f>
        <v>476.532895788827</v>
      </c>
      <c r="I235" s="21" t="n">
        <f aca="false">datos_base!$I$11*parametros_recargas!$G$44+sobrestock_sustitutos!$I$97/12</f>
        <v>476.532895788827</v>
      </c>
      <c r="J235" s="21" t="n">
        <f aca="false">datos_base!$I$11*parametros_recargas!$H$44+sobrestock_sustitutos!$I$97/12</f>
        <v>476.532895788827</v>
      </c>
      <c r="K235" s="21" t="n">
        <f aca="false">datos_base!$I$11*parametros_recargas!$I$44+sobrestock_sustitutos!$I$97/12</f>
        <v>476.532895788827</v>
      </c>
      <c r="L235" s="21" t="n">
        <f aca="false">datos_base!$I$11*parametros_recargas!$J$44+sobrestock_sustitutos!$I$97/12</f>
        <v>476.532895788827</v>
      </c>
      <c r="M235" s="21" t="n">
        <f aca="false">datos_base!$I$11*parametros_recargas!$K$44+sobrestock_sustitutos!$I$97/12</f>
        <v>476.532895788827</v>
      </c>
      <c r="N235" s="21" t="n">
        <f aca="false">datos_base!$I$11*parametros_recargas!$L$44+sobrestock_sustitutos!$I$97/12</f>
        <v>476.532895788827</v>
      </c>
      <c r="O235" s="21" t="n">
        <f aca="false">datos_base!$I$11*parametros_recargas!$M$44+sobrestock_sustitutos!$I$97/12</f>
        <v>476.532895788827</v>
      </c>
      <c r="P235" s="6" t="n">
        <f aca="false">SUM(D235:O235)</f>
        <v>5718.39474946592</v>
      </c>
      <c r="Q235" s="4" t="n">
        <f aca="false">sobrestock_sustitutos!$I$97</f>
        <v>64</v>
      </c>
    </row>
    <row r="236" customFormat="false" ht="15" hidden="false" customHeight="false" outlineLevel="0" collapsed="false">
      <c r="A236" s="8" t="str">
        <f aca="false">parametros_recargas!A61</f>
        <v>CO₂ 5 kg</v>
      </c>
      <c r="B236" s="8" t="str">
        <f aca="false">parametros_recargas!B61</f>
        <v>CO₂</v>
      </c>
      <c r="C236" s="11" t="n">
        <f aca="false">parametros_recargas!C61</f>
        <v>1</v>
      </c>
      <c r="D236" s="21" t="n">
        <f aca="false">datos_base!$I$12*parametros_recargas!$B$44+sobrestock_sustitutos!$I$98/12</f>
        <v>160.566615908917</v>
      </c>
      <c r="E236" s="21" t="n">
        <f aca="false">datos_base!$I$12*parametros_recargas!$C$44+sobrestock_sustitutos!$I$98/12</f>
        <v>160.566615908917</v>
      </c>
      <c r="F236" s="21" t="n">
        <f aca="false">datos_base!$I$12*parametros_recargas!$D$44+sobrestock_sustitutos!$I$98/12</f>
        <v>160.566615908917</v>
      </c>
      <c r="G236" s="21" t="n">
        <f aca="false">datos_base!$I$12*parametros_recargas!$E$44+sobrestock_sustitutos!$I$98/12</f>
        <v>160.566615908917</v>
      </c>
      <c r="H236" s="21" t="n">
        <f aca="false">datos_base!$I$12*parametros_recargas!$F$44+sobrestock_sustitutos!$I$98/12</f>
        <v>160.566615908917</v>
      </c>
      <c r="I236" s="21" t="n">
        <f aca="false">datos_base!$I$12*parametros_recargas!$G$44+sobrestock_sustitutos!$I$98/12</f>
        <v>160.566615908917</v>
      </c>
      <c r="J236" s="21" t="n">
        <f aca="false">datos_base!$I$12*parametros_recargas!$H$44+sobrestock_sustitutos!$I$98/12</f>
        <v>160.566615908917</v>
      </c>
      <c r="K236" s="21" t="n">
        <f aca="false">datos_base!$I$12*parametros_recargas!$I$44+sobrestock_sustitutos!$I$98/12</f>
        <v>160.566615908917</v>
      </c>
      <c r="L236" s="21" t="n">
        <f aca="false">datos_base!$I$12*parametros_recargas!$J$44+sobrestock_sustitutos!$I$98/12</f>
        <v>160.566615908917</v>
      </c>
      <c r="M236" s="21" t="n">
        <f aca="false">datos_base!$I$12*parametros_recargas!$K$44+sobrestock_sustitutos!$I$98/12</f>
        <v>160.566615908917</v>
      </c>
      <c r="N236" s="21" t="n">
        <f aca="false">datos_base!$I$12*parametros_recargas!$L$44+sobrestock_sustitutos!$I$98/12</f>
        <v>160.566615908917</v>
      </c>
      <c r="O236" s="21" t="n">
        <f aca="false">datos_base!$I$12*parametros_recargas!$M$44+sobrestock_sustitutos!$I$98/12</f>
        <v>160.566615908917</v>
      </c>
      <c r="P236" s="6" t="n">
        <f aca="false">SUM(D236:O236)</f>
        <v>1926.79939090701</v>
      </c>
      <c r="Q236" s="4" t="n">
        <f aca="false">sobrestock_sustitutos!$I$98</f>
        <v>22</v>
      </c>
    </row>
    <row r="237" customFormat="false" ht="15" hidden="false" customHeight="false" outlineLevel="0" collapsed="false">
      <c r="A237" s="8" t="str">
        <f aca="false">parametros_recargas!A62</f>
        <v>HCFC/HFC 5 kg</v>
      </c>
      <c r="B237" s="8" t="str">
        <f aca="false">parametros_recargas!B62</f>
        <v>Halogenado</v>
      </c>
      <c r="C237" s="11" t="n">
        <f aca="false">parametros_recargas!C62</f>
        <v>1</v>
      </c>
      <c r="D237" s="21" t="n">
        <f aca="false">datos_base!$I$13*parametros_recargas!$B$44+sobrestock_sustitutos!$I$99/12</f>
        <v>26.0880978870818</v>
      </c>
      <c r="E237" s="21" t="n">
        <f aca="false">datos_base!$I$13*parametros_recargas!$C$44+sobrestock_sustitutos!$I$99/12</f>
        <v>26.0880978870818</v>
      </c>
      <c r="F237" s="21" t="n">
        <f aca="false">datos_base!$I$13*parametros_recargas!$D$44+sobrestock_sustitutos!$I$99/12</f>
        <v>26.0880978870818</v>
      </c>
      <c r="G237" s="21" t="n">
        <f aca="false">datos_base!$I$13*parametros_recargas!$E$44+sobrestock_sustitutos!$I$99/12</f>
        <v>26.0880978870818</v>
      </c>
      <c r="H237" s="21" t="n">
        <f aca="false">datos_base!$I$13*parametros_recargas!$F$44+sobrestock_sustitutos!$I$99/12</f>
        <v>26.0880978870818</v>
      </c>
      <c r="I237" s="21" t="n">
        <f aca="false">datos_base!$I$13*parametros_recargas!$G$44+sobrestock_sustitutos!$I$99/12</f>
        <v>26.0880978870818</v>
      </c>
      <c r="J237" s="21" t="n">
        <f aca="false">datos_base!$I$13*parametros_recargas!$H$44+sobrestock_sustitutos!$I$99/12</f>
        <v>26.0880978870818</v>
      </c>
      <c r="K237" s="21" t="n">
        <f aca="false">datos_base!$I$13*parametros_recargas!$I$44+sobrestock_sustitutos!$I$99/12</f>
        <v>26.0880978870818</v>
      </c>
      <c r="L237" s="21" t="n">
        <f aca="false">datos_base!$I$13*parametros_recargas!$J$44+sobrestock_sustitutos!$I$99/12</f>
        <v>26.0880978870818</v>
      </c>
      <c r="M237" s="21" t="n">
        <f aca="false">datos_base!$I$13*parametros_recargas!$K$44+sobrestock_sustitutos!$I$99/12</f>
        <v>26.0880978870818</v>
      </c>
      <c r="N237" s="21" t="n">
        <f aca="false">datos_base!$I$13*parametros_recargas!$L$44+sobrestock_sustitutos!$I$99/12</f>
        <v>26.0880978870818</v>
      </c>
      <c r="O237" s="21" t="n">
        <f aca="false">datos_base!$I$13*parametros_recargas!$M$44+sobrestock_sustitutos!$I$99/12</f>
        <v>26.0880978870818</v>
      </c>
      <c r="P237" s="6" t="n">
        <f aca="false">SUM(D237:O237)</f>
        <v>313.057174644982</v>
      </c>
      <c r="Q237" s="4" t="n">
        <f aca="false">sobrestock_sustitutos!$I$99</f>
        <v>4</v>
      </c>
    </row>
    <row r="238" customFormat="false" ht="15" hidden="false" customHeight="false" outlineLevel="0" collapsed="false">
      <c r="A238" s="8" t="str">
        <f aca="false">parametros_recargas!A63</f>
        <v>Clase D 9 l</v>
      </c>
      <c r="B238" s="8" t="str">
        <f aca="false">parametros_recargas!B63</f>
        <v>Clase D</v>
      </c>
      <c r="C238" s="11" t="n">
        <f aca="false">parametros_recargas!C63</f>
        <v>1</v>
      </c>
      <c r="D238" s="21" t="n">
        <f aca="false">datos_base!$I$14*parametros_recargas!$B$44+sobrestock_sustitutos!$I$100/12</f>
        <v>8.97969168539883</v>
      </c>
      <c r="E238" s="21" t="n">
        <f aca="false">datos_base!$I$14*parametros_recargas!$C$44+sobrestock_sustitutos!$I$100/12</f>
        <v>8.97969168539883</v>
      </c>
      <c r="F238" s="21" t="n">
        <f aca="false">datos_base!$I$14*parametros_recargas!$D$44+sobrestock_sustitutos!$I$100/12</f>
        <v>8.97969168539883</v>
      </c>
      <c r="G238" s="21" t="n">
        <f aca="false">datos_base!$I$14*parametros_recargas!$E$44+sobrestock_sustitutos!$I$100/12</f>
        <v>8.97969168539883</v>
      </c>
      <c r="H238" s="21" t="n">
        <f aca="false">datos_base!$I$14*parametros_recargas!$F$44+sobrestock_sustitutos!$I$100/12</f>
        <v>8.97969168539883</v>
      </c>
      <c r="I238" s="21" t="n">
        <f aca="false">datos_base!$I$14*parametros_recargas!$G$44+sobrestock_sustitutos!$I$100/12</f>
        <v>8.97969168539883</v>
      </c>
      <c r="J238" s="21" t="n">
        <f aca="false">datos_base!$I$14*parametros_recargas!$H$44+sobrestock_sustitutos!$I$100/12</f>
        <v>8.97969168539883</v>
      </c>
      <c r="K238" s="21" t="n">
        <f aca="false">datos_base!$I$14*parametros_recargas!$I$44+sobrestock_sustitutos!$I$100/12</f>
        <v>8.97969168539883</v>
      </c>
      <c r="L238" s="21" t="n">
        <f aca="false">datos_base!$I$14*parametros_recargas!$J$44+sobrestock_sustitutos!$I$100/12</f>
        <v>8.97969168539883</v>
      </c>
      <c r="M238" s="21" t="n">
        <f aca="false">datos_base!$I$14*parametros_recargas!$K$44+sobrestock_sustitutos!$I$100/12</f>
        <v>8.97969168539883</v>
      </c>
      <c r="N238" s="21" t="n">
        <f aca="false">datos_base!$I$14*parametros_recargas!$L$44+sobrestock_sustitutos!$I$100/12</f>
        <v>8.97969168539883</v>
      </c>
      <c r="O238" s="21" t="n">
        <f aca="false">datos_base!$I$14*parametros_recargas!$M$44+sobrestock_sustitutos!$I$100/12</f>
        <v>8.97969168539883</v>
      </c>
      <c r="P238" s="6" t="n">
        <f aca="false">SUM(D238:O238)</f>
        <v>107.756300224786</v>
      </c>
      <c r="Q238" s="4" t="n">
        <f aca="false">sobrestock_sustitutos!$I$100</f>
        <v>2</v>
      </c>
    </row>
    <row r="239" customFormat="false" ht="15" hidden="false" customHeight="false" outlineLevel="0" collapsed="false">
      <c r="A239" s="8" t="str">
        <f aca="false">parametros_recargas!A64</f>
        <v>ABC 25 kg s/ruedas</v>
      </c>
      <c r="B239" s="8" t="str">
        <f aca="false">parametros_recargas!B64</f>
        <v>ABC</v>
      </c>
      <c r="C239" s="11" t="n">
        <f aca="false">parametros_recargas!C64</f>
        <v>3</v>
      </c>
      <c r="D239" s="21" t="n">
        <f aca="false">datos_base!$I$15*parametros_recargas!$B$44+sobrestock_sustitutos!$I$101/12</f>
        <v>21.6197994405777</v>
      </c>
      <c r="E239" s="21" t="n">
        <f aca="false">datos_base!$I$15*parametros_recargas!$C$44+sobrestock_sustitutos!$I$101/12</f>
        <v>21.6197994405777</v>
      </c>
      <c r="F239" s="21" t="n">
        <f aca="false">datos_base!$I$15*parametros_recargas!$D$44+sobrestock_sustitutos!$I$101/12</f>
        <v>21.6197994405777</v>
      </c>
      <c r="G239" s="21" t="n">
        <f aca="false">datos_base!$I$15*parametros_recargas!$E$44+sobrestock_sustitutos!$I$101/12</f>
        <v>21.6197994405777</v>
      </c>
      <c r="H239" s="21" t="n">
        <f aca="false">datos_base!$I$15*parametros_recargas!$F$44+sobrestock_sustitutos!$I$101/12</f>
        <v>21.6197994405777</v>
      </c>
      <c r="I239" s="21" t="n">
        <f aca="false">datos_base!$I$15*parametros_recargas!$G$44+sobrestock_sustitutos!$I$101/12</f>
        <v>21.6197994405777</v>
      </c>
      <c r="J239" s="21" t="n">
        <f aca="false">datos_base!$I$15*parametros_recargas!$H$44+sobrestock_sustitutos!$I$101/12</f>
        <v>21.6197994405777</v>
      </c>
      <c r="K239" s="21" t="n">
        <f aca="false">datos_base!$I$15*parametros_recargas!$I$44+sobrestock_sustitutos!$I$101/12</f>
        <v>21.6197994405777</v>
      </c>
      <c r="L239" s="21" t="n">
        <f aca="false">datos_base!$I$15*parametros_recargas!$J$44+sobrestock_sustitutos!$I$101/12</f>
        <v>21.6197994405777</v>
      </c>
      <c r="M239" s="21" t="n">
        <f aca="false">datos_base!$I$15*parametros_recargas!$K$44+sobrestock_sustitutos!$I$101/12</f>
        <v>21.6197994405777</v>
      </c>
      <c r="N239" s="21" t="n">
        <f aca="false">datos_base!$I$15*parametros_recargas!$L$44+sobrestock_sustitutos!$I$101/12</f>
        <v>21.6197994405777</v>
      </c>
      <c r="O239" s="21" t="n">
        <f aca="false">datos_base!$I$15*parametros_recargas!$M$44+sobrestock_sustitutos!$I$101/12</f>
        <v>21.6197994405777</v>
      </c>
      <c r="P239" s="6" t="n">
        <f aca="false">SUM(D239:O239)</f>
        <v>259.437593286933</v>
      </c>
      <c r="Q239" s="4" t="n">
        <f aca="false">sobrestock_sustitutos!$I$101</f>
        <v>3</v>
      </c>
    </row>
    <row r="240" customFormat="false" ht="15" hidden="false" customHeight="false" outlineLevel="0" collapsed="false">
      <c r="A240" s="8" t="str">
        <f aca="false">parametros_recargas!A65</f>
        <v>ABC 50 kg s/ruedas</v>
      </c>
      <c r="B240" s="8" t="str">
        <f aca="false">parametros_recargas!B65</f>
        <v>ABC</v>
      </c>
      <c r="C240" s="11" t="n">
        <f aca="false">parametros_recargas!C65</f>
        <v>3</v>
      </c>
      <c r="D240" s="21" t="n">
        <f aca="false">datos_base!$I$16*parametros_recargas!$B$44+sobrestock_sustitutos!$I$102/12</f>
        <v>47.5968920929965</v>
      </c>
      <c r="E240" s="21" t="n">
        <f aca="false">datos_base!$I$16*parametros_recargas!$C$44+sobrestock_sustitutos!$I$102/12</f>
        <v>47.5968920929965</v>
      </c>
      <c r="F240" s="21" t="n">
        <f aca="false">datos_base!$I$16*parametros_recargas!$D$44+sobrestock_sustitutos!$I$102/12</f>
        <v>47.5968920929965</v>
      </c>
      <c r="G240" s="21" t="n">
        <f aca="false">datos_base!$I$16*parametros_recargas!$E$44+sobrestock_sustitutos!$I$102/12</f>
        <v>47.5968920929965</v>
      </c>
      <c r="H240" s="21" t="n">
        <f aca="false">datos_base!$I$16*parametros_recargas!$F$44+sobrestock_sustitutos!$I$102/12</f>
        <v>47.5968920929965</v>
      </c>
      <c r="I240" s="21" t="n">
        <f aca="false">datos_base!$I$16*parametros_recargas!$G$44+sobrestock_sustitutos!$I$102/12</f>
        <v>47.5968920929965</v>
      </c>
      <c r="J240" s="21" t="n">
        <f aca="false">datos_base!$I$16*parametros_recargas!$H$44+sobrestock_sustitutos!$I$102/12</f>
        <v>47.5968920929965</v>
      </c>
      <c r="K240" s="21" t="n">
        <f aca="false">datos_base!$I$16*parametros_recargas!$I$44+sobrestock_sustitutos!$I$102/12</f>
        <v>47.5968920929965</v>
      </c>
      <c r="L240" s="21" t="n">
        <f aca="false">datos_base!$I$16*parametros_recargas!$J$44+sobrestock_sustitutos!$I$102/12</f>
        <v>47.5968920929965</v>
      </c>
      <c r="M240" s="21" t="n">
        <f aca="false">datos_base!$I$16*parametros_recargas!$K$44+sobrestock_sustitutos!$I$102/12</f>
        <v>47.5968920929965</v>
      </c>
      <c r="N240" s="21" t="n">
        <f aca="false">datos_base!$I$16*parametros_recargas!$L$44+sobrestock_sustitutos!$I$102/12</f>
        <v>47.5968920929965</v>
      </c>
      <c r="O240" s="21" t="n">
        <f aca="false">datos_base!$I$16*parametros_recargas!$M$44+sobrestock_sustitutos!$I$102/12</f>
        <v>47.5968920929965</v>
      </c>
      <c r="P240" s="6" t="n">
        <f aca="false">SUM(D240:O240)</f>
        <v>571.162705115958</v>
      </c>
      <c r="Q240" s="4" t="n">
        <f aca="false">sobrestock_sustitutos!$I$102</f>
        <v>7</v>
      </c>
    </row>
    <row r="241" customFormat="false" ht="15" hidden="false" customHeight="false" outlineLevel="0" collapsed="false">
      <c r="A241" s="8" t="str">
        <f aca="false">parametros_recargas!A66</f>
        <v>ABC 70 kg s/ruedas</v>
      </c>
      <c r="B241" s="8" t="str">
        <f aca="false">parametros_recargas!B66</f>
        <v>ABC</v>
      </c>
      <c r="C241" s="11" t="n">
        <f aca="false">parametros_recargas!C66</f>
        <v>3</v>
      </c>
      <c r="D241" s="21" t="n">
        <f aca="false">datos_base!$I$17*parametros_recargas!$B$44+sobrestock_sustitutos!$I$103/12</f>
        <v>10.4241703894969</v>
      </c>
      <c r="E241" s="21" t="n">
        <f aca="false">datos_base!$I$17*parametros_recargas!$C$44+sobrestock_sustitutos!$I$103/12</f>
        <v>10.4241703894969</v>
      </c>
      <c r="F241" s="21" t="n">
        <f aca="false">datos_base!$I$17*parametros_recargas!$D$44+sobrestock_sustitutos!$I$103/12</f>
        <v>10.4241703894969</v>
      </c>
      <c r="G241" s="21" t="n">
        <f aca="false">datos_base!$I$17*parametros_recargas!$E$44+sobrestock_sustitutos!$I$103/12</f>
        <v>10.4241703894969</v>
      </c>
      <c r="H241" s="21" t="n">
        <f aca="false">datos_base!$I$17*parametros_recargas!$F$44+sobrestock_sustitutos!$I$103/12</f>
        <v>10.4241703894969</v>
      </c>
      <c r="I241" s="21" t="n">
        <f aca="false">datos_base!$I$17*parametros_recargas!$G$44+sobrestock_sustitutos!$I$103/12</f>
        <v>10.4241703894969</v>
      </c>
      <c r="J241" s="21" t="n">
        <f aca="false">datos_base!$I$17*parametros_recargas!$H$44+sobrestock_sustitutos!$I$103/12</f>
        <v>10.4241703894969</v>
      </c>
      <c r="K241" s="21" t="n">
        <f aca="false">datos_base!$I$17*parametros_recargas!$I$44+sobrestock_sustitutos!$I$103/12</f>
        <v>10.4241703894969</v>
      </c>
      <c r="L241" s="21" t="n">
        <f aca="false">datos_base!$I$17*parametros_recargas!$J$44+sobrestock_sustitutos!$I$103/12</f>
        <v>10.4241703894969</v>
      </c>
      <c r="M241" s="21" t="n">
        <f aca="false">datos_base!$I$17*parametros_recargas!$K$44+sobrestock_sustitutos!$I$103/12</f>
        <v>10.4241703894969</v>
      </c>
      <c r="N241" s="21" t="n">
        <f aca="false">datos_base!$I$17*parametros_recargas!$L$44+sobrestock_sustitutos!$I$103/12</f>
        <v>10.4241703894969</v>
      </c>
      <c r="O241" s="21" t="n">
        <f aca="false">datos_base!$I$17*parametros_recargas!$M$44+sobrestock_sustitutos!$I$103/12</f>
        <v>10.4241703894969</v>
      </c>
      <c r="P241" s="6" t="n">
        <f aca="false">SUM(D241:O241)</f>
        <v>125.090044673963</v>
      </c>
      <c r="Q241" s="4" t="n">
        <f aca="false">sobrestock_sustitutos!$I$103</f>
        <v>2</v>
      </c>
    </row>
    <row r="242" customFormat="false" ht="15" hidden="false" customHeight="false" outlineLevel="0" collapsed="false">
      <c r="A242" s="8" t="str">
        <f aca="false">parametros_recargas!A67</f>
        <v>ABC 100 kg s/ruedas</v>
      </c>
      <c r="B242" s="8" t="str">
        <f aca="false">parametros_recargas!B67</f>
        <v>ABC</v>
      </c>
      <c r="C242" s="11" t="n">
        <f aca="false">parametros_recargas!C67</f>
        <v>3</v>
      </c>
      <c r="D242" s="21" t="n">
        <f aca="false">datos_base!$I$18*parametros_recargas!$B$44+sobrestock_sustitutos!$I$104/12</f>
        <v>6.92166914855348</v>
      </c>
      <c r="E242" s="21" t="n">
        <f aca="false">datos_base!$I$18*parametros_recargas!$C$44+sobrestock_sustitutos!$I$104/12</f>
        <v>6.92166914855348</v>
      </c>
      <c r="F242" s="21" t="n">
        <f aca="false">datos_base!$I$18*parametros_recargas!$D$44+sobrestock_sustitutos!$I$104/12</f>
        <v>6.92166914855348</v>
      </c>
      <c r="G242" s="21" t="n">
        <f aca="false">datos_base!$I$18*parametros_recargas!$E$44+sobrestock_sustitutos!$I$104/12</f>
        <v>6.92166914855348</v>
      </c>
      <c r="H242" s="21" t="n">
        <f aca="false">datos_base!$I$18*parametros_recargas!$F$44+sobrestock_sustitutos!$I$104/12</f>
        <v>6.92166914855348</v>
      </c>
      <c r="I242" s="21" t="n">
        <f aca="false">datos_base!$I$18*parametros_recargas!$G$44+sobrestock_sustitutos!$I$104/12</f>
        <v>6.92166914855348</v>
      </c>
      <c r="J242" s="21" t="n">
        <f aca="false">datos_base!$I$18*parametros_recargas!$H$44+sobrestock_sustitutos!$I$104/12</f>
        <v>6.92166914855348</v>
      </c>
      <c r="K242" s="21" t="n">
        <f aca="false">datos_base!$I$18*parametros_recargas!$I$44+sobrestock_sustitutos!$I$104/12</f>
        <v>6.92166914855348</v>
      </c>
      <c r="L242" s="21" t="n">
        <f aca="false">datos_base!$I$18*parametros_recargas!$J$44+sobrestock_sustitutos!$I$104/12</f>
        <v>6.92166914855348</v>
      </c>
      <c r="M242" s="21" t="n">
        <f aca="false">datos_base!$I$18*parametros_recargas!$K$44+sobrestock_sustitutos!$I$104/12</f>
        <v>6.92166914855348</v>
      </c>
      <c r="N242" s="21" t="n">
        <f aca="false">datos_base!$I$18*parametros_recargas!$L$44+sobrestock_sustitutos!$I$104/12</f>
        <v>6.92166914855348</v>
      </c>
      <c r="O242" s="21" t="n">
        <f aca="false">datos_base!$I$18*parametros_recargas!$M$44+sobrestock_sustitutos!$I$104/12</f>
        <v>6.92166914855348</v>
      </c>
      <c r="P242" s="6" t="n">
        <f aca="false">SUM(D242:O242)</f>
        <v>83.0600297826418</v>
      </c>
      <c r="Q242" s="4" t="n">
        <f aca="false">sobrestock_sustitutos!$I$104</f>
        <v>1</v>
      </c>
    </row>
    <row r="243" customFormat="false" ht="15" hidden="false" customHeight="false" outlineLevel="0" collapsed="false">
      <c r="A243" s="5" t="s">
        <v>306</v>
      </c>
      <c r="D243" s="6" t="n">
        <f aca="false">SUM(D226:D242)</f>
        <v>7790.63534812563</v>
      </c>
      <c r="E243" s="6" t="n">
        <f aca="false">SUM(E226:E242)</f>
        <v>7790.63534812563</v>
      </c>
      <c r="F243" s="6" t="n">
        <f aca="false">SUM(F226:F242)</f>
        <v>7790.63534812563</v>
      </c>
      <c r="G243" s="6" t="n">
        <f aca="false">SUM(G226:G242)</f>
        <v>7790.63534812563</v>
      </c>
      <c r="H243" s="6" t="n">
        <f aca="false">SUM(H226:H242)</f>
        <v>7790.63534812563</v>
      </c>
      <c r="I243" s="6" t="n">
        <f aca="false">SUM(I226:I242)</f>
        <v>7790.63534812563</v>
      </c>
      <c r="J243" s="6" t="n">
        <f aca="false">SUM(J226:J242)</f>
        <v>7790.63534812563</v>
      </c>
      <c r="K243" s="6" t="n">
        <f aca="false">SUM(K226:K242)</f>
        <v>7790.63534812563</v>
      </c>
      <c r="L243" s="6" t="n">
        <f aca="false">SUM(L226:L242)</f>
        <v>7790.63534812563</v>
      </c>
      <c r="M243" s="6" t="n">
        <f aca="false">SUM(M226:M242)</f>
        <v>7790.63534812563</v>
      </c>
      <c r="N243" s="6" t="n">
        <f aca="false">SUM(N226:N242)</f>
        <v>7790.63534812563</v>
      </c>
      <c r="O243" s="6" t="n">
        <f aca="false">SUM(O226:O242)</f>
        <v>7790.63534812563</v>
      </c>
      <c r="P243" s="6" t="n">
        <f aca="false">SUM(P226:P242)</f>
        <v>93487.6241775075</v>
      </c>
    </row>
    <row r="244" customFormat="false" ht="15" hidden="false" customHeight="false" outlineLevel="0" collapsed="false">
      <c r="A244" s="5" t="s">
        <v>307</v>
      </c>
    </row>
    <row r="245" customFormat="false" ht="15" hidden="false" customHeight="false" outlineLevel="0" collapsed="false">
      <c r="A245" s="3" t="s">
        <v>148</v>
      </c>
      <c r="D245" s="21" t="n">
        <f aca="false">SUMPRODUCT(($B$226:$B$242=$A245)*D$226:D$242*$C$226:$C$242)</f>
        <v>6967.82774413529</v>
      </c>
      <c r="E245" s="21" t="n">
        <f aca="false">SUMPRODUCT(($B$226:$B$242=$A245)*E$226:E$242*$C$226:$C$242)</f>
        <v>6967.82774413529</v>
      </c>
      <c r="F245" s="21" t="n">
        <f aca="false">SUMPRODUCT(($B$226:$B$242=$A245)*F$226:F$242*$C$226:$C$242)</f>
        <v>6967.82774413529</v>
      </c>
      <c r="G245" s="21" t="n">
        <f aca="false">SUMPRODUCT(($B$226:$B$242=$A245)*G$226:G$242*$C$226:$C$242)</f>
        <v>6967.82774413529</v>
      </c>
      <c r="H245" s="21" t="n">
        <f aca="false">SUMPRODUCT(($B$226:$B$242=$A245)*H$226:H$242*$C$226:$C$242)</f>
        <v>6967.82774413529</v>
      </c>
      <c r="I245" s="21" t="n">
        <f aca="false">SUMPRODUCT(($B$226:$B$242=$A245)*I$226:I$242*$C$226:$C$242)</f>
        <v>6967.82774413529</v>
      </c>
      <c r="J245" s="21" t="n">
        <f aca="false">SUMPRODUCT(($B$226:$B$242=$A245)*J$226:J$242*$C$226:$C$242)</f>
        <v>6967.82774413529</v>
      </c>
      <c r="K245" s="21" t="n">
        <f aca="false">SUMPRODUCT(($B$226:$B$242=$A245)*K$226:K$242*$C$226:$C$242)</f>
        <v>6967.82774413529</v>
      </c>
      <c r="L245" s="21" t="n">
        <f aca="false">SUMPRODUCT(($B$226:$B$242=$A245)*L$226:L$242*$C$226:$C$242)</f>
        <v>6967.82774413529</v>
      </c>
      <c r="M245" s="21" t="n">
        <f aca="false">SUMPRODUCT(($B$226:$B$242=$A245)*M$226:M$242*$C$226:$C$242)</f>
        <v>6967.82774413529</v>
      </c>
      <c r="N245" s="21" t="n">
        <f aca="false">SUMPRODUCT(($B$226:$B$242=$A245)*N$226:N$242*$C$226:$C$242)</f>
        <v>6967.82774413529</v>
      </c>
      <c r="O245" s="21" t="n">
        <f aca="false">SUMPRODUCT(($B$226:$B$242=$A245)*O$226:O$242*$C$226:$C$242)</f>
        <v>6967.82774413529</v>
      </c>
      <c r="P245" s="21" t="n">
        <f aca="false">SUMPRODUCT(($B$226:$B$242=$A245)*P$226:P$242*$C$226:$C$242)</f>
        <v>83613.9329296234</v>
      </c>
    </row>
    <row r="246" customFormat="false" ht="15" hidden="false" customHeight="false" outlineLevel="0" collapsed="false">
      <c r="A246" s="3" t="s">
        <v>154</v>
      </c>
      <c r="D246" s="21" t="n">
        <f aca="false">SUMPRODUCT(($B$226:$B$242=$A246)*D$226:D$242*$C$226:$C$242)</f>
        <v>9.97653078563615</v>
      </c>
      <c r="E246" s="21" t="n">
        <f aca="false">SUMPRODUCT(($B$226:$B$242=$A246)*E$226:E$242*$C$226:$C$242)</f>
        <v>9.97653078563615</v>
      </c>
      <c r="F246" s="21" t="n">
        <f aca="false">SUMPRODUCT(($B$226:$B$242=$A246)*F$226:F$242*$C$226:$C$242)</f>
        <v>9.97653078563615</v>
      </c>
      <c r="G246" s="21" t="n">
        <f aca="false">SUMPRODUCT(($B$226:$B$242=$A246)*G$226:G$242*$C$226:$C$242)</f>
        <v>9.97653078563615</v>
      </c>
      <c r="H246" s="21" t="n">
        <f aca="false">SUMPRODUCT(($B$226:$B$242=$A246)*H$226:H$242*$C$226:$C$242)</f>
        <v>9.97653078563615</v>
      </c>
      <c r="I246" s="21" t="n">
        <f aca="false">SUMPRODUCT(($B$226:$B$242=$A246)*I$226:I$242*$C$226:$C$242)</f>
        <v>9.97653078563615</v>
      </c>
      <c r="J246" s="21" t="n">
        <f aca="false">SUMPRODUCT(($B$226:$B$242=$A246)*J$226:J$242*$C$226:$C$242)</f>
        <v>9.97653078563615</v>
      </c>
      <c r="K246" s="21" t="n">
        <f aca="false">SUMPRODUCT(($B$226:$B$242=$A246)*K$226:K$242*$C$226:$C$242)</f>
        <v>9.97653078563615</v>
      </c>
      <c r="L246" s="21" t="n">
        <f aca="false">SUMPRODUCT(($B$226:$B$242=$A246)*L$226:L$242*$C$226:$C$242)</f>
        <v>9.97653078563615</v>
      </c>
      <c r="M246" s="21" t="n">
        <f aca="false">SUMPRODUCT(($B$226:$B$242=$A246)*M$226:M$242*$C$226:$C$242)</f>
        <v>9.97653078563615</v>
      </c>
      <c r="N246" s="21" t="n">
        <f aca="false">SUMPRODUCT(($B$226:$B$242=$A246)*N$226:N$242*$C$226:$C$242)</f>
        <v>9.97653078563615</v>
      </c>
      <c r="O246" s="21" t="n">
        <f aca="false">SUMPRODUCT(($B$226:$B$242=$A246)*O$226:O$242*$C$226:$C$242)</f>
        <v>9.97653078563615</v>
      </c>
      <c r="P246" s="21" t="n">
        <f aca="false">SUMPRODUCT(($B$226:$B$242=$A246)*P$226:P$242*$C$226:$C$242)</f>
        <v>119.718369427634</v>
      </c>
    </row>
    <row r="247" customFormat="false" ht="15" hidden="false" customHeight="false" outlineLevel="0" collapsed="false">
      <c r="A247" s="3" t="s">
        <v>160</v>
      </c>
      <c r="D247" s="21" t="n">
        <f aca="false">SUMPRODUCT(($B$226:$B$242=$A247)*D$226:D$242*$C$226:$C$242)</f>
        <v>8.97969168539883</v>
      </c>
      <c r="E247" s="21" t="n">
        <f aca="false">SUMPRODUCT(($B$226:$B$242=$A247)*E$226:E$242*$C$226:$C$242)</f>
        <v>8.97969168539883</v>
      </c>
      <c r="F247" s="21" t="n">
        <f aca="false">SUMPRODUCT(($B$226:$B$242=$A247)*F$226:F$242*$C$226:$C$242)</f>
        <v>8.97969168539883</v>
      </c>
      <c r="G247" s="21" t="n">
        <f aca="false">SUMPRODUCT(($B$226:$B$242=$A247)*G$226:G$242*$C$226:$C$242)</f>
        <v>8.97969168539883</v>
      </c>
      <c r="H247" s="21" t="n">
        <f aca="false">SUMPRODUCT(($B$226:$B$242=$A247)*H$226:H$242*$C$226:$C$242)</f>
        <v>8.97969168539883</v>
      </c>
      <c r="I247" s="21" t="n">
        <f aca="false">SUMPRODUCT(($B$226:$B$242=$A247)*I$226:I$242*$C$226:$C$242)</f>
        <v>8.97969168539883</v>
      </c>
      <c r="J247" s="21" t="n">
        <f aca="false">SUMPRODUCT(($B$226:$B$242=$A247)*J$226:J$242*$C$226:$C$242)</f>
        <v>8.97969168539883</v>
      </c>
      <c r="K247" s="21" t="n">
        <f aca="false">SUMPRODUCT(($B$226:$B$242=$A247)*K$226:K$242*$C$226:$C$242)</f>
        <v>8.97969168539883</v>
      </c>
      <c r="L247" s="21" t="n">
        <f aca="false">SUMPRODUCT(($B$226:$B$242=$A247)*L$226:L$242*$C$226:$C$242)</f>
        <v>8.97969168539883</v>
      </c>
      <c r="M247" s="21" t="n">
        <f aca="false">SUMPRODUCT(($B$226:$B$242=$A247)*M$226:M$242*$C$226:$C$242)</f>
        <v>8.97969168539883</v>
      </c>
      <c r="N247" s="21" t="n">
        <f aca="false">SUMPRODUCT(($B$226:$B$242=$A247)*N$226:N$242*$C$226:$C$242)</f>
        <v>8.97969168539883</v>
      </c>
      <c r="O247" s="21" t="n">
        <f aca="false">SUMPRODUCT(($B$226:$B$242=$A247)*O$226:O$242*$C$226:$C$242)</f>
        <v>8.97969168539883</v>
      </c>
      <c r="P247" s="21" t="n">
        <f aca="false">SUMPRODUCT(($B$226:$B$242=$A247)*P$226:P$242*$C$226:$C$242)</f>
        <v>107.756300224786</v>
      </c>
    </row>
    <row r="248" customFormat="false" ht="15" hidden="false" customHeight="false" outlineLevel="0" collapsed="false">
      <c r="A248" s="3" t="s">
        <v>151</v>
      </c>
      <c r="D248" s="21" t="n">
        <f aca="false">SUMPRODUCT(($B$226:$B$242=$A248)*D$226:D$242*$C$226:$C$242)</f>
        <v>176.618951705547</v>
      </c>
      <c r="E248" s="21" t="n">
        <f aca="false">SUMPRODUCT(($B$226:$B$242=$A248)*E$226:E$242*$C$226:$C$242)</f>
        <v>176.618951705547</v>
      </c>
      <c r="F248" s="21" t="n">
        <f aca="false">SUMPRODUCT(($B$226:$B$242=$A248)*F$226:F$242*$C$226:$C$242)</f>
        <v>176.618951705547</v>
      </c>
      <c r="G248" s="21" t="n">
        <f aca="false">SUMPRODUCT(($B$226:$B$242=$A248)*G$226:G$242*$C$226:$C$242)</f>
        <v>176.618951705547</v>
      </c>
      <c r="H248" s="21" t="n">
        <f aca="false">SUMPRODUCT(($B$226:$B$242=$A248)*H$226:H$242*$C$226:$C$242)</f>
        <v>176.618951705547</v>
      </c>
      <c r="I248" s="21" t="n">
        <f aca="false">SUMPRODUCT(($B$226:$B$242=$A248)*I$226:I$242*$C$226:$C$242)</f>
        <v>176.618951705547</v>
      </c>
      <c r="J248" s="21" t="n">
        <f aca="false">SUMPRODUCT(($B$226:$B$242=$A248)*J$226:J$242*$C$226:$C$242)</f>
        <v>176.618951705547</v>
      </c>
      <c r="K248" s="21" t="n">
        <f aca="false">SUMPRODUCT(($B$226:$B$242=$A248)*K$226:K$242*$C$226:$C$242)</f>
        <v>176.618951705547</v>
      </c>
      <c r="L248" s="21" t="n">
        <f aca="false">SUMPRODUCT(($B$226:$B$242=$A248)*L$226:L$242*$C$226:$C$242)</f>
        <v>176.618951705547</v>
      </c>
      <c r="M248" s="21" t="n">
        <f aca="false">SUMPRODUCT(($B$226:$B$242=$A248)*M$226:M$242*$C$226:$C$242)</f>
        <v>176.618951705547</v>
      </c>
      <c r="N248" s="21" t="n">
        <f aca="false">SUMPRODUCT(($B$226:$B$242=$A248)*N$226:N$242*$C$226:$C$242)</f>
        <v>176.618951705547</v>
      </c>
      <c r="O248" s="21" t="n">
        <f aca="false">SUMPRODUCT(($B$226:$B$242=$A248)*O$226:O$242*$C$226:$C$242)</f>
        <v>176.618951705547</v>
      </c>
      <c r="P248" s="21" t="n">
        <f aca="false">SUMPRODUCT(($B$226:$B$242=$A248)*P$226:P$242*$C$226:$C$242)</f>
        <v>2119.42742046657</v>
      </c>
    </row>
    <row r="249" customFormat="false" ht="15" hidden="false" customHeight="false" outlineLevel="0" collapsed="false">
      <c r="A249" s="3" t="s">
        <v>152</v>
      </c>
      <c r="D249" s="21" t="n">
        <f aca="false">SUMPRODUCT(($B$226:$B$242=$A249)*D$226:D$242*$C$226:$C$242)</f>
        <v>84.8789849066783</v>
      </c>
      <c r="E249" s="21" t="n">
        <f aca="false">SUMPRODUCT(($B$226:$B$242=$A249)*E$226:E$242*$C$226:$C$242)</f>
        <v>84.8789849066783</v>
      </c>
      <c r="F249" s="21" t="n">
        <f aca="false">SUMPRODUCT(($B$226:$B$242=$A249)*F$226:F$242*$C$226:$C$242)</f>
        <v>84.8789849066783</v>
      </c>
      <c r="G249" s="21" t="n">
        <f aca="false">SUMPRODUCT(($B$226:$B$242=$A249)*G$226:G$242*$C$226:$C$242)</f>
        <v>84.8789849066783</v>
      </c>
      <c r="H249" s="21" t="n">
        <f aca="false">SUMPRODUCT(($B$226:$B$242=$A249)*H$226:H$242*$C$226:$C$242)</f>
        <v>84.8789849066783</v>
      </c>
      <c r="I249" s="21" t="n">
        <f aca="false">SUMPRODUCT(($B$226:$B$242=$A249)*I$226:I$242*$C$226:$C$242)</f>
        <v>84.8789849066783</v>
      </c>
      <c r="J249" s="21" t="n">
        <f aca="false">SUMPRODUCT(($B$226:$B$242=$A249)*J$226:J$242*$C$226:$C$242)</f>
        <v>84.8789849066783</v>
      </c>
      <c r="K249" s="21" t="n">
        <f aca="false">SUMPRODUCT(($B$226:$B$242=$A249)*K$226:K$242*$C$226:$C$242)</f>
        <v>84.8789849066783</v>
      </c>
      <c r="L249" s="21" t="n">
        <f aca="false">SUMPRODUCT(($B$226:$B$242=$A249)*L$226:L$242*$C$226:$C$242)</f>
        <v>84.8789849066783</v>
      </c>
      <c r="M249" s="21" t="n">
        <f aca="false">SUMPRODUCT(($B$226:$B$242=$A249)*M$226:M$242*$C$226:$C$242)</f>
        <v>84.8789849066783</v>
      </c>
      <c r="N249" s="21" t="n">
        <f aca="false">SUMPRODUCT(($B$226:$B$242=$A249)*N$226:N$242*$C$226:$C$242)</f>
        <v>84.8789849066783</v>
      </c>
      <c r="O249" s="21" t="n">
        <f aca="false">SUMPRODUCT(($B$226:$B$242=$A249)*O$226:O$242*$C$226:$C$242)</f>
        <v>84.8789849066783</v>
      </c>
      <c r="P249" s="21" t="n">
        <f aca="false">SUMPRODUCT(($B$226:$B$242=$A249)*P$226:P$242*$C$226:$C$242)</f>
        <v>1018.54781888014</v>
      </c>
    </row>
    <row r="250" customFormat="false" ht="15" hidden="false" customHeight="false" outlineLevel="0" collapsed="false">
      <c r="A250" s="3" t="s">
        <v>155</v>
      </c>
      <c r="D250" s="21" t="n">
        <f aca="false">SUMPRODUCT(($B$226:$B$242=$A250)*D$226:D$242*$C$226:$C$242)</f>
        <v>86.9554755365304</v>
      </c>
      <c r="E250" s="21" t="n">
        <f aca="false">SUMPRODUCT(($B$226:$B$242=$A250)*E$226:E$242*$C$226:$C$242)</f>
        <v>86.9554755365304</v>
      </c>
      <c r="F250" s="21" t="n">
        <f aca="false">SUMPRODUCT(($B$226:$B$242=$A250)*F$226:F$242*$C$226:$C$242)</f>
        <v>86.9554755365304</v>
      </c>
      <c r="G250" s="21" t="n">
        <f aca="false">SUMPRODUCT(($B$226:$B$242=$A250)*G$226:G$242*$C$226:$C$242)</f>
        <v>86.9554755365304</v>
      </c>
      <c r="H250" s="21" t="n">
        <f aca="false">SUMPRODUCT(($B$226:$B$242=$A250)*H$226:H$242*$C$226:$C$242)</f>
        <v>86.9554755365304</v>
      </c>
      <c r="I250" s="21" t="n">
        <f aca="false">SUMPRODUCT(($B$226:$B$242=$A250)*I$226:I$242*$C$226:$C$242)</f>
        <v>86.9554755365304</v>
      </c>
      <c r="J250" s="21" t="n">
        <f aca="false">SUMPRODUCT(($B$226:$B$242=$A250)*J$226:J$242*$C$226:$C$242)</f>
        <v>86.9554755365304</v>
      </c>
      <c r="K250" s="21" t="n">
        <f aca="false">SUMPRODUCT(($B$226:$B$242=$A250)*K$226:K$242*$C$226:$C$242)</f>
        <v>86.9554755365304</v>
      </c>
      <c r="L250" s="21" t="n">
        <f aca="false">SUMPRODUCT(($B$226:$B$242=$A250)*L$226:L$242*$C$226:$C$242)</f>
        <v>86.9554755365304</v>
      </c>
      <c r="M250" s="21" t="n">
        <f aca="false">SUMPRODUCT(($B$226:$B$242=$A250)*M$226:M$242*$C$226:$C$242)</f>
        <v>86.9554755365304</v>
      </c>
      <c r="N250" s="21" t="n">
        <f aca="false">SUMPRODUCT(($B$226:$B$242=$A250)*N$226:N$242*$C$226:$C$242)</f>
        <v>86.9554755365304</v>
      </c>
      <c r="O250" s="21" t="n">
        <f aca="false">SUMPRODUCT(($B$226:$B$242=$A250)*O$226:O$242*$C$226:$C$242)</f>
        <v>86.9554755365304</v>
      </c>
      <c r="P250" s="21" t="n">
        <f aca="false">SUMPRODUCT(($B$226:$B$242=$A250)*P$226:P$242*$C$226:$C$242)</f>
        <v>1043.46570643837</v>
      </c>
    </row>
    <row r="251" customFormat="false" ht="15" hidden="false" customHeight="false" outlineLevel="0" collapsed="false">
      <c r="A251" s="3" t="s">
        <v>156</v>
      </c>
      <c r="D251" s="21" t="n">
        <f aca="false">SUMPRODUCT(($B$226:$B$242=$A251)*D$226:D$242*$C$226:$C$242)</f>
        <v>637.099511697744</v>
      </c>
      <c r="E251" s="21" t="n">
        <f aca="false">SUMPRODUCT(($B$226:$B$242=$A251)*E$226:E$242*$C$226:$C$242)</f>
        <v>637.099511697744</v>
      </c>
      <c r="F251" s="21" t="n">
        <f aca="false">SUMPRODUCT(($B$226:$B$242=$A251)*F$226:F$242*$C$226:$C$242)</f>
        <v>637.099511697744</v>
      </c>
      <c r="G251" s="21" t="n">
        <f aca="false">SUMPRODUCT(($B$226:$B$242=$A251)*G$226:G$242*$C$226:$C$242)</f>
        <v>637.099511697744</v>
      </c>
      <c r="H251" s="21" t="n">
        <f aca="false">SUMPRODUCT(($B$226:$B$242=$A251)*H$226:H$242*$C$226:$C$242)</f>
        <v>637.099511697744</v>
      </c>
      <c r="I251" s="21" t="n">
        <f aca="false">SUMPRODUCT(($B$226:$B$242=$A251)*I$226:I$242*$C$226:$C$242)</f>
        <v>637.099511697744</v>
      </c>
      <c r="J251" s="21" t="n">
        <f aca="false">SUMPRODUCT(($B$226:$B$242=$A251)*J$226:J$242*$C$226:$C$242)</f>
        <v>637.099511697744</v>
      </c>
      <c r="K251" s="21" t="n">
        <f aca="false">SUMPRODUCT(($B$226:$B$242=$A251)*K$226:K$242*$C$226:$C$242)</f>
        <v>637.099511697744</v>
      </c>
      <c r="L251" s="21" t="n">
        <f aca="false">SUMPRODUCT(($B$226:$B$242=$A251)*L$226:L$242*$C$226:$C$242)</f>
        <v>637.099511697744</v>
      </c>
      <c r="M251" s="21" t="n">
        <f aca="false">SUMPRODUCT(($B$226:$B$242=$A251)*M$226:M$242*$C$226:$C$242)</f>
        <v>637.099511697744</v>
      </c>
      <c r="N251" s="21" t="n">
        <f aca="false">SUMPRODUCT(($B$226:$B$242=$A251)*N$226:N$242*$C$226:$C$242)</f>
        <v>637.099511697744</v>
      </c>
      <c r="O251" s="21" t="n">
        <f aca="false">SUMPRODUCT(($B$226:$B$242=$A251)*O$226:O$242*$C$226:$C$242)</f>
        <v>637.099511697744</v>
      </c>
      <c r="P251" s="21" t="n">
        <f aca="false">SUMPRODUCT(($B$226:$B$242=$A251)*P$226:P$242*$C$226:$C$242)</f>
        <v>7645.19414037293</v>
      </c>
    </row>
    <row r="252" customFormat="false" ht="15" hidden="false" customHeight="false" outlineLevel="0" collapsed="false">
      <c r="A252" s="3" t="s">
        <v>159</v>
      </c>
      <c r="D252" s="21" t="n">
        <f aca="false">SUMPRODUCT(($B$226:$B$242=$A252)*D$226:D$242*$C$226:$C$242)</f>
        <v>26.0880978870818</v>
      </c>
      <c r="E252" s="21" t="n">
        <f aca="false">SUMPRODUCT(($B$226:$B$242=$A252)*E$226:E$242*$C$226:$C$242)</f>
        <v>26.0880978870818</v>
      </c>
      <c r="F252" s="21" t="n">
        <f aca="false">SUMPRODUCT(($B$226:$B$242=$A252)*F$226:F$242*$C$226:$C$242)</f>
        <v>26.0880978870818</v>
      </c>
      <c r="G252" s="21" t="n">
        <f aca="false">SUMPRODUCT(($B$226:$B$242=$A252)*G$226:G$242*$C$226:$C$242)</f>
        <v>26.0880978870818</v>
      </c>
      <c r="H252" s="21" t="n">
        <f aca="false">SUMPRODUCT(($B$226:$B$242=$A252)*H$226:H$242*$C$226:$C$242)</f>
        <v>26.0880978870818</v>
      </c>
      <c r="I252" s="21" t="n">
        <f aca="false">SUMPRODUCT(($B$226:$B$242=$A252)*I$226:I$242*$C$226:$C$242)</f>
        <v>26.0880978870818</v>
      </c>
      <c r="J252" s="21" t="n">
        <f aca="false">SUMPRODUCT(($B$226:$B$242=$A252)*J$226:J$242*$C$226:$C$242)</f>
        <v>26.0880978870818</v>
      </c>
      <c r="K252" s="21" t="n">
        <f aca="false">SUMPRODUCT(($B$226:$B$242=$A252)*K$226:K$242*$C$226:$C$242)</f>
        <v>26.0880978870818</v>
      </c>
      <c r="L252" s="21" t="n">
        <f aca="false">SUMPRODUCT(($B$226:$B$242=$A252)*L$226:L$242*$C$226:$C$242)</f>
        <v>26.0880978870818</v>
      </c>
      <c r="M252" s="21" t="n">
        <f aca="false">SUMPRODUCT(($B$226:$B$242=$A252)*M$226:M$242*$C$226:$C$242)</f>
        <v>26.0880978870818</v>
      </c>
      <c r="N252" s="21" t="n">
        <f aca="false">SUMPRODUCT(($B$226:$B$242=$A252)*N$226:N$242*$C$226:$C$242)</f>
        <v>26.0880978870818</v>
      </c>
      <c r="O252" s="21" t="n">
        <f aca="false">SUMPRODUCT(($B$226:$B$242=$A252)*O$226:O$242*$C$226:$C$242)</f>
        <v>26.0880978870818</v>
      </c>
      <c r="P252" s="21" t="n">
        <f aca="false">SUMPRODUCT(($B$226:$B$242=$A252)*P$226:P$242*$C$226:$C$242)</f>
        <v>313.057174644982</v>
      </c>
    </row>
    <row r="253" customFormat="false" ht="15" hidden="false" customHeight="false" outlineLevel="0" collapsed="false">
      <c r="A253" s="5" t="s">
        <v>308</v>
      </c>
      <c r="D253" s="22" t="n">
        <f aca="false">SUMPRODUCT(D$226:D$242*parametros_recargas!$D$51:$D$67)</f>
        <v>264.461436016055</v>
      </c>
      <c r="E253" s="22" t="n">
        <f aca="false">SUMPRODUCT(E$226:E$242*parametros_recargas!$D$51:$D$67)</f>
        <v>264.461436016055</v>
      </c>
      <c r="F253" s="22" t="n">
        <f aca="false">SUMPRODUCT(F$226:F$242*parametros_recargas!$D$51:$D$67)</f>
        <v>264.461436016055</v>
      </c>
      <c r="G253" s="22" t="n">
        <f aca="false">SUMPRODUCT(G$226:G$242*parametros_recargas!$D$51:$D$67)</f>
        <v>264.461436016055</v>
      </c>
      <c r="H253" s="22" t="n">
        <f aca="false">SUMPRODUCT(H$226:H$242*parametros_recargas!$D$51:$D$67)</f>
        <v>264.461436016055</v>
      </c>
      <c r="I253" s="22" t="n">
        <f aca="false">SUMPRODUCT(I$226:I$242*parametros_recargas!$D$51:$D$67)</f>
        <v>264.461436016055</v>
      </c>
      <c r="J253" s="22" t="n">
        <f aca="false">SUMPRODUCT(J$226:J$242*parametros_recargas!$D$51:$D$67)</f>
        <v>264.461436016055</v>
      </c>
      <c r="K253" s="22" t="n">
        <f aca="false">SUMPRODUCT(K$226:K$242*parametros_recargas!$D$51:$D$67)</f>
        <v>264.461436016055</v>
      </c>
      <c r="L253" s="22" t="n">
        <f aca="false">SUMPRODUCT(L$226:L$242*parametros_recargas!$D$51:$D$67)</f>
        <v>264.461436016055</v>
      </c>
      <c r="M253" s="22" t="n">
        <f aca="false">SUMPRODUCT(M$226:M$242*parametros_recargas!$D$51:$D$67)</f>
        <v>264.461436016055</v>
      </c>
      <c r="N253" s="22" t="n">
        <f aca="false">SUMPRODUCT(N$226:N$242*parametros_recargas!$D$51:$D$67)</f>
        <v>264.461436016055</v>
      </c>
      <c r="O253" s="22" t="n">
        <f aca="false">SUMPRODUCT(O$226:O$242*parametros_recargas!$D$51:$D$67)</f>
        <v>264.461436016055</v>
      </c>
      <c r="P253" s="22" t="n">
        <f aca="false">SUMPRODUCT(P$226:P$242*parametros_recargas!$D$51:$D$67)</f>
        <v>3173.53723219266</v>
      </c>
    </row>
    <row r="257" customFormat="false" ht="23.85" hidden="false" customHeight="false" outlineLevel="0" collapsed="false">
      <c r="A257" s="23" t="n">
        <v>2034</v>
      </c>
      <c r="B257" s="2" t="s">
        <v>303</v>
      </c>
      <c r="C257" s="2" t="s">
        <v>304</v>
      </c>
      <c r="D257" s="2" t="s">
        <v>130</v>
      </c>
      <c r="E257" s="2" t="s">
        <v>131</v>
      </c>
      <c r="F257" s="2" t="s">
        <v>132</v>
      </c>
      <c r="G257" s="2" t="s">
        <v>133</v>
      </c>
      <c r="H257" s="2" t="s">
        <v>134</v>
      </c>
      <c r="I257" s="2" t="s">
        <v>135</v>
      </c>
      <c r="J257" s="2" t="s">
        <v>136</v>
      </c>
      <c r="K257" s="2" t="s">
        <v>137</v>
      </c>
      <c r="L257" s="2" t="s">
        <v>138</v>
      </c>
      <c r="M257" s="2" t="s">
        <v>139</v>
      </c>
      <c r="N257" s="2" t="s">
        <v>140</v>
      </c>
      <c r="O257" s="2" t="s">
        <v>141</v>
      </c>
      <c r="P257" s="2" t="s">
        <v>66</v>
      </c>
      <c r="Q257" s="2" t="s">
        <v>305</v>
      </c>
    </row>
    <row r="258" customFormat="false" ht="15" hidden="false" customHeight="false" outlineLevel="0" collapsed="false">
      <c r="A258" s="8" t="str">
        <f aca="false">parametros_recargas!A51</f>
        <v>ABC 1 kg</v>
      </c>
      <c r="B258" s="8" t="str">
        <f aca="false">parametros_recargas!B51</f>
        <v>ABC</v>
      </c>
      <c r="C258" s="11" t="n">
        <f aca="false">parametros_recargas!C51</f>
        <v>1</v>
      </c>
      <c r="D258" s="21" t="n">
        <f aca="false">datos_base!$J$2*parametros_recargas!$B$45+sobrestock_sustitutos!$J$88/12</f>
        <v>4412.19390309643</v>
      </c>
      <c r="E258" s="21" t="n">
        <f aca="false">datos_base!$J$2*parametros_recargas!$C$45+sobrestock_sustitutos!$J$88/12</f>
        <v>4412.19390309643</v>
      </c>
      <c r="F258" s="21" t="n">
        <f aca="false">datos_base!$J$2*parametros_recargas!$D$45+sobrestock_sustitutos!$J$88/12</f>
        <v>4412.19390309643</v>
      </c>
      <c r="G258" s="21" t="n">
        <f aca="false">datos_base!$J$2*parametros_recargas!$E$45+sobrestock_sustitutos!$J$88/12</f>
        <v>4412.19390309643</v>
      </c>
      <c r="H258" s="21" t="n">
        <f aca="false">datos_base!$J$2*parametros_recargas!$F$45+sobrestock_sustitutos!$J$88/12</f>
        <v>4412.19390309643</v>
      </c>
      <c r="I258" s="21" t="n">
        <f aca="false">datos_base!$J$2*parametros_recargas!$G$45+sobrestock_sustitutos!$J$88/12</f>
        <v>4412.19390309643</v>
      </c>
      <c r="J258" s="21" t="n">
        <f aca="false">datos_base!$J$2*parametros_recargas!$H$45+sobrestock_sustitutos!$J$88/12</f>
        <v>4412.19390309643</v>
      </c>
      <c r="K258" s="21" t="n">
        <f aca="false">datos_base!$J$2*parametros_recargas!$I$45+sobrestock_sustitutos!$J$88/12</f>
        <v>4412.19390309643</v>
      </c>
      <c r="L258" s="21" t="n">
        <f aca="false">datos_base!$J$2*parametros_recargas!$J$45+sobrestock_sustitutos!$J$88/12</f>
        <v>4412.19390309643</v>
      </c>
      <c r="M258" s="21" t="n">
        <f aca="false">datos_base!$J$2*parametros_recargas!$K$45+sobrestock_sustitutos!$J$88/12</f>
        <v>4412.19390309643</v>
      </c>
      <c r="N258" s="21" t="n">
        <f aca="false">datos_base!$J$2*parametros_recargas!$L$45+sobrestock_sustitutos!$J$88/12</f>
        <v>4412.19390309643</v>
      </c>
      <c r="O258" s="21" t="n">
        <f aca="false">datos_base!$J$2*parametros_recargas!$M$45+sobrestock_sustitutos!$J$88/12</f>
        <v>4412.19390309643</v>
      </c>
      <c r="P258" s="6" t="n">
        <f aca="false">SUM(D258:O258)</f>
        <v>52946.3268371571</v>
      </c>
      <c r="Q258" s="4" t="n">
        <f aca="false">sobrestock_sustitutos!$J$88</f>
        <v>0</v>
      </c>
    </row>
    <row r="259" customFormat="false" ht="15" hidden="false" customHeight="false" outlineLevel="0" collapsed="false">
      <c r="A259" s="8" t="str">
        <f aca="false">parametros_recargas!A52</f>
        <v>ABC 2,5 kg</v>
      </c>
      <c r="B259" s="8" t="str">
        <f aca="false">parametros_recargas!B52</f>
        <v>ABC</v>
      </c>
      <c r="C259" s="11" t="n">
        <f aca="false">parametros_recargas!C52</f>
        <v>1</v>
      </c>
      <c r="D259" s="21" t="n">
        <f aca="false">datos_base!$J$3*parametros_recargas!$B$45+sobrestock_sustitutos!$J$89/12</f>
        <v>375.026372469632</v>
      </c>
      <c r="E259" s="21" t="n">
        <f aca="false">datos_base!$J$3*parametros_recargas!$C$45+sobrestock_sustitutos!$J$89/12</f>
        <v>375.026372469632</v>
      </c>
      <c r="F259" s="21" t="n">
        <f aca="false">datos_base!$J$3*parametros_recargas!$D$45+sobrestock_sustitutos!$J$89/12</f>
        <v>375.026372469632</v>
      </c>
      <c r="G259" s="21" t="n">
        <f aca="false">datos_base!$J$3*parametros_recargas!$E$45+sobrestock_sustitutos!$J$89/12</f>
        <v>375.026372469632</v>
      </c>
      <c r="H259" s="21" t="n">
        <f aca="false">datos_base!$J$3*parametros_recargas!$F$45+sobrestock_sustitutos!$J$89/12</f>
        <v>375.026372469632</v>
      </c>
      <c r="I259" s="21" t="n">
        <f aca="false">datos_base!$J$3*parametros_recargas!$G$45+sobrestock_sustitutos!$J$89/12</f>
        <v>375.026372469632</v>
      </c>
      <c r="J259" s="21" t="n">
        <f aca="false">datos_base!$J$3*parametros_recargas!$H$45+sobrestock_sustitutos!$J$89/12</f>
        <v>375.026372469632</v>
      </c>
      <c r="K259" s="21" t="n">
        <f aca="false">datos_base!$J$3*parametros_recargas!$I$45+sobrestock_sustitutos!$J$89/12</f>
        <v>375.026372469632</v>
      </c>
      <c r="L259" s="21" t="n">
        <f aca="false">datos_base!$J$3*parametros_recargas!$J$45+sobrestock_sustitutos!$J$89/12</f>
        <v>375.026372469632</v>
      </c>
      <c r="M259" s="21" t="n">
        <f aca="false">datos_base!$J$3*parametros_recargas!$K$45+sobrestock_sustitutos!$J$89/12</f>
        <v>375.026372469632</v>
      </c>
      <c r="N259" s="21" t="n">
        <f aca="false">datos_base!$J$3*parametros_recargas!$L$45+sobrestock_sustitutos!$J$89/12</f>
        <v>375.026372469632</v>
      </c>
      <c r="O259" s="21" t="n">
        <f aca="false">datos_base!$J$3*parametros_recargas!$M$45+sobrestock_sustitutos!$J$89/12</f>
        <v>375.026372469632</v>
      </c>
      <c r="P259" s="6" t="n">
        <f aca="false">SUM(D259:O259)</f>
        <v>4500.31646963558</v>
      </c>
      <c r="Q259" s="4" t="n">
        <f aca="false">sobrestock_sustitutos!$J$89</f>
        <v>52</v>
      </c>
    </row>
    <row r="260" customFormat="false" ht="15" hidden="false" customHeight="false" outlineLevel="0" collapsed="false">
      <c r="A260" s="8" t="str">
        <f aca="false">parametros_recargas!A53</f>
        <v>ABC 5 kg</v>
      </c>
      <c r="B260" s="8" t="str">
        <f aca="false">parametros_recargas!B53</f>
        <v>ABC</v>
      </c>
      <c r="C260" s="11" t="n">
        <f aca="false">parametros_recargas!C53</f>
        <v>1</v>
      </c>
      <c r="D260" s="21" t="n">
        <f aca="false">datos_base!$J$4*parametros_recargas!$B$45+sobrestock_sustitutos!$J$90/12</f>
        <v>2286.59269222</v>
      </c>
      <c r="E260" s="21" t="n">
        <f aca="false">datos_base!$J$4*parametros_recargas!$C$45+sobrestock_sustitutos!$J$90/12</f>
        <v>2286.59269222</v>
      </c>
      <c r="F260" s="21" t="n">
        <f aca="false">datos_base!$J$4*parametros_recargas!$D$45+sobrestock_sustitutos!$J$90/12</f>
        <v>2286.59269222</v>
      </c>
      <c r="G260" s="21" t="n">
        <f aca="false">datos_base!$J$4*parametros_recargas!$E$45+sobrestock_sustitutos!$J$90/12</f>
        <v>2286.59269222</v>
      </c>
      <c r="H260" s="21" t="n">
        <f aca="false">datos_base!$J$4*parametros_recargas!$F$45+sobrestock_sustitutos!$J$90/12</f>
        <v>2286.59269222</v>
      </c>
      <c r="I260" s="21" t="n">
        <f aca="false">datos_base!$J$4*parametros_recargas!$G$45+sobrestock_sustitutos!$J$90/12</f>
        <v>2286.59269222</v>
      </c>
      <c r="J260" s="21" t="n">
        <f aca="false">datos_base!$J$4*parametros_recargas!$H$45+sobrestock_sustitutos!$J$90/12</f>
        <v>2286.59269222</v>
      </c>
      <c r="K260" s="21" t="n">
        <f aca="false">datos_base!$J$4*parametros_recargas!$I$45+sobrestock_sustitutos!$J$90/12</f>
        <v>2286.59269222</v>
      </c>
      <c r="L260" s="21" t="n">
        <f aca="false">datos_base!$J$4*parametros_recargas!$J$45+sobrestock_sustitutos!$J$90/12</f>
        <v>2286.59269222</v>
      </c>
      <c r="M260" s="21" t="n">
        <f aca="false">datos_base!$J$4*parametros_recargas!$K$45+sobrestock_sustitutos!$J$90/12</f>
        <v>2286.59269222</v>
      </c>
      <c r="N260" s="21" t="n">
        <f aca="false">datos_base!$J$4*parametros_recargas!$L$45+sobrestock_sustitutos!$J$90/12</f>
        <v>2286.59269222</v>
      </c>
      <c r="O260" s="21" t="n">
        <f aca="false">datos_base!$J$4*parametros_recargas!$M$45+sobrestock_sustitutos!$J$90/12</f>
        <v>2286.59269222</v>
      </c>
      <c r="P260" s="6" t="n">
        <f aca="false">SUM(D260:O260)</f>
        <v>27439.1123066399</v>
      </c>
      <c r="Q260" s="4" t="n">
        <f aca="false">sobrestock_sustitutos!$J$90</f>
        <v>315</v>
      </c>
    </row>
    <row r="261" customFormat="false" ht="15" hidden="false" customHeight="false" outlineLevel="0" collapsed="false">
      <c r="A261" s="8" t="str">
        <f aca="false">parametros_recargas!A54</f>
        <v>ABC 10 kg</v>
      </c>
      <c r="B261" s="8" t="str">
        <f aca="false">parametros_recargas!B54</f>
        <v>ABC</v>
      </c>
      <c r="C261" s="11" t="n">
        <f aca="false">parametros_recargas!C54</f>
        <v>1</v>
      </c>
      <c r="D261" s="21" t="n">
        <f aca="false">datos_base!$J$5*parametros_recargas!$B$45+sobrestock_sustitutos!$J$91/12</f>
        <v>135.410205611756</v>
      </c>
      <c r="E261" s="21" t="n">
        <f aca="false">datos_base!$J$5*parametros_recargas!$C$45+sobrestock_sustitutos!$J$91/12</f>
        <v>135.410205611756</v>
      </c>
      <c r="F261" s="21" t="n">
        <f aca="false">datos_base!$J$5*parametros_recargas!$D$45+sobrestock_sustitutos!$J$91/12</f>
        <v>135.410205611756</v>
      </c>
      <c r="G261" s="21" t="n">
        <f aca="false">datos_base!$J$5*parametros_recargas!$E$45+sobrestock_sustitutos!$J$91/12</f>
        <v>135.410205611756</v>
      </c>
      <c r="H261" s="21" t="n">
        <f aca="false">datos_base!$J$5*parametros_recargas!$F$45+sobrestock_sustitutos!$J$91/12</f>
        <v>135.410205611756</v>
      </c>
      <c r="I261" s="21" t="n">
        <f aca="false">datos_base!$J$5*parametros_recargas!$G$45+sobrestock_sustitutos!$J$91/12</f>
        <v>135.410205611756</v>
      </c>
      <c r="J261" s="21" t="n">
        <f aca="false">datos_base!$J$5*parametros_recargas!$H$45+sobrestock_sustitutos!$J$91/12</f>
        <v>135.410205611756</v>
      </c>
      <c r="K261" s="21" t="n">
        <f aca="false">datos_base!$J$5*parametros_recargas!$I$45+sobrestock_sustitutos!$J$91/12</f>
        <v>135.410205611756</v>
      </c>
      <c r="L261" s="21" t="n">
        <f aca="false">datos_base!$J$5*parametros_recargas!$J$45+sobrestock_sustitutos!$J$91/12</f>
        <v>135.410205611756</v>
      </c>
      <c r="M261" s="21" t="n">
        <f aca="false">datos_base!$J$5*parametros_recargas!$K$45+sobrestock_sustitutos!$J$91/12</f>
        <v>135.410205611756</v>
      </c>
      <c r="N261" s="21" t="n">
        <f aca="false">datos_base!$J$5*parametros_recargas!$L$45+sobrestock_sustitutos!$J$91/12</f>
        <v>135.410205611756</v>
      </c>
      <c r="O261" s="21" t="n">
        <f aca="false">datos_base!$J$5*parametros_recargas!$M$45+sobrestock_sustitutos!$J$91/12</f>
        <v>135.410205611756</v>
      </c>
      <c r="P261" s="6" t="n">
        <f aca="false">SUM(D261:O261)</f>
        <v>1624.92246734107</v>
      </c>
      <c r="Q261" s="4" t="n">
        <f aca="false">sobrestock_sustitutos!$J$91</f>
        <v>19</v>
      </c>
    </row>
    <row r="262" customFormat="false" ht="15" hidden="false" customHeight="false" outlineLevel="0" collapsed="false">
      <c r="A262" s="8" t="str">
        <f aca="false">parametros_recargas!A55</f>
        <v>Agua 10 l</v>
      </c>
      <c r="B262" s="8" t="str">
        <f aca="false">parametros_recargas!B55</f>
        <v>Agua</v>
      </c>
      <c r="C262" s="11" t="n">
        <f aca="false">parametros_recargas!C55</f>
        <v>1</v>
      </c>
      <c r="D262" s="21" t="n">
        <f aca="false">datos_base!$J$6*parametros_recargas!$B$45+sobrestock_sustitutos!$J$92/12</f>
        <v>190.935414617805</v>
      </c>
      <c r="E262" s="21" t="n">
        <f aca="false">datos_base!$J$6*parametros_recargas!$C$45+sobrestock_sustitutos!$J$92/12</f>
        <v>190.935414617805</v>
      </c>
      <c r="F262" s="21" t="n">
        <f aca="false">datos_base!$J$6*parametros_recargas!$D$45+sobrestock_sustitutos!$J$92/12</f>
        <v>190.935414617805</v>
      </c>
      <c r="G262" s="21" t="n">
        <f aca="false">datos_base!$J$6*parametros_recargas!$E$45+sobrestock_sustitutos!$J$92/12</f>
        <v>190.935414617805</v>
      </c>
      <c r="H262" s="21" t="n">
        <f aca="false">datos_base!$J$6*parametros_recargas!$F$45+sobrestock_sustitutos!$J$92/12</f>
        <v>190.935414617805</v>
      </c>
      <c r="I262" s="21" t="n">
        <f aca="false">datos_base!$J$6*parametros_recargas!$G$45+sobrestock_sustitutos!$J$92/12</f>
        <v>190.935414617805</v>
      </c>
      <c r="J262" s="21" t="n">
        <f aca="false">datos_base!$J$6*parametros_recargas!$H$45+sobrestock_sustitutos!$J$92/12</f>
        <v>190.935414617805</v>
      </c>
      <c r="K262" s="21" t="n">
        <f aca="false">datos_base!$J$6*parametros_recargas!$I$45+sobrestock_sustitutos!$J$92/12</f>
        <v>190.935414617805</v>
      </c>
      <c r="L262" s="21" t="n">
        <f aca="false">datos_base!$J$6*parametros_recargas!$J$45+sobrestock_sustitutos!$J$92/12</f>
        <v>190.935414617805</v>
      </c>
      <c r="M262" s="21" t="n">
        <f aca="false">datos_base!$J$6*parametros_recargas!$K$45+sobrestock_sustitutos!$J$92/12</f>
        <v>190.935414617805</v>
      </c>
      <c r="N262" s="21" t="n">
        <f aca="false">datos_base!$J$6*parametros_recargas!$L$45+sobrestock_sustitutos!$J$92/12</f>
        <v>190.935414617805</v>
      </c>
      <c r="O262" s="21" t="n">
        <f aca="false">datos_base!$J$6*parametros_recargas!$M$45+sobrestock_sustitutos!$J$92/12</f>
        <v>190.935414617805</v>
      </c>
      <c r="P262" s="6" t="n">
        <f aca="false">SUM(D262:O262)</f>
        <v>2291.22497541366</v>
      </c>
      <c r="Q262" s="4" t="n">
        <f aca="false">sobrestock_sustitutos!$J$92</f>
        <v>27</v>
      </c>
    </row>
    <row r="263" customFormat="false" ht="15" hidden="false" customHeight="false" outlineLevel="0" collapsed="false">
      <c r="A263" s="8" t="str">
        <f aca="false">parametros_recargas!A56</f>
        <v>AFFF 10 l</v>
      </c>
      <c r="B263" s="8" t="str">
        <f aca="false">parametros_recargas!B56</f>
        <v>AFFF</v>
      </c>
      <c r="C263" s="11" t="n">
        <f aca="false">parametros_recargas!C56</f>
        <v>1</v>
      </c>
      <c r="D263" s="21" t="n">
        <f aca="false">datos_base!$J$7*parametros_recargas!$B$45+sobrestock_sustitutos!$J$93/12</f>
        <v>35.9069600093257</v>
      </c>
      <c r="E263" s="21" t="n">
        <f aca="false">datos_base!$J$7*parametros_recargas!$C$45+sobrestock_sustitutos!$J$93/12</f>
        <v>35.9069600093257</v>
      </c>
      <c r="F263" s="21" t="n">
        <f aca="false">datos_base!$J$7*parametros_recargas!$D$45+sobrestock_sustitutos!$J$93/12</f>
        <v>35.9069600093257</v>
      </c>
      <c r="G263" s="21" t="n">
        <f aca="false">datos_base!$J$7*parametros_recargas!$E$45+sobrestock_sustitutos!$J$93/12</f>
        <v>35.9069600093257</v>
      </c>
      <c r="H263" s="21" t="n">
        <f aca="false">datos_base!$J$7*parametros_recargas!$F$45+sobrestock_sustitutos!$J$93/12</f>
        <v>35.9069600093257</v>
      </c>
      <c r="I263" s="21" t="n">
        <f aca="false">datos_base!$J$7*parametros_recargas!$G$45+sobrestock_sustitutos!$J$93/12</f>
        <v>35.9069600093257</v>
      </c>
      <c r="J263" s="21" t="n">
        <f aca="false">datos_base!$J$7*parametros_recargas!$H$45+sobrestock_sustitutos!$J$93/12</f>
        <v>35.9069600093257</v>
      </c>
      <c r="K263" s="21" t="n">
        <f aca="false">datos_base!$J$7*parametros_recargas!$I$45+sobrestock_sustitutos!$J$93/12</f>
        <v>35.9069600093257</v>
      </c>
      <c r="L263" s="21" t="n">
        <f aca="false">datos_base!$J$7*parametros_recargas!$J$45+sobrestock_sustitutos!$J$93/12</f>
        <v>35.9069600093257</v>
      </c>
      <c r="M263" s="21" t="n">
        <f aca="false">datos_base!$J$7*parametros_recargas!$K$45+sobrestock_sustitutos!$J$93/12</f>
        <v>35.9069600093257</v>
      </c>
      <c r="N263" s="21" t="n">
        <f aca="false">datos_base!$J$7*parametros_recargas!$L$45+sobrestock_sustitutos!$J$93/12</f>
        <v>35.9069600093257</v>
      </c>
      <c r="O263" s="21" t="n">
        <f aca="false">datos_base!$J$7*parametros_recargas!$M$45+sobrestock_sustitutos!$J$93/12</f>
        <v>35.9069600093257</v>
      </c>
      <c r="P263" s="6" t="n">
        <f aca="false">SUM(D263:O263)</f>
        <v>430.883520111909</v>
      </c>
      <c r="Q263" s="4" t="n">
        <f aca="false">sobrestock_sustitutos!$J$93</f>
        <v>5</v>
      </c>
    </row>
    <row r="264" customFormat="false" ht="15" hidden="false" customHeight="false" outlineLevel="0" collapsed="false">
      <c r="A264" s="8" t="str">
        <f aca="false">parametros_recargas!A57</f>
        <v>AFFF 50 l s/ruedas</v>
      </c>
      <c r="B264" s="8" t="str">
        <f aca="false">parametros_recargas!B57</f>
        <v>AFFF</v>
      </c>
      <c r="C264" s="11" t="n">
        <f aca="false">parametros_recargas!C57</f>
        <v>3</v>
      </c>
      <c r="D264" s="21" t="n">
        <f aca="false">datos_base!$J$8*parametros_recargas!$B$45+sobrestock_sustitutos!$J$94/12</f>
        <v>18.8271065158775</v>
      </c>
      <c r="E264" s="21" t="n">
        <f aca="false">datos_base!$J$8*parametros_recargas!$C$45+sobrestock_sustitutos!$J$94/12</f>
        <v>18.8271065158775</v>
      </c>
      <c r="F264" s="21" t="n">
        <f aca="false">datos_base!$J$8*parametros_recargas!$D$45+sobrestock_sustitutos!$J$94/12</f>
        <v>18.8271065158775</v>
      </c>
      <c r="G264" s="21" t="n">
        <f aca="false">datos_base!$J$8*parametros_recargas!$E$45+sobrestock_sustitutos!$J$94/12</f>
        <v>18.8271065158775</v>
      </c>
      <c r="H264" s="21" t="n">
        <f aca="false">datos_base!$J$8*parametros_recargas!$F$45+sobrestock_sustitutos!$J$94/12</f>
        <v>18.8271065158775</v>
      </c>
      <c r="I264" s="21" t="n">
        <f aca="false">datos_base!$J$8*parametros_recargas!$G$45+sobrestock_sustitutos!$J$94/12</f>
        <v>18.8271065158775</v>
      </c>
      <c r="J264" s="21" t="n">
        <f aca="false">datos_base!$J$8*parametros_recargas!$H$45+sobrestock_sustitutos!$J$94/12</f>
        <v>18.8271065158775</v>
      </c>
      <c r="K264" s="21" t="n">
        <f aca="false">datos_base!$J$8*parametros_recargas!$I$45+sobrestock_sustitutos!$J$94/12</f>
        <v>18.8271065158775</v>
      </c>
      <c r="L264" s="21" t="n">
        <f aca="false">datos_base!$J$8*parametros_recargas!$J$45+sobrestock_sustitutos!$J$94/12</f>
        <v>18.8271065158775</v>
      </c>
      <c r="M264" s="21" t="n">
        <f aca="false">datos_base!$J$8*parametros_recargas!$K$45+sobrestock_sustitutos!$J$94/12</f>
        <v>18.8271065158775</v>
      </c>
      <c r="N264" s="21" t="n">
        <f aca="false">datos_base!$J$8*parametros_recargas!$L$45+sobrestock_sustitutos!$J$94/12</f>
        <v>18.8271065158775</v>
      </c>
      <c r="O264" s="21" t="n">
        <f aca="false">datos_base!$J$8*parametros_recargas!$M$45+sobrestock_sustitutos!$J$94/12</f>
        <v>18.8271065158775</v>
      </c>
      <c r="P264" s="6" t="n">
        <f aca="false">SUM(D264:O264)</f>
        <v>225.92527819053</v>
      </c>
      <c r="Q264" s="4" t="n">
        <f aca="false">sobrestock_sustitutos!$J$94</f>
        <v>3</v>
      </c>
    </row>
    <row r="265" customFormat="false" ht="15" hidden="false" customHeight="false" outlineLevel="0" collapsed="false">
      <c r="A265" s="8" t="str">
        <f aca="false">parametros_recargas!A58</f>
        <v>BC 5 kg</v>
      </c>
      <c r="B265" s="8" t="str">
        <f aca="false">parametros_recargas!B58</f>
        <v>BC</v>
      </c>
      <c r="C265" s="11" t="n">
        <f aca="false">parametros_recargas!C58</f>
        <v>1</v>
      </c>
      <c r="D265" s="21" t="n">
        <f aca="false">datos_base!$J$9*parametros_recargas!$B$45+sobrestock_sustitutos!$J$95/12</f>
        <v>10.8742191461297</v>
      </c>
      <c r="E265" s="21" t="n">
        <f aca="false">datos_base!$J$9*parametros_recargas!$C$45+sobrestock_sustitutos!$J$95/12</f>
        <v>10.8742191461297</v>
      </c>
      <c r="F265" s="21" t="n">
        <f aca="false">datos_base!$J$9*parametros_recargas!$D$45+sobrestock_sustitutos!$J$95/12</f>
        <v>10.8742191461297</v>
      </c>
      <c r="G265" s="21" t="n">
        <f aca="false">datos_base!$J$9*parametros_recargas!$E$45+sobrestock_sustitutos!$J$95/12</f>
        <v>10.8742191461297</v>
      </c>
      <c r="H265" s="21" t="n">
        <f aca="false">datos_base!$J$9*parametros_recargas!$F$45+sobrestock_sustitutos!$J$95/12</f>
        <v>10.8742191461297</v>
      </c>
      <c r="I265" s="21" t="n">
        <f aca="false">datos_base!$J$9*parametros_recargas!$G$45+sobrestock_sustitutos!$J$95/12</f>
        <v>10.8742191461297</v>
      </c>
      <c r="J265" s="21" t="n">
        <f aca="false">datos_base!$J$9*parametros_recargas!$H$45+sobrestock_sustitutos!$J$95/12</f>
        <v>10.8742191461297</v>
      </c>
      <c r="K265" s="21" t="n">
        <f aca="false">datos_base!$J$9*parametros_recargas!$I$45+sobrestock_sustitutos!$J$95/12</f>
        <v>10.8742191461297</v>
      </c>
      <c r="L265" s="21" t="n">
        <f aca="false">datos_base!$J$9*parametros_recargas!$J$45+sobrestock_sustitutos!$J$95/12</f>
        <v>10.8742191461297</v>
      </c>
      <c r="M265" s="21" t="n">
        <f aca="false">datos_base!$J$9*parametros_recargas!$K$45+sobrestock_sustitutos!$J$95/12</f>
        <v>10.8742191461297</v>
      </c>
      <c r="N265" s="21" t="n">
        <f aca="false">datos_base!$J$9*parametros_recargas!$L$45+sobrestock_sustitutos!$J$95/12</f>
        <v>10.8742191461297</v>
      </c>
      <c r="O265" s="21" t="n">
        <f aca="false">datos_base!$J$9*parametros_recargas!$M$45+sobrestock_sustitutos!$J$95/12</f>
        <v>10.8742191461297</v>
      </c>
      <c r="P265" s="6" t="n">
        <f aca="false">SUM(D265:O265)</f>
        <v>130.490629753557</v>
      </c>
      <c r="Q265" s="4" t="n">
        <f aca="false">sobrestock_sustitutos!$J$95</f>
        <v>2</v>
      </c>
    </row>
    <row r="266" customFormat="false" ht="15" hidden="false" customHeight="false" outlineLevel="0" collapsed="false">
      <c r="A266" s="8" t="str">
        <f aca="false">parametros_recargas!A59</f>
        <v>Sales K 6 l</v>
      </c>
      <c r="B266" s="8" t="str">
        <f aca="false">parametros_recargas!B59</f>
        <v>Sales K</v>
      </c>
      <c r="C266" s="11" t="n">
        <f aca="false">parametros_recargas!C59</f>
        <v>1</v>
      </c>
      <c r="D266" s="21" t="n">
        <f aca="false">datos_base!$J$10*parametros_recargas!$B$45+sobrestock_sustitutos!$J$96/12</f>
        <v>94.0575730272004</v>
      </c>
      <c r="E266" s="21" t="n">
        <f aca="false">datos_base!$J$10*parametros_recargas!$C$45+sobrestock_sustitutos!$J$96/12</f>
        <v>94.0575730272004</v>
      </c>
      <c r="F266" s="21" t="n">
        <f aca="false">datos_base!$J$10*parametros_recargas!$D$45+sobrestock_sustitutos!$J$96/12</f>
        <v>94.0575730272004</v>
      </c>
      <c r="G266" s="21" t="n">
        <f aca="false">datos_base!$J$10*parametros_recargas!$E$45+sobrestock_sustitutos!$J$96/12</f>
        <v>94.0575730272004</v>
      </c>
      <c r="H266" s="21" t="n">
        <f aca="false">datos_base!$J$10*parametros_recargas!$F$45+sobrestock_sustitutos!$J$96/12</f>
        <v>94.0575730272004</v>
      </c>
      <c r="I266" s="21" t="n">
        <f aca="false">datos_base!$J$10*parametros_recargas!$G$45+sobrestock_sustitutos!$J$96/12</f>
        <v>94.0575730272004</v>
      </c>
      <c r="J266" s="21" t="n">
        <f aca="false">datos_base!$J$10*parametros_recargas!$H$45+sobrestock_sustitutos!$J$96/12</f>
        <v>94.0575730272004</v>
      </c>
      <c r="K266" s="21" t="n">
        <f aca="false">datos_base!$J$10*parametros_recargas!$I$45+sobrestock_sustitutos!$J$96/12</f>
        <v>94.0575730272004</v>
      </c>
      <c r="L266" s="21" t="n">
        <f aca="false">datos_base!$J$10*parametros_recargas!$J$45+sobrestock_sustitutos!$J$96/12</f>
        <v>94.0575730272004</v>
      </c>
      <c r="M266" s="21" t="n">
        <f aca="false">datos_base!$J$10*parametros_recargas!$K$45+sobrestock_sustitutos!$J$96/12</f>
        <v>94.0575730272004</v>
      </c>
      <c r="N266" s="21" t="n">
        <f aca="false">datos_base!$J$10*parametros_recargas!$L$45+sobrestock_sustitutos!$J$96/12</f>
        <v>94.0575730272004</v>
      </c>
      <c r="O266" s="21" t="n">
        <f aca="false">datos_base!$J$10*parametros_recargas!$M$45+sobrestock_sustitutos!$J$96/12</f>
        <v>94.0575730272004</v>
      </c>
      <c r="P266" s="6" t="n">
        <f aca="false">SUM(D266:O266)</f>
        <v>1128.6908763264</v>
      </c>
      <c r="Q266" s="4" t="n">
        <f aca="false">sobrestock_sustitutos!$J$96</f>
        <v>13</v>
      </c>
    </row>
    <row r="267" customFormat="false" ht="15" hidden="false" customHeight="false" outlineLevel="0" collapsed="false">
      <c r="A267" s="8" t="str">
        <f aca="false">parametros_recargas!A60</f>
        <v>CO₂ 2 kg</v>
      </c>
      <c r="B267" s="8" t="str">
        <f aca="false">parametros_recargas!B60</f>
        <v>CO₂</v>
      </c>
      <c r="C267" s="11" t="n">
        <f aca="false">parametros_recargas!C60</f>
        <v>1</v>
      </c>
      <c r="D267" s="21" t="n">
        <f aca="false">datos_base!$J$11*parametros_recargas!$B$45+sobrestock_sustitutos!$J$97/12</f>
        <v>514.217090297338</v>
      </c>
      <c r="E267" s="21" t="n">
        <f aca="false">datos_base!$J$11*parametros_recargas!$C$45+sobrestock_sustitutos!$J$97/12</f>
        <v>514.217090297338</v>
      </c>
      <c r="F267" s="21" t="n">
        <f aca="false">datos_base!$J$11*parametros_recargas!$D$45+sobrestock_sustitutos!$J$97/12</f>
        <v>514.217090297338</v>
      </c>
      <c r="G267" s="21" t="n">
        <f aca="false">datos_base!$J$11*parametros_recargas!$E$45+sobrestock_sustitutos!$J$97/12</f>
        <v>514.217090297338</v>
      </c>
      <c r="H267" s="21" t="n">
        <f aca="false">datos_base!$J$11*parametros_recargas!$F$45+sobrestock_sustitutos!$J$97/12</f>
        <v>514.217090297338</v>
      </c>
      <c r="I267" s="21" t="n">
        <f aca="false">datos_base!$J$11*parametros_recargas!$G$45+sobrestock_sustitutos!$J$97/12</f>
        <v>514.217090297338</v>
      </c>
      <c r="J267" s="21" t="n">
        <f aca="false">datos_base!$J$11*parametros_recargas!$H$45+sobrestock_sustitutos!$J$97/12</f>
        <v>514.217090297338</v>
      </c>
      <c r="K267" s="21" t="n">
        <f aca="false">datos_base!$J$11*parametros_recargas!$I$45+sobrestock_sustitutos!$J$97/12</f>
        <v>514.217090297338</v>
      </c>
      <c r="L267" s="21" t="n">
        <f aca="false">datos_base!$J$11*parametros_recargas!$J$45+sobrestock_sustitutos!$J$97/12</f>
        <v>514.217090297338</v>
      </c>
      <c r="M267" s="21" t="n">
        <f aca="false">datos_base!$J$11*parametros_recargas!$K$45+sobrestock_sustitutos!$J$97/12</f>
        <v>514.217090297338</v>
      </c>
      <c r="N267" s="21" t="n">
        <f aca="false">datos_base!$J$11*parametros_recargas!$L$45+sobrestock_sustitutos!$J$97/12</f>
        <v>514.217090297338</v>
      </c>
      <c r="O267" s="21" t="n">
        <f aca="false">datos_base!$J$11*parametros_recargas!$M$45+sobrestock_sustitutos!$J$97/12</f>
        <v>514.217090297338</v>
      </c>
      <c r="P267" s="6" t="n">
        <f aca="false">SUM(D267:O267)</f>
        <v>6170.60508356806</v>
      </c>
      <c r="Q267" s="4" t="n">
        <f aca="false">sobrestock_sustitutos!$J$97</f>
        <v>71</v>
      </c>
    </row>
    <row r="268" customFormat="false" ht="15" hidden="false" customHeight="false" outlineLevel="0" collapsed="false">
      <c r="A268" s="8" t="str">
        <f aca="false">parametros_recargas!A61</f>
        <v>CO₂ 5 kg</v>
      </c>
      <c r="B268" s="8" t="str">
        <f aca="false">parametros_recargas!B61</f>
        <v>CO₂</v>
      </c>
      <c r="C268" s="11" t="n">
        <f aca="false">parametros_recargas!C61</f>
        <v>1</v>
      </c>
      <c r="D268" s="21" t="n">
        <f aca="false">datos_base!$J$12*parametros_recargas!$B$45+sobrestock_sustitutos!$J$98/12</f>
        <v>174.598623157774</v>
      </c>
      <c r="E268" s="21" t="n">
        <f aca="false">datos_base!$J$12*parametros_recargas!$C$45+sobrestock_sustitutos!$J$98/12</f>
        <v>174.598623157774</v>
      </c>
      <c r="F268" s="21" t="n">
        <f aca="false">datos_base!$J$12*parametros_recargas!$D$45+sobrestock_sustitutos!$J$98/12</f>
        <v>174.598623157774</v>
      </c>
      <c r="G268" s="21" t="n">
        <f aca="false">datos_base!$J$12*parametros_recargas!$E$45+sobrestock_sustitutos!$J$98/12</f>
        <v>174.598623157774</v>
      </c>
      <c r="H268" s="21" t="n">
        <f aca="false">datos_base!$J$12*parametros_recargas!$F$45+sobrestock_sustitutos!$J$98/12</f>
        <v>174.598623157774</v>
      </c>
      <c r="I268" s="21" t="n">
        <f aca="false">datos_base!$J$12*parametros_recargas!$G$45+sobrestock_sustitutos!$J$98/12</f>
        <v>174.598623157774</v>
      </c>
      <c r="J268" s="21" t="n">
        <f aca="false">datos_base!$J$12*parametros_recargas!$H$45+sobrestock_sustitutos!$J$98/12</f>
        <v>174.598623157774</v>
      </c>
      <c r="K268" s="21" t="n">
        <f aca="false">datos_base!$J$12*parametros_recargas!$I$45+sobrestock_sustitutos!$J$98/12</f>
        <v>174.598623157774</v>
      </c>
      <c r="L268" s="21" t="n">
        <f aca="false">datos_base!$J$12*parametros_recargas!$J$45+sobrestock_sustitutos!$J$98/12</f>
        <v>174.598623157774</v>
      </c>
      <c r="M268" s="21" t="n">
        <f aca="false">datos_base!$J$12*parametros_recargas!$K$45+sobrestock_sustitutos!$J$98/12</f>
        <v>174.598623157774</v>
      </c>
      <c r="N268" s="21" t="n">
        <f aca="false">datos_base!$J$12*parametros_recargas!$L$45+sobrestock_sustitutos!$J$98/12</f>
        <v>174.598623157774</v>
      </c>
      <c r="O268" s="21" t="n">
        <f aca="false">datos_base!$J$12*parametros_recargas!$M$45+sobrestock_sustitutos!$J$98/12</f>
        <v>174.598623157774</v>
      </c>
      <c r="P268" s="6" t="n">
        <f aca="false">SUM(D268:O268)</f>
        <v>2095.18347789329</v>
      </c>
      <c r="Q268" s="4" t="n">
        <f aca="false">sobrestock_sustitutos!$J$98</f>
        <v>24</v>
      </c>
    </row>
    <row r="269" customFormat="false" ht="15" hidden="false" customHeight="false" outlineLevel="0" collapsed="false">
      <c r="A269" s="8" t="str">
        <f aca="false">parametros_recargas!A62</f>
        <v>HCFC/HFC 5 kg</v>
      </c>
      <c r="B269" s="8" t="str">
        <f aca="false">parametros_recargas!B62</f>
        <v>Halogenado</v>
      </c>
      <c r="C269" s="11" t="n">
        <f aca="false">parametros_recargas!C62</f>
        <v>1</v>
      </c>
      <c r="D269" s="21" t="n">
        <f aca="false">datos_base!$J$13*parametros_recargas!$B$45+sobrestock_sustitutos!$J$99/12</f>
        <v>28.4771241128259</v>
      </c>
      <c r="E269" s="21" t="n">
        <f aca="false">datos_base!$J$13*parametros_recargas!$C$45+sobrestock_sustitutos!$J$99/12</f>
        <v>28.4771241128259</v>
      </c>
      <c r="F269" s="21" t="n">
        <f aca="false">datos_base!$J$13*parametros_recargas!$D$45+sobrestock_sustitutos!$J$99/12</f>
        <v>28.4771241128259</v>
      </c>
      <c r="G269" s="21" t="n">
        <f aca="false">datos_base!$J$13*parametros_recargas!$E$45+sobrestock_sustitutos!$J$99/12</f>
        <v>28.4771241128259</v>
      </c>
      <c r="H269" s="21" t="n">
        <f aca="false">datos_base!$J$13*parametros_recargas!$F$45+sobrestock_sustitutos!$J$99/12</f>
        <v>28.4771241128259</v>
      </c>
      <c r="I269" s="21" t="n">
        <f aca="false">datos_base!$J$13*parametros_recargas!$G$45+sobrestock_sustitutos!$J$99/12</f>
        <v>28.4771241128259</v>
      </c>
      <c r="J269" s="21" t="n">
        <f aca="false">datos_base!$J$13*parametros_recargas!$H$45+sobrestock_sustitutos!$J$99/12</f>
        <v>28.4771241128259</v>
      </c>
      <c r="K269" s="21" t="n">
        <f aca="false">datos_base!$J$13*parametros_recargas!$I$45+sobrestock_sustitutos!$J$99/12</f>
        <v>28.4771241128259</v>
      </c>
      <c r="L269" s="21" t="n">
        <f aca="false">datos_base!$J$13*parametros_recargas!$J$45+sobrestock_sustitutos!$J$99/12</f>
        <v>28.4771241128259</v>
      </c>
      <c r="M269" s="21" t="n">
        <f aca="false">datos_base!$J$13*parametros_recargas!$K$45+sobrestock_sustitutos!$J$99/12</f>
        <v>28.4771241128259</v>
      </c>
      <c r="N269" s="21" t="n">
        <f aca="false">datos_base!$J$13*parametros_recargas!$L$45+sobrestock_sustitutos!$J$99/12</f>
        <v>28.4771241128259</v>
      </c>
      <c r="O269" s="21" t="n">
        <f aca="false">datos_base!$J$13*parametros_recargas!$M$45+sobrestock_sustitutos!$J$99/12</f>
        <v>28.4771241128259</v>
      </c>
      <c r="P269" s="6" t="n">
        <f aca="false">SUM(D269:O269)</f>
        <v>341.725489353911</v>
      </c>
      <c r="Q269" s="4" t="n">
        <f aca="false">sobrestock_sustitutos!$J$99</f>
        <v>4</v>
      </c>
    </row>
    <row r="270" customFormat="false" ht="15" hidden="false" customHeight="false" outlineLevel="0" collapsed="false">
      <c r="A270" s="8" t="str">
        <f aca="false">parametros_recargas!A63</f>
        <v>Clase D 9 l</v>
      </c>
      <c r="B270" s="8" t="str">
        <f aca="false">parametros_recargas!B63</f>
        <v>Clase D</v>
      </c>
      <c r="C270" s="11" t="n">
        <f aca="false">parametros_recargas!C63</f>
        <v>1</v>
      </c>
      <c r="D270" s="21" t="n">
        <f aca="false">datos_base!$J$14*parametros_recargas!$B$45+sobrestock_sustitutos!$J$100/12</f>
        <v>9.81494429574624</v>
      </c>
      <c r="E270" s="21" t="n">
        <f aca="false">datos_base!$J$14*parametros_recargas!$C$45+sobrestock_sustitutos!$J$100/12</f>
        <v>9.81494429574624</v>
      </c>
      <c r="F270" s="21" t="n">
        <f aca="false">datos_base!$J$14*parametros_recargas!$D$45+sobrestock_sustitutos!$J$100/12</f>
        <v>9.81494429574624</v>
      </c>
      <c r="G270" s="21" t="n">
        <f aca="false">datos_base!$J$14*parametros_recargas!$E$45+sobrestock_sustitutos!$J$100/12</f>
        <v>9.81494429574624</v>
      </c>
      <c r="H270" s="21" t="n">
        <f aca="false">datos_base!$J$14*parametros_recargas!$F$45+sobrestock_sustitutos!$J$100/12</f>
        <v>9.81494429574624</v>
      </c>
      <c r="I270" s="21" t="n">
        <f aca="false">datos_base!$J$14*parametros_recargas!$G$45+sobrestock_sustitutos!$J$100/12</f>
        <v>9.81494429574624</v>
      </c>
      <c r="J270" s="21" t="n">
        <f aca="false">datos_base!$J$14*parametros_recargas!$H$45+sobrestock_sustitutos!$J$100/12</f>
        <v>9.81494429574624</v>
      </c>
      <c r="K270" s="21" t="n">
        <f aca="false">datos_base!$J$14*parametros_recargas!$I$45+sobrestock_sustitutos!$J$100/12</f>
        <v>9.81494429574624</v>
      </c>
      <c r="L270" s="21" t="n">
        <f aca="false">datos_base!$J$14*parametros_recargas!$J$45+sobrestock_sustitutos!$J$100/12</f>
        <v>9.81494429574624</v>
      </c>
      <c r="M270" s="21" t="n">
        <f aca="false">datos_base!$J$14*parametros_recargas!$K$45+sobrestock_sustitutos!$J$100/12</f>
        <v>9.81494429574624</v>
      </c>
      <c r="N270" s="21" t="n">
        <f aca="false">datos_base!$J$14*parametros_recargas!$L$45+sobrestock_sustitutos!$J$100/12</f>
        <v>9.81494429574624</v>
      </c>
      <c r="O270" s="21" t="n">
        <f aca="false">datos_base!$J$14*parametros_recargas!$M$45+sobrestock_sustitutos!$J$100/12</f>
        <v>9.81494429574624</v>
      </c>
      <c r="P270" s="6" t="n">
        <f aca="false">SUM(D270:O270)</f>
        <v>117.779331548955</v>
      </c>
      <c r="Q270" s="4" t="n">
        <f aca="false">sobrestock_sustitutos!$J$100</f>
        <v>2</v>
      </c>
    </row>
    <row r="271" customFormat="false" ht="15" hidden="false" customHeight="false" outlineLevel="0" collapsed="false">
      <c r="A271" s="8" t="str">
        <f aca="false">parametros_recargas!A64</f>
        <v>ABC 25 kg s/ruedas</v>
      </c>
      <c r="B271" s="8" t="str">
        <f aca="false">parametros_recargas!B64</f>
        <v>ABC</v>
      </c>
      <c r="C271" s="11" t="n">
        <f aca="false">parametros_recargas!C64</f>
        <v>3</v>
      </c>
      <c r="D271" s="21" t="n">
        <f aca="false">datos_base!$J$15*parametros_recargas!$B$45+sobrestock_sustitutos!$J$101/12</f>
        <v>23.5198250888938</v>
      </c>
      <c r="E271" s="21" t="n">
        <f aca="false">datos_base!$J$15*parametros_recargas!$C$45+sobrestock_sustitutos!$J$101/12</f>
        <v>23.5198250888938</v>
      </c>
      <c r="F271" s="21" t="n">
        <f aca="false">datos_base!$J$15*parametros_recargas!$D$45+sobrestock_sustitutos!$J$101/12</f>
        <v>23.5198250888938</v>
      </c>
      <c r="G271" s="21" t="n">
        <f aca="false">datos_base!$J$15*parametros_recargas!$E$45+sobrestock_sustitutos!$J$101/12</f>
        <v>23.5198250888938</v>
      </c>
      <c r="H271" s="21" t="n">
        <f aca="false">datos_base!$J$15*parametros_recargas!$F$45+sobrestock_sustitutos!$J$101/12</f>
        <v>23.5198250888938</v>
      </c>
      <c r="I271" s="21" t="n">
        <f aca="false">datos_base!$J$15*parametros_recargas!$G$45+sobrestock_sustitutos!$J$101/12</f>
        <v>23.5198250888938</v>
      </c>
      <c r="J271" s="21" t="n">
        <f aca="false">datos_base!$J$15*parametros_recargas!$H$45+sobrestock_sustitutos!$J$101/12</f>
        <v>23.5198250888938</v>
      </c>
      <c r="K271" s="21" t="n">
        <f aca="false">datos_base!$J$15*parametros_recargas!$I$45+sobrestock_sustitutos!$J$101/12</f>
        <v>23.5198250888938</v>
      </c>
      <c r="L271" s="21" t="n">
        <f aca="false">datos_base!$J$15*parametros_recargas!$J$45+sobrestock_sustitutos!$J$101/12</f>
        <v>23.5198250888938</v>
      </c>
      <c r="M271" s="21" t="n">
        <f aca="false">datos_base!$J$15*parametros_recargas!$K$45+sobrestock_sustitutos!$J$101/12</f>
        <v>23.5198250888938</v>
      </c>
      <c r="N271" s="21" t="n">
        <f aca="false">datos_base!$J$15*parametros_recargas!$L$45+sobrestock_sustitutos!$J$101/12</f>
        <v>23.5198250888938</v>
      </c>
      <c r="O271" s="21" t="n">
        <f aca="false">datos_base!$J$15*parametros_recargas!$M$45+sobrestock_sustitutos!$J$101/12</f>
        <v>23.5198250888938</v>
      </c>
      <c r="P271" s="6" t="n">
        <f aca="false">SUM(D271:O271)</f>
        <v>282.237901066726</v>
      </c>
      <c r="Q271" s="4" t="n">
        <f aca="false">sobrestock_sustitutos!$J$101</f>
        <v>4</v>
      </c>
    </row>
    <row r="272" customFormat="false" ht="15" hidden="false" customHeight="false" outlineLevel="0" collapsed="false">
      <c r="A272" s="8" t="str">
        <f aca="false">parametros_recargas!A65</f>
        <v>ABC 50 kg s/ruedas</v>
      </c>
      <c r="B272" s="8" t="str">
        <f aca="false">parametros_recargas!B65</f>
        <v>ABC</v>
      </c>
      <c r="C272" s="11" t="n">
        <f aca="false">parametros_recargas!C65</f>
        <v>3</v>
      </c>
      <c r="D272" s="21" t="n">
        <f aca="false">datos_base!$J$16*parametros_recargas!$B$45+sobrestock_sustitutos!$J$102/12</f>
        <v>51.6769485048801</v>
      </c>
      <c r="E272" s="21" t="n">
        <f aca="false">datos_base!$J$16*parametros_recargas!$C$45+sobrestock_sustitutos!$J$102/12</f>
        <v>51.6769485048801</v>
      </c>
      <c r="F272" s="21" t="n">
        <f aca="false">datos_base!$J$16*parametros_recargas!$D$45+sobrestock_sustitutos!$J$102/12</f>
        <v>51.6769485048801</v>
      </c>
      <c r="G272" s="21" t="n">
        <f aca="false">datos_base!$J$16*parametros_recargas!$E$45+sobrestock_sustitutos!$J$102/12</f>
        <v>51.6769485048801</v>
      </c>
      <c r="H272" s="21" t="n">
        <f aca="false">datos_base!$J$16*parametros_recargas!$F$45+sobrestock_sustitutos!$J$102/12</f>
        <v>51.6769485048801</v>
      </c>
      <c r="I272" s="21" t="n">
        <f aca="false">datos_base!$J$16*parametros_recargas!$G$45+sobrestock_sustitutos!$J$102/12</f>
        <v>51.6769485048801</v>
      </c>
      <c r="J272" s="21" t="n">
        <f aca="false">datos_base!$J$16*parametros_recargas!$H$45+sobrestock_sustitutos!$J$102/12</f>
        <v>51.6769485048801</v>
      </c>
      <c r="K272" s="21" t="n">
        <f aca="false">datos_base!$J$16*parametros_recargas!$I$45+sobrestock_sustitutos!$J$102/12</f>
        <v>51.6769485048801</v>
      </c>
      <c r="L272" s="21" t="n">
        <f aca="false">datos_base!$J$16*parametros_recargas!$J$45+sobrestock_sustitutos!$J$102/12</f>
        <v>51.6769485048801</v>
      </c>
      <c r="M272" s="21" t="n">
        <f aca="false">datos_base!$J$16*parametros_recargas!$K$45+sobrestock_sustitutos!$J$102/12</f>
        <v>51.6769485048801</v>
      </c>
      <c r="N272" s="21" t="n">
        <f aca="false">datos_base!$J$16*parametros_recargas!$L$45+sobrestock_sustitutos!$J$102/12</f>
        <v>51.6769485048801</v>
      </c>
      <c r="O272" s="21" t="n">
        <f aca="false">datos_base!$J$16*parametros_recargas!$M$45+sobrestock_sustitutos!$J$102/12</f>
        <v>51.6769485048801</v>
      </c>
      <c r="P272" s="6" t="n">
        <f aca="false">SUM(D272:O272)</f>
        <v>620.123382058561</v>
      </c>
      <c r="Q272" s="4" t="n">
        <f aca="false">sobrestock_sustitutos!$J$102</f>
        <v>8</v>
      </c>
    </row>
    <row r="273" customFormat="false" ht="15" hidden="false" customHeight="false" outlineLevel="0" collapsed="false">
      <c r="A273" s="8" t="str">
        <f aca="false">parametros_recargas!A66</f>
        <v>ABC 70 kg s/ruedas</v>
      </c>
      <c r="B273" s="8" t="str">
        <f aca="false">parametros_recargas!B66</f>
        <v>ABC</v>
      </c>
      <c r="C273" s="11" t="n">
        <f aca="false">parametros_recargas!C66</f>
        <v>3</v>
      </c>
      <c r="D273" s="21" t="n">
        <f aca="false">datos_base!$J$17*parametros_recargas!$B$45+sobrestock_sustitutos!$J$103/12</f>
        <v>11.2961827141397</v>
      </c>
      <c r="E273" s="21" t="n">
        <f aca="false">datos_base!$J$17*parametros_recargas!$C$45+sobrestock_sustitutos!$J$103/12</f>
        <v>11.2961827141397</v>
      </c>
      <c r="F273" s="21" t="n">
        <f aca="false">datos_base!$J$17*parametros_recargas!$D$45+sobrestock_sustitutos!$J$103/12</f>
        <v>11.2961827141397</v>
      </c>
      <c r="G273" s="21" t="n">
        <f aca="false">datos_base!$J$17*parametros_recargas!$E$45+sobrestock_sustitutos!$J$103/12</f>
        <v>11.2961827141397</v>
      </c>
      <c r="H273" s="21" t="n">
        <f aca="false">datos_base!$J$17*parametros_recargas!$F$45+sobrestock_sustitutos!$J$103/12</f>
        <v>11.2961827141397</v>
      </c>
      <c r="I273" s="21" t="n">
        <f aca="false">datos_base!$J$17*parametros_recargas!$G$45+sobrestock_sustitutos!$J$103/12</f>
        <v>11.2961827141397</v>
      </c>
      <c r="J273" s="21" t="n">
        <f aca="false">datos_base!$J$17*parametros_recargas!$H$45+sobrestock_sustitutos!$J$103/12</f>
        <v>11.2961827141397</v>
      </c>
      <c r="K273" s="21" t="n">
        <f aca="false">datos_base!$J$17*parametros_recargas!$I$45+sobrestock_sustitutos!$J$103/12</f>
        <v>11.2961827141397</v>
      </c>
      <c r="L273" s="21" t="n">
        <f aca="false">datos_base!$J$17*parametros_recargas!$J$45+sobrestock_sustitutos!$J$103/12</f>
        <v>11.2961827141397</v>
      </c>
      <c r="M273" s="21" t="n">
        <f aca="false">datos_base!$J$17*parametros_recargas!$K$45+sobrestock_sustitutos!$J$103/12</f>
        <v>11.2961827141397</v>
      </c>
      <c r="N273" s="21" t="n">
        <f aca="false">datos_base!$J$17*parametros_recargas!$L$45+sobrestock_sustitutos!$J$103/12</f>
        <v>11.2961827141397</v>
      </c>
      <c r="O273" s="21" t="n">
        <f aca="false">datos_base!$J$17*parametros_recargas!$M$45+sobrestock_sustitutos!$J$103/12</f>
        <v>11.2961827141397</v>
      </c>
      <c r="P273" s="6" t="n">
        <f aca="false">SUM(D273:O273)</f>
        <v>135.554192569676</v>
      </c>
      <c r="Q273" s="4" t="n">
        <f aca="false">sobrestock_sustitutos!$J$103</f>
        <v>2</v>
      </c>
    </row>
    <row r="274" customFormat="false" ht="15" hidden="false" customHeight="false" outlineLevel="0" collapsed="false">
      <c r="A274" s="8" t="str">
        <f aca="false">parametros_recargas!A67</f>
        <v>ABC 100 kg s/ruedas</v>
      </c>
      <c r="B274" s="8" t="str">
        <f aca="false">parametros_recargas!B67</f>
        <v>ABC</v>
      </c>
      <c r="C274" s="11" t="n">
        <f aca="false">parametros_recargas!C67</f>
        <v>3</v>
      </c>
      <c r="D274" s="21" t="n">
        <f aca="false">datos_base!$J$18*parametros_recargas!$B$45+sobrestock_sustitutos!$J$104/12</f>
        <v>7.58634402364209</v>
      </c>
      <c r="E274" s="21" t="n">
        <f aca="false">datos_base!$J$18*parametros_recargas!$C$45+sobrestock_sustitutos!$J$104/12</f>
        <v>7.58634402364209</v>
      </c>
      <c r="F274" s="21" t="n">
        <f aca="false">datos_base!$J$18*parametros_recargas!$D$45+sobrestock_sustitutos!$J$104/12</f>
        <v>7.58634402364209</v>
      </c>
      <c r="G274" s="21" t="n">
        <f aca="false">datos_base!$J$18*parametros_recargas!$E$45+sobrestock_sustitutos!$J$104/12</f>
        <v>7.58634402364209</v>
      </c>
      <c r="H274" s="21" t="n">
        <f aca="false">datos_base!$J$18*parametros_recargas!$F$45+sobrestock_sustitutos!$J$104/12</f>
        <v>7.58634402364209</v>
      </c>
      <c r="I274" s="21" t="n">
        <f aca="false">datos_base!$J$18*parametros_recargas!$G$45+sobrestock_sustitutos!$J$104/12</f>
        <v>7.58634402364209</v>
      </c>
      <c r="J274" s="21" t="n">
        <f aca="false">datos_base!$J$18*parametros_recargas!$H$45+sobrestock_sustitutos!$J$104/12</f>
        <v>7.58634402364209</v>
      </c>
      <c r="K274" s="21" t="n">
        <f aca="false">datos_base!$J$18*parametros_recargas!$I$45+sobrestock_sustitutos!$J$104/12</f>
        <v>7.58634402364209</v>
      </c>
      <c r="L274" s="21" t="n">
        <f aca="false">datos_base!$J$18*parametros_recargas!$J$45+sobrestock_sustitutos!$J$104/12</f>
        <v>7.58634402364209</v>
      </c>
      <c r="M274" s="21" t="n">
        <f aca="false">datos_base!$J$18*parametros_recargas!$K$45+sobrestock_sustitutos!$J$104/12</f>
        <v>7.58634402364209</v>
      </c>
      <c r="N274" s="21" t="n">
        <f aca="false">datos_base!$J$18*parametros_recargas!$L$45+sobrestock_sustitutos!$J$104/12</f>
        <v>7.58634402364209</v>
      </c>
      <c r="O274" s="21" t="n">
        <f aca="false">datos_base!$J$18*parametros_recargas!$M$45+sobrestock_sustitutos!$J$104/12</f>
        <v>7.58634402364209</v>
      </c>
      <c r="P274" s="6" t="n">
        <f aca="false">SUM(D274:O274)</f>
        <v>91.0361282837051</v>
      </c>
      <c r="Q274" s="4" t="n">
        <f aca="false">sobrestock_sustitutos!$J$104</f>
        <v>2</v>
      </c>
    </row>
    <row r="275" customFormat="false" ht="15" hidden="false" customHeight="false" outlineLevel="0" collapsed="false">
      <c r="A275" s="5" t="s">
        <v>306</v>
      </c>
      <c r="D275" s="6" t="n">
        <f aca="false">SUM(D258:D274)</f>
        <v>8381.01152890939</v>
      </c>
      <c r="E275" s="6" t="n">
        <f aca="false">SUM(E258:E274)</f>
        <v>8381.01152890939</v>
      </c>
      <c r="F275" s="6" t="n">
        <f aca="false">SUM(F258:F274)</f>
        <v>8381.01152890939</v>
      </c>
      <c r="G275" s="6" t="n">
        <f aca="false">SUM(G258:G274)</f>
        <v>8381.01152890939</v>
      </c>
      <c r="H275" s="6" t="n">
        <f aca="false">SUM(H258:H274)</f>
        <v>8381.01152890939</v>
      </c>
      <c r="I275" s="6" t="n">
        <f aca="false">SUM(I258:I274)</f>
        <v>8381.01152890939</v>
      </c>
      <c r="J275" s="6" t="n">
        <f aca="false">SUM(J258:J274)</f>
        <v>8381.01152890939</v>
      </c>
      <c r="K275" s="6" t="n">
        <f aca="false">SUM(K258:K274)</f>
        <v>8381.01152890939</v>
      </c>
      <c r="L275" s="6" t="n">
        <f aca="false">SUM(L258:L274)</f>
        <v>8381.01152890939</v>
      </c>
      <c r="M275" s="6" t="n">
        <f aca="false">SUM(M258:M274)</f>
        <v>8381.01152890939</v>
      </c>
      <c r="N275" s="6" t="n">
        <f aca="false">SUM(N258:N274)</f>
        <v>8381.01152890939</v>
      </c>
      <c r="O275" s="6" t="n">
        <f aca="false">SUM(O258:O274)</f>
        <v>8381.01152890939</v>
      </c>
      <c r="P275" s="6" t="n">
        <f aca="false">SUM(P258:P274)</f>
        <v>100572.138346913</v>
      </c>
    </row>
    <row r="276" customFormat="false" ht="15" hidden="false" customHeight="false" outlineLevel="0" collapsed="false">
      <c r="A276" s="5" t="s">
        <v>307</v>
      </c>
    </row>
    <row r="277" customFormat="false" ht="15" hidden="false" customHeight="false" outlineLevel="0" collapsed="false">
      <c r="A277" s="3" t="s">
        <v>148</v>
      </c>
      <c r="D277" s="21" t="n">
        <f aca="false">SUMPRODUCT(($B$258:$B$274=$A277)*D$258:D$274*$C$258:$C$274)</f>
        <v>7491.46107439248</v>
      </c>
      <c r="E277" s="21" t="n">
        <f aca="false">SUMPRODUCT(($B$258:$B$274=$A277)*E$258:E$274*$C$258:$C$274)</f>
        <v>7491.46107439248</v>
      </c>
      <c r="F277" s="21" t="n">
        <f aca="false">SUMPRODUCT(($B$258:$B$274=$A277)*F$258:F$274*$C$258:$C$274)</f>
        <v>7491.46107439248</v>
      </c>
      <c r="G277" s="21" t="n">
        <f aca="false">SUMPRODUCT(($B$258:$B$274=$A277)*G$258:G$274*$C$258:$C$274)</f>
        <v>7491.46107439248</v>
      </c>
      <c r="H277" s="21" t="n">
        <f aca="false">SUMPRODUCT(($B$258:$B$274=$A277)*H$258:H$274*$C$258:$C$274)</f>
        <v>7491.46107439248</v>
      </c>
      <c r="I277" s="21" t="n">
        <f aca="false">SUMPRODUCT(($B$258:$B$274=$A277)*I$258:I$274*$C$258:$C$274)</f>
        <v>7491.46107439248</v>
      </c>
      <c r="J277" s="21" t="n">
        <f aca="false">SUMPRODUCT(($B$258:$B$274=$A277)*J$258:J$274*$C$258:$C$274)</f>
        <v>7491.46107439248</v>
      </c>
      <c r="K277" s="21" t="n">
        <f aca="false">SUMPRODUCT(($B$258:$B$274=$A277)*K$258:K$274*$C$258:$C$274)</f>
        <v>7491.46107439248</v>
      </c>
      <c r="L277" s="21" t="n">
        <f aca="false">SUMPRODUCT(($B$258:$B$274=$A277)*L$258:L$274*$C$258:$C$274)</f>
        <v>7491.46107439248</v>
      </c>
      <c r="M277" s="21" t="n">
        <f aca="false">SUMPRODUCT(($B$258:$B$274=$A277)*M$258:M$274*$C$258:$C$274)</f>
        <v>7491.46107439248</v>
      </c>
      <c r="N277" s="21" t="n">
        <f aca="false">SUMPRODUCT(($B$258:$B$274=$A277)*N$258:N$274*$C$258:$C$274)</f>
        <v>7491.46107439248</v>
      </c>
      <c r="O277" s="21" t="n">
        <f aca="false">SUMPRODUCT(($B$258:$B$274=$A277)*O$258:O$274*$C$258:$C$274)</f>
        <v>7491.46107439248</v>
      </c>
      <c r="P277" s="21" t="n">
        <f aca="false">SUMPRODUCT(($B$258:$B$274=$A277)*P$258:P$274*$C$258:$C$274)</f>
        <v>89897.5328927097</v>
      </c>
    </row>
    <row r="278" customFormat="false" ht="15" hidden="false" customHeight="false" outlineLevel="0" collapsed="false">
      <c r="A278" s="3" t="s">
        <v>154</v>
      </c>
      <c r="D278" s="21" t="n">
        <f aca="false">SUMPRODUCT(($B$258:$B$274=$A278)*D$258:D$274*$C$258:$C$274)</f>
        <v>10.8742191461297</v>
      </c>
      <c r="E278" s="21" t="n">
        <f aca="false">SUMPRODUCT(($B$258:$B$274=$A278)*E$258:E$274*$C$258:$C$274)</f>
        <v>10.8742191461297</v>
      </c>
      <c r="F278" s="21" t="n">
        <f aca="false">SUMPRODUCT(($B$258:$B$274=$A278)*F$258:F$274*$C$258:$C$274)</f>
        <v>10.8742191461297</v>
      </c>
      <c r="G278" s="21" t="n">
        <f aca="false">SUMPRODUCT(($B$258:$B$274=$A278)*G$258:G$274*$C$258:$C$274)</f>
        <v>10.8742191461297</v>
      </c>
      <c r="H278" s="21" t="n">
        <f aca="false">SUMPRODUCT(($B$258:$B$274=$A278)*H$258:H$274*$C$258:$C$274)</f>
        <v>10.8742191461297</v>
      </c>
      <c r="I278" s="21" t="n">
        <f aca="false">SUMPRODUCT(($B$258:$B$274=$A278)*I$258:I$274*$C$258:$C$274)</f>
        <v>10.8742191461297</v>
      </c>
      <c r="J278" s="21" t="n">
        <f aca="false">SUMPRODUCT(($B$258:$B$274=$A278)*J$258:J$274*$C$258:$C$274)</f>
        <v>10.8742191461297</v>
      </c>
      <c r="K278" s="21" t="n">
        <f aca="false">SUMPRODUCT(($B$258:$B$274=$A278)*K$258:K$274*$C$258:$C$274)</f>
        <v>10.8742191461297</v>
      </c>
      <c r="L278" s="21" t="n">
        <f aca="false">SUMPRODUCT(($B$258:$B$274=$A278)*L$258:L$274*$C$258:$C$274)</f>
        <v>10.8742191461297</v>
      </c>
      <c r="M278" s="21" t="n">
        <f aca="false">SUMPRODUCT(($B$258:$B$274=$A278)*M$258:M$274*$C$258:$C$274)</f>
        <v>10.8742191461297</v>
      </c>
      <c r="N278" s="21" t="n">
        <f aca="false">SUMPRODUCT(($B$258:$B$274=$A278)*N$258:N$274*$C$258:$C$274)</f>
        <v>10.8742191461297</v>
      </c>
      <c r="O278" s="21" t="n">
        <f aca="false">SUMPRODUCT(($B$258:$B$274=$A278)*O$258:O$274*$C$258:$C$274)</f>
        <v>10.8742191461297</v>
      </c>
      <c r="P278" s="21" t="n">
        <f aca="false">SUMPRODUCT(($B$258:$B$274=$A278)*P$258:P$274*$C$258:$C$274)</f>
        <v>130.490629753557</v>
      </c>
    </row>
    <row r="279" customFormat="false" ht="15" hidden="false" customHeight="false" outlineLevel="0" collapsed="false">
      <c r="A279" s="3" t="s">
        <v>160</v>
      </c>
      <c r="D279" s="21" t="n">
        <f aca="false">SUMPRODUCT(($B$258:$B$274=$A279)*D$258:D$274*$C$258:$C$274)</f>
        <v>9.81494429574624</v>
      </c>
      <c r="E279" s="21" t="n">
        <f aca="false">SUMPRODUCT(($B$258:$B$274=$A279)*E$258:E$274*$C$258:$C$274)</f>
        <v>9.81494429574624</v>
      </c>
      <c r="F279" s="21" t="n">
        <f aca="false">SUMPRODUCT(($B$258:$B$274=$A279)*F$258:F$274*$C$258:$C$274)</f>
        <v>9.81494429574624</v>
      </c>
      <c r="G279" s="21" t="n">
        <f aca="false">SUMPRODUCT(($B$258:$B$274=$A279)*G$258:G$274*$C$258:$C$274)</f>
        <v>9.81494429574624</v>
      </c>
      <c r="H279" s="21" t="n">
        <f aca="false">SUMPRODUCT(($B$258:$B$274=$A279)*H$258:H$274*$C$258:$C$274)</f>
        <v>9.81494429574624</v>
      </c>
      <c r="I279" s="21" t="n">
        <f aca="false">SUMPRODUCT(($B$258:$B$274=$A279)*I$258:I$274*$C$258:$C$274)</f>
        <v>9.81494429574624</v>
      </c>
      <c r="J279" s="21" t="n">
        <f aca="false">SUMPRODUCT(($B$258:$B$274=$A279)*J$258:J$274*$C$258:$C$274)</f>
        <v>9.81494429574624</v>
      </c>
      <c r="K279" s="21" t="n">
        <f aca="false">SUMPRODUCT(($B$258:$B$274=$A279)*K$258:K$274*$C$258:$C$274)</f>
        <v>9.81494429574624</v>
      </c>
      <c r="L279" s="21" t="n">
        <f aca="false">SUMPRODUCT(($B$258:$B$274=$A279)*L$258:L$274*$C$258:$C$274)</f>
        <v>9.81494429574624</v>
      </c>
      <c r="M279" s="21" t="n">
        <f aca="false">SUMPRODUCT(($B$258:$B$274=$A279)*M$258:M$274*$C$258:$C$274)</f>
        <v>9.81494429574624</v>
      </c>
      <c r="N279" s="21" t="n">
        <f aca="false">SUMPRODUCT(($B$258:$B$274=$A279)*N$258:N$274*$C$258:$C$274)</f>
        <v>9.81494429574624</v>
      </c>
      <c r="O279" s="21" t="n">
        <f aca="false">SUMPRODUCT(($B$258:$B$274=$A279)*O$258:O$274*$C$258:$C$274)</f>
        <v>9.81494429574624</v>
      </c>
      <c r="P279" s="21" t="n">
        <f aca="false">SUMPRODUCT(($B$258:$B$274=$A279)*P$258:P$274*$C$258:$C$274)</f>
        <v>117.779331548955</v>
      </c>
    </row>
    <row r="280" customFormat="false" ht="15" hidden="false" customHeight="false" outlineLevel="0" collapsed="false">
      <c r="A280" s="3" t="s">
        <v>151</v>
      </c>
      <c r="D280" s="21" t="n">
        <f aca="false">SUMPRODUCT(($B$258:$B$274=$A280)*D$258:D$274*$C$258:$C$274)</f>
        <v>190.935414617805</v>
      </c>
      <c r="E280" s="21" t="n">
        <f aca="false">SUMPRODUCT(($B$258:$B$274=$A280)*E$258:E$274*$C$258:$C$274)</f>
        <v>190.935414617805</v>
      </c>
      <c r="F280" s="21" t="n">
        <f aca="false">SUMPRODUCT(($B$258:$B$274=$A280)*F$258:F$274*$C$258:$C$274)</f>
        <v>190.935414617805</v>
      </c>
      <c r="G280" s="21" t="n">
        <f aca="false">SUMPRODUCT(($B$258:$B$274=$A280)*G$258:G$274*$C$258:$C$274)</f>
        <v>190.935414617805</v>
      </c>
      <c r="H280" s="21" t="n">
        <f aca="false">SUMPRODUCT(($B$258:$B$274=$A280)*H$258:H$274*$C$258:$C$274)</f>
        <v>190.935414617805</v>
      </c>
      <c r="I280" s="21" t="n">
        <f aca="false">SUMPRODUCT(($B$258:$B$274=$A280)*I$258:I$274*$C$258:$C$274)</f>
        <v>190.935414617805</v>
      </c>
      <c r="J280" s="21" t="n">
        <f aca="false">SUMPRODUCT(($B$258:$B$274=$A280)*J$258:J$274*$C$258:$C$274)</f>
        <v>190.935414617805</v>
      </c>
      <c r="K280" s="21" t="n">
        <f aca="false">SUMPRODUCT(($B$258:$B$274=$A280)*K$258:K$274*$C$258:$C$274)</f>
        <v>190.935414617805</v>
      </c>
      <c r="L280" s="21" t="n">
        <f aca="false">SUMPRODUCT(($B$258:$B$274=$A280)*L$258:L$274*$C$258:$C$274)</f>
        <v>190.935414617805</v>
      </c>
      <c r="M280" s="21" t="n">
        <f aca="false">SUMPRODUCT(($B$258:$B$274=$A280)*M$258:M$274*$C$258:$C$274)</f>
        <v>190.935414617805</v>
      </c>
      <c r="N280" s="21" t="n">
        <f aca="false">SUMPRODUCT(($B$258:$B$274=$A280)*N$258:N$274*$C$258:$C$274)</f>
        <v>190.935414617805</v>
      </c>
      <c r="O280" s="21" t="n">
        <f aca="false">SUMPRODUCT(($B$258:$B$274=$A280)*O$258:O$274*$C$258:$C$274)</f>
        <v>190.935414617805</v>
      </c>
      <c r="P280" s="21" t="n">
        <f aca="false">SUMPRODUCT(($B$258:$B$274=$A280)*P$258:P$274*$C$258:$C$274)</f>
        <v>2291.22497541366</v>
      </c>
    </row>
    <row r="281" customFormat="false" ht="15" hidden="false" customHeight="false" outlineLevel="0" collapsed="false">
      <c r="A281" s="3" t="s">
        <v>152</v>
      </c>
      <c r="D281" s="21" t="n">
        <f aca="false">SUMPRODUCT(($B$258:$B$274=$A281)*D$258:D$274*$C$258:$C$274)</f>
        <v>92.3882795569583</v>
      </c>
      <c r="E281" s="21" t="n">
        <f aca="false">SUMPRODUCT(($B$258:$B$274=$A281)*E$258:E$274*$C$258:$C$274)</f>
        <v>92.3882795569583</v>
      </c>
      <c r="F281" s="21" t="n">
        <f aca="false">SUMPRODUCT(($B$258:$B$274=$A281)*F$258:F$274*$C$258:$C$274)</f>
        <v>92.3882795569583</v>
      </c>
      <c r="G281" s="21" t="n">
        <f aca="false">SUMPRODUCT(($B$258:$B$274=$A281)*G$258:G$274*$C$258:$C$274)</f>
        <v>92.3882795569583</v>
      </c>
      <c r="H281" s="21" t="n">
        <f aca="false">SUMPRODUCT(($B$258:$B$274=$A281)*H$258:H$274*$C$258:$C$274)</f>
        <v>92.3882795569583</v>
      </c>
      <c r="I281" s="21" t="n">
        <f aca="false">SUMPRODUCT(($B$258:$B$274=$A281)*I$258:I$274*$C$258:$C$274)</f>
        <v>92.3882795569583</v>
      </c>
      <c r="J281" s="21" t="n">
        <f aca="false">SUMPRODUCT(($B$258:$B$274=$A281)*J$258:J$274*$C$258:$C$274)</f>
        <v>92.3882795569583</v>
      </c>
      <c r="K281" s="21" t="n">
        <f aca="false">SUMPRODUCT(($B$258:$B$274=$A281)*K$258:K$274*$C$258:$C$274)</f>
        <v>92.3882795569583</v>
      </c>
      <c r="L281" s="21" t="n">
        <f aca="false">SUMPRODUCT(($B$258:$B$274=$A281)*L$258:L$274*$C$258:$C$274)</f>
        <v>92.3882795569583</v>
      </c>
      <c r="M281" s="21" t="n">
        <f aca="false">SUMPRODUCT(($B$258:$B$274=$A281)*M$258:M$274*$C$258:$C$274)</f>
        <v>92.3882795569583</v>
      </c>
      <c r="N281" s="21" t="n">
        <f aca="false">SUMPRODUCT(($B$258:$B$274=$A281)*N$258:N$274*$C$258:$C$274)</f>
        <v>92.3882795569583</v>
      </c>
      <c r="O281" s="21" t="n">
        <f aca="false">SUMPRODUCT(($B$258:$B$274=$A281)*O$258:O$274*$C$258:$C$274)</f>
        <v>92.3882795569583</v>
      </c>
      <c r="P281" s="21" t="n">
        <f aca="false">SUMPRODUCT(($B$258:$B$274=$A281)*P$258:P$274*$C$258:$C$274)</f>
        <v>1108.6593546835</v>
      </c>
    </row>
    <row r="282" customFormat="false" ht="15" hidden="false" customHeight="false" outlineLevel="0" collapsed="false">
      <c r="A282" s="3" t="s">
        <v>155</v>
      </c>
      <c r="D282" s="21" t="n">
        <f aca="false">SUMPRODUCT(($B$258:$B$274=$A282)*D$258:D$274*$C$258:$C$274)</f>
        <v>94.0575730272004</v>
      </c>
      <c r="E282" s="21" t="n">
        <f aca="false">SUMPRODUCT(($B$258:$B$274=$A282)*E$258:E$274*$C$258:$C$274)</f>
        <v>94.0575730272004</v>
      </c>
      <c r="F282" s="21" t="n">
        <f aca="false">SUMPRODUCT(($B$258:$B$274=$A282)*F$258:F$274*$C$258:$C$274)</f>
        <v>94.0575730272004</v>
      </c>
      <c r="G282" s="21" t="n">
        <f aca="false">SUMPRODUCT(($B$258:$B$274=$A282)*G$258:G$274*$C$258:$C$274)</f>
        <v>94.0575730272004</v>
      </c>
      <c r="H282" s="21" t="n">
        <f aca="false">SUMPRODUCT(($B$258:$B$274=$A282)*H$258:H$274*$C$258:$C$274)</f>
        <v>94.0575730272004</v>
      </c>
      <c r="I282" s="21" t="n">
        <f aca="false">SUMPRODUCT(($B$258:$B$274=$A282)*I$258:I$274*$C$258:$C$274)</f>
        <v>94.0575730272004</v>
      </c>
      <c r="J282" s="21" t="n">
        <f aca="false">SUMPRODUCT(($B$258:$B$274=$A282)*J$258:J$274*$C$258:$C$274)</f>
        <v>94.0575730272004</v>
      </c>
      <c r="K282" s="21" t="n">
        <f aca="false">SUMPRODUCT(($B$258:$B$274=$A282)*K$258:K$274*$C$258:$C$274)</f>
        <v>94.0575730272004</v>
      </c>
      <c r="L282" s="21" t="n">
        <f aca="false">SUMPRODUCT(($B$258:$B$274=$A282)*L$258:L$274*$C$258:$C$274)</f>
        <v>94.0575730272004</v>
      </c>
      <c r="M282" s="21" t="n">
        <f aca="false">SUMPRODUCT(($B$258:$B$274=$A282)*M$258:M$274*$C$258:$C$274)</f>
        <v>94.0575730272004</v>
      </c>
      <c r="N282" s="21" t="n">
        <f aca="false">SUMPRODUCT(($B$258:$B$274=$A282)*N$258:N$274*$C$258:$C$274)</f>
        <v>94.0575730272004</v>
      </c>
      <c r="O282" s="21" t="n">
        <f aca="false">SUMPRODUCT(($B$258:$B$274=$A282)*O$258:O$274*$C$258:$C$274)</f>
        <v>94.0575730272004</v>
      </c>
      <c r="P282" s="21" t="n">
        <f aca="false">SUMPRODUCT(($B$258:$B$274=$A282)*P$258:P$274*$C$258:$C$274)</f>
        <v>1128.6908763264</v>
      </c>
    </row>
    <row r="283" customFormat="false" ht="15" hidden="false" customHeight="false" outlineLevel="0" collapsed="false">
      <c r="A283" s="3" t="s">
        <v>156</v>
      </c>
      <c r="D283" s="21" t="n">
        <f aca="false">SUMPRODUCT(($B$258:$B$274=$A283)*D$258:D$274*$C$258:$C$274)</f>
        <v>688.815713455112</v>
      </c>
      <c r="E283" s="21" t="n">
        <f aca="false">SUMPRODUCT(($B$258:$B$274=$A283)*E$258:E$274*$C$258:$C$274)</f>
        <v>688.815713455112</v>
      </c>
      <c r="F283" s="21" t="n">
        <f aca="false">SUMPRODUCT(($B$258:$B$274=$A283)*F$258:F$274*$C$258:$C$274)</f>
        <v>688.815713455112</v>
      </c>
      <c r="G283" s="21" t="n">
        <f aca="false">SUMPRODUCT(($B$258:$B$274=$A283)*G$258:G$274*$C$258:$C$274)</f>
        <v>688.815713455112</v>
      </c>
      <c r="H283" s="21" t="n">
        <f aca="false">SUMPRODUCT(($B$258:$B$274=$A283)*H$258:H$274*$C$258:$C$274)</f>
        <v>688.815713455112</v>
      </c>
      <c r="I283" s="21" t="n">
        <f aca="false">SUMPRODUCT(($B$258:$B$274=$A283)*I$258:I$274*$C$258:$C$274)</f>
        <v>688.815713455112</v>
      </c>
      <c r="J283" s="21" t="n">
        <f aca="false">SUMPRODUCT(($B$258:$B$274=$A283)*J$258:J$274*$C$258:$C$274)</f>
        <v>688.815713455112</v>
      </c>
      <c r="K283" s="21" t="n">
        <f aca="false">SUMPRODUCT(($B$258:$B$274=$A283)*K$258:K$274*$C$258:$C$274)</f>
        <v>688.815713455112</v>
      </c>
      <c r="L283" s="21" t="n">
        <f aca="false">SUMPRODUCT(($B$258:$B$274=$A283)*L$258:L$274*$C$258:$C$274)</f>
        <v>688.815713455112</v>
      </c>
      <c r="M283" s="21" t="n">
        <f aca="false">SUMPRODUCT(($B$258:$B$274=$A283)*M$258:M$274*$C$258:$C$274)</f>
        <v>688.815713455112</v>
      </c>
      <c r="N283" s="21" t="n">
        <f aca="false">SUMPRODUCT(($B$258:$B$274=$A283)*N$258:N$274*$C$258:$C$274)</f>
        <v>688.815713455112</v>
      </c>
      <c r="O283" s="21" t="n">
        <f aca="false">SUMPRODUCT(($B$258:$B$274=$A283)*O$258:O$274*$C$258:$C$274)</f>
        <v>688.815713455112</v>
      </c>
      <c r="P283" s="21" t="n">
        <f aca="false">SUMPRODUCT(($B$258:$B$274=$A283)*P$258:P$274*$C$258:$C$274)</f>
        <v>8265.78856146135</v>
      </c>
    </row>
    <row r="284" customFormat="false" ht="15" hidden="false" customHeight="false" outlineLevel="0" collapsed="false">
      <c r="A284" s="3" t="s">
        <v>159</v>
      </c>
      <c r="D284" s="21" t="n">
        <f aca="false">SUMPRODUCT(($B$258:$B$274=$A284)*D$258:D$274*$C$258:$C$274)</f>
        <v>28.4771241128259</v>
      </c>
      <c r="E284" s="21" t="n">
        <f aca="false">SUMPRODUCT(($B$258:$B$274=$A284)*E$258:E$274*$C$258:$C$274)</f>
        <v>28.4771241128259</v>
      </c>
      <c r="F284" s="21" t="n">
        <f aca="false">SUMPRODUCT(($B$258:$B$274=$A284)*F$258:F$274*$C$258:$C$274)</f>
        <v>28.4771241128259</v>
      </c>
      <c r="G284" s="21" t="n">
        <f aca="false">SUMPRODUCT(($B$258:$B$274=$A284)*G$258:G$274*$C$258:$C$274)</f>
        <v>28.4771241128259</v>
      </c>
      <c r="H284" s="21" t="n">
        <f aca="false">SUMPRODUCT(($B$258:$B$274=$A284)*H$258:H$274*$C$258:$C$274)</f>
        <v>28.4771241128259</v>
      </c>
      <c r="I284" s="21" t="n">
        <f aca="false">SUMPRODUCT(($B$258:$B$274=$A284)*I$258:I$274*$C$258:$C$274)</f>
        <v>28.4771241128259</v>
      </c>
      <c r="J284" s="21" t="n">
        <f aca="false">SUMPRODUCT(($B$258:$B$274=$A284)*J$258:J$274*$C$258:$C$274)</f>
        <v>28.4771241128259</v>
      </c>
      <c r="K284" s="21" t="n">
        <f aca="false">SUMPRODUCT(($B$258:$B$274=$A284)*K$258:K$274*$C$258:$C$274)</f>
        <v>28.4771241128259</v>
      </c>
      <c r="L284" s="21" t="n">
        <f aca="false">SUMPRODUCT(($B$258:$B$274=$A284)*L$258:L$274*$C$258:$C$274)</f>
        <v>28.4771241128259</v>
      </c>
      <c r="M284" s="21" t="n">
        <f aca="false">SUMPRODUCT(($B$258:$B$274=$A284)*M$258:M$274*$C$258:$C$274)</f>
        <v>28.4771241128259</v>
      </c>
      <c r="N284" s="21" t="n">
        <f aca="false">SUMPRODUCT(($B$258:$B$274=$A284)*N$258:N$274*$C$258:$C$274)</f>
        <v>28.4771241128259</v>
      </c>
      <c r="O284" s="21" t="n">
        <f aca="false">SUMPRODUCT(($B$258:$B$274=$A284)*O$258:O$274*$C$258:$C$274)</f>
        <v>28.4771241128259</v>
      </c>
      <c r="P284" s="21" t="n">
        <f aca="false">SUMPRODUCT(($B$258:$B$274=$A284)*P$258:P$274*$C$258:$C$274)</f>
        <v>341.725489353911</v>
      </c>
    </row>
    <row r="285" customFormat="false" ht="15" hidden="false" customHeight="false" outlineLevel="0" collapsed="false">
      <c r="A285" s="5" t="s">
        <v>308</v>
      </c>
      <c r="D285" s="22" t="n">
        <f aca="false">SUMPRODUCT(D$258:D$274*parametros_recargas!$D$51:$D$67)</f>
        <v>287.505030005207</v>
      </c>
      <c r="E285" s="22" t="n">
        <f aca="false">SUMPRODUCT(E$258:E$274*parametros_recargas!$D$51:$D$67)</f>
        <v>287.505030005207</v>
      </c>
      <c r="F285" s="22" t="n">
        <f aca="false">SUMPRODUCT(F$258:F$274*parametros_recargas!$D$51:$D$67)</f>
        <v>287.505030005207</v>
      </c>
      <c r="G285" s="22" t="n">
        <f aca="false">SUMPRODUCT(G$258:G$274*parametros_recargas!$D$51:$D$67)</f>
        <v>287.505030005207</v>
      </c>
      <c r="H285" s="22" t="n">
        <f aca="false">SUMPRODUCT(H$258:H$274*parametros_recargas!$D$51:$D$67)</f>
        <v>287.505030005207</v>
      </c>
      <c r="I285" s="22" t="n">
        <f aca="false">SUMPRODUCT(I$258:I$274*parametros_recargas!$D$51:$D$67)</f>
        <v>287.505030005207</v>
      </c>
      <c r="J285" s="22" t="n">
        <f aca="false">SUMPRODUCT(J$258:J$274*parametros_recargas!$D$51:$D$67)</f>
        <v>287.505030005207</v>
      </c>
      <c r="K285" s="22" t="n">
        <f aca="false">SUMPRODUCT(K$258:K$274*parametros_recargas!$D$51:$D$67)</f>
        <v>287.505030005207</v>
      </c>
      <c r="L285" s="22" t="n">
        <f aca="false">SUMPRODUCT(L$258:L$274*parametros_recargas!$D$51:$D$67)</f>
        <v>287.505030005207</v>
      </c>
      <c r="M285" s="22" t="n">
        <f aca="false">SUMPRODUCT(M$258:M$274*parametros_recargas!$D$51:$D$67)</f>
        <v>287.505030005207</v>
      </c>
      <c r="N285" s="22" t="n">
        <f aca="false">SUMPRODUCT(N$258:N$274*parametros_recargas!$D$51:$D$67)</f>
        <v>287.505030005207</v>
      </c>
      <c r="O285" s="22" t="n">
        <f aca="false">SUMPRODUCT(O$258:O$274*parametros_recargas!$D$51:$D$67)</f>
        <v>287.505030005207</v>
      </c>
      <c r="P285" s="22" t="n">
        <f aca="false">SUMPRODUCT(P$258:P$274*parametros_recargas!$D$51:$D$67)</f>
        <v>3450.06036006249</v>
      </c>
    </row>
    <row r="289" customFormat="false" ht="23.85" hidden="false" customHeight="false" outlineLevel="0" collapsed="false">
      <c r="A289" s="23" t="n">
        <v>2035</v>
      </c>
      <c r="B289" s="2" t="s">
        <v>303</v>
      </c>
      <c r="C289" s="2" t="s">
        <v>304</v>
      </c>
      <c r="D289" s="2" t="s">
        <v>130</v>
      </c>
      <c r="E289" s="2" t="s">
        <v>131</v>
      </c>
      <c r="F289" s="2" t="s">
        <v>132</v>
      </c>
      <c r="G289" s="2" t="s">
        <v>133</v>
      </c>
      <c r="H289" s="2" t="s">
        <v>134</v>
      </c>
      <c r="I289" s="2" t="s">
        <v>135</v>
      </c>
      <c r="J289" s="2" t="s">
        <v>136</v>
      </c>
      <c r="K289" s="2" t="s">
        <v>137</v>
      </c>
      <c r="L289" s="2" t="s">
        <v>138</v>
      </c>
      <c r="M289" s="2" t="s">
        <v>139</v>
      </c>
      <c r="N289" s="2" t="s">
        <v>140</v>
      </c>
      <c r="O289" s="2" t="s">
        <v>141</v>
      </c>
      <c r="P289" s="2" t="s">
        <v>66</v>
      </c>
      <c r="Q289" s="2" t="s">
        <v>305</v>
      </c>
    </row>
    <row r="290" customFormat="false" ht="15" hidden="false" customHeight="false" outlineLevel="0" collapsed="false">
      <c r="A290" s="8" t="str">
        <f aca="false">parametros_recargas!A51</f>
        <v>ABC 1 kg</v>
      </c>
      <c r="B290" s="8" t="str">
        <f aca="false">parametros_recargas!B51</f>
        <v>ABC</v>
      </c>
      <c r="C290" s="11" t="n">
        <f aca="false">parametros_recargas!C51</f>
        <v>1</v>
      </c>
      <c r="D290" s="21" t="n">
        <f aca="false">datos_base!$K$2*parametros_recargas!$B$46+sobrestock_sustitutos!$K$88/12</f>
        <v>4714.65307145878</v>
      </c>
      <c r="E290" s="21" t="n">
        <f aca="false">datos_base!$K$2*parametros_recargas!$C$46+sobrestock_sustitutos!$K$88/12</f>
        <v>4714.65307145878</v>
      </c>
      <c r="F290" s="21" t="n">
        <f aca="false">datos_base!$K$2*parametros_recargas!$D$46+sobrestock_sustitutos!$K$88/12</f>
        <v>4714.65307145878</v>
      </c>
      <c r="G290" s="21" t="n">
        <f aca="false">datos_base!$K$2*parametros_recargas!$E$46+sobrestock_sustitutos!$K$88/12</f>
        <v>4714.65307145878</v>
      </c>
      <c r="H290" s="21" t="n">
        <f aca="false">datos_base!$K$2*parametros_recargas!$F$46+sobrestock_sustitutos!$K$88/12</f>
        <v>4714.65307145878</v>
      </c>
      <c r="I290" s="21" t="n">
        <f aca="false">datos_base!$K$2*parametros_recargas!$G$46+sobrestock_sustitutos!$K$88/12</f>
        <v>4714.65307145878</v>
      </c>
      <c r="J290" s="21" t="n">
        <f aca="false">datos_base!$K$2*parametros_recargas!$H$46+sobrestock_sustitutos!$K$88/12</f>
        <v>4714.65307145878</v>
      </c>
      <c r="K290" s="21" t="n">
        <f aca="false">datos_base!$K$2*parametros_recargas!$I$46+sobrestock_sustitutos!$K$88/12</f>
        <v>4714.65307145878</v>
      </c>
      <c r="L290" s="21" t="n">
        <f aca="false">datos_base!$K$2*parametros_recargas!$J$46+sobrestock_sustitutos!$K$88/12</f>
        <v>4714.65307145878</v>
      </c>
      <c r="M290" s="21" t="n">
        <f aca="false">datos_base!$K$2*parametros_recargas!$K$46+sobrestock_sustitutos!$K$88/12</f>
        <v>4714.65307145878</v>
      </c>
      <c r="N290" s="21" t="n">
        <f aca="false">datos_base!$K$2*parametros_recargas!$L$46+sobrestock_sustitutos!$K$88/12</f>
        <v>4714.65307145878</v>
      </c>
      <c r="O290" s="21" t="n">
        <f aca="false">datos_base!$K$2*parametros_recargas!$M$46+sobrestock_sustitutos!$K$88/12</f>
        <v>4714.65307145878</v>
      </c>
      <c r="P290" s="6" t="n">
        <f aca="false">SUM(D290:O290)</f>
        <v>56575.8368575054</v>
      </c>
      <c r="Q290" s="4" t="n">
        <f aca="false">sobrestock_sustitutos!$K$88</f>
        <v>0</v>
      </c>
    </row>
    <row r="291" customFormat="false" ht="15" hidden="false" customHeight="false" outlineLevel="0" collapsed="false">
      <c r="A291" s="8" t="str">
        <f aca="false">parametros_recargas!A52</f>
        <v>ABC 2,5 kg</v>
      </c>
      <c r="B291" s="8" t="str">
        <f aca="false">parametros_recargas!B52</f>
        <v>ABC</v>
      </c>
      <c r="C291" s="11" t="n">
        <f aca="false">parametros_recargas!C52</f>
        <v>1</v>
      </c>
      <c r="D291" s="21" t="n">
        <f aca="false">datos_base!$K$3*parametros_recargas!$B$46+sobrestock_sustitutos!$K$89/12</f>
        <v>403.892509865908</v>
      </c>
      <c r="E291" s="21" t="n">
        <f aca="false">datos_base!$K$3*parametros_recargas!$C$46+sobrestock_sustitutos!$K$89/12</f>
        <v>403.892509865908</v>
      </c>
      <c r="F291" s="21" t="n">
        <f aca="false">datos_base!$K$3*parametros_recargas!$D$46+sobrestock_sustitutos!$K$89/12</f>
        <v>403.892509865908</v>
      </c>
      <c r="G291" s="21" t="n">
        <f aca="false">datos_base!$K$3*parametros_recargas!$E$46+sobrestock_sustitutos!$K$89/12</f>
        <v>403.892509865908</v>
      </c>
      <c r="H291" s="21" t="n">
        <f aca="false">datos_base!$K$3*parametros_recargas!$F$46+sobrestock_sustitutos!$K$89/12</f>
        <v>403.892509865908</v>
      </c>
      <c r="I291" s="21" t="n">
        <f aca="false">datos_base!$K$3*parametros_recargas!$G$46+sobrestock_sustitutos!$K$89/12</f>
        <v>403.892509865908</v>
      </c>
      <c r="J291" s="21" t="n">
        <f aca="false">datos_base!$K$3*parametros_recargas!$H$46+sobrestock_sustitutos!$K$89/12</f>
        <v>403.892509865908</v>
      </c>
      <c r="K291" s="21" t="n">
        <f aca="false">datos_base!$K$3*parametros_recargas!$I$46+sobrestock_sustitutos!$K$89/12</f>
        <v>403.892509865908</v>
      </c>
      <c r="L291" s="21" t="n">
        <f aca="false">datos_base!$K$3*parametros_recargas!$J$46+sobrestock_sustitutos!$K$89/12</f>
        <v>403.892509865908</v>
      </c>
      <c r="M291" s="21" t="n">
        <f aca="false">datos_base!$K$3*parametros_recargas!$K$46+sobrestock_sustitutos!$K$89/12</f>
        <v>403.892509865908</v>
      </c>
      <c r="N291" s="21" t="n">
        <f aca="false">datos_base!$K$3*parametros_recargas!$L$46+sobrestock_sustitutos!$K$89/12</f>
        <v>403.892509865908</v>
      </c>
      <c r="O291" s="21" t="n">
        <f aca="false">datos_base!$K$3*parametros_recargas!$M$46+sobrestock_sustitutos!$K$89/12</f>
        <v>403.892509865908</v>
      </c>
      <c r="P291" s="6" t="n">
        <f aca="false">SUM(D291:O291)</f>
        <v>4846.71011839089</v>
      </c>
      <c r="Q291" s="4" t="n">
        <f aca="false">sobrestock_sustitutos!$K$89</f>
        <v>56</v>
      </c>
    </row>
    <row r="292" customFormat="false" ht="15" hidden="false" customHeight="false" outlineLevel="0" collapsed="false">
      <c r="A292" s="8" t="str">
        <f aca="false">parametros_recargas!A53</f>
        <v>ABC 5 kg</v>
      </c>
      <c r="B292" s="8" t="str">
        <f aca="false">parametros_recargas!B53</f>
        <v>ABC</v>
      </c>
      <c r="C292" s="11" t="n">
        <f aca="false">parametros_recargas!C53</f>
        <v>1</v>
      </c>
      <c r="D292" s="21" t="n">
        <f aca="false">datos_base!$K$4*parametros_recargas!$B$46+sobrestock_sustitutos!$K$90/12</f>
        <v>2456.61002589956</v>
      </c>
      <c r="E292" s="21" t="n">
        <f aca="false">datos_base!$K$4*parametros_recargas!$C$46+sobrestock_sustitutos!$K$90/12</f>
        <v>2456.61002589956</v>
      </c>
      <c r="F292" s="21" t="n">
        <f aca="false">datos_base!$K$4*parametros_recargas!$D$46+sobrestock_sustitutos!$K$90/12</f>
        <v>2456.61002589956</v>
      </c>
      <c r="G292" s="21" t="n">
        <f aca="false">datos_base!$K$4*parametros_recargas!$E$46+sobrestock_sustitutos!$K$90/12</f>
        <v>2456.61002589956</v>
      </c>
      <c r="H292" s="21" t="n">
        <f aca="false">datos_base!$K$4*parametros_recargas!$F$46+sobrestock_sustitutos!$K$90/12</f>
        <v>2456.61002589956</v>
      </c>
      <c r="I292" s="21" t="n">
        <f aca="false">datos_base!$K$4*parametros_recargas!$G$46+sobrestock_sustitutos!$K$90/12</f>
        <v>2456.61002589956</v>
      </c>
      <c r="J292" s="21" t="n">
        <f aca="false">datos_base!$K$4*parametros_recargas!$H$46+sobrestock_sustitutos!$K$90/12</f>
        <v>2456.61002589956</v>
      </c>
      <c r="K292" s="21" t="n">
        <f aca="false">datos_base!$K$4*parametros_recargas!$I$46+sobrestock_sustitutos!$K$90/12</f>
        <v>2456.61002589956</v>
      </c>
      <c r="L292" s="21" t="n">
        <f aca="false">datos_base!$K$4*parametros_recargas!$J$46+sobrestock_sustitutos!$K$90/12</f>
        <v>2456.61002589956</v>
      </c>
      <c r="M292" s="21" t="n">
        <f aca="false">datos_base!$K$4*parametros_recargas!$K$46+sobrestock_sustitutos!$K$90/12</f>
        <v>2456.61002589956</v>
      </c>
      <c r="N292" s="21" t="n">
        <f aca="false">datos_base!$K$4*parametros_recargas!$L$46+sobrestock_sustitutos!$K$90/12</f>
        <v>2456.61002589956</v>
      </c>
      <c r="O292" s="21" t="n">
        <f aca="false">datos_base!$K$4*parametros_recargas!$M$46+sobrestock_sustitutos!$K$90/12</f>
        <v>2456.61002589956</v>
      </c>
      <c r="P292" s="6" t="n">
        <f aca="false">SUM(D292:O292)</f>
        <v>29479.3203107948</v>
      </c>
      <c r="Q292" s="4" t="n">
        <f aca="false">sobrestock_sustitutos!$K$90</f>
        <v>340</v>
      </c>
    </row>
    <row r="293" customFormat="false" ht="15" hidden="false" customHeight="false" outlineLevel="0" collapsed="false">
      <c r="A293" s="8" t="str">
        <f aca="false">parametros_recargas!A54</f>
        <v>ABC 10 kg</v>
      </c>
      <c r="B293" s="8" t="str">
        <f aca="false">parametros_recargas!B54</f>
        <v>ABC</v>
      </c>
      <c r="C293" s="11" t="n">
        <f aca="false">parametros_recargas!C54</f>
        <v>1</v>
      </c>
      <c r="D293" s="21" t="n">
        <f aca="false">datos_base!$K$5*parametros_recargas!$B$46+sobrestock_sustitutos!$K$91/12</f>
        <v>145.530796378328</v>
      </c>
      <c r="E293" s="21" t="n">
        <f aca="false">datos_base!$K$5*parametros_recargas!$C$46+sobrestock_sustitutos!$K$91/12</f>
        <v>145.530796378328</v>
      </c>
      <c r="F293" s="21" t="n">
        <f aca="false">datos_base!$K$5*parametros_recargas!$D$46+sobrestock_sustitutos!$K$91/12</f>
        <v>145.530796378328</v>
      </c>
      <c r="G293" s="21" t="n">
        <f aca="false">datos_base!$K$5*parametros_recargas!$E$46+sobrestock_sustitutos!$K$91/12</f>
        <v>145.530796378328</v>
      </c>
      <c r="H293" s="21" t="n">
        <f aca="false">datos_base!$K$5*parametros_recargas!$F$46+sobrestock_sustitutos!$K$91/12</f>
        <v>145.530796378328</v>
      </c>
      <c r="I293" s="21" t="n">
        <f aca="false">datos_base!$K$5*parametros_recargas!$G$46+sobrestock_sustitutos!$K$91/12</f>
        <v>145.530796378328</v>
      </c>
      <c r="J293" s="21" t="n">
        <f aca="false">datos_base!$K$5*parametros_recargas!$H$46+sobrestock_sustitutos!$K$91/12</f>
        <v>145.530796378328</v>
      </c>
      <c r="K293" s="21" t="n">
        <f aca="false">datos_base!$K$5*parametros_recargas!$I$46+sobrestock_sustitutos!$K$91/12</f>
        <v>145.530796378328</v>
      </c>
      <c r="L293" s="21" t="n">
        <f aca="false">datos_base!$K$5*parametros_recargas!$J$46+sobrestock_sustitutos!$K$91/12</f>
        <v>145.530796378328</v>
      </c>
      <c r="M293" s="21" t="n">
        <f aca="false">datos_base!$K$5*parametros_recargas!$K$46+sobrestock_sustitutos!$K$91/12</f>
        <v>145.530796378328</v>
      </c>
      <c r="N293" s="21" t="n">
        <f aca="false">datos_base!$K$5*parametros_recargas!$L$46+sobrestock_sustitutos!$K$91/12</f>
        <v>145.530796378328</v>
      </c>
      <c r="O293" s="21" t="n">
        <f aca="false">datos_base!$K$5*parametros_recargas!$M$46+sobrestock_sustitutos!$K$91/12</f>
        <v>145.530796378328</v>
      </c>
      <c r="P293" s="6" t="n">
        <f aca="false">SUM(D293:O293)</f>
        <v>1746.36955653994</v>
      </c>
      <c r="Q293" s="4" t="n">
        <f aca="false">sobrestock_sustitutos!$K$91</f>
        <v>21</v>
      </c>
    </row>
    <row r="294" customFormat="false" ht="15" hidden="false" customHeight="false" outlineLevel="0" collapsed="false">
      <c r="A294" s="8" t="str">
        <f aca="false">parametros_recargas!A55</f>
        <v>Agua 10 l</v>
      </c>
      <c r="B294" s="8" t="str">
        <f aca="false">parametros_recargas!B55</f>
        <v>Agua</v>
      </c>
      <c r="C294" s="11" t="n">
        <f aca="false">parametros_recargas!C55</f>
        <v>1</v>
      </c>
      <c r="D294" s="21" t="n">
        <f aca="false">datos_base!$K$6*parametros_recargas!$B$46+sobrestock_sustitutos!$K$92/12</f>
        <v>205.402759944803</v>
      </c>
      <c r="E294" s="21" t="n">
        <f aca="false">datos_base!$K$6*parametros_recargas!$C$46+sobrestock_sustitutos!$K$92/12</f>
        <v>205.402759944803</v>
      </c>
      <c r="F294" s="21" t="n">
        <f aca="false">datos_base!$K$6*parametros_recargas!$D$46+sobrestock_sustitutos!$K$92/12</f>
        <v>205.402759944803</v>
      </c>
      <c r="G294" s="21" t="n">
        <f aca="false">datos_base!$K$6*parametros_recargas!$E$46+sobrestock_sustitutos!$K$92/12</f>
        <v>205.402759944803</v>
      </c>
      <c r="H294" s="21" t="n">
        <f aca="false">datos_base!$K$6*parametros_recargas!$F$46+sobrestock_sustitutos!$K$92/12</f>
        <v>205.402759944803</v>
      </c>
      <c r="I294" s="21" t="n">
        <f aca="false">datos_base!$K$6*parametros_recargas!$G$46+sobrestock_sustitutos!$K$92/12</f>
        <v>205.402759944803</v>
      </c>
      <c r="J294" s="21" t="n">
        <f aca="false">datos_base!$K$6*parametros_recargas!$H$46+sobrestock_sustitutos!$K$92/12</f>
        <v>205.402759944803</v>
      </c>
      <c r="K294" s="21" t="n">
        <f aca="false">datos_base!$K$6*parametros_recargas!$I$46+sobrestock_sustitutos!$K$92/12</f>
        <v>205.402759944803</v>
      </c>
      <c r="L294" s="21" t="n">
        <f aca="false">datos_base!$K$6*parametros_recargas!$J$46+sobrestock_sustitutos!$K$92/12</f>
        <v>205.402759944803</v>
      </c>
      <c r="M294" s="21" t="n">
        <f aca="false">datos_base!$K$6*parametros_recargas!$K$46+sobrestock_sustitutos!$K$92/12</f>
        <v>205.402759944803</v>
      </c>
      <c r="N294" s="21" t="n">
        <f aca="false">datos_base!$K$6*parametros_recargas!$L$46+sobrestock_sustitutos!$K$92/12</f>
        <v>205.402759944803</v>
      </c>
      <c r="O294" s="21" t="n">
        <f aca="false">datos_base!$K$6*parametros_recargas!$M$46+sobrestock_sustitutos!$K$92/12</f>
        <v>205.402759944803</v>
      </c>
      <c r="P294" s="6" t="n">
        <f aca="false">SUM(D294:O294)</f>
        <v>2464.83311933763</v>
      </c>
      <c r="Q294" s="4" t="n">
        <f aca="false">sobrestock_sustitutos!$K$92</f>
        <v>29</v>
      </c>
    </row>
    <row r="295" customFormat="false" ht="15" hidden="false" customHeight="false" outlineLevel="0" collapsed="false">
      <c r="A295" s="8" t="str">
        <f aca="false">parametros_recargas!A56</f>
        <v>AFFF 10 l</v>
      </c>
      <c r="B295" s="8" t="str">
        <f aca="false">parametros_recargas!B56</f>
        <v>AFFF</v>
      </c>
      <c r="C295" s="11" t="n">
        <f aca="false">parametros_recargas!C56</f>
        <v>1</v>
      </c>
      <c r="D295" s="21" t="n">
        <f aca="false">datos_base!$K$7*parametros_recargas!$B$46+sobrestock_sustitutos!$K$93/12</f>
        <v>39.0382157297276</v>
      </c>
      <c r="E295" s="21" t="n">
        <f aca="false">datos_base!$K$7*parametros_recargas!$C$46+sobrestock_sustitutos!$K$93/12</f>
        <v>39.0382157297276</v>
      </c>
      <c r="F295" s="21" t="n">
        <f aca="false">datos_base!$K$7*parametros_recargas!$D$46+sobrestock_sustitutos!$K$93/12</f>
        <v>39.0382157297276</v>
      </c>
      <c r="G295" s="21" t="n">
        <f aca="false">datos_base!$K$7*parametros_recargas!$E$46+sobrestock_sustitutos!$K$93/12</f>
        <v>39.0382157297276</v>
      </c>
      <c r="H295" s="21" t="n">
        <f aca="false">datos_base!$K$7*parametros_recargas!$F$46+sobrestock_sustitutos!$K$93/12</f>
        <v>39.0382157297276</v>
      </c>
      <c r="I295" s="21" t="n">
        <f aca="false">datos_base!$K$7*parametros_recargas!$G$46+sobrestock_sustitutos!$K$93/12</f>
        <v>39.0382157297276</v>
      </c>
      <c r="J295" s="21" t="n">
        <f aca="false">datos_base!$K$7*parametros_recargas!$H$46+sobrestock_sustitutos!$K$93/12</f>
        <v>39.0382157297276</v>
      </c>
      <c r="K295" s="21" t="n">
        <f aca="false">datos_base!$K$7*parametros_recargas!$I$46+sobrestock_sustitutos!$K$93/12</f>
        <v>39.0382157297276</v>
      </c>
      <c r="L295" s="21" t="n">
        <f aca="false">datos_base!$K$7*parametros_recargas!$J$46+sobrestock_sustitutos!$K$93/12</f>
        <v>39.0382157297276</v>
      </c>
      <c r="M295" s="21" t="n">
        <f aca="false">datos_base!$K$7*parametros_recargas!$K$46+sobrestock_sustitutos!$K$93/12</f>
        <v>39.0382157297276</v>
      </c>
      <c r="N295" s="21" t="n">
        <f aca="false">datos_base!$K$7*parametros_recargas!$L$46+sobrestock_sustitutos!$K$93/12</f>
        <v>39.0382157297276</v>
      </c>
      <c r="O295" s="21" t="n">
        <f aca="false">datos_base!$K$7*parametros_recargas!$M$46+sobrestock_sustitutos!$K$93/12</f>
        <v>39.0382157297276</v>
      </c>
      <c r="P295" s="6" t="n">
        <f aca="false">SUM(D295:O295)</f>
        <v>468.458588756731</v>
      </c>
      <c r="Q295" s="4" t="n">
        <f aca="false">sobrestock_sustitutos!$K$93</f>
        <v>6</v>
      </c>
    </row>
    <row r="296" customFormat="false" ht="15" hidden="false" customHeight="false" outlineLevel="0" collapsed="false">
      <c r="A296" s="8" t="str">
        <f aca="false">parametros_recargas!A57</f>
        <v>AFFF 50 l s/ruedas</v>
      </c>
      <c r="B296" s="8" t="str">
        <f aca="false">parametros_recargas!B57</f>
        <v>AFFF</v>
      </c>
      <c r="C296" s="11" t="n">
        <f aca="false">parametros_recargas!C57</f>
        <v>3</v>
      </c>
      <c r="D296" s="21" t="n">
        <f aca="false">datos_base!$K$8*parametros_recargas!$B$46+sobrestock_sustitutos!$K$94/12</f>
        <v>20.338902783776</v>
      </c>
      <c r="E296" s="21" t="n">
        <f aca="false">datos_base!$K$8*parametros_recargas!$C$46+sobrestock_sustitutos!$K$94/12</f>
        <v>20.338902783776</v>
      </c>
      <c r="F296" s="21" t="n">
        <f aca="false">datos_base!$K$8*parametros_recargas!$D$46+sobrestock_sustitutos!$K$94/12</f>
        <v>20.338902783776</v>
      </c>
      <c r="G296" s="21" t="n">
        <f aca="false">datos_base!$K$8*parametros_recargas!$E$46+sobrestock_sustitutos!$K$94/12</f>
        <v>20.338902783776</v>
      </c>
      <c r="H296" s="21" t="n">
        <f aca="false">datos_base!$K$8*parametros_recargas!$F$46+sobrestock_sustitutos!$K$94/12</f>
        <v>20.338902783776</v>
      </c>
      <c r="I296" s="21" t="n">
        <f aca="false">datos_base!$K$8*parametros_recargas!$G$46+sobrestock_sustitutos!$K$94/12</f>
        <v>20.338902783776</v>
      </c>
      <c r="J296" s="21" t="n">
        <f aca="false">datos_base!$K$8*parametros_recargas!$H$46+sobrestock_sustitutos!$K$94/12</f>
        <v>20.338902783776</v>
      </c>
      <c r="K296" s="21" t="n">
        <f aca="false">datos_base!$K$8*parametros_recargas!$I$46+sobrestock_sustitutos!$K$94/12</f>
        <v>20.338902783776</v>
      </c>
      <c r="L296" s="21" t="n">
        <f aca="false">datos_base!$K$8*parametros_recargas!$J$46+sobrestock_sustitutos!$K$94/12</f>
        <v>20.338902783776</v>
      </c>
      <c r="M296" s="21" t="n">
        <f aca="false">datos_base!$K$8*parametros_recargas!$K$46+sobrestock_sustitutos!$K$94/12</f>
        <v>20.338902783776</v>
      </c>
      <c r="N296" s="21" t="n">
        <f aca="false">datos_base!$K$8*parametros_recargas!$L$46+sobrestock_sustitutos!$K$94/12</f>
        <v>20.338902783776</v>
      </c>
      <c r="O296" s="21" t="n">
        <f aca="false">datos_base!$K$8*parametros_recargas!$M$46+sobrestock_sustitutos!$K$94/12</f>
        <v>20.338902783776</v>
      </c>
      <c r="P296" s="6" t="n">
        <f aca="false">SUM(D296:O296)</f>
        <v>244.066833405312</v>
      </c>
      <c r="Q296" s="4" t="n">
        <f aca="false">sobrestock_sustitutos!$K$94</f>
        <v>3</v>
      </c>
    </row>
    <row r="297" customFormat="false" ht="15" hidden="false" customHeight="false" outlineLevel="0" collapsed="false">
      <c r="A297" s="8" t="str">
        <f aca="false">parametros_recargas!A58</f>
        <v>BC 5 kg</v>
      </c>
      <c r="B297" s="8" t="str">
        <f aca="false">parametros_recargas!B58</f>
        <v>BC</v>
      </c>
      <c r="C297" s="11" t="n">
        <f aca="false">parametros_recargas!C58</f>
        <v>1</v>
      </c>
      <c r="D297" s="21" t="n">
        <f aca="false">datos_base!$K$9*parametros_recargas!$B$46+sobrestock_sustitutos!$K$95/12</f>
        <v>11.7796963295538</v>
      </c>
      <c r="E297" s="21" t="n">
        <f aca="false">datos_base!$K$9*parametros_recargas!$C$46+sobrestock_sustitutos!$K$95/12</f>
        <v>11.7796963295538</v>
      </c>
      <c r="F297" s="21" t="n">
        <f aca="false">datos_base!$K$9*parametros_recargas!$D$46+sobrestock_sustitutos!$K$95/12</f>
        <v>11.7796963295538</v>
      </c>
      <c r="G297" s="21" t="n">
        <f aca="false">datos_base!$K$9*parametros_recargas!$E$46+sobrestock_sustitutos!$K$95/12</f>
        <v>11.7796963295538</v>
      </c>
      <c r="H297" s="21" t="n">
        <f aca="false">datos_base!$K$9*parametros_recargas!$F$46+sobrestock_sustitutos!$K$95/12</f>
        <v>11.7796963295538</v>
      </c>
      <c r="I297" s="21" t="n">
        <f aca="false">datos_base!$K$9*parametros_recargas!$G$46+sobrestock_sustitutos!$K$95/12</f>
        <v>11.7796963295538</v>
      </c>
      <c r="J297" s="21" t="n">
        <f aca="false">datos_base!$K$9*parametros_recargas!$H$46+sobrestock_sustitutos!$K$95/12</f>
        <v>11.7796963295538</v>
      </c>
      <c r="K297" s="21" t="n">
        <f aca="false">datos_base!$K$9*parametros_recargas!$I$46+sobrestock_sustitutos!$K$95/12</f>
        <v>11.7796963295538</v>
      </c>
      <c r="L297" s="21" t="n">
        <f aca="false">datos_base!$K$9*parametros_recargas!$J$46+sobrestock_sustitutos!$K$95/12</f>
        <v>11.7796963295538</v>
      </c>
      <c r="M297" s="21" t="n">
        <f aca="false">datos_base!$K$9*parametros_recargas!$K$46+sobrestock_sustitutos!$K$95/12</f>
        <v>11.7796963295538</v>
      </c>
      <c r="N297" s="21" t="n">
        <f aca="false">datos_base!$K$9*parametros_recargas!$L$46+sobrestock_sustitutos!$K$95/12</f>
        <v>11.7796963295538</v>
      </c>
      <c r="O297" s="21" t="n">
        <f aca="false">datos_base!$K$9*parametros_recargas!$M$46+sobrestock_sustitutos!$K$95/12</f>
        <v>11.7796963295538</v>
      </c>
      <c r="P297" s="6" t="n">
        <f aca="false">SUM(D297:O297)</f>
        <v>141.356355954645</v>
      </c>
      <c r="Q297" s="4" t="n">
        <f aca="false">sobrestock_sustitutos!$K$95</f>
        <v>2</v>
      </c>
    </row>
    <row r="298" customFormat="false" ht="15" hidden="false" customHeight="false" outlineLevel="0" collapsed="false">
      <c r="A298" s="8" t="str">
        <f aca="false">parametros_recargas!A59</f>
        <v>Sales K 6 l</v>
      </c>
      <c r="B298" s="8" t="str">
        <f aca="false">parametros_recargas!B59</f>
        <v>Sales K</v>
      </c>
      <c r="C298" s="11" t="n">
        <f aca="false">parametros_recargas!C59</f>
        <v>1</v>
      </c>
      <c r="D298" s="21" t="n">
        <f aca="false">datos_base!$K$10*parametros_recargas!$B$46+sobrestock_sustitutos!$K$96/12</f>
        <v>101.270235159015</v>
      </c>
      <c r="E298" s="21" t="n">
        <f aca="false">datos_base!$K$10*parametros_recargas!$C$46+sobrestock_sustitutos!$K$96/12</f>
        <v>101.270235159015</v>
      </c>
      <c r="F298" s="21" t="n">
        <f aca="false">datos_base!$K$10*parametros_recargas!$D$46+sobrestock_sustitutos!$K$96/12</f>
        <v>101.270235159015</v>
      </c>
      <c r="G298" s="21" t="n">
        <f aca="false">datos_base!$K$10*parametros_recargas!$E$46+sobrestock_sustitutos!$K$96/12</f>
        <v>101.270235159015</v>
      </c>
      <c r="H298" s="21" t="n">
        <f aca="false">datos_base!$K$10*parametros_recargas!$F$46+sobrestock_sustitutos!$K$96/12</f>
        <v>101.270235159015</v>
      </c>
      <c r="I298" s="21" t="n">
        <f aca="false">datos_base!$K$10*parametros_recargas!$G$46+sobrestock_sustitutos!$K$96/12</f>
        <v>101.270235159015</v>
      </c>
      <c r="J298" s="21" t="n">
        <f aca="false">datos_base!$K$10*parametros_recargas!$H$46+sobrestock_sustitutos!$K$96/12</f>
        <v>101.270235159015</v>
      </c>
      <c r="K298" s="21" t="n">
        <f aca="false">datos_base!$K$10*parametros_recargas!$I$46+sobrestock_sustitutos!$K$96/12</f>
        <v>101.270235159015</v>
      </c>
      <c r="L298" s="21" t="n">
        <f aca="false">datos_base!$K$10*parametros_recargas!$J$46+sobrestock_sustitutos!$K$96/12</f>
        <v>101.270235159015</v>
      </c>
      <c r="M298" s="21" t="n">
        <f aca="false">datos_base!$K$10*parametros_recargas!$K$46+sobrestock_sustitutos!$K$96/12</f>
        <v>101.270235159015</v>
      </c>
      <c r="N298" s="21" t="n">
        <f aca="false">datos_base!$K$10*parametros_recargas!$L$46+sobrestock_sustitutos!$K$96/12</f>
        <v>101.270235159015</v>
      </c>
      <c r="O298" s="21" t="n">
        <f aca="false">datos_base!$K$10*parametros_recargas!$M$46+sobrestock_sustitutos!$K$96/12</f>
        <v>101.270235159015</v>
      </c>
      <c r="P298" s="6" t="n">
        <f aca="false">SUM(D298:O298)</f>
        <v>1215.24282190818</v>
      </c>
      <c r="Q298" s="4" t="n">
        <f aca="false">sobrestock_sustitutos!$K$96</f>
        <v>14</v>
      </c>
    </row>
    <row r="299" customFormat="false" ht="15" hidden="false" customHeight="false" outlineLevel="0" collapsed="false">
      <c r="A299" s="8" t="str">
        <f aca="false">parametros_recargas!A60</f>
        <v>CO₂ 2 kg</v>
      </c>
      <c r="B299" s="8" t="str">
        <f aca="false">parametros_recargas!B60</f>
        <v>CO₂</v>
      </c>
      <c r="C299" s="11" t="n">
        <f aca="false">parametros_recargas!C60</f>
        <v>1</v>
      </c>
      <c r="D299" s="21" t="n">
        <f aca="false">datos_base!$K$11*parametros_recargas!$B$46+sobrestock_sustitutos!$K$97/12</f>
        <v>552.492777264515</v>
      </c>
      <c r="E299" s="21" t="n">
        <f aca="false">datos_base!$K$11*parametros_recargas!$C$46+sobrestock_sustitutos!$K$97/12</f>
        <v>552.492777264515</v>
      </c>
      <c r="F299" s="21" t="n">
        <f aca="false">datos_base!$K$11*parametros_recargas!$D$46+sobrestock_sustitutos!$K$97/12</f>
        <v>552.492777264515</v>
      </c>
      <c r="G299" s="21" t="n">
        <f aca="false">datos_base!$K$11*parametros_recargas!$E$46+sobrestock_sustitutos!$K$97/12</f>
        <v>552.492777264515</v>
      </c>
      <c r="H299" s="21" t="n">
        <f aca="false">datos_base!$K$11*parametros_recargas!$F$46+sobrestock_sustitutos!$K$97/12</f>
        <v>552.492777264515</v>
      </c>
      <c r="I299" s="21" t="n">
        <f aca="false">datos_base!$K$11*parametros_recargas!$G$46+sobrestock_sustitutos!$K$97/12</f>
        <v>552.492777264515</v>
      </c>
      <c r="J299" s="21" t="n">
        <f aca="false">datos_base!$K$11*parametros_recargas!$H$46+sobrestock_sustitutos!$K$97/12</f>
        <v>552.492777264515</v>
      </c>
      <c r="K299" s="21" t="n">
        <f aca="false">datos_base!$K$11*parametros_recargas!$I$46+sobrestock_sustitutos!$K$97/12</f>
        <v>552.492777264515</v>
      </c>
      <c r="L299" s="21" t="n">
        <f aca="false">datos_base!$K$11*parametros_recargas!$J$46+sobrestock_sustitutos!$K$97/12</f>
        <v>552.492777264515</v>
      </c>
      <c r="M299" s="21" t="n">
        <f aca="false">datos_base!$K$11*parametros_recargas!$K$46+sobrestock_sustitutos!$K$97/12</f>
        <v>552.492777264515</v>
      </c>
      <c r="N299" s="21" t="n">
        <f aca="false">datos_base!$K$11*parametros_recargas!$L$46+sobrestock_sustitutos!$K$97/12</f>
        <v>552.492777264515</v>
      </c>
      <c r="O299" s="21" t="n">
        <f aca="false">datos_base!$K$11*parametros_recargas!$M$46+sobrestock_sustitutos!$K$97/12</f>
        <v>552.492777264515</v>
      </c>
      <c r="P299" s="6" t="n">
        <f aca="false">SUM(D299:O299)</f>
        <v>6629.91332717417</v>
      </c>
      <c r="Q299" s="4" t="n">
        <f aca="false">sobrestock_sustitutos!$K$97</f>
        <v>77</v>
      </c>
    </row>
    <row r="300" customFormat="false" ht="15" hidden="false" customHeight="false" outlineLevel="0" collapsed="false">
      <c r="A300" s="8" t="str">
        <f aca="false">parametros_recargas!A61</f>
        <v>CO₂ 5 kg</v>
      </c>
      <c r="B300" s="8" t="str">
        <f aca="false">parametros_recargas!B61</f>
        <v>CO₂</v>
      </c>
      <c r="C300" s="11" t="n">
        <f aca="false">parametros_recargas!C61</f>
        <v>1</v>
      </c>
      <c r="D300" s="21" t="n">
        <f aca="false">datos_base!$K$12*parametros_recargas!$B$46+sobrestock_sustitutos!$K$98/12</f>
        <v>188.789646691601</v>
      </c>
      <c r="E300" s="21" t="n">
        <f aca="false">datos_base!$K$12*parametros_recargas!$C$46+sobrestock_sustitutos!$K$98/12</f>
        <v>188.789646691601</v>
      </c>
      <c r="F300" s="21" t="n">
        <f aca="false">datos_base!$K$12*parametros_recargas!$D$46+sobrestock_sustitutos!$K$98/12</f>
        <v>188.789646691601</v>
      </c>
      <c r="G300" s="21" t="n">
        <f aca="false">datos_base!$K$12*parametros_recargas!$E$46+sobrestock_sustitutos!$K$98/12</f>
        <v>188.789646691601</v>
      </c>
      <c r="H300" s="21" t="n">
        <f aca="false">datos_base!$K$12*parametros_recargas!$F$46+sobrestock_sustitutos!$K$98/12</f>
        <v>188.789646691601</v>
      </c>
      <c r="I300" s="21" t="n">
        <f aca="false">datos_base!$K$12*parametros_recargas!$G$46+sobrestock_sustitutos!$K$98/12</f>
        <v>188.789646691601</v>
      </c>
      <c r="J300" s="21" t="n">
        <f aca="false">datos_base!$K$12*parametros_recargas!$H$46+sobrestock_sustitutos!$K$98/12</f>
        <v>188.789646691601</v>
      </c>
      <c r="K300" s="21" t="n">
        <f aca="false">datos_base!$K$12*parametros_recargas!$I$46+sobrestock_sustitutos!$K$98/12</f>
        <v>188.789646691601</v>
      </c>
      <c r="L300" s="21" t="n">
        <f aca="false">datos_base!$K$12*parametros_recargas!$J$46+sobrestock_sustitutos!$K$98/12</f>
        <v>188.789646691601</v>
      </c>
      <c r="M300" s="21" t="n">
        <f aca="false">datos_base!$K$12*parametros_recargas!$K$46+sobrestock_sustitutos!$K$98/12</f>
        <v>188.789646691601</v>
      </c>
      <c r="N300" s="21" t="n">
        <f aca="false">datos_base!$K$12*parametros_recargas!$L$46+sobrestock_sustitutos!$K$98/12</f>
        <v>188.789646691601</v>
      </c>
      <c r="O300" s="21" t="n">
        <f aca="false">datos_base!$K$12*parametros_recargas!$M$46+sobrestock_sustitutos!$K$98/12</f>
        <v>188.789646691601</v>
      </c>
      <c r="P300" s="6" t="n">
        <f aca="false">SUM(D300:O300)</f>
        <v>2265.47576029921</v>
      </c>
      <c r="Q300" s="4" t="n">
        <f aca="false">sobrestock_sustitutos!$K$98</f>
        <v>26</v>
      </c>
    </row>
    <row r="301" customFormat="false" ht="15" hidden="false" customHeight="false" outlineLevel="0" collapsed="false">
      <c r="A301" s="8" t="str">
        <f aca="false">parametros_recargas!A62</f>
        <v>HCFC/HFC 5 kg</v>
      </c>
      <c r="B301" s="8" t="str">
        <f aca="false">parametros_recargas!B62</f>
        <v>Halogenado</v>
      </c>
      <c r="C301" s="11" t="n">
        <f aca="false">parametros_recargas!C62</f>
        <v>1</v>
      </c>
      <c r="D301" s="21" t="n">
        <f aca="false">datos_base!$K$13*parametros_recargas!$B$46+sobrestock_sustitutos!$K$99/12</f>
        <v>30.9683214647991</v>
      </c>
      <c r="E301" s="21" t="n">
        <f aca="false">datos_base!$K$13*parametros_recargas!$C$46+sobrestock_sustitutos!$K$99/12</f>
        <v>30.9683214647991</v>
      </c>
      <c r="F301" s="21" t="n">
        <f aca="false">datos_base!$K$13*parametros_recargas!$D$46+sobrestock_sustitutos!$K$99/12</f>
        <v>30.9683214647991</v>
      </c>
      <c r="G301" s="21" t="n">
        <f aca="false">datos_base!$K$13*parametros_recargas!$E$46+sobrestock_sustitutos!$K$99/12</f>
        <v>30.9683214647991</v>
      </c>
      <c r="H301" s="21" t="n">
        <f aca="false">datos_base!$K$13*parametros_recargas!$F$46+sobrestock_sustitutos!$K$99/12</f>
        <v>30.9683214647991</v>
      </c>
      <c r="I301" s="21" t="n">
        <f aca="false">datos_base!$K$13*parametros_recargas!$G$46+sobrestock_sustitutos!$K$99/12</f>
        <v>30.9683214647991</v>
      </c>
      <c r="J301" s="21" t="n">
        <f aca="false">datos_base!$K$13*parametros_recargas!$H$46+sobrestock_sustitutos!$K$99/12</f>
        <v>30.9683214647991</v>
      </c>
      <c r="K301" s="21" t="n">
        <f aca="false">datos_base!$K$13*parametros_recargas!$I$46+sobrestock_sustitutos!$K$99/12</f>
        <v>30.9683214647991</v>
      </c>
      <c r="L301" s="21" t="n">
        <f aca="false">datos_base!$K$13*parametros_recargas!$J$46+sobrestock_sustitutos!$K$99/12</f>
        <v>30.9683214647991</v>
      </c>
      <c r="M301" s="21" t="n">
        <f aca="false">datos_base!$K$13*parametros_recargas!$K$46+sobrestock_sustitutos!$K$99/12</f>
        <v>30.9683214647991</v>
      </c>
      <c r="N301" s="21" t="n">
        <f aca="false">datos_base!$K$13*parametros_recargas!$L$46+sobrestock_sustitutos!$K$99/12</f>
        <v>30.9683214647991</v>
      </c>
      <c r="O301" s="21" t="n">
        <f aca="false">datos_base!$K$13*parametros_recargas!$M$46+sobrestock_sustitutos!$K$99/12</f>
        <v>30.9683214647991</v>
      </c>
      <c r="P301" s="6" t="n">
        <f aca="false">SUM(D301:O301)</f>
        <v>371.61985757759</v>
      </c>
      <c r="Q301" s="4" t="n">
        <f aca="false">sobrestock_sustitutos!$K$99</f>
        <v>5</v>
      </c>
    </row>
    <row r="302" customFormat="false" ht="15" hidden="false" customHeight="false" outlineLevel="0" collapsed="false">
      <c r="A302" s="8" t="str">
        <f aca="false">parametros_recargas!A63</f>
        <v>Clase D 9 l</v>
      </c>
      <c r="B302" s="8" t="str">
        <f aca="false">parametros_recargas!B63</f>
        <v>Clase D</v>
      </c>
      <c r="C302" s="11" t="n">
        <f aca="false">parametros_recargas!C63</f>
        <v>1</v>
      </c>
      <c r="D302" s="21" t="n">
        <f aca="false">datos_base!$K$14*parametros_recargas!$B$46+sobrestock_sustitutos!$K$100/12</f>
        <v>10.6557560034767</v>
      </c>
      <c r="E302" s="21" t="n">
        <f aca="false">datos_base!$K$14*parametros_recargas!$C$46+sobrestock_sustitutos!$K$100/12</f>
        <v>10.6557560034767</v>
      </c>
      <c r="F302" s="21" t="n">
        <f aca="false">datos_base!$K$14*parametros_recargas!$D$46+sobrestock_sustitutos!$K$100/12</f>
        <v>10.6557560034767</v>
      </c>
      <c r="G302" s="21" t="n">
        <f aca="false">datos_base!$K$14*parametros_recargas!$E$46+sobrestock_sustitutos!$K$100/12</f>
        <v>10.6557560034767</v>
      </c>
      <c r="H302" s="21" t="n">
        <f aca="false">datos_base!$K$14*parametros_recargas!$F$46+sobrestock_sustitutos!$K$100/12</f>
        <v>10.6557560034767</v>
      </c>
      <c r="I302" s="21" t="n">
        <f aca="false">datos_base!$K$14*parametros_recargas!$G$46+sobrestock_sustitutos!$K$100/12</f>
        <v>10.6557560034767</v>
      </c>
      <c r="J302" s="21" t="n">
        <f aca="false">datos_base!$K$14*parametros_recargas!$H$46+sobrestock_sustitutos!$K$100/12</f>
        <v>10.6557560034767</v>
      </c>
      <c r="K302" s="21" t="n">
        <f aca="false">datos_base!$K$14*parametros_recargas!$I$46+sobrestock_sustitutos!$K$100/12</f>
        <v>10.6557560034767</v>
      </c>
      <c r="L302" s="21" t="n">
        <f aca="false">datos_base!$K$14*parametros_recargas!$J$46+sobrestock_sustitutos!$K$100/12</f>
        <v>10.6557560034767</v>
      </c>
      <c r="M302" s="21" t="n">
        <f aca="false">datos_base!$K$14*parametros_recargas!$K$46+sobrestock_sustitutos!$K$100/12</f>
        <v>10.6557560034767</v>
      </c>
      <c r="N302" s="21" t="n">
        <f aca="false">datos_base!$K$14*parametros_recargas!$L$46+sobrestock_sustitutos!$K$100/12</f>
        <v>10.6557560034767</v>
      </c>
      <c r="O302" s="21" t="n">
        <f aca="false">datos_base!$K$14*parametros_recargas!$M$46+sobrestock_sustitutos!$K$100/12</f>
        <v>10.6557560034767</v>
      </c>
      <c r="P302" s="6" t="n">
        <f aca="false">SUM(D302:O302)</f>
        <v>127.86907204172</v>
      </c>
      <c r="Q302" s="4" t="n">
        <f aca="false">sobrestock_sustitutos!$K$100</f>
        <v>2</v>
      </c>
    </row>
    <row r="303" customFormat="false" ht="15" hidden="false" customHeight="false" outlineLevel="0" collapsed="false">
      <c r="A303" s="8" t="str">
        <f aca="false">parametros_recargas!A64</f>
        <v>ABC 25 kg s/ruedas</v>
      </c>
      <c r="B303" s="8" t="str">
        <f aca="false">parametros_recargas!B64</f>
        <v>ABC</v>
      </c>
      <c r="C303" s="11" t="n">
        <f aca="false">parametros_recargas!C64</f>
        <v>3</v>
      </c>
      <c r="D303" s="21" t="n">
        <f aca="false">datos_base!$K$15*parametros_recargas!$B$46+sobrestock_sustitutos!$K$101/12</f>
        <v>25.3604215538493</v>
      </c>
      <c r="E303" s="21" t="n">
        <f aca="false">datos_base!$K$15*parametros_recargas!$C$46+sobrestock_sustitutos!$K$101/12</f>
        <v>25.3604215538493</v>
      </c>
      <c r="F303" s="21" t="n">
        <f aca="false">datos_base!$K$15*parametros_recargas!$D$46+sobrestock_sustitutos!$K$101/12</f>
        <v>25.3604215538493</v>
      </c>
      <c r="G303" s="21" t="n">
        <f aca="false">datos_base!$K$15*parametros_recargas!$E$46+sobrestock_sustitutos!$K$101/12</f>
        <v>25.3604215538493</v>
      </c>
      <c r="H303" s="21" t="n">
        <f aca="false">datos_base!$K$15*parametros_recargas!$F$46+sobrestock_sustitutos!$K$101/12</f>
        <v>25.3604215538493</v>
      </c>
      <c r="I303" s="21" t="n">
        <f aca="false">datos_base!$K$15*parametros_recargas!$G$46+sobrestock_sustitutos!$K$101/12</f>
        <v>25.3604215538493</v>
      </c>
      <c r="J303" s="21" t="n">
        <f aca="false">datos_base!$K$15*parametros_recargas!$H$46+sobrestock_sustitutos!$K$101/12</f>
        <v>25.3604215538493</v>
      </c>
      <c r="K303" s="21" t="n">
        <f aca="false">datos_base!$K$15*parametros_recargas!$I$46+sobrestock_sustitutos!$K$101/12</f>
        <v>25.3604215538493</v>
      </c>
      <c r="L303" s="21" t="n">
        <f aca="false">datos_base!$K$15*parametros_recargas!$J$46+sobrestock_sustitutos!$K$101/12</f>
        <v>25.3604215538493</v>
      </c>
      <c r="M303" s="21" t="n">
        <f aca="false">datos_base!$K$15*parametros_recargas!$K$46+sobrestock_sustitutos!$K$101/12</f>
        <v>25.3604215538493</v>
      </c>
      <c r="N303" s="21" t="n">
        <f aca="false">datos_base!$K$15*parametros_recargas!$L$46+sobrestock_sustitutos!$K$101/12</f>
        <v>25.3604215538493</v>
      </c>
      <c r="O303" s="21" t="n">
        <f aca="false">datos_base!$K$15*parametros_recargas!$M$46+sobrestock_sustitutos!$K$101/12</f>
        <v>25.3604215538493</v>
      </c>
      <c r="P303" s="6" t="n">
        <f aca="false">SUM(D303:O303)</f>
        <v>304.325058646191</v>
      </c>
      <c r="Q303" s="4" t="n">
        <f aca="false">sobrestock_sustitutos!$K$101</f>
        <v>4</v>
      </c>
    </row>
    <row r="304" customFormat="false" ht="15" hidden="false" customHeight="false" outlineLevel="0" collapsed="false">
      <c r="A304" s="8" t="str">
        <f aca="false">parametros_recargas!A65</f>
        <v>ABC 50 kg s/ruedas</v>
      </c>
      <c r="B304" s="8" t="str">
        <f aca="false">parametros_recargas!B65</f>
        <v>ABC</v>
      </c>
      <c r="C304" s="11" t="n">
        <f aca="false">parametros_recargas!C65</f>
        <v>3</v>
      </c>
      <c r="D304" s="21" t="n">
        <f aca="false">datos_base!$K$16*parametros_recargas!$B$46+sobrestock_sustitutos!$K$102/12</f>
        <v>55.7262607181742</v>
      </c>
      <c r="E304" s="21" t="n">
        <f aca="false">datos_base!$K$16*parametros_recargas!$C$46+sobrestock_sustitutos!$K$102/12</f>
        <v>55.7262607181742</v>
      </c>
      <c r="F304" s="21" t="n">
        <f aca="false">datos_base!$K$16*parametros_recargas!$D$46+sobrestock_sustitutos!$K$102/12</f>
        <v>55.7262607181742</v>
      </c>
      <c r="G304" s="21" t="n">
        <f aca="false">datos_base!$K$16*parametros_recargas!$E$46+sobrestock_sustitutos!$K$102/12</f>
        <v>55.7262607181742</v>
      </c>
      <c r="H304" s="21" t="n">
        <f aca="false">datos_base!$K$16*parametros_recargas!$F$46+sobrestock_sustitutos!$K$102/12</f>
        <v>55.7262607181742</v>
      </c>
      <c r="I304" s="21" t="n">
        <f aca="false">datos_base!$K$16*parametros_recargas!$G$46+sobrestock_sustitutos!$K$102/12</f>
        <v>55.7262607181742</v>
      </c>
      <c r="J304" s="21" t="n">
        <f aca="false">datos_base!$K$16*parametros_recargas!$H$46+sobrestock_sustitutos!$K$102/12</f>
        <v>55.7262607181742</v>
      </c>
      <c r="K304" s="21" t="n">
        <f aca="false">datos_base!$K$16*parametros_recargas!$I$46+sobrestock_sustitutos!$K$102/12</f>
        <v>55.7262607181742</v>
      </c>
      <c r="L304" s="21" t="n">
        <f aca="false">datos_base!$K$16*parametros_recargas!$J$46+sobrestock_sustitutos!$K$102/12</f>
        <v>55.7262607181742</v>
      </c>
      <c r="M304" s="21" t="n">
        <f aca="false">datos_base!$K$16*parametros_recargas!$K$46+sobrestock_sustitutos!$K$102/12</f>
        <v>55.7262607181742</v>
      </c>
      <c r="N304" s="21" t="n">
        <f aca="false">datos_base!$K$16*parametros_recargas!$L$46+sobrestock_sustitutos!$K$102/12</f>
        <v>55.7262607181742</v>
      </c>
      <c r="O304" s="21" t="n">
        <f aca="false">datos_base!$K$16*parametros_recargas!$M$46+sobrestock_sustitutos!$K$102/12</f>
        <v>55.7262607181742</v>
      </c>
      <c r="P304" s="6" t="n">
        <f aca="false">SUM(D304:O304)</f>
        <v>668.71512861809</v>
      </c>
      <c r="Q304" s="4" t="n">
        <f aca="false">sobrestock_sustitutos!$K$102</f>
        <v>8</v>
      </c>
    </row>
    <row r="305" customFormat="false" ht="15" hidden="false" customHeight="false" outlineLevel="0" collapsed="false">
      <c r="A305" s="8" t="str">
        <f aca="false">parametros_recargas!A66</f>
        <v>ABC 70 kg s/ruedas</v>
      </c>
      <c r="B305" s="8" t="str">
        <f aca="false">parametros_recargas!B66</f>
        <v>ABC</v>
      </c>
      <c r="C305" s="11" t="n">
        <f aca="false">parametros_recargas!C66</f>
        <v>3</v>
      </c>
      <c r="D305" s="21" t="n">
        <f aca="false">datos_base!$K$17*parametros_recargas!$B$46+sobrestock_sustitutos!$K$103/12</f>
        <v>12.1796690134751</v>
      </c>
      <c r="E305" s="21" t="n">
        <f aca="false">datos_base!$K$17*parametros_recargas!$C$46+sobrestock_sustitutos!$K$103/12</f>
        <v>12.1796690134751</v>
      </c>
      <c r="F305" s="21" t="n">
        <f aca="false">datos_base!$K$17*parametros_recargas!$D$46+sobrestock_sustitutos!$K$103/12</f>
        <v>12.1796690134751</v>
      </c>
      <c r="G305" s="21" t="n">
        <f aca="false">datos_base!$K$17*parametros_recargas!$E$46+sobrestock_sustitutos!$K$103/12</f>
        <v>12.1796690134751</v>
      </c>
      <c r="H305" s="21" t="n">
        <f aca="false">datos_base!$K$17*parametros_recargas!$F$46+sobrestock_sustitutos!$K$103/12</f>
        <v>12.1796690134751</v>
      </c>
      <c r="I305" s="21" t="n">
        <f aca="false">datos_base!$K$17*parametros_recargas!$G$46+sobrestock_sustitutos!$K$103/12</f>
        <v>12.1796690134751</v>
      </c>
      <c r="J305" s="21" t="n">
        <f aca="false">datos_base!$K$17*parametros_recargas!$H$46+sobrestock_sustitutos!$K$103/12</f>
        <v>12.1796690134751</v>
      </c>
      <c r="K305" s="21" t="n">
        <f aca="false">datos_base!$K$17*parametros_recargas!$I$46+sobrestock_sustitutos!$K$103/12</f>
        <v>12.1796690134751</v>
      </c>
      <c r="L305" s="21" t="n">
        <f aca="false">datos_base!$K$17*parametros_recargas!$J$46+sobrestock_sustitutos!$K$103/12</f>
        <v>12.1796690134751</v>
      </c>
      <c r="M305" s="21" t="n">
        <f aca="false">datos_base!$K$17*parametros_recargas!$K$46+sobrestock_sustitutos!$K$103/12</f>
        <v>12.1796690134751</v>
      </c>
      <c r="N305" s="21" t="n">
        <f aca="false">datos_base!$K$17*parametros_recargas!$L$46+sobrestock_sustitutos!$K$103/12</f>
        <v>12.1796690134751</v>
      </c>
      <c r="O305" s="21" t="n">
        <f aca="false">datos_base!$K$17*parametros_recargas!$M$46+sobrestock_sustitutos!$K$103/12</f>
        <v>12.1796690134751</v>
      </c>
      <c r="P305" s="6" t="n">
        <f aca="false">SUM(D305:O305)</f>
        <v>146.156028161701</v>
      </c>
      <c r="Q305" s="4" t="n">
        <f aca="false">sobrestock_sustitutos!$K$103</f>
        <v>2</v>
      </c>
    </row>
    <row r="306" customFormat="false" ht="15" hidden="false" customHeight="false" outlineLevel="0" collapsed="false">
      <c r="A306" s="8" t="str">
        <f aca="false">parametros_recargas!A67</f>
        <v>ABC 100 kg s/ruedas</v>
      </c>
      <c r="B306" s="8" t="str">
        <f aca="false">parametros_recargas!B67</f>
        <v>ABC</v>
      </c>
      <c r="C306" s="11" t="n">
        <f aca="false">parametros_recargas!C67</f>
        <v>3</v>
      </c>
      <c r="D306" s="21" t="n">
        <f aca="false">datos_base!$K$18*parametros_recargas!$B$46+sobrestock_sustitutos!$K$104/12</f>
        <v>8.17533488185916</v>
      </c>
      <c r="E306" s="21" t="n">
        <f aca="false">datos_base!$K$18*parametros_recargas!$C$46+sobrestock_sustitutos!$K$104/12</f>
        <v>8.17533488185916</v>
      </c>
      <c r="F306" s="21" t="n">
        <f aca="false">datos_base!$K$18*parametros_recargas!$D$46+sobrestock_sustitutos!$K$104/12</f>
        <v>8.17533488185916</v>
      </c>
      <c r="G306" s="21" t="n">
        <f aca="false">datos_base!$K$18*parametros_recargas!$E$46+sobrestock_sustitutos!$K$104/12</f>
        <v>8.17533488185916</v>
      </c>
      <c r="H306" s="21" t="n">
        <f aca="false">datos_base!$K$18*parametros_recargas!$F$46+sobrestock_sustitutos!$K$104/12</f>
        <v>8.17533488185916</v>
      </c>
      <c r="I306" s="21" t="n">
        <f aca="false">datos_base!$K$18*parametros_recargas!$G$46+sobrestock_sustitutos!$K$104/12</f>
        <v>8.17533488185916</v>
      </c>
      <c r="J306" s="21" t="n">
        <f aca="false">datos_base!$K$18*parametros_recargas!$H$46+sobrestock_sustitutos!$K$104/12</f>
        <v>8.17533488185916</v>
      </c>
      <c r="K306" s="21" t="n">
        <f aca="false">datos_base!$K$18*parametros_recargas!$I$46+sobrestock_sustitutos!$K$104/12</f>
        <v>8.17533488185916</v>
      </c>
      <c r="L306" s="21" t="n">
        <f aca="false">datos_base!$K$18*parametros_recargas!$J$46+sobrestock_sustitutos!$K$104/12</f>
        <v>8.17533488185916</v>
      </c>
      <c r="M306" s="21" t="n">
        <f aca="false">datos_base!$K$18*parametros_recargas!$K$46+sobrestock_sustitutos!$K$104/12</f>
        <v>8.17533488185916</v>
      </c>
      <c r="N306" s="21" t="n">
        <f aca="false">datos_base!$K$18*parametros_recargas!$L$46+sobrestock_sustitutos!$K$104/12</f>
        <v>8.17533488185916</v>
      </c>
      <c r="O306" s="21" t="n">
        <f aca="false">datos_base!$K$18*parametros_recargas!$M$46+sobrestock_sustitutos!$K$104/12</f>
        <v>8.17533488185916</v>
      </c>
      <c r="P306" s="6" t="n">
        <f aca="false">SUM(D306:O306)</f>
        <v>98.1040185823099</v>
      </c>
      <c r="Q306" s="4" t="n">
        <f aca="false">sobrestock_sustitutos!$K$104</f>
        <v>2</v>
      </c>
    </row>
    <row r="307" customFormat="false" ht="15" hidden="false" customHeight="false" outlineLevel="0" collapsed="false">
      <c r="A307" s="5" t="s">
        <v>306</v>
      </c>
      <c r="D307" s="6" t="n">
        <f aca="false">SUM(D290:D306)</f>
        <v>8982.8644011412</v>
      </c>
      <c r="E307" s="6" t="n">
        <f aca="false">SUM(E290:E306)</f>
        <v>8982.8644011412</v>
      </c>
      <c r="F307" s="6" t="n">
        <f aca="false">SUM(F290:F306)</f>
        <v>8982.8644011412</v>
      </c>
      <c r="G307" s="6" t="n">
        <f aca="false">SUM(G290:G306)</f>
        <v>8982.8644011412</v>
      </c>
      <c r="H307" s="6" t="n">
        <f aca="false">SUM(H290:H306)</f>
        <v>8982.8644011412</v>
      </c>
      <c r="I307" s="6" t="n">
        <f aca="false">SUM(I290:I306)</f>
        <v>8982.8644011412</v>
      </c>
      <c r="J307" s="6" t="n">
        <f aca="false">SUM(J290:J306)</f>
        <v>8982.8644011412</v>
      </c>
      <c r="K307" s="6" t="n">
        <f aca="false">SUM(K290:K306)</f>
        <v>8982.8644011412</v>
      </c>
      <c r="L307" s="6" t="n">
        <f aca="false">SUM(L290:L306)</f>
        <v>8982.8644011412</v>
      </c>
      <c r="M307" s="6" t="n">
        <f aca="false">SUM(M290:M306)</f>
        <v>8982.8644011412</v>
      </c>
      <c r="N307" s="6" t="n">
        <f aca="false">SUM(N290:N306)</f>
        <v>8982.8644011412</v>
      </c>
      <c r="O307" s="6" t="n">
        <f aca="false">SUM(O290:O306)</f>
        <v>8982.8644011412</v>
      </c>
      <c r="P307" s="6" t="n">
        <f aca="false">SUM(P290:P306)</f>
        <v>107794.372813694</v>
      </c>
    </row>
    <row r="308" customFormat="false" ht="15" hidden="false" customHeight="false" outlineLevel="0" collapsed="false">
      <c r="A308" s="5" t="s">
        <v>307</v>
      </c>
    </row>
    <row r="309" customFormat="false" ht="15" hidden="false" customHeight="false" outlineLevel="0" collapsed="false">
      <c r="A309" s="3" t="s">
        <v>148</v>
      </c>
      <c r="D309" s="21" t="n">
        <f aca="false">SUMPRODUCT(($B$290:$B$306=$A309)*D$290:D$306*$C$290:$C$306)</f>
        <v>8025.01146210465</v>
      </c>
      <c r="E309" s="21" t="n">
        <f aca="false">SUMPRODUCT(($B$290:$B$306=$A309)*E$290:E$306*$C$290:$C$306)</f>
        <v>8025.01146210465</v>
      </c>
      <c r="F309" s="21" t="n">
        <f aca="false">SUMPRODUCT(($B$290:$B$306=$A309)*F$290:F$306*$C$290:$C$306)</f>
        <v>8025.01146210465</v>
      </c>
      <c r="G309" s="21" t="n">
        <f aca="false">SUMPRODUCT(($B$290:$B$306=$A309)*G$290:G$306*$C$290:$C$306)</f>
        <v>8025.01146210465</v>
      </c>
      <c r="H309" s="21" t="n">
        <f aca="false">SUMPRODUCT(($B$290:$B$306=$A309)*H$290:H$306*$C$290:$C$306)</f>
        <v>8025.01146210465</v>
      </c>
      <c r="I309" s="21" t="n">
        <f aca="false">SUMPRODUCT(($B$290:$B$306=$A309)*I$290:I$306*$C$290:$C$306)</f>
        <v>8025.01146210465</v>
      </c>
      <c r="J309" s="21" t="n">
        <f aca="false">SUMPRODUCT(($B$290:$B$306=$A309)*J$290:J$306*$C$290:$C$306)</f>
        <v>8025.01146210465</v>
      </c>
      <c r="K309" s="21" t="n">
        <f aca="false">SUMPRODUCT(($B$290:$B$306=$A309)*K$290:K$306*$C$290:$C$306)</f>
        <v>8025.01146210465</v>
      </c>
      <c r="L309" s="21" t="n">
        <f aca="false">SUMPRODUCT(($B$290:$B$306=$A309)*L$290:L$306*$C$290:$C$306)</f>
        <v>8025.01146210465</v>
      </c>
      <c r="M309" s="21" t="n">
        <f aca="false">SUMPRODUCT(($B$290:$B$306=$A309)*M$290:M$306*$C$290:$C$306)</f>
        <v>8025.01146210465</v>
      </c>
      <c r="N309" s="21" t="n">
        <f aca="false">SUMPRODUCT(($B$290:$B$306=$A309)*N$290:N$306*$C$290:$C$306)</f>
        <v>8025.01146210465</v>
      </c>
      <c r="O309" s="21" t="n">
        <f aca="false">SUMPRODUCT(($B$290:$B$306=$A309)*O$290:O$306*$C$290:$C$306)</f>
        <v>8025.01146210465</v>
      </c>
      <c r="P309" s="21" t="n">
        <f aca="false">SUMPRODUCT(($B$290:$B$306=$A309)*P$290:P$306*$C$290:$C$306)</f>
        <v>96300.1375452558</v>
      </c>
    </row>
    <row r="310" customFormat="false" ht="15" hidden="false" customHeight="false" outlineLevel="0" collapsed="false">
      <c r="A310" s="3" t="s">
        <v>154</v>
      </c>
      <c r="D310" s="21" t="n">
        <f aca="false">SUMPRODUCT(($B$290:$B$306=$A310)*D$290:D$306*$C$290:$C$306)</f>
        <v>11.7796963295538</v>
      </c>
      <c r="E310" s="21" t="n">
        <f aca="false">SUMPRODUCT(($B$290:$B$306=$A310)*E$290:E$306*$C$290:$C$306)</f>
        <v>11.7796963295538</v>
      </c>
      <c r="F310" s="21" t="n">
        <f aca="false">SUMPRODUCT(($B$290:$B$306=$A310)*F$290:F$306*$C$290:$C$306)</f>
        <v>11.7796963295538</v>
      </c>
      <c r="G310" s="21" t="n">
        <f aca="false">SUMPRODUCT(($B$290:$B$306=$A310)*G$290:G$306*$C$290:$C$306)</f>
        <v>11.7796963295538</v>
      </c>
      <c r="H310" s="21" t="n">
        <f aca="false">SUMPRODUCT(($B$290:$B$306=$A310)*H$290:H$306*$C$290:$C$306)</f>
        <v>11.7796963295538</v>
      </c>
      <c r="I310" s="21" t="n">
        <f aca="false">SUMPRODUCT(($B$290:$B$306=$A310)*I$290:I$306*$C$290:$C$306)</f>
        <v>11.7796963295538</v>
      </c>
      <c r="J310" s="21" t="n">
        <f aca="false">SUMPRODUCT(($B$290:$B$306=$A310)*J$290:J$306*$C$290:$C$306)</f>
        <v>11.7796963295538</v>
      </c>
      <c r="K310" s="21" t="n">
        <f aca="false">SUMPRODUCT(($B$290:$B$306=$A310)*K$290:K$306*$C$290:$C$306)</f>
        <v>11.7796963295538</v>
      </c>
      <c r="L310" s="21" t="n">
        <f aca="false">SUMPRODUCT(($B$290:$B$306=$A310)*L$290:L$306*$C$290:$C$306)</f>
        <v>11.7796963295538</v>
      </c>
      <c r="M310" s="21" t="n">
        <f aca="false">SUMPRODUCT(($B$290:$B$306=$A310)*M$290:M$306*$C$290:$C$306)</f>
        <v>11.7796963295538</v>
      </c>
      <c r="N310" s="21" t="n">
        <f aca="false">SUMPRODUCT(($B$290:$B$306=$A310)*N$290:N$306*$C$290:$C$306)</f>
        <v>11.7796963295538</v>
      </c>
      <c r="O310" s="21" t="n">
        <f aca="false">SUMPRODUCT(($B$290:$B$306=$A310)*O$290:O$306*$C$290:$C$306)</f>
        <v>11.7796963295538</v>
      </c>
      <c r="P310" s="21" t="n">
        <f aca="false">SUMPRODUCT(($B$290:$B$306=$A310)*P$290:P$306*$C$290:$C$306)</f>
        <v>141.356355954645</v>
      </c>
    </row>
    <row r="311" customFormat="false" ht="15" hidden="false" customHeight="false" outlineLevel="0" collapsed="false">
      <c r="A311" s="3" t="s">
        <v>160</v>
      </c>
      <c r="D311" s="21" t="n">
        <f aca="false">SUMPRODUCT(($B$290:$B$306=$A311)*D$290:D$306*$C$290:$C$306)</f>
        <v>10.6557560034767</v>
      </c>
      <c r="E311" s="21" t="n">
        <f aca="false">SUMPRODUCT(($B$290:$B$306=$A311)*E$290:E$306*$C$290:$C$306)</f>
        <v>10.6557560034767</v>
      </c>
      <c r="F311" s="21" t="n">
        <f aca="false">SUMPRODUCT(($B$290:$B$306=$A311)*F$290:F$306*$C$290:$C$306)</f>
        <v>10.6557560034767</v>
      </c>
      <c r="G311" s="21" t="n">
        <f aca="false">SUMPRODUCT(($B$290:$B$306=$A311)*G$290:G$306*$C$290:$C$306)</f>
        <v>10.6557560034767</v>
      </c>
      <c r="H311" s="21" t="n">
        <f aca="false">SUMPRODUCT(($B$290:$B$306=$A311)*H$290:H$306*$C$290:$C$306)</f>
        <v>10.6557560034767</v>
      </c>
      <c r="I311" s="21" t="n">
        <f aca="false">SUMPRODUCT(($B$290:$B$306=$A311)*I$290:I$306*$C$290:$C$306)</f>
        <v>10.6557560034767</v>
      </c>
      <c r="J311" s="21" t="n">
        <f aca="false">SUMPRODUCT(($B$290:$B$306=$A311)*J$290:J$306*$C$290:$C$306)</f>
        <v>10.6557560034767</v>
      </c>
      <c r="K311" s="21" t="n">
        <f aca="false">SUMPRODUCT(($B$290:$B$306=$A311)*K$290:K$306*$C$290:$C$306)</f>
        <v>10.6557560034767</v>
      </c>
      <c r="L311" s="21" t="n">
        <f aca="false">SUMPRODUCT(($B$290:$B$306=$A311)*L$290:L$306*$C$290:$C$306)</f>
        <v>10.6557560034767</v>
      </c>
      <c r="M311" s="21" t="n">
        <f aca="false">SUMPRODUCT(($B$290:$B$306=$A311)*M$290:M$306*$C$290:$C$306)</f>
        <v>10.6557560034767</v>
      </c>
      <c r="N311" s="21" t="n">
        <f aca="false">SUMPRODUCT(($B$290:$B$306=$A311)*N$290:N$306*$C$290:$C$306)</f>
        <v>10.6557560034767</v>
      </c>
      <c r="O311" s="21" t="n">
        <f aca="false">SUMPRODUCT(($B$290:$B$306=$A311)*O$290:O$306*$C$290:$C$306)</f>
        <v>10.6557560034767</v>
      </c>
      <c r="P311" s="21" t="n">
        <f aca="false">SUMPRODUCT(($B$290:$B$306=$A311)*P$290:P$306*$C$290:$C$306)</f>
        <v>127.86907204172</v>
      </c>
    </row>
    <row r="312" customFormat="false" ht="15" hidden="false" customHeight="false" outlineLevel="0" collapsed="false">
      <c r="A312" s="3" t="s">
        <v>151</v>
      </c>
      <c r="D312" s="21" t="n">
        <f aca="false">SUMPRODUCT(($B$290:$B$306=$A312)*D$290:D$306*$C$290:$C$306)</f>
        <v>205.402759944803</v>
      </c>
      <c r="E312" s="21" t="n">
        <f aca="false">SUMPRODUCT(($B$290:$B$306=$A312)*E$290:E$306*$C$290:$C$306)</f>
        <v>205.402759944803</v>
      </c>
      <c r="F312" s="21" t="n">
        <f aca="false">SUMPRODUCT(($B$290:$B$306=$A312)*F$290:F$306*$C$290:$C$306)</f>
        <v>205.402759944803</v>
      </c>
      <c r="G312" s="21" t="n">
        <f aca="false">SUMPRODUCT(($B$290:$B$306=$A312)*G$290:G$306*$C$290:$C$306)</f>
        <v>205.402759944803</v>
      </c>
      <c r="H312" s="21" t="n">
        <f aca="false">SUMPRODUCT(($B$290:$B$306=$A312)*H$290:H$306*$C$290:$C$306)</f>
        <v>205.402759944803</v>
      </c>
      <c r="I312" s="21" t="n">
        <f aca="false">SUMPRODUCT(($B$290:$B$306=$A312)*I$290:I$306*$C$290:$C$306)</f>
        <v>205.402759944803</v>
      </c>
      <c r="J312" s="21" t="n">
        <f aca="false">SUMPRODUCT(($B$290:$B$306=$A312)*J$290:J$306*$C$290:$C$306)</f>
        <v>205.402759944803</v>
      </c>
      <c r="K312" s="21" t="n">
        <f aca="false">SUMPRODUCT(($B$290:$B$306=$A312)*K$290:K$306*$C$290:$C$306)</f>
        <v>205.402759944803</v>
      </c>
      <c r="L312" s="21" t="n">
        <f aca="false">SUMPRODUCT(($B$290:$B$306=$A312)*L$290:L$306*$C$290:$C$306)</f>
        <v>205.402759944803</v>
      </c>
      <c r="M312" s="21" t="n">
        <f aca="false">SUMPRODUCT(($B$290:$B$306=$A312)*M$290:M$306*$C$290:$C$306)</f>
        <v>205.402759944803</v>
      </c>
      <c r="N312" s="21" t="n">
        <f aca="false">SUMPRODUCT(($B$290:$B$306=$A312)*N$290:N$306*$C$290:$C$306)</f>
        <v>205.402759944803</v>
      </c>
      <c r="O312" s="21" t="n">
        <f aca="false">SUMPRODUCT(($B$290:$B$306=$A312)*O$290:O$306*$C$290:$C$306)</f>
        <v>205.402759944803</v>
      </c>
      <c r="P312" s="21" t="n">
        <f aca="false">SUMPRODUCT(($B$290:$B$306=$A312)*P$290:P$306*$C$290:$C$306)</f>
        <v>2464.83311933763</v>
      </c>
    </row>
    <row r="313" customFormat="false" ht="15" hidden="false" customHeight="false" outlineLevel="0" collapsed="false">
      <c r="A313" s="3" t="s">
        <v>152</v>
      </c>
      <c r="D313" s="21" t="n">
        <f aca="false">SUMPRODUCT(($B$290:$B$306=$A313)*D$290:D$306*$C$290:$C$306)</f>
        <v>100.054924081056</v>
      </c>
      <c r="E313" s="21" t="n">
        <f aca="false">SUMPRODUCT(($B$290:$B$306=$A313)*E$290:E$306*$C$290:$C$306)</f>
        <v>100.054924081056</v>
      </c>
      <c r="F313" s="21" t="n">
        <f aca="false">SUMPRODUCT(($B$290:$B$306=$A313)*F$290:F$306*$C$290:$C$306)</f>
        <v>100.054924081056</v>
      </c>
      <c r="G313" s="21" t="n">
        <f aca="false">SUMPRODUCT(($B$290:$B$306=$A313)*G$290:G$306*$C$290:$C$306)</f>
        <v>100.054924081056</v>
      </c>
      <c r="H313" s="21" t="n">
        <f aca="false">SUMPRODUCT(($B$290:$B$306=$A313)*H$290:H$306*$C$290:$C$306)</f>
        <v>100.054924081056</v>
      </c>
      <c r="I313" s="21" t="n">
        <f aca="false">SUMPRODUCT(($B$290:$B$306=$A313)*I$290:I$306*$C$290:$C$306)</f>
        <v>100.054924081056</v>
      </c>
      <c r="J313" s="21" t="n">
        <f aca="false">SUMPRODUCT(($B$290:$B$306=$A313)*J$290:J$306*$C$290:$C$306)</f>
        <v>100.054924081056</v>
      </c>
      <c r="K313" s="21" t="n">
        <f aca="false">SUMPRODUCT(($B$290:$B$306=$A313)*K$290:K$306*$C$290:$C$306)</f>
        <v>100.054924081056</v>
      </c>
      <c r="L313" s="21" t="n">
        <f aca="false">SUMPRODUCT(($B$290:$B$306=$A313)*L$290:L$306*$C$290:$C$306)</f>
        <v>100.054924081056</v>
      </c>
      <c r="M313" s="21" t="n">
        <f aca="false">SUMPRODUCT(($B$290:$B$306=$A313)*M$290:M$306*$C$290:$C$306)</f>
        <v>100.054924081056</v>
      </c>
      <c r="N313" s="21" t="n">
        <f aca="false">SUMPRODUCT(($B$290:$B$306=$A313)*N$290:N$306*$C$290:$C$306)</f>
        <v>100.054924081056</v>
      </c>
      <c r="O313" s="21" t="n">
        <f aca="false">SUMPRODUCT(($B$290:$B$306=$A313)*O$290:O$306*$C$290:$C$306)</f>
        <v>100.054924081056</v>
      </c>
      <c r="P313" s="21" t="n">
        <f aca="false">SUMPRODUCT(($B$290:$B$306=$A313)*P$290:P$306*$C$290:$C$306)</f>
        <v>1200.65908897267</v>
      </c>
    </row>
    <row r="314" customFormat="false" ht="15" hidden="false" customHeight="false" outlineLevel="0" collapsed="false">
      <c r="A314" s="3" t="s">
        <v>155</v>
      </c>
      <c r="D314" s="21" t="n">
        <f aca="false">SUMPRODUCT(($B$290:$B$306=$A314)*D$290:D$306*$C$290:$C$306)</f>
        <v>101.270235159015</v>
      </c>
      <c r="E314" s="21" t="n">
        <f aca="false">SUMPRODUCT(($B$290:$B$306=$A314)*E$290:E$306*$C$290:$C$306)</f>
        <v>101.270235159015</v>
      </c>
      <c r="F314" s="21" t="n">
        <f aca="false">SUMPRODUCT(($B$290:$B$306=$A314)*F$290:F$306*$C$290:$C$306)</f>
        <v>101.270235159015</v>
      </c>
      <c r="G314" s="21" t="n">
        <f aca="false">SUMPRODUCT(($B$290:$B$306=$A314)*G$290:G$306*$C$290:$C$306)</f>
        <v>101.270235159015</v>
      </c>
      <c r="H314" s="21" t="n">
        <f aca="false">SUMPRODUCT(($B$290:$B$306=$A314)*H$290:H$306*$C$290:$C$306)</f>
        <v>101.270235159015</v>
      </c>
      <c r="I314" s="21" t="n">
        <f aca="false">SUMPRODUCT(($B$290:$B$306=$A314)*I$290:I$306*$C$290:$C$306)</f>
        <v>101.270235159015</v>
      </c>
      <c r="J314" s="21" t="n">
        <f aca="false">SUMPRODUCT(($B$290:$B$306=$A314)*J$290:J$306*$C$290:$C$306)</f>
        <v>101.270235159015</v>
      </c>
      <c r="K314" s="21" t="n">
        <f aca="false">SUMPRODUCT(($B$290:$B$306=$A314)*K$290:K$306*$C$290:$C$306)</f>
        <v>101.270235159015</v>
      </c>
      <c r="L314" s="21" t="n">
        <f aca="false">SUMPRODUCT(($B$290:$B$306=$A314)*L$290:L$306*$C$290:$C$306)</f>
        <v>101.270235159015</v>
      </c>
      <c r="M314" s="21" t="n">
        <f aca="false">SUMPRODUCT(($B$290:$B$306=$A314)*M$290:M$306*$C$290:$C$306)</f>
        <v>101.270235159015</v>
      </c>
      <c r="N314" s="21" t="n">
        <f aca="false">SUMPRODUCT(($B$290:$B$306=$A314)*N$290:N$306*$C$290:$C$306)</f>
        <v>101.270235159015</v>
      </c>
      <c r="O314" s="21" t="n">
        <f aca="false">SUMPRODUCT(($B$290:$B$306=$A314)*O$290:O$306*$C$290:$C$306)</f>
        <v>101.270235159015</v>
      </c>
      <c r="P314" s="21" t="n">
        <f aca="false">SUMPRODUCT(($B$290:$B$306=$A314)*P$290:P$306*$C$290:$C$306)</f>
        <v>1215.24282190818</v>
      </c>
    </row>
    <row r="315" customFormat="false" ht="15" hidden="false" customHeight="false" outlineLevel="0" collapsed="false">
      <c r="A315" s="3" t="s">
        <v>156</v>
      </c>
      <c r="D315" s="21" t="n">
        <f aca="false">SUMPRODUCT(($B$290:$B$306=$A315)*D$290:D$306*$C$290:$C$306)</f>
        <v>741.282423956115</v>
      </c>
      <c r="E315" s="21" t="n">
        <f aca="false">SUMPRODUCT(($B$290:$B$306=$A315)*E$290:E$306*$C$290:$C$306)</f>
        <v>741.282423956115</v>
      </c>
      <c r="F315" s="21" t="n">
        <f aca="false">SUMPRODUCT(($B$290:$B$306=$A315)*F$290:F$306*$C$290:$C$306)</f>
        <v>741.282423956115</v>
      </c>
      <c r="G315" s="21" t="n">
        <f aca="false">SUMPRODUCT(($B$290:$B$306=$A315)*G$290:G$306*$C$290:$C$306)</f>
        <v>741.282423956115</v>
      </c>
      <c r="H315" s="21" t="n">
        <f aca="false">SUMPRODUCT(($B$290:$B$306=$A315)*H$290:H$306*$C$290:$C$306)</f>
        <v>741.282423956115</v>
      </c>
      <c r="I315" s="21" t="n">
        <f aca="false">SUMPRODUCT(($B$290:$B$306=$A315)*I$290:I$306*$C$290:$C$306)</f>
        <v>741.282423956115</v>
      </c>
      <c r="J315" s="21" t="n">
        <f aca="false">SUMPRODUCT(($B$290:$B$306=$A315)*J$290:J$306*$C$290:$C$306)</f>
        <v>741.282423956115</v>
      </c>
      <c r="K315" s="21" t="n">
        <f aca="false">SUMPRODUCT(($B$290:$B$306=$A315)*K$290:K$306*$C$290:$C$306)</f>
        <v>741.282423956115</v>
      </c>
      <c r="L315" s="21" t="n">
        <f aca="false">SUMPRODUCT(($B$290:$B$306=$A315)*L$290:L$306*$C$290:$C$306)</f>
        <v>741.282423956115</v>
      </c>
      <c r="M315" s="21" t="n">
        <f aca="false">SUMPRODUCT(($B$290:$B$306=$A315)*M$290:M$306*$C$290:$C$306)</f>
        <v>741.282423956115</v>
      </c>
      <c r="N315" s="21" t="n">
        <f aca="false">SUMPRODUCT(($B$290:$B$306=$A315)*N$290:N$306*$C$290:$C$306)</f>
        <v>741.282423956115</v>
      </c>
      <c r="O315" s="21" t="n">
        <f aca="false">SUMPRODUCT(($B$290:$B$306=$A315)*O$290:O$306*$C$290:$C$306)</f>
        <v>741.282423956115</v>
      </c>
      <c r="P315" s="21" t="n">
        <f aca="false">SUMPRODUCT(($B$290:$B$306=$A315)*P$290:P$306*$C$290:$C$306)</f>
        <v>8895.38908747338</v>
      </c>
    </row>
    <row r="316" customFormat="false" ht="15" hidden="false" customHeight="false" outlineLevel="0" collapsed="false">
      <c r="A316" s="3" t="s">
        <v>159</v>
      </c>
      <c r="D316" s="21" t="n">
        <f aca="false">SUMPRODUCT(($B$290:$B$306=$A316)*D$290:D$306*$C$290:$C$306)</f>
        <v>30.9683214647991</v>
      </c>
      <c r="E316" s="21" t="n">
        <f aca="false">SUMPRODUCT(($B$290:$B$306=$A316)*E$290:E$306*$C$290:$C$306)</f>
        <v>30.9683214647991</v>
      </c>
      <c r="F316" s="21" t="n">
        <f aca="false">SUMPRODUCT(($B$290:$B$306=$A316)*F$290:F$306*$C$290:$C$306)</f>
        <v>30.9683214647991</v>
      </c>
      <c r="G316" s="21" t="n">
        <f aca="false">SUMPRODUCT(($B$290:$B$306=$A316)*G$290:G$306*$C$290:$C$306)</f>
        <v>30.9683214647991</v>
      </c>
      <c r="H316" s="21" t="n">
        <f aca="false">SUMPRODUCT(($B$290:$B$306=$A316)*H$290:H$306*$C$290:$C$306)</f>
        <v>30.9683214647991</v>
      </c>
      <c r="I316" s="21" t="n">
        <f aca="false">SUMPRODUCT(($B$290:$B$306=$A316)*I$290:I$306*$C$290:$C$306)</f>
        <v>30.9683214647991</v>
      </c>
      <c r="J316" s="21" t="n">
        <f aca="false">SUMPRODUCT(($B$290:$B$306=$A316)*J$290:J$306*$C$290:$C$306)</f>
        <v>30.9683214647991</v>
      </c>
      <c r="K316" s="21" t="n">
        <f aca="false">SUMPRODUCT(($B$290:$B$306=$A316)*K$290:K$306*$C$290:$C$306)</f>
        <v>30.9683214647991</v>
      </c>
      <c r="L316" s="21" t="n">
        <f aca="false">SUMPRODUCT(($B$290:$B$306=$A316)*L$290:L$306*$C$290:$C$306)</f>
        <v>30.9683214647991</v>
      </c>
      <c r="M316" s="21" t="n">
        <f aca="false">SUMPRODUCT(($B$290:$B$306=$A316)*M$290:M$306*$C$290:$C$306)</f>
        <v>30.9683214647991</v>
      </c>
      <c r="N316" s="21" t="n">
        <f aca="false">SUMPRODUCT(($B$290:$B$306=$A316)*N$290:N$306*$C$290:$C$306)</f>
        <v>30.9683214647991</v>
      </c>
      <c r="O316" s="21" t="n">
        <f aca="false">SUMPRODUCT(($B$290:$B$306=$A316)*O$290:O$306*$C$290:$C$306)</f>
        <v>30.9683214647991</v>
      </c>
      <c r="P316" s="21" t="n">
        <f aca="false">SUMPRODUCT(($B$290:$B$306=$A316)*P$290:P$306*$C$290:$C$306)</f>
        <v>371.61985757759</v>
      </c>
    </row>
    <row r="317" customFormat="false" ht="15" hidden="false" customHeight="false" outlineLevel="0" collapsed="false">
      <c r="A317" s="5" t="s">
        <v>308</v>
      </c>
      <c r="D317" s="22" t="n">
        <f aca="false">SUMPRODUCT(D$290:D$306*parametros_recargas!$D$51:$D$67)</f>
        <v>310.570235642735</v>
      </c>
      <c r="E317" s="22" t="n">
        <f aca="false">SUMPRODUCT(E$290:E$306*parametros_recargas!$D$51:$D$67)</f>
        <v>310.570235642735</v>
      </c>
      <c r="F317" s="22" t="n">
        <f aca="false">SUMPRODUCT(F$290:F$306*parametros_recargas!$D$51:$D$67)</f>
        <v>310.570235642735</v>
      </c>
      <c r="G317" s="22" t="n">
        <f aca="false">SUMPRODUCT(G$290:G$306*parametros_recargas!$D$51:$D$67)</f>
        <v>310.570235642735</v>
      </c>
      <c r="H317" s="22" t="n">
        <f aca="false">SUMPRODUCT(H$290:H$306*parametros_recargas!$D$51:$D$67)</f>
        <v>310.570235642735</v>
      </c>
      <c r="I317" s="22" t="n">
        <f aca="false">SUMPRODUCT(I$290:I$306*parametros_recargas!$D$51:$D$67)</f>
        <v>310.570235642735</v>
      </c>
      <c r="J317" s="22" t="n">
        <f aca="false">SUMPRODUCT(J$290:J$306*parametros_recargas!$D$51:$D$67)</f>
        <v>310.570235642735</v>
      </c>
      <c r="K317" s="22" t="n">
        <f aca="false">SUMPRODUCT(K$290:K$306*parametros_recargas!$D$51:$D$67)</f>
        <v>310.570235642735</v>
      </c>
      <c r="L317" s="22" t="n">
        <f aca="false">SUMPRODUCT(L$290:L$306*parametros_recargas!$D$51:$D$67)</f>
        <v>310.570235642735</v>
      </c>
      <c r="M317" s="22" t="n">
        <f aca="false">SUMPRODUCT(M$290:M$306*parametros_recargas!$D$51:$D$67)</f>
        <v>310.570235642735</v>
      </c>
      <c r="N317" s="22" t="n">
        <f aca="false">SUMPRODUCT(N$290:N$306*parametros_recargas!$D$51:$D$67)</f>
        <v>310.570235642735</v>
      </c>
      <c r="O317" s="22" t="n">
        <f aca="false">SUMPRODUCT(O$290:O$306*parametros_recargas!$D$51:$D$67)</f>
        <v>310.570235642735</v>
      </c>
      <c r="P317" s="22" t="n">
        <f aca="false">SUMPRODUCT(P$290:P$306*parametros_recargas!$D$51:$D$67)</f>
        <v>3726.84282771281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9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2" t="s">
        <v>309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  <c r="K1" s="2" t="s">
        <v>139</v>
      </c>
      <c r="L1" s="2" t="s">
        <v>140</v>
      </c>
      <c r="M1" s="2" t="s">
        <v>141</v>
      </c>
      <c r="N1" s="2" t="s">
        <v>310</v>
      </c>
      <c r="O1" s="2" t="s">
        <v>311</v>
      </c>
      <c r="P1" s="2" t="s">
        <v>312</v>
      </c>
    </row>
    <row r="2" customFormat="false" ht="15" hidden="false" customHeight="false" outlineLevel="0" collapsed="false">
      <c r="A2" s="8" t="str">
        <f aca="false">parametros_recargas!$B$72</f>
        <v>Recepción y registro</v>
      </c>
      <c r="B2" s="21" t="n">
        <f aca="false">parametros_recargas!$E$72*'Plan mensual'!D21+parametros_recargas!$F$72*'Plan mensual'!D22+parametros_recargas!$G$72*'Plan mensual'!D23+parametros_recargas!$H$72*'Plan mensual'!D24+parametros_recargas!$I$72*'Plan mensual'!D25+parametros_recargas!$J$72*'Plan mensual'!D26+parametros_recargas!$K$72*'Plan mensual'!D27+parametros_recargas!$L$72*'Plan mensual'!D28</f>
        <v>167.985520675998</v>
      </c>
      <c r="C2" s="21" t="n">
        <f aca="false">parametros_recargas!$E$72*'Plan mensual'!E21+parametros_recargas!$F$72*'Plan mensual'!E22+parametros_recargas!$G$72*'Plan mensual'!E23+parametros_recargas!$H$72*'Plan mensual'!E24+parametros_recargas!$I$72*'Plan mensual'!E25+parametros_recargas!$J$72*'Plan mensual'!E26+parametros_recargas!$K$72*'Plan mensual'!E27+parametros_recargas!$L$72*'Plan mensual'!E28</f>
        <v>167.985520675998</v>
      </c>
      <c r="D2" s="21" t="n">
        <f aca="false">parametros_recargas!$E$72*'Plan mensual'!F21+parametros_recargas!$F$72*'Plan mensual'!F22+parametros_recargas!$G$72*'Plan mensual'!F23+parametros_recargas!$H$72*'Plan mensual'!F24+parametros_recargas!$I$72*'Plan mensual'!F25+parametros_recargas!$J$72*'Plan mensual'!F26+parametros_recargas!$K$72*'Plan mensual'!F27+parametros_recargas!$L$72*'Plan mensual'!F28</f>
        <v>167.985520675998</v>
      </c>
      <c r="E2" s="21" t="n">
        <f aca="false">parametros_recargas!$E$72*'Plan mensual'!G21+parametros_recargas!$F$72*'Plan mensual'!G22+parametros_recargas!$G$72*'Plan mensual'!G23+parametros_recargas!$H$72*'Plan mensual'!G24+parametros_recargas!$I$72*'Plan mensual'!G25+parametros_recargas!$J$72*'Plan mensual'!G26+parametros_recargas!$K$72*'Plan mensual'!G27+parametros_recargas!$L$72*'Plan mensual'!G28</f>
        <v>167.985520675998</v>
      </c>
      <c r="F2" s="21" t="n">
        <f aca="false">parametros_recargas!$E$72*'Plan mensual'!H21+parametros_recargas!$F$72*'Plan mensual'!H22+parametros_recargas!$G$72*'Plan mensual'!H23+parametros_recargas!$H$72*'Plan mensual'!H24+parametros_recargas!$I$72*'Plan mensual'!H25+parametros_recargas!$J$72*'Plan mensual'!H26+parametros_recargas!$K$72*'Plan mensual'!H27+parametros_recargas!$L$72*'Plan mensual'!H28</f>
        <v>167.985520675998</v>
      </c>
      <c r="G2" s="21" t="n">
        <f aca="false">parametros_recargas!$E$72*'Plan mensual'!I21+parametros_recargas!$F$72*'Plan mensual'!I22+parametros_recargas!$G$72*'Plan mensual'!I23+parametros_recargas!$H$72*'Plan mensual'!I24+parametros_recargas!$I$72*'Plan mensual'!I25+parametros_recargas!$J$72*'Plan mensual'!I26+parametros_recargas!$K$72*'Plan mensual'!I27+parametros_recargas!$L$72*'Plan mensual'!I28</f>
        <v>167.985520675998</v>
      </c>
      <c r="H2" s="21" t="n">
        <f aca="false">parametros_recargas!$E$72*'Plan mensual'!J21+parametros_recargas!$F$72*'Plan mensual'!J22+parametros_recargas!$G$72*'Plan mensual'!J23+parametros_recargas!$H$72*'Plan mensual'!J24+parametros_recargas!$I$72*'Plan mensual'!J25+parametros_recargas!$J$72*'Plan mensual'!J26+parametros_recargas!$K$72*'Plan mensual'!J27+parametros_recargas!$L$72*'Plan mensual'!J28</f>
        <v>167.985520675998</v>
      </c>
      <c r="I2" s="21" t="n">
        <f aca="false">parametros_recargas!$E$72*'Plan mensual'!K21+parametros_recargas!$F$72*'Plan mensual'!K22+parametros_recargas!$G$72*'Plan mensual'!K23+parametros_recargas!$H$72*'Plan mensual'!K24+parametros_recargas!$I$72*'Plan mensual'!K25+parametros_recargas!$J$72*'Plan mensual'!K26+parametros_recargas!$K$72*'Plan mensual'!K27+parametros_recargas!$L$72*'Plan mensual'!K28</f>
        <v>167.985520675998</v>
      </c>
      <c r="J2" s="21" t="n">
        <f aca="false">parametros_recargas!$E$72*'Plan mensual'!L21+parametros_recargas!$F$72*'Plan mensual'!L22+parametros_recargas!$G$72*'Plan mensual'!L23+parametros_recargas!$H$72*'Plan mensual'!L24+parametros_recargas!$I$72*'Plan mensual'!L25+parametros_recargas!$J$72*'Plan mensual'!L26+parametros_recargas!$K$72*'Plan mensual'!L27+parametros_recargas!$L$72*'Plan mensual'!L28</f>
        <v>167.985520675998</v>
      </c>
      <c r="K2" s="21" t="n">
        <f aca="false">parametros_recargas!$E$72*'Plan mensual'!M21+parametros_recargas!$F$72*'Plan mensual'!M22+parametros_recargas!$G$72*'Plan mensual'!M23+parametros_recargas!$H$72*'Plan mensual'!M24+parametros_recargas!$I$72*'Plan mensual'!M25+parametros_recargas!$J$72*'Plan mensual'!M26+parametros_recargas!$K$72*'Plan mensual'!M27+parametros_recargas!$L$72*'Plan mensual'!M28</f>
        <v>167.985520675998</v>
      </c>
      <c r="L2" s="21" t="n">
        <f aca="false">parametros_recargas!$E$72*'Plan mensual'!N21+parametros_recargas!$F$72*'Plan mensual'!N22+parametros_recargas!$G$72*'Plan mensual'!N23+parametros_recargas!$H$72*'Plan mensual'!N24+parametros_recargas!$I$72*'Plan mensual'!N25+parametros_recargas!$J$72*'Plan mensual'!N26+parametros_recargas!$K$72*'Plan mensual'!N27+parametros_recargas!$L$72*'Plan mensual'!N28</f>
        <v>167.985520675998</v>
      </c>
      <c r="M2" s="21" t="n">
        <f aca="false">parametros_recargas!$E$72*'Plan mensual'!O21+parametros_recargas!$F$72*'Plan mensual'!O22+parametros_recargas!$G$72*'Plan mensual'!O23+parametros_recargas!$H$72*'Plan mensual'!O24+parametros_recargas!$I$72*'Plan mensual'!O25+parametros_recargas!$J$72*'Plan mensual'!O26+parametros_recargas!$K$72*'Plan mensual'!O27+parametros_recargas!$L$72*'Plan mensual'!O28</f>
        <v>167.985520675998</v>
      </c>
      <c r="N2" s="6" t="n">
        <f aca="false">SUM(B2:M2)</f>
        <v>2015.82624811197</v>
      </c>
      <c r="O2" s="22" t="n">
        <f aca="false">MAX(B2:M2)</f>
        <v>167.985520675998</v>
      </c>
      <c r="P2" s="12" t="n">
        <f aca="false">O2/parametros_recargas!$B$6</f>
        <v>1.11990347117332</v>
      </c>
    </row>
    <row r="3" customFormat="false" ht="15" hidden="false" customHeight="false" outlineLevel="0" collapsed="false">
      <c r="A3" s="8" t="str">
        <f aca="false">parametros_recargas!$B$73</f>
        <v>Inspección visual</v>
      </c>
      <c r="B3" s="21" t="n">
        <f aca="false">parametros_recargas!$E$73*'Plan mensual'!D21+parametros_recargas!$F$73*'Plan mensual'!D22+parametros_recargas!$G$73*'Plan mensual'!D23+parametros_recargas!$H$73*'Plan mensual'!D24+parametros_recargas!$I$73*'Plan mensual'!D25+parametros_recargas!$J$73*'Plan mensual'!D26+parametros_recargas!$K$73*'Plan mensual'!D27+parametros_recargas!$L$73*'Plan mensual'!D28</f>
        <v>167.985520675998</v>
      </c>
      <c r="C3" s="21" t="n">
        <f aca="false">parametros_recargas!$E$73*'Plan mensual'!E21+parametros_recargas!$F$73*'Plan mensual'!E22+parametros_recargas!$G$73*'Plan mensual'!E23+parametros_recargas!$H$73*'Plan mensual'!E24+parametros_recargas!$I$73*'Plan mensual'!E25+parametros_recargas!$J$73*'Plan mensual'!E26+parametros_recargas!$K$73*'Plan mensual'!E27+parametros_recargas!$L$73*'Plan mensual'!E28</f>
        <v>167.985520675998</v>
      </c>
      <c r="D3" s="21" t="n">
        <f aca="false">parametros_recargas!$E$73*'Plan mensual'!F21+parametros_recargas!$F$73*'Plan mensual'!F22+parametros_recargas!$G$73*'Plan mensual'!F23+parametros_recargas!$H$73*'Plan mensual'!F24+parametros_recargas!$I$73*'Plan mensual'!F25+parametros_recargas!$J$73*'Plan mensual'!F26+parametros_recargas!$K$73*'Plan mensual'!F27+parametros_recargas!$L$73*'Plan mensual'!F28</f>
        <v>167.985520675998</v>
      </c>
      <c r="E3" s="21" t="n">
        <f aca="false">parametros_recargas!$E$73*'Plan mensual'!G21+parametros_recargas!$F$73*'Plan mensual'!G22+parametros_recargas!$G$73*'Plan mensual'!G23+parametros_recargas!$H$73*'Plan mensual'!G24+parametros_recargas!$I$73*'Plan mensual'!G25+parametros_recargas!$J$73*'Plan mensual'!G26+parametros_recargas!$K$73*'Plan mensual'!G27+parametros_recargas!$L$73*'Plan mensual'!G28</f>
        <v>167.985520675998</v>
      </c>
      <c r="F3" s="21" t="n">
        <f aca="false">parametros_recargas!$E$73*'Plan mensual'!H21+parametros_recargas!$F$73*'Plan mensual'!H22+parametros_recargas!$G$73*'Plan mensual'!H23+parametros_recargas!$H$73*'Plan mensual'!H24+parametros_recargas!$I$73*'Plan mensual'!H25+parametros_recargas!$J$73*'Plan mensual'!H26+parametros_recargas!$K$73*'Plan mensual'!H27+parametros_recargas!$L$73*'Plan mensual'!H28</f>
        <v>167.985520675998</v>
      </c>
      <c r="G3" s="21" t="n">
        <f aca="false">parametros_recargas!$E$73*'Plan mensual'!I21+parametros_recargas!$F$73*'Plan mensual'!I22+parametros_recargas!$G$73*'Plan mensual'!I23+parametros_recargas!$H$73*'Plan mensual'!I24+parametros_recargas!$I$73*'Plan mensual'!I25+parametros_recargas!$J$73*'Plan mensual'!I26+parametros_recargas!$K$73*'Plan mensual'!I27+parametros_recargas!$L$73*'Plan mensual'!I28</f>
        <v>167.985520675998</v>
      </c>
      <c r="H3" s="21" t="n">
        <f aca="false">parametros_recargas!$E$73*'Plan mensual'!J21+parametros_recargas!$F$73*'Plan mensual'!J22+parametros_recargas!$G$73*'Plan mensual'!J23+parametros_recargas!$H$73*'Plan mensual'!J24+parametros_recargas!$I$73*'Plan mensual'!J25+parametros_recargas!$J$73*'Plan mensual'!J26+parametros_recargas!$K$73*'Plan mensual'!J27+parametros_recargas!$L$73*'Plan mensual'!J28</f>
        <v>167.985520675998</v>
      </c>
      <c r="I3" s="21" t="n">
        <f aca="false">parametros_recargas!$E$73*'Plan mensual'!K21+parametros_recargas!$F$73*'Plan mensual'!K22+parametros_recargas!$G$73*'Plan mensual'!K23+parametros_recargas!$H$73*'Plan mensual'!K24+parametros_recargas!$I$73*'Plan mensual'!K25+parametros_recargas!$J$73*'Plan mensual'!K26+parametros_recargas!$K$73*'Plan mensual'!K27+parametros_recargas!$L$73*'Plan mensual'!K28</f>
        <v>167.985520675998</v>
      </c>
      <c r="J3" s="21" t="n">
        <f aca="false">parametros_recargas!$E$73*'Plan mensual'!L21+parametros_recargas!$F$73*'Plan mensual'!L22+parametros_recargas!$G$73*'Plan mensual'!L23+parametros_recargas!$H$73*'Plan mensual'!L24+parametros_recargas!$I$73*'Plan mensual'!L25+parametros_recargas!$J$73*'Plan mensual'!L26+parametros_recargas!$K$73*'Plan mensual'!L27+parametros_recargas!$L$73*'Plan mensual'!L28</f>
        <v>167.985520675998</v>
      </c>
      <c r="K3" s="21" t="n">
        <f aca="false">parametros_recargas!$E$73*'Plan mensual'!M21+parametros_recargas!$F$73*'Plan mensual'!M22+parametros_recargas!$G$73*'Plan mensual'!M23+parametros_recargas!$H$73*'Plan mensual'!M24+parametros_recargas!$I$73*'Plan mensual'!M25+parametros_recargas!$J$73*'Plan mensual'!M26+parametros_recargas!$K$73*'Plan mensual'!M27+parametros_recargas!$L$73*'Plan mensual'!M28</f>
        <v>167.985520675998</v>
      </c>
      <c r="L3" s="21" t="n">
        <f aca="false">parametros_recargas!$E$73*'Plan mensual'!N21+parametros_recargas!$F$73*'Plan mensual'!N22+parametros_recargas!$G$73*'Plan mensual'!N23+parametros_recargas!$H$73*'Plan mensual'!N24+parametros_recargas!$I$73*'Plan mensual'!N25+parametros_recargas!$J$73*'Plan mensual'!N26+parametros_recargas!$K$73*'Plan mensual'!N27+parametros_recargas!$L$73*'Plan mensual'!N28</f>
        <v>167.985520675998</v>
      </c>
      <c r="M3" s="21" t="n">
        <f aca="false">parametros_recargas!$E$73*'Plan mensual'!O21+parametros_recargas!$F$73*'Plan mensual'!O22+parametros_recargas!$G$73*'Plan mensual'!O23+parametros_recargas!$H$73*'Plan mensual'!O24+parametros_recargas!$I$73*'Plan mensual'!O25+parametros_recargas!$J$73*'Plan mensual'!O26+parametros_recargas!$K$73*'Plan mensual'!O27+parametros_recargas!$L$73*'Plan mensual'!O28</f>
        <v>167.985520675998</v>
      </c>
      <c r="N3" s="6" t="n">
        <f aca="false">SUM(B3:M3)</f>
        <v>2015.82624811197</v>
      </c>
      <c r="O3" s="22" t="n">
        <f aca="false">MAX(B3:M3)</f>
        <v>167.985520675998</v>
      </c>
      <c r="P3" s="12" t="n">
        <f aca="false">O3/parametros_recargas!$B$6</f>
        <v>1.11990347117332</v>
      </c>
    </row>
    <row r="4" customFormat="false" ht="15" hidden="false" customHeight="false" outlineLevel="0" collapsed="false">
      <c r="A4" s="8" t="str">
        <f aca="false">parametros_recargas!$B$74</f>
        <v>Descarga ABC — ruta recuperable</v>
      </c>
      <c r="B4" s="21" t="n">
        <f aca="false">parametros_recargas!$E$74*'Plan mensual'!D21+parametros_recargas!$F$74*'Plan mensual'!D22+parametros_recargas!$G$74*'Plan mensual'!D23+parametros_recargas!$H$74*'Plan mensual'!D24+parametros_recargas!$I$74*'Plan mensual'!D25+parametros_recargas!$J$74*'Plan mensual'!D26+parametros_recargas!$K$74*'Plan mensual'!D27+parametros_recargas!$L$74*'Plan mensual'!D28</f>
        <v>124.294525771424</v>
      </c>
      <c r="C4" s="21" t="n">
        <f aca="false">parametros_recargas!$E$74*'Plan mensual'!E21+parametros_recargas!$F$74*'Plan mensual'!E22+parametros_recargas!$G$74*'Plan mensual'!E23+parametros_recargas!$H$74*'Plan mensual'!E24+parametros_recargas!$I$74*'Plan mensual'!E25+parametros_recargas!$J$74*'Plan mensual'!E26+parametros_recargas!$K$74*'Plan mensual'!E27+parametros_recargas!$L$74*'Plan mensual'!E28</f>
        <v>124.294525771424</v>
      </c>
      <c r="D4" s="21" t="n">
        <f aca="false">parametros_recargas!$E$74*'Plan mensual'!F21+parametros_recargas!$F$74*'Plan mensual'!F22+parametros_recargas!$G$74*'Plan mensual'!F23+parametros_recargas!$H$74*'Plan mensual'!F24+parametros_recargas!$I$74*'Plan mensual'!F25+parametros_recargas!$J$74*'Plan mensual'!F26+parametros_recargas!$K$74*'Plan mensual'!F27+parametros_recargas!$L$74*'Plan mensual'!F28</f>
        <v>124.294525771424</v>
      </c>
      <c r="E4" s="21" t="n">
        <f aca="false">parametros_recargas!$E$74*'Plan mensual'!G21+parametros_recargas!$F$74*'Plan mensual'!G22+parametros_recargas!$G$74*'Plan mensual'!G23+parametros_recargas!$H$74*'Plan mensual'!G24+parametros_recargas!$I$74*'Plan mensual'!G25+parametros_recargas!$J$74*'Plan mensual'!G26+parametros_recargas!$K$74*'Plan mensual'!G27+parametros_recargas!$L$74*'Plan mensual'!G28</f>
        <v>124.294525771424</v>
      </c>
      <c r="F4" s="21" t="n">
        <f aca="false">parametros_recargas!$E$74*'Plan mensual'!H21+parametros_recargas!$F$74*'Plan mensual'!H22+parametros_recargas!$G$74*'Plan mensual'!H23+parametros_recargas!$H$74*'Plan mensual'!H24+parametros_recargas!$I$74*'Plan mensual'!H25+parametros_recargas!$J$74*'Plan mensual'!H26+parametros_recargas!$K$74*'Plan mensual'!H27+parametros_recargas!$L$74*'Plan mensual'!H28</f>
        <v>124.294525771424</v>
      </c>
      <c r="G4" s="21" t="n">
        <f aca="false">parametros_recargas!$E$74*'Plan mensual'!I21+parametros_recargas!$F$74*'Plan mensual'!I22+parametros_recargas!$G$74*'Plan mensual'!I23+parametros_recargas!$H$74*'Plan mensual'!I24+parametros_recargas!$I$74*'Plan mensual'!I25+parametros_recargas!$J$74*'Plan mensual'!I26+parametros_recargas!$K$74*'Plan mensual'!I27+parametros_recargas!$L$74*'Plan mensual'!I28</f>
        <v>124.294525771424</v>
      </c>
      <c r="H4" s="21" t="n">
        <f aca="false">parametros_recargas!$E$74*'Plan mensual'!J21+parametros_recargas!$F$74*'Plan mensual'!J22+parametros_recargas!$G$74*'Plan mensual'!J23+parametros_recargas!$H$74*'Plan mensual'!J24+parametros_recargas!$I$74*'Plan mensual'!J25+parametros_recargas!$J$74*'Plan mensual'!J26+parametros_recargas!$K$74*'Plan mensual'!J27+parametros_recargas!$L$74*'Plan mensual'!J28</f>
        <v>124.294525771424</v>
      </c>
      <c r="I4" s="21" t="n">
        <f aca="false">parametros_recargas!$E$74*'Plan mensual'!K21+parametros_recargas!$F$74*'Plan mensual'!K22+parametros_recargas!$G$74*'Plan mensual'!K23+parametros_recargas!$H$74*'Plan mensual'!K24+parametros_recargas!$I$74*'Plan mensual'!K25+parametros_recargas!$J$74*'Plan mensual'!K26+parametros_recargas!$K$74*'Plan mensual'!K27+parametros_recargas!$L$74*'Plan mensual'!K28</f>
        <v>124.294525771424</v>
      </c>
      <c r="J4" s="21" t="n">
        <f aca="false">parametros_recargas!$E$74*'Plan mensual'!L21+parametros_recargas!$F$74*'Plan mensual'!L22+parametros_recargas!$G$74*'Plan mensual'!L23+parametros_recargas!$H$74*'Plan mensual'!L24+parametros_recargas!$I$74*'Plan mensual'!L25+parametros_recargas!$J$74*'Plan mensual'!L26+parametros_recargas!$K$74*'Plan mensual'!L27+parametros_recargas!$L$74*'Plan mensual'!L28</f>
        <v>124.294525771424</v>
      </c>
      <c r="K4" s="21" t="n">
        <f aca="false">parametros_recargas!$E$74*'Plan mensual'!M21+parametros_recargas!$F$74*'Plan mensual'!M22+parametros_recargas!$G$74*'Plan mensual'!M23+parametros_recargas!$H$74*'Plan mensual'!M24+parametros_recargas!$I$74*'Plan mensual'!M25+parametros_recargas!$J$74*'Plan mensual'!M26+parametros_recargas!$K$74*'Plan mensual'!M27+parametros_recargas!$L$74*'Plan mensual'!M28</f>
        <v>124.294525771424</v>
      </c>
      <c r="L4" s="21" t="n">
        <f aca="false">parametros_recargas!$E$74*'Plan mensual'!N21+parametros_recargas!$F$74*'Plan mensual'!N22+parametros_recargas!$G$74*'Plan mensual'!N23+parametros_recargas!$H$74*'Plan mensual'!N24+parametros_recargas!$I$74*'Plan mensual'!N25+parametros_recargas!$J$74*'Plan mensual'!N26+parametros_recargas!$K$74*'Plan mensual'!N27+parametros_recargas!$L$74*'Plan mensual'!N28</f>
        <v>124.294525771424</v>
      </c>
      <c r="M4" s="21" t="n">
        <f aca="false">parametros_recargas!$E$74*'Plan mensual'!O21+parametros_recargas!$F$74*'Plan mensual'!O22+parametros_recargas!$G$74*'Plan mensual'!O23+parametros_recargas!$H$74*'Plan mensual'!O24+parametros_recargas!$I$74*'Plan mensual'!O25+parametros_recargas!$J$74*'Plan mensual'!O26+parametros_recargas!$K$74*'Plan mensual'!O27+parametros_recargas!$L$74*'Plan mensual'!O28</f>
        <v>124.294525771424</v>
      </c>
      <c r="N4" s="6" t="n">
        <f aca="false">SUM(B4:M4)</f>
        <v>1491.53430925708</v>
      </c>
      <c r="O4" s="22" t="n">
        <f aca="false">MAX(B4:M4)</f>
        <v>124.294525771424</v>
      </c>
      <c r="P4" s="12" t="n">
        <f aca="false">O4/parametros_recargas!$B$6</f>
        <v>0.828630171809491</v>
      </c>
    </row>
    <row r="5" customFormat="false" ht="15" hidden="false" customHeight="false" outlineLevel="0" collapsed="false">
      <c r="A5" s="8" t="str">
        <f aca="false">parametros_recargas!$B$75</f>
        <v>Descarga ABC — ruta descarte</v>
      </c>
      <c r="B5" s="21" t="n">
        <f aca="false">parametros_recargas!$E$75*'Plan mensual'!D21+parametros_recargas!$F$75*'Plan mensual'!D22+parametros_recargas!$G$75*'Plan mensual'!D23+parametros_recargas!$H$75*'Plan mensual'!D24+parametros_recargas!$I$75*'Plan mensual'!D25+parametros_recargas!$J$75*'Plan mensual'!D26+parametros_recargas!$K$75*'Plan mensual'!D27+parametros_recargas!$L$75*'Plan mensual'!D28</f>
        <v>14.6228853848734</v>
      </c>
      <c r="C5" s="21" t="n">
        <f aca="false">parametros_recargas!$E$75*'Plan mensual'!E21+parametros_recargas!$F$75*'Plan mensual'!E22+parametros_recargas!$G$75*'Plan mensual'!E23+parametros_recargas!$H$75*'Plan mensual'!E24+parametros_recargas!$I$75*'Plan mensual'!E25+parametros_recargas!$J$75*'Plan mensual'!E26+parametros_recargas!$K$75*'Plan mensual'!E27+parametros_recargas!$L$75*'Plan mensual'!E28</f>
        <v>14.6228853848734</v>
      </c>
      <c r="D5" s="21" t="n">
        <f aca="false">parametros_recargas!$E$75*'Plan mensual'!F21+parametros_recargas!$F$75*'Plan mensual'!F22+parametros_recargas!$G$75*'Plan mensual'!F23+parametros_recargas!$H$75*'Plan mensual'!F24+parametros_recargas!$I$75*'Plan mensual'!F25+parametros_recargas!$J$75*'Plan mensual'!F26+parametros_recargas!$K$75*'Plan mensual'!F27+parametros_recargas!$L$75*'Plan mensual'!F28</f>
        <v>14.6228853848734</v>
      </c>
      <c r="E5" s="21" t="n">
        <f aca="false">parametros_recargas!$E$75*'Plan mensual'!G21+parametros_recargas!$F$75*'Plan mensual'!G22+parametros_recargas!$G$75*'Plan mensual'!G23+parametros_recargas!$H$75*'Plan mensual'!G24+parametros_recargas!$I$75*'Plan mensual'!G25+parametros_recargas!$J$75*'Plan mensual'!G26+parametros_recargas!$K$75*'Plan mensual'!G27+parametros_recargas!$L$75*'Plan mensual'!G28</f>
        <v>14.6228853848734</v>
      </c>
      <c r="F5" s="21" t="n">
        <f aca="false">parametros_recargas!$E$75*'Plan mensual'!H21+parametros_recargas!$F$75*'Plan mensual'!H22+parametros_recargas!$G$75*'Plan mensual'!H23+parametros_recargas!$H$75*'Plan mensual'!H24+parametros_recargas!$I$75*'Plan mensual'!H25+parametros_recargas!$J$75*'Plan mensual'!H26+parametros_recargas!$K$75*'Plan mensual'!H27+parametros_recargas!$L$75*'Plan mensual'!H28</f>
        <v>14.6228853848734</v>
      </c>
      <c r="G5" s="21" t="n">
        <f aca="false">parametros_recargas!$E$75*'Plan mensual'!I21+parametros_recargas!$F$75*'Plan mensual'!I22+parametros_recargas!$G$75*'Plan mensual'!I23+parametros_recargas!$H$75*'Plan mensual'!I24+parametros_recargas!$I$75*'Plan mensual'!I25+parametros_recargas!$J$75*'Plan mensual'!I26+parametros_recargas!$K$75*'Plan mensual'!I27+parametros_recargas!$L$75*'Plan mensual'!I28</f>
        <v>14.6228853848734</v>
      </c>
      <c r="H5" s="21" t="n">
        <f aca="false">parametros_recargas!$E$75*'Plan mensual'!J21+parametros_recargas!$F$75*'Plan mensual'!J22+parametros_recargas!$G$75*'Plan mensual'!J23+parametros_recargas!$H$75*'Plan mensual'!J24+parametros_recargas!$I$75*'Plan mensual'!J25+parametros_recargas!$J$75*'Plan mensual'!J26+parametros_recargas!$K$75*'Plan mensual'!J27+parametros_recargas!$L$75*'Plan mensual'!J28</f>
        <v>14.6228853848734</v>
      </c>
      <c r="I5" s="21" t="n">
        <f aca="false">parametros_recargas!$E$75*'Plan mensual'!K21+parametros_recargas!$F$75*'Plan mensual'!K22+parametros_recargas!$G$75*'Plan mensual'!K23+parametros_recargas!$H$75*'Plan mensual'!K24+parametros_recargas!$I$75*'Plan mensual'!K25+parametros_recargas!$J$75*'Plan mensual'!K26+parametros_recargas!$K$75*'Plan mensual'!K27+parametros_recargas!$L$75*'Plan mensual'!K28</f>
        <v>14.6228853848734</v>
      </c>
      <c r="J5" s="21" t="n">
        <f aca="false">parametros_recargas!$E$75*'Plan mensual'!L21+parametros_recargas!$F$75*'Plan mensual'!L22+parametros_recargas!$G$75*'Plan mensual'!L23+parametros_recargas!$H$75*'Plan mensual'!L24+parametros_recargas!$I$75*'Plan mensual'!L25+parametros_recargas!$J$75*'Plan mensual'!L26+parametros_recargas!$K$75*'Plan mensual'!L27+parametros_recargas!$L$75*'Plan mensual'!L28</f>
        <v>14.6228853848734</v>
      </c>
      <c r="K5" s="21" t="n">
        <f aca="false">parametros_recargas!$E$75*'Plan mensual'!M21+parametros_recargas!$F$75*'Plan mensual'!M22+parametros_recargas!$G$75*'Plan mensual'!M23+parametros_recargas!$H$75*'Plan mensual'!M24+parametros_recargas!$I$75*'Plan mensual'!M25+parametros_recargas!$J$75*'Plan mensual'!M26+parametros_recargas!$K$75*'Plan mensual'!M27+parametros_recargas!$L$75*'Plan mensual'!M28</f>
        <v>14.6228853848734</v>
      </c>
      <c r="L5" s="21" t="n">
        <f aca="false">parametros_recargas!$E$75*'Plan mensual'!N21+parametros_recargas!$F$75*'Plan mensual'!N22+parametros_recargas!$G$75*'Plan mensual'!N23+parametros_recargas!$H$75*'Plan mensual'!N24+parametros_recargas!$I$75*'Plan mensual'!N25+parametros_recargas!$J$75*'Plan mensual'!N26+parametros_recargas!$K$75*'Plan mensual'!N27+parametros_recargas!$L$75*'Plan mensual'!N28</f>
        <v>14.6228853848734</v>
      </c>
      <c r="M5" s="21" t="n">
        <f aca="false">parametros_recargas!$E$75*'Plan mensual'!O21+parametros_recargas!$F$75*'Plan mensual'!O22+parametros_recargas!$G$75*'Plan mensual'!O23+parametros_recargas!$H$75*'Plan mensual'!O24+parametros_recargas!$I$75*'Plan mensual'!O25+parametros_recargas!$J$75*'Plan mensual'!O26+parametros_recargas!$K$75*'Plan mensual'!O27+parametros_recargas!$L$75*'Plan mensual'!O28</f>
        <v>14.6228853848734</v>
      </c>
      <c r="N5" s="6" t="n">
        <f aca="false">SUM(B5:M5)</f>
        <v>175.47462461848</v>
      </c>
      <c r="O5" s="22" t="n">
        <f aca="false">MAX(B5:M5)</f>
        <v>14.6228853848734</v>
      </c>
      <c r="P5" s="12" t="n">
        <f aca="false">O5/parametros_recargas!$B$6</f>
        <v>0.0974859025658224</v>
      </c>
    </row>
    <row r="6" customFormat="false" ht="15" hidden="false" customHeight="false" outlineLevel="0" collapsed="false">
      <c r="A6" s="8" t="str">
        <f aca="false">parametros_recargas!$B$76</f>
        <v>Descarga BC</v>
      </c>
      <c r="B6" s="21" t="n">
        <f aca="false">parametros_recargas!$E$76*'Plan mensual'!D21+parametros_recargas!$F$76*'Plan mensual'!D22+parametros_recargas!$G$76*'Plan mensual'!D23+parametros_recargas!$H$76*'Plan mensual'!D24+parametros_recargas!$I$76*'Plan mensual'!D25+parametros_recargas!$J$76*'Plan mensual'!D26+parametros_recargas!$K$76*'Plan mensual'!D27+parametros_recargas!$L$76*'Plan mensual'!D28</f>
        <v>0.163994970110154</v>
      </c>
      <c r="C6" s="21" t="n">
        <f aca="false">parametros_recargas!$E$76*'Plan mensual'!E21+parametros_recargas!$F$76*'Plan mensual'!E22+parametros_recargas!$G$76*'Plan mensual'!E23+parametros_recargas!$H$76*'Plan mensual'!E24+parametros_recargas!$I$76*'Plan mensual'!E25+parametros_recargas!$J$76*'Plan mensual'!E26+parametros_recargas!$K$76*'Plan mensual'!E27+parametros_recargas!$L$76*'Plan mensual'!E28</f>
        <v>0.163994970110154</v>
      </c>
      <c r="D6" s="21" t="n">
        <f aca="false">parametros_recargas!$E$76*'Plan mensual'!F21+parametros_recargas!$F$76*'Plan mensual'!F22+parametros_recargas!$G$76*'Plan mensual'!F23+parametros_recargas!$H$76*'Plan mensual'!F24+parametros_recargas!$I$76*'Plan mensual'!F25+parametros_recargas!$J$76*'Plan mensual'!F26+parametros_recargas!$K$76*'Plan mensual'!F27+parametros_recargas!$L$76*'Plan mensual'!F28</f>
        <v>0.163994970110154</v>
      </c>
      <c r="E6" s="21" t="n">
        <f aca="false">parametros_recargas!$E$76*'Plan mensual'!G21+parametros_recargas!$F$76*'Plan mensual'!G22+parametros_recargas!$G$76*'Plan mensual'!G23+parametros_recargas!$H$76*'Plan mensual'!G24+parametros_recargas!$I$76*'Plan mensual'!G25+parametros_recargas!$J$76*'Plan mensual'!G26+parametros_recargas!$K$76*'Plan mensual'!G27+parametros_recargas!$L$76*'Plan mensual'!G28</f>
        <v>0.163994970110154</v>
      </c>
      <c r="F6" s="21" t="n">
        <f aca="false">parametros_recargas!$E$76*'Plan mensual'!H21+parametros_recargas!$F$76*'Plan mensual'!H22+parametros_recargas!$G$76*'Plan mensual'!H23+parametros_recargas!$H$76*'Plan mensual'!H24+parametros_recargas!$I$76*'Plan mensual'!H25+parametros_recargas!$J$76*'Plan mensual'!H26+parametros_recargas!$K$76*'Plan mensual'!H27+parametros_recargas!$L$76*'Plan mensual'!H28</f>
        <v>0.163994970110154</v>
      </c>
      <c r="G6" s="21" t="n">
        <f aca="false">parametros_recargas!$E$76*'Plan mensual'!I21+parametros_recargas!$F$76*'Plan mensual'!I22+parametros_recargas!$G$76*'Plan mensual'!I23+parametros_recargas!$H$76*'Plan mensual'!I24+parametros_recargas!$I$76*'Plan mensual'!I25+parametros_recargas!$J$76*'Plan mensual'!I26+parametros_recargas!$K$76*'Plan mensual'!I27+parametros_recargas!$L$76*'Plan mensual'!I28</f>
        <v>0.163994970110154</v>
      </c>
      <c r="H6" s="21" t="n">
        <f aca="false">parametros_recargas!$E$76*'Plan mensual'!J21+parametros_recargas!$F$76*'Plan mensual'!J22+parametros_recargas!$G$76*'Plan mensual'!J23+parametros_recargas!$H$76*'Plan mensual'!J24+parametros_recargas!$I$76*'Plan mensual'!J25+parametros_recargas!$J$76*'Plan mensual'!J26+parametros_recargas!$K$76*'Plan mensual'!J27+parametros_recargas!$L$76*'Plan mensual'!J28</f>
        <v>0.163994970110154</v>
      </c>
      <c r="I6" s="21" t="n">
        <f aca="false">parametros_recargas!$E$76*'Plan mensual'!K21+parametros_recargas!$F$76*'Plan mensual'!K22+parametros_recargas!$G$76*'Plan mensual'!K23+parametros_recargas!$H$76*'Plan mensual'!K24+parametros_recargas!$I$76*'Plan mensual'!K25+parametros_recargas!$J$76*'Plan mensual'!K26+parametros_recargas!$K$76*'Plan mensual'!K27+parametros_recargas!$L$76*'Plan mensual'!K28</f>
        <v>0.163994970110154</v>
      </c>
      <c r="J6" s="21" t="n">
        <f aca="false">parametros_recargas!$E$76*'Plan mensual'!L21+parametros_recargas!$F$76*'Plan mensual'!L22+parametros_recargas!$G$76*'Plan mensual'!L23+parametros_recargas!$H$76*'Plan mensual'!L24+parametros_recargas!$I$76*'Plan mensual'!L25+parametros_recargas!$J$76*'Plan mensual'!L26+parametros_recargas!$K$76*'Plan mensual'!L27+parametros_recargas!$L$76*'Plan mensual'!L28</f>
        <v>0.163994970110154</v>
      </c>
      <c r="K6" s="21" t="n">
        <f aca="false">parametros_recargas!$E$76*'Plan mensual'!M21+parametros_recargas!$F$76*'Plan mensual'!M22+parametros_recargas!$G$76*'Plan mensual'!M23+parametros_recargas!$H$76*'Plan mensual'!M24+parametros_recargas!$I$76*'Plan mensual'!M25+parametros_recargas!$J$76*'Plan mensual'!M26+parametros_recargas!$K$76*'Plan mensual'!M27+parametros_recargas!$L$76*'Plan mensual'!M28</f>
        <v>0.163994970110154</v>
      </c>
      <c r="L6" s="21" t="n">
        <f aca="false">parametros_recargas!$E$76*'Plan mensual'!N21+parametros_recargas!$F$76*'Plan mensual'!N22+parametros_recargas!$G$76*'Plan mensual'!N23+parametros_recargas!$H$76*'Plan mensual'!N24+parametros_recargas!$I$76*'Plan mensual'!N25+parametros_recargas!$J$76*'Plan mensual'!N26+parametros_recargas!$K$76*'Plan mensual'!N27+parametros_recargas!$L$76*'Plan mensual'!N28</f>
        <v>0.163994970110154</v>
      </c>
      <c r="M6" s="21" t="n">
        <f aca="false">parametros_recargas!$E$76*'Plan mensual'!O21+parametros_recargas!$F$76*'Plan mensual'!O22+parametros_recargas!$G$76*'Plan mensual'!O23+parametros_recargas!$H$76*'Plan mensual'!O24+parametros_recargas!$I$76*'Plan mensual'!O25+parametros_recargas!$J$76*'Plan mensual'!O26+parametros_recargas!$K$76*'Plan mensual'!O27+parametros_recargas!$L$76*'Plan mensual'!O28</f>
        <v>0.163994970110154</v>
      </c>
      <c r="N6" s="6" t="n">
        <f aca="false">SUM(B6:M6)</f>
        <v>1.96793964132184</v>
      </c>
      <c r="O6" s="22" t="n">
        <f aca="false">MAX(B6:M6)</f>
        <v>0.163994970110154</v>
      </c>
      <c r="P6" s="12" t="n">
        <f aca="false">O6/parametros_recargas!$B$6</f>
        <v>0.00109329980073436</v>
      </c>
    </row>
    <row r="7" customFormat="false" ht="15" hidden="false" customHeight="false" outlineLevel="0" collapsed="false">
      <c r="A7" s="8" t="str">
        <f aca="false">parametros_recargas!$B$77</f>
        <v>Descarga de agua / AFFF / sales K</v>
      </c>
      <c r="B7" s="21" t="n">
        <f aca="false">parametros_recargas!$E$77*'Plan mensual'!D21+parametros_recargas!$F$77*'Plan mensual'!D22+parametros_recargas!$G$77*'Plan mensual'!D23+parametros_recargas!$H$77*'Plan mensual'!D24+parametros_recargas!$I$77*'Plan mensual'!D25+parametros_recargas!$J$77*'Plan mensual'!D26+parametros_recargas!$K$77*'Plan mensual'!D27+parametros_recargas!$L$77*'Plan mensual'!D28</f>
        <v>7.16111393500713</v>
      </c>
      <c r="C7" s="21" t="n">
        <f aca="false">parametros_recargas!$E$77*'Plan mensual'!E21+parametros_recargas!$F$77*'Plan mensual'!E22+parametros_recargas!$G$77*'Plan mensual'!E23+parametros_recargas!$H$77*'Plan mensual'!E24+parametros_recargas!$I$77*'Plan mensual'!E25+parametros_recargas!$J$77*'Plan mensual'!E26+parametros_recargas!$K$77*'Plan mensual'!E27+parametros_recargas!$L$77*'Plan mensual'!E28</f>
        <v>7.16111393500713</v>
      </c>
      <c r="D7" s="21" t="n">
        <f aca="false">parametros_recargas!$E$77*'Plan mensual'!F21+parametros_recargas!$F$77*'Plan mensual'!F22+parametros_recargas!$G$77*'Plan mensual'!F23+parametros_recargas!$H$77*'Plan mensual'!F24+parametros_recargas!$I$77*'Plan mensual'!F25+parametros_recargas!$J$77*'Plan mensual'!F26+parametros_recargas!$K$77*'Plan mensual'!F27+parametros_recargas!$L$77*'Plan mensual'!F28</f>
        <v>7.16111393500713</v>
      </c>
      <c r="E7" s="21" t="n">
        <f aca="false">parametros_recargas!$E$77*'Plan mensual'!G21+parametros_recargas!$F$77*'Plan mensual'!G22+parametros_recargas!$G$77*'Plan mensual'!G23+parametros_recargas!$H$77*'Plan mensual'!G24+parametros_recargas!$I$77*'Plan mensual'!G25+parametros_recargas!$J$77*'Plan mensual'!G26+parametros_recargas!$K$77*'Plan mensual'!G27+parametros_recargas!$L$77*'Plan mensual'!G28</f>
        <v>7.16111393500713</v>
      </c>
      <c r="F7" s="21" t="n">
        <f aca="false">parametros_recargas!$E$77*'Plan mensual'!H21+parametros_recargas!$F$77*'Plan mensual'!H22+parametros_recargas!$G$77*'Plan mensual'!H23+parametros_recargas!$H$77*'Plan mensual'!H24+parametros_recargas!$I$77*'Plan mensual'!H25+parametros_recargas!$J$77*'Plan mensual'!H26+parametros_recargas!$K$77*'Plan mensual'!H27+parametros_recargas!$L$77*'Plan mensual'!H28</f>
        <v>7.16111393500713</v>
      </c>
      <c r="G7" s="21" t="n">
        <f aca="false">parametros_recargas!$E$77*'Plan mensual'!I21+parametros_recargas!$F$77*'Plan mensual'!I22+parametros_recargas!$G$77*'Plan mensual'!I23+parametros_recargas!$H$77*'Plan mensual'!I24+parametros_recargas!$I$77*'Plan mensual'!I25+parametros_recargas!$J$77*'Plan mensual'!I26+parametros_recargas!$K$77*'Plan mensual'!I27+parametros_recargas!$L$77*'Plan mensual'!I28</f>
        <v>7.16111393500713</v>
      </c>
      <c r="H7" s="21" t="n">
        <f aca="false">parametros_recargas!$E$77*'Plan mensual'!J21+parametros_recargas!$F$77*'Plan mensual'!J22+parametros_recargas!$G$77*'Plan mensual'!J23+parametros_recargas!$H$77*'Plan mensual'!J24+parametros_recargas!$I$77*'Plan mensual'!J25+parametros_recargas!$J$77*'Plan mensual'!J26+parametros_recargas!$K$77*'Plan mensual'!J27+parametros_recargas!$L$77*'Plan mensual'!J28</f>
        <v>7.16111393500713</v>
      </c>
      <c r="I7" s="21" t="n">
        <f aca="false">parametros_recargas!$E$77*'Plan mensual'!K21+parametros_recargas!$F$77*'Plan mensual'!K22+parametros_recargas!$G$77*'Plan mensual'!K23+parametros_recargas!$H$77*'Plan mensual'!K24+parametros_recargas!$I$77*'Plan mensual'!K25+parametros_recargas!$J$77*'Plan mensual'!K26+parametros_recargas!$K$77*'Plan mensual'!K27+parametros_recargas!$L$77*'Plan mensual'!K28</f>
        <v>7.16111393500713</v>
      </c>
      <c r="J7" s="21" t="n">
        <f aca="false">parametros_recargas!$E$77*'Plan mensual'!L21+parametros_recargas!$F$77*'Plan mensual'!L22+parametros_recargas!$G$77*'Plan mensual'!L23+parametros_recargas!$H$77*'Plan mensual'!L24+parametros_recargas!$I$77*'Plan mensual'!L25+parametros_recargas!$J$77*'Plan mensual'!L26+parametros_recargas!$K$77*'Plan mensual'!L27+parametros_recargas!$L$77*'Plan mensual'!L28</f>
        <v>7.16111393500713</v>
      </c>
      <c r="K7" s="21" t="n">
        <f aca="false">parametros_recargas!$E$77*'Plan mensual'!M21+parametros_recargas!$F$77*'Plan mensual'!M22+parametros_recargas!$G$77*'Plan mensual'!M23+parametros_recargas!$H$77*'Plan mensual'!M24+parametros_recargas!$I$77*'Plan mensual'!M25+parametros_recargas!$J$77*'Plan mensual'!M26+parametros_recargas!$K$77*'Plan mensual'!M27+parametros_recargas!$L$77*'Plan mensual'!M28</f>
        <v>7.16111393500713</v>
      </c>
      <c r="L7" s="21" t="n">
        <f aca="false">parametros_recargas!$E$77*'Plan mensual'!N21+parametros_recargas!$F$77*'Plan mensual'!N22+parametros_recargas!$G$77*'Plan mensual'!N23+parametros_recargas!$H$77*'Plan mensual'!N24+parametros_recargas!$I$77*'Plan mensual'!N25+parametros_recargas!$J$77*'Plan mensual'!N26+parametros_recargas!$K$77*'Plan mensual'!N27+parametros_recargas!$L$77*'Plan mensual'!N28</f>
        <v>7.16111393500713</v>
      </c>
      <c r="M7" s="21" t="n">
        <f aca="false">parametros_recargas!$E$77*'Plan mensual'!O21+parametros_recargas!$F$77*'Plan mensual'!O22+parametros_recargas!$G$77*'Plan mensual'!O23+parametros_recargas!$H$77*'Plan mensual'!O24+parametros_recargas!$I$77*'Plan mensual'!O25+parametros_recargas!$J$77*'Plan mensual'!O26+parametros_recargas!$K$77*'Plan mensual'!O27+parametros_recargas!$L$77*'Plan mensual'!O28</f>
        <v>7.16111393500713</v>
      </c>
      <c r="N7" s="6" t="n">
        <f aca="false">SUM(B7:M7)</f>
        <v>85.9333672200856</v>
      </c>
      <c r="O7" s="22" t="n">
        <f aca="false">MAX(B7:M7)</f>
        <v>7.16111393500713</v>
      </c>
      <c r="P7" s="12" t="n">
        <f aca="false">O7/parametros_recargas!$B$6</f>
        <v>0.0477407595667142</v>
      </c>
    </row>
    <row r="8" customFormat="false" ht="15" hidden="false" customHeight="false" outlineLevel="0" collapsed="false">
      <c r="A8" s="8" t="str">
        <f aca="false">parametros_recargas!$B$78</f>
        <v>Recuperación de CO₂</v>
      </c>
      <c r="B8" s="21" t="n">
        <f aca="false">parametros_recargas!$E$78*'Plan mensual'!D21+parametros_recargas!$F$78*'Plan mensual'!D22+parametros_recargas!$G$78*'Plan mensual'!D23+parametros_recargas!$H$78*'Plan mensual'!D24+parametros_recargas!$I$78*'Plan mensual'!D25+parametros_recargas!$J$78*'Plan mensual'!D26+parametros_recargas!$K$78*'Plan mensual'!D27+parametros_recargas!$L$78*'Plan mensual'!D28</f>
        <v>3.4575607519308</v>
      </c>
      <c r="C8" s="21" t="n">
        <f aca="false">parametros_recargas!$E$78*'Plan mensual'!E21+parametros_recargas!$F$78*'Plan mensual'!E22+parametros_recargas!$G$78*'Plan mensual'!E23+parametros_recargas!$H$78*'Plan mensual'!E24+parametros_recargas!$I$78*'Plan mensual'!E25+parametros_recargas!$J$78*'Plan mensual'!E26+parametros_recargas!$K$78*'Plan mensual'!E27+parametros_recargas!$L$78*'Plan mensual'!E28</f>
        <v>3.4575607519308</v>
      </c>
      <c r="D8" s="21" t="n">
        <f aca="false">parametros_recargas!$E$78*'Plan mensual'!F21+parametros_recargas!$F$78*'Plan mensual'!F22+parametros_recargas!$G$78*'Plan mensual'!F23+parametros_recargas!$H$78*'Plan mensual'!F24+parametros_recargas!$I$78*'Plan mensual'!F25+parametros_recargas!$J$78*'Plan mensual'!F26+parametros_recargas!$K$78*'Plan mensual'!F27+parametros_recargas!$L$78*'Plan mensual'!F28</f>
        <v>3.4575607519308</v>
      </c>
      <c r="E8" s="21" t="n">
        <f aca="false">parametros_recargas!$E$78*'Plan mensual'!G21+parametros_recargas!$F$78*'Plan mensual'!G22+parametros_recargas!$G$78*'Plan mensual'!G23+parametros_recargas!$H$78*'Plan mensual'!G24+parametros_recargas!$I$78*'Plan mensual'!G25+parametros_recargas!$J$78*'Plan mensual'!G26+parametros_recargas!$K$78*'Plan mensual'!G27+parametros_recargas!$L$78*'Plan mensual'!G28</f>
        <v>3.4575607519308</v>
      </c>
      <c r="F8" s="21" t="n">
        <f aca="false">parametros_recargas!$E$78*'Plan mensual'!H21+parametros_recargas!$F$78*'Plan mensual'!H22+parametros_recargas!$G$78*'Plan mensual'!H23+parametros_recargas!$H$78*'Plan mensual'!H24+parametros_recargas!$I$78*'Plan mensual'!H25+parametros_recargas!$J$78*'Plan mensual'!H26+parametros_recargas!$K$78*'Plan mensual'!H27+parametros_recargas!$L$78*'Plan mensual'!H28</f>
        <v>3.4575607519308</v>
      </c>
      <c r="G8" s="21" t="n">
        <f aca="false">parametros_recargas!$E$78*'Plan mensual'!I21+parametros_recargas!$F$78*'Plan mensual'!I22+parametros_recargas!$G$78*'Plan mensual'!I23+parametros_recargas!$H$78*'Plan mensual'!I24+parametros_recargas!$I$78*'Plan mensual'!I25+parametros_recargas!$J$78*'Plan mensual'!I26+parametros_recargas!$K$78*'Plan mensual'!I27+parametros_recargas!$L$78*'Plan mensual'!I28</f>
        <v>3.4575607519308</v>
      </c>
      <c r="H8" s="21" t="n">
        <f aca="false">parametros_recargas!$E$78*'Plan mensual'!J21+parametros_recargas!$F$78*'Plan mensual'!J22+parametros_recargas!$G$78*'Plan mensual'!J23+parametros_recargas!$H$78*'Plan mensual'!J24+parametros_recargas!$I$78*'Plan mensual'!J25+parametros_recargas!$J$78*'Plan mensual'!J26+parametros_recargas!$K$78*'Plan mensual'!J27+parametros_recargas!$L$78*'Plan mensual'!J28</f>
        <v>3.4575607519308</v>
      </c>
      <c r="I8" s="21" t="n">
        <f aca="false">parametros_recargas!$E$78*'Plan mensual'!K21+parametros_recargas!$F$78*'Plan mensual'!K22+parametros_recargas!$G$78*'Plan mensual'!K23+parametros_recargas!$H$78*'Plan mensual'!K24+parametros_recargas!$I$78*'Plan mensual'!K25+parametros_recargas!$J$78*'Plan mensual'!K26+parametros_recargas!$K$78*'Plan mensual'!K27+parametros_recargas!$L$78*'Plan mensual'!K28</f>
        <v>3.4575607519308</v>
      </c>
      <c r="J8" s="21" t="n">
        <f aca="false">parametros_recargas!$E$78*'Plan mensual'!L21+parametros_recargas!$F$78*'Plan mensual'!L22+parametros_recargas!$G$78*'Plan mensual'!L23+parametros_recargas!$H$78*'Plan mensual'!L24+parametros_recargas!$I$78*'Plan mensual'!L25+parametros_recargas!$J$78*'Plan mensual'!L26+parametros_recargas!$K$78*'Plan mensual'!L27+parametros_recargas!$L$78*'Plan mensual'!L28</f>
        <v>3.4575607519308</v>
      </c>
      <c r="K8" s="21" t="n">
        <f aca="false">parametros_recargas!$E$78*'Plan mensual'!M21+parametros_recargas!$F$78*'Plan mensual'!M22+parametros_recargas!$G$78*'Plan mensual'!M23+parametros_recargas!$H$78*'Plan mensual'!M24+parametros_recargas!$I$78*'Plan mensual'!M25+parametros_recargas!$J$78*'Plan mensual'!M26+parametros_recargas!$K$78*'Plan mensual'!M27+parametros_recargas!$L$78*'Plan mensual'!M28</f>
        <v>3.4575607519308</v>
      </c>
      <c r="L8" s="21" t="n">
        <f aca="false">parametros_recargas!$E$78*'Plan mensual'!N21+parametros_recargas!$F$78*'Plan mensual'!N22+parametros_recargas!$G$78*'Plan mensual'!N23+parametros_recargas!$H$78*'Plan mensual'!N24+parametros_recargas!$I$78*'Plan mensual'!N25+parametros_recargas!$J$78*'Plan mensual'!N26+parametros_recargas!$K$78*'Plan mensual'!N27+parametros_recargas!$L$78*'Plan mensual'!N28</f>
        <v>3.4575607519308</v>
      </c>
      <c r="M8" s="21" t="n">
        <f aca="false">parametros_recargas!$E$78*'Plan mensual'!O21+parametros_recargas!$F$78*'Plan mensual'!O22+parametros_recargas!$G$78*'Plan mensual'!O23+parametros_recargas!$H$78*'Plan mensual'!O24+parametros_recargas!$I$78*'Plan mensual'!O25+parametros_recargas!$J$78*'Plan mensual'!O26+parametros_recargas!$K$78*'Plan mensual'!O27+parametros_recargas!$L$78*'Plan mensual'!O28</f>
        <v>3.4575607519308</v>
      </c>
      <c r="N8" s="6" t="n">
        <f aca="false">SUM(B8:M8)</f>
        <v>41.4907290231696</v>
      </c>
      <c r="O8" s="22" t="n">
        <f aca="false">MAX(B8:M8)</f>
        <v>3.4575607519308</v>
      </c>
      <c r="P8" s="12" t="n">
        <f aca="false">O8/parametros_recargas!$B$6</f>
        <v>0.023050405012872</v>
      </c>
    </row>
    <row r="9" customFormat="false" ht="15" hidden="false" customHeight="false" outlineLevel="0" collapsed="false">
      <c r="A9" s="8" t="str">
        <f aca="false">parametros_recargas!$B$79</f>
        <v>Recuperación de halogenado</v>
      </c>
      <c r="B9" s="21" t="n">
        <f aca="false">parametros_recargas!$E$79*'Plan mensual'!D21+parametros_recargas!$F$79*'Plan mensual'!D22+parametros_recargas!$G$79*'Plan mensual'!D23+parametros_recargas!$H$79*'Plan mensual'!D24+parametros_recargas!$I$79*'Plan mensual'!D25+parametros_recargas!$J$79*'Plan mensual'!D26+parametros_recargas!$K$79*'Plan mensual'!D27+parametros_recargas!$L$79*'Plan mensual'!D28</f>
        <v>0.109329986078363</v>
      </c>
      <c r="C9" s="21" t="n">
        <f aca="false">parametros_recargas!$E$79*'Plan mensual'!E21+parametros_recargas!$F$79*'Plan mensual'!E22+parametros_recargas!$G$79*'Plan mensual'!E23+parametros_recargas!$H$79*'Plan mensual'!E24+parametros_recargas!$I$79*'Plan mensual'!E25+parametros_recargas!$J$79*'Plan mensual'!E26+parametros_recargas!$K$79*'Plan mensual'!E27+parametros_recargas!$L$79*'Plan mensual'!E28</f>
        <v>0.109329986078363</v>
      </c>
      <c r="D9" s="21" t="n">
        <f aca="false">parametros_recargas!$E$79*'Plan mensual'!F21+parametros_recargas!$F$79*'Plan mensual'!F22+parametros_recargas!$G$79*'Plan mensual'!F23+parametros_recargas!$H$79*'Plan mensual'!F24+parametros_recargas!$I$79*'Plan mensual'!F25+parametros_recargas!$J$79*'Plan mensual'!F26+parametros_recargas!$K$79*'Plan mensual'!F27+parametros_recargas!$L$79*'Plan mensual'!F28</f>
        <v>0.109329986078363</v>
      </c>
      <c r="E9" s="21" t="n">
        <f aca="false">parametros_recargas!$E$79*'Plan mensual'!G21+parametros_recargas!$F$79*'Plan mensual'!G22+parametros_recargas!$G$79*'Plan mensual'!G23+parametros_recargas!$H$79*'Plan mensual'!G24+parametros_recargas!$I$79*'Plan mensual'!G25+parametros_recargas!$J$79*'Plan mensual'!G26+parametros_recargas!$K$79*'Plan mensual'!G27+parametros_recargas!$L$79*'Plan mensual'!G28</f>
        <v>0.109329986078363</v>
      </c>
      <c r="F9" s="21" t="n">
        <f aca="false">parametros_recargas!$E$79*'Plan mensual'!H21+parametros_recargas!$F$79*'Plan mensual'!H22+parametros_recargas!$G$79*'Plan mensual'!H23+parametros_recargas!$H$79*'Plan mensual'!H24+parametros_recargas!$I$79*'Plan mensual'!H25+parametros_recargas!$J$79*'Plan mensual'!H26+parametros_recargas!$K$79*'Plan mensual'!H27+parametros_recargas!$L$79*'Plan mensual'!H28</f>
        <v>0.109329986078363</v>
      </c>
      <c r="G9" s="21" t="n">
        <f aca="false">parametros_recargas!$E$79*'Plan mensual'!I21+parametros_recargas!$F$79*'Plan mensual'!I22+parametros_recargas!$G$79*'Plan mensual'!I23+parametros_recargas!$H$79*'Plan mensual'!I24+parametros_recargas!$I$79*'Plan mensual'!I25+parametros_recargas!$J$79*'Plan mensual'!I26+parametros_recargas!$K$79*'Plan mensual'!I27+parametros_recargas!$L$79*'Plan mensual'!I28</f>
        <v>0.109329986078363</v>
      </c>
      <c r="H9" s="21" t="n">
        <f aca="false">parametros_recargas!$E$79*'Plan mensual'!J21+parametros_recargas!$F$79*'Plan mensual'!J22+parametros_recargas!$G$79*'Plan mensual'!J23+parametros_recargas!$H$79*'Plan mensual'!J24+parametros_recargas!$I$79*'Plan mensual'!J25+parametros_recargas!$J$79*'Plan mensual'!J26+parametros_recargas!$K$79*'Plan mensual'!J27+parametros_recargas!$L$79*'Plan mensual'!J28</f>
        <v>0.109329986078363</v>
      </c>
      <c r="I9" s="21" t="n">
        <f aca="false">parametros_recargas!$E$79*'Plan mensual'!K21+parametros_recargas!$F$79*'Plan mensual'!K22+parametros_recargas!$G$79*'Plan mensual'!K23+parametros_recargas!$H$79*'Plan mensual'!K24+parametros_recargas!$I$79*'Plan mensual'!K25+parametros_recargas!$J$79*'Plan mensual'!K26+parametros_recargas!$K$79*'Plan mensual'!K27+parametros_recargas!$L$79*'Plan mensual'!K28</f>
        <v>0.109329986078363</v>
      </c>
      <c r="J9" s="21" t="n">
        <f aca="false">parametros_recargas!$E$79*'Plan mensual'!L21+parametros_recargas!$F$79*'Plan mensual'!L22+parametros_recargas!$G$79*'Plan mensual'!L23+parametros_recargas!$H$79*'Plan mensual'!L24+parametros_recargas!$I$79*'Plan mensual'!L25+parametros_recargas!$J$79*'Plan mensual'!L26+parametros_recargas!$K$79*'Plan mensual'!L27+parametros_recargas!$L$79*'Plan mensual'!L28</f>
        <v>0.109329986078363</v>
      </c>
      <c r="K9" s="21" t="n">
        <f aca="false">parametros_recargas!$E$79*'Plan mensual'!M21+parametros_recargas!$F$79*'Plan mensual'!M22+parametros_recargas!$G$79*'Plan mensual'!M23+parametros_recargas!$H$79*'Plan mensual'!M24+parametros_recargas!$I$79*'Plan mensual'!M25+parametros_recargas!$J$79*'Plan mensual'!M26+parametros_recargas!$K$79*'Plan mensual'!M27+parametros_recargas!$L$79*'Plan mensual'!M28</f>
        <v>0.109329986078363</v>
      </c>
      <c r="L9" s="21" t="n">
        <f aca="false">parametros_recargas!$E$79*'Plan mensual'!N21+parametros_recargas!$F$79*'Plan mensual'!N22+parametros_recargas!$G$79*'Plan mensual'!N23+parametros_recargas!$H$79*'Plan mensual'!N24+parametros_recargas!$I$79*'Plan mensual'!N25+parametros_recargas!$J$79*'Plan mensual'!N26+parametros_recargas!$K$79*'Plan mensual'!N27+parametros_recargas!$L$79*'Plan mensual'!N28</f>
        <v>0.109329986078363</v>
      </c>
      <c r="M9" s="21" t="n">
        <f aca="false">parametros_recargas!$E$79*'Plan mensual'!O21+parametros_recargas!$F$79*'Plan mensual'!O22+parametros_recargas!$G$79*'Plan mensual'!O23+parametros_recargas!$H$79*'Plan mensual'!O24+parametros_recargas!$I$79*'Plan mensual'!O25+parametros_recargas!$J$79*'Plan mensual'!O26+parametros_recargas!$K$79*'Plan mensual'!O27+parametros_recargas!$L$79*'Plan mensual'!O28</f>
        <v>0.109329986078363</v>
      </c>
      <c r="N9" s="6" t="n">
        <f aca="false">SUM(B9:M9)</f>
        <v>1.31195983294036</v>
      </c>
      <c r="O9" s="22" t="n">
        <f aca="false">MAX(B9:M9)</f>
        <v>0.109329986078363</v>
      </c>
      <c r="P9" s="12" t="n">
        <f aca="false">O9/parametros_recargas!$B$6</f>
        <v>0.000728866573855753</v>
      </c>
    </row>
    <row r="10" customFormat="false" ht="15" hidden="false" customHeight="false" outlineLevel="0" collapsed="false">
      <c r="A10" s="8" t="str">
        <f aca="false">parametros_recargas!$B$80</f>
        <v>Desarme y limpieza — recinto</v>
      </c>
      <c r="B10" s="21" t="n">
        <f aca="false">parametros_recargas!$E$80*'Plan mensual'!D21+parametros_recargas!$F$80*'Plan mensual'!D22+parametros_recargas!$G$80*'Plan mensual'!D23+parametros_recargas!$H$80*'Plan mensual'!D24+parametros_recargas!$I$80*'Plan mensual'!D25+parametros_recargas!$J$80*'Plan mensual'!D26+parametros_recargas!$K$80*'Plan mensual'!D27+parametros_recargas!$L$80*'Plan mensual'!D28</f>
        <v>146.556843788954</v>
      </c>
      <c r="C10" s="21" t="n">
        <f aca="false">parametros_recargas!$E$80*'Plan mensual'!E21+parametros_recargas!$F$80*'Plan mensual'!E22+parametros_recargas!$G$80*'Plan mensual'!E23+parametros_recargas!$H$80*'Plan mensual'!E24+parametros_recargas!$I$80*'Plan mensual'!E25+parametros_recargas!$J$80*'Plan mensual'!E26+parametros_recargas!$K$80*'Plan mensual'!E27+parametros_recargas!$L$80*'Plan mensual'!E28</f>
        <v>146.556843788954</v>
      </c>
      <c r="D10" s="21" t="n">
        <f aca="false">parametros_recargas!$E$80*'Plan mensual'!F21+parametros_recargas!$F$80*'Plan mensual'!F22+parametros_recargas!$G$80*'Plan mensual'!F23+parametros_recargas!$H$80*'Plan mensual'!F24+parametros_recargas!$I$80*'Plan mensual'!F25+parametros_recargas!$J$80*'Plan mensual'!F26+parametros_recargas!$K$80*'Plan mensual'!F27+parametros_recargas!$L$80*'Plan mensual'!F28</f>
        <v>146.556843788954</v>
      </c>
      <c r="E10" s="21" t="n">
        <f aca="false">parametros_recargas!$E$80*'Plan mensual'!G21+parametros_recargas!$F$80*'Plan mensual'!G22+parametros_recargas!$G$80*'Plan mensual'!G23+parametros_recargas!$H$80*'Plan mensual'!G24+parametros_recargas!$I$80*'Plan mensual'!G25+parametros_recargas!$J$80*'Plan mensual'!G26+parametros_recargas!$K$80*'Plan mensual'!G27+parametros_recargas!$L$80*'Plan mensual'!G28</f>
        <v>146.556843788954</v>
      </c>
      <c r="F10" s="21" t="n">
        <f aca="false">parametros_recargas!$E$80*'Plan mensual'!H21+parametros_recargas!$F$80*'Plan mensual'!H22+parametros_recargas!$G$80*'Plan mensual'!H23+parametros_recargas!$H$80*'Plan mensual'!H24+parametros_recargas!$I$80*'Plan mensual'!H25+parametros_recargas!$J$80*'Plan mensual'!H26+parametros_recargas!$K$80*'Plan mensual'!H27+parametros_recargas!$L$80*'Plan mensual'!H28</f>
        <v>146.556843788954</v>
      </c>
      <c r="G10" s="21" t="n">
        <f aca="false">parametros_recargas!$E$80*'Plan mensual'!I21+parametros_recargas!$F$80*'Plan mensual'!I22+parametros_recargas!$G$80*'Plan mensual'!I23+parametros_recargas!$H$80*'Plan mensual'!I24+parametros_recargas!$I$80*'Plan mensual'!I25+parametros_recargas!$J$80*'Plan mensual'!I26+parametros_recargas!$K$80*'Plan mensual'!I27+parametros_recargas!$L$80*'Plan mensual'!I28</f>
        <v>146.556843788954</v>
      </c>
      <c r="H10" s="21" t="n">
        <f aca="false">parametros_recargas!$E$80*'Plan mensual'!J21+parametros_recargas!$F$80*'Plan mensual'!J22+parametros_recargas!$G$80*'Plan mensual'!J23+parametros_recargas!$H$80*'Plan mensual'!J24+parametros_recargas!$I$80*'Plan mensual'!J25+parametros_recargas!$J$80*'Plan mensual'!J26+parametros_recargas!$K$80*'Plan mensual'!J27+parametros_recargas!$L$80*'Plan mensual'!J28</f>
        <v>146.556843788954</v>
      </c>
      <c r="I10" s="21" t="n">
        <f aca="false">parametros_recargas!$E$80*'Plan mensual'!K21+parametros_recargas!$F$80*'Plan mensual'!K22+parametros_recargas!$G$80*'Plan mensual'!K23+parametros_recargas!$H$80*'Plan mensual'!K24+parametros_recargas!$I$80*'Plan mensual'!K25+parametros_recargas!$J$80*'Plan mensual'!K26+parametros_recargas!$K$80*'Plan mensual'!K27+parametros_recargas!$L$80*'Plan mensual'!K28</f>
        <v>146.556843788954</v>
      </c>
      <c r="J10" s="21" t="n">
        <f aca="false">parametros_recargas!$E$80*'Plan mensual'!L21+parametros_recargas!$F$80*'Plan mensual'!L22+parametros_recargas!$G$80*'Plan mensual'!L23+parametros_recargas!$H$80*'Plan mensual'!L24+parametros_recargas!$I$80*'Plan mensual'!L25+parametros_recargas!$J$80*'Plan mensual'!L26+parametros_recargas!$K$80*'Plan mensual'!L27+parametros_recargas!$L$80*'Plan mensual'!L28</f>
        <v>146.556843788954</v>
      </c>
      <c r="K10" s="21" t="n">
        <f aca="false">parametros_recargas!$E$80*'Plan mensual'!M21+parametros_recargas!$F$80*'Plan mensual'!M22+parametros_recargas!$G$80*'Plan mensual'!M23+parametros_recargas!$H$80*'Plan mensual'!M24+parametros_recargas!$I$80*'Plan mensual'!M25+parametros_recargas!$J$80*'Plan mensual'!M26+parametros_recargas!$K$80*'Plan mensual'!M27+parametros_recargas!$L$80*'Plan mensual'!M28</f>
        <v>146.556843788954</v>
      </c>
      <c r="L10" s="21" t="n">
        <f aca="false">parametros_recargas!$E$80*'Plan mensual'!N21+parametros_recargas!$F$80*'Plan mensual'!N22+parametros_recargas!$G$80*'Plan mensual'!N23+parametros_recargas!$H$80*'Plan mensual'!N24+parametros_recargas!$I$80*'Plan mensual'!N25+parametros_recargas!$J$80*'Plan mensual'!N26+parametros_recargas!$K$80*'Plan mensual'!N27+parametros_recargas!$L$80*'Plan mensual'!N28</f>
        <v>146.556843788954</v>
      </c>
      <c r="M10" s="21" t="n">
        <f aca="false">parametros_recargas!$E$80*'Plan mensual'!O21+parametros_recargas!$F$80*'Plan mensual'!O22+parametros_recargas!$G$80*'Plan mensual'!O23+parametros_recargas!$H$80*'Plan mensual'!O24+parametros_recargas!$I$80*'Plan mensual'!O25+parametros_recargas!$J$80*'Plan mensual'!O26+parametros_recargas!$K$80*'Plan mensual'!O27+parametros_recargas!$L$80*'Plan mensual'!O28</f>
        <v>146.556843788954</v>
      </c>
      <c r="N10" s="6" t="n">
        <f aca="false">SUM(B10:M10)</f>
        <v>1758.68212546745</v>
      </c>
      <c r="O10" s="22" t="n">
        <f aca="false">MAX(B10:M10)</f>
        <v>146.556843788954</v>
      </c>
      <c r="P10" s="12" t="n">
        <f aca="false">O10/parametros_recargas!$B$6</f>
        <v>0.977045625259693</v>
      </c>
    </row>
    <row r="11" customFormat="false" ht="15" hidden="false" customHeight="false" outlineLevel="0" collapsed="false">
      <c r="A11" s="8" t="str">
        <f aca="false">parametros_recargas!$B$81</f>
        <v>Desarme e inspección interior — zona general</v>
      </c>
      <c r="B11" s="21" t="n">
        <f aca="false">parametros_recargas!$E$81*'Plan mensual'!D21+parametros_recargas!$F$81*'Plan mensual'!D22+parametros_recargas!$G$81*'Plan mensual'!D23+parametros_recargas!$H$81*'Plan mensual'!D24+parametros_recargas!$I$81*'Plan mensual'!D25+parametros_recargas!$J$81*'Plan mensual'!D26+parametros_recargas!$K$81*'Plan mensual'!D27+parametros_recargas!$L$81*'Plan mensual'!D28</f>
        <v>10.7280046730163</v>
      </c>
      <c r="C11" s="21" t="n">
        <f aca="false">parametros_recargas!$E$81*'Plan mensual'!E21+parametros_recargas!$F$81*'Plan mensual'!E22+parametros_recargas!$G$81*'Plan mensual'!E23+parametros_recargas!$H$81*'Plan mensual'!E24+parametros_recargas!$I$81*'Plan mensual'!E25+parametros_recargas!$J$81*'Plan mensual'!E26+parametros_recargas!$K$81*'Plan mensual'!E27+parametros_recargas!$L$81*'Plan mensual'!E28</f>
        <v>10.7280046730163</v>
      </c>
      <c r="D11" s="21" t="n">
        <f aca="false">parametros_recargas!$E$81*'Plan mensual'!F21+parametros_recargas!$F$81*'Plan mensual'!F22+parametros_recargas!$G$81*'Plan mensual'!F23+parametros_recargas!$H$81*'Plan mensual'!F24+parametros_recargas!$I$81*'Plan mensual'!F25+parametros_recargas!$J$81*'Plan mensual'!F26+parametros_recargas!$K$81*'Plan mensual'!F27+parametros_recargas!$L$81*'Plan mensual'!F28</f>
        <v>10.7280046730163</v>
      </c>
      <c r="E11" s="21" t="n">
        <f aca="false">parametros_recargas!$E$81*'Plan mensual'!G21+parametros_recargas!$F$81*'Plan mensual'!G22+parametros_recargas!$G$81*'Plan mensual'!G23+parametros_recargas!$H$81*'Plan mensual'!G24+parametros_recargas!$I$81*'Plan mensual'!G25+parametros_recargas!$J$81*'Plan mensual'!G26+parametros_recargas!$K$81*'Plan mensual'!G27+parametros_recargas!$L$81*'Plan mensual'!G28</f>
        <v>10.7280046730163</v>
      </c>
      <c r="F11" s="21" t="n">
        <f aca="false">parametros_recargas!$E$81*'Plan mensual'!H21+parametros_recargas!$F$81*'Plan mensual'!H22+parametros_recargas!$G$81*'Plan mensual'!H23+parametros_recargas!$H$81*'Plan mensual'!H24+parametros_recargas!$I$81*'Plan mensual'!H25+parametros_recargas!$J$81*'Plan mensual'!H26+parametros_recargas!$K$81*'Plan mensual'!H27+parametros_recargas!$L$81*'Plan mensual'!H28</f>
        <v>10.7280046730163</v>
      </c>
      <c r="G11" s="21" t="n">
        <f aca="false">parametros_recargas!$E$81*'Plan mensual'!I21+parametros_recargas!$F$81*'Plan mensual'!I22+parametros_recargas!$G$81*'Plan mensual'!I23+parametros_recargas!$H$81*'Plan mensual'!I24+parametros_recargas!$I$81*'Plan mensual'!I25+parametros_recargas!$J$81*'Plan mensual'!I26+parametros_recargas!$K$81*'Plan mensual'!I27+parametros_recargas!$L$81*'Plan mensual'!I28</f>
        <v>10.7280046730163</v>
      </c>
      <c r="H11" s="21" t="n">
        <f aca="false">parametros_recargas!$E$81*'Plan mensual'!J21+parametros_recargas!$F$81*'Plan mensual'!J22+parametros_recargas!$G$81*'Plan mensual'!J23+parametros_recargas!$H$81*'Plan mensual'!J24+parametros_recargas!$I$81*'Plan mensual'!J25+parametros_recargas!$J$81*'Plan mensual'!J26+parametros_recargas!$K$81*'Plan mensual'!J27+parametros_recargas!$L$81*'Plan mensual'!J28</f>
        <v>10.7280046730163</v>
      </c>
      <c r="I11" s="21" t="n">
        <f aca="false">parametros_recargas!$E$81*'Plan mensual'!K21+parametros_recargas!$F$81*'Plan mensual'!K22+parametros_recargas!$G$81*'Plan mensual'!K23+parametros_recargas!$H$81*'Plan mensual'!K24+parametros_recargas!$I$81*'Plan mensual'!K25+parametros_recargas!$J$81*'Plan mensual'!K26+parametros_recargas!$K$81*'Plan mensual'!K27+parametros_recargas!$L$81*'Plan mensual'!K28</f>
        <v>10.7280046730163</v>
      </c>
      <c r="J11" s="21" t="n">
        <f aca="false">parametros_recargas!$E$81*'Plan mensual'!L21+parametros_recargas!$F$81*'Plan mensual'!L22+parametros_recargas!$G$81*'Plan mensual'!L23+parametros_recargas!$H$81*'Plan mensual'!L24+parametros_recargas!$I$81*'Plan mensual'!L25+parametros_recargas!$J$81*'Plan mensual'!L26+parametros_recargas!$K$81*'Plan mensual'!L27+parametros_recargas!$L$81*'Plan mensual'!L28</f>
        <v>10.7280046730163</v>
      </c>
      <c r="K11" s="21" t="n">
        <f aca="false">parametros_recargas!$E$81*'Plan mensual'!M21+parametros_recargas!$F$81*'Plan mensual'!M22+parametros_recargas!$G$81*'Plan mensual'!M23+parametros_recargas!$H$81*'Plan mensual'!M24+parametros_recargas!$I$81*'Plan mensual'!M25+parametros_recargas!$J$81*'Plan mensual'!M26+parametros_recargas!$K$81*'Plan mensual'!M27+parametros_recargas!$L$81*'Plan mensual'!M28</f>
        <v>10.7280046730163</v>
      </c>
      <c r="L11" s="21" t="n">
        <f aca="false">parametros_recargas!$E$81*'Plan mensual'!N21+parametros_recargas!$F$81*'Plan mensual'!N22+parametros_recargas!$G$81*'Plan mensual'!N23+parametros_recargas!$H$81*'Plan mensual'!N24+parametros_recargas!$I$81*'Plan mensual'!N25+parametros_recargas!$J$81*'Plan mensual'!N26+parametros_recargas!$K$81*'Plan mensual'!N27+parametros_recargas!$L$81*'Plan mensual'!N28</f>
        <v>10.7280046730163</v>
      </c>
      <c r="M11" s="21" t="n">
        <f aca="false">parametros_recargas!$E$81*'Plan mensual'!O21+parametros_recargas!$F$81*'Plan mensual'!O22+parametros_recargas!$G$81*'Plan mensual'!O23+parametros_recargas!$H$81*'Plan mensual'!O24+parametros_recargas!$I$81*'Plan mensual'!O25+parametros_recargas!$J$81*'Plan mensual'!O26+parametros_recargas!$K$81*'Plan mensual'!O27+parametros_recargas!$L$81*'Plan mensual'!O28</f>
        <v>10.7280046730163</v>
      </c>
      <c r="N11" s="6" t="n">
        <f aca="false">SUM(B11:M11)</f>
        <v>128.736056076196</v>
      </c>
      <c r="O11" s="22" t="n">
        <f aca="false">MAX(B11:M11)</f>
        <v>10.7280046730163</v>
      </c>
      <c r="P11" s="12" t="n">
        <f aca="false">O11/parametros_recargas!$B$6</f>
        <v>0.071520031153442</v>
      </c>
    </row>
    <row r="12" customFormat="false" ht="15" hidden="false" customHeight="false" outlineLevel="0" collapsed="false">
      <c r="A12" s="8" t="str">
        <f aca="false">parametros_recargas!$B$82</f>
        <v>Laboratorio — Puffer y mufla</v>
      </c>
      <c r="B12" s="21" t="n">
        <f aca="false">parametros_recargas!$E$82*'Plan mensual'!D21+parametros_recargas!$F$82*'Plan mensual'!D22+parametros_recargas!$G$82*'Plan mensual'!D23+parametros_recargas!$H$82*'Plan mensual'!D24+parametros_recargas!$I$82*'Plan mensual'!D25+parametros_recargas!$J$82*'Plan mensual'!D26+parametros_recargas!$K$82*'Plan mensual'!D27+parametros_recargas!$L$82*'Plan mensual'!D28</f>
        <v>0.146392848818844</v>
      </c>
      <c r="C12" s="21" t="n">
        <f aca="false">parametros_recargas!$E$82*'Plan mensual'!E21+parametros_recargas!$F$82*'Plan mensual'!E22+parametros_recargas!$G$82*'Plan mensual'!E23+parametros_recargas!$H$82*'Plan mensual'!E24+parametros_recargas!$I$82*'Plan mensual'!E25+parametros_recargas!$J$82*'Plan mensual'!E26+parametros_recargas!$K$82*'Plan mensual'!E27+parametros_recargas!$L$82*'Plan mensual'!E28</f>
        <v>0.146392848818844</v>
      </c>
      <c r="D12" s="21" t="n">
        <f aca="false">parametros_recargas!$E$82*'Plan mensual'!F21+parametros_recargas!$F$82*'Plan mensual'!F22+parametros_recargas!$G$82*'Plan mensual'!F23+parametros_recargas!$H$82*'Plan mensual'!F24+parametros_recargas!$I$82*'Plan mensual'!F25+parametros_recargas!$J$82*'Plan mensual'!F26+parametros_recargas!$K$82*'Plan mensual'!F27+parametros_recargas!$L$82*'Plan mensual'!F28</f>
        <v>0.146392848818844</v>
      </c>
      <c r="E12" s="21" t="n">
        <f aca="false">parametros_recargas!$E$82*'Plan mensual'!G21+parametros_recargas!$F$82*'Plan mensual'!G22+parametros_recargas!$G$82*'Plan mensual'!G23+parametros_recargas!$H$82*'Plan mensual'!G24+parametros_recargas!$I$82*'Plan mensual'!G25+parametros_recargas!$J$82*'Plan mensual'!G26+parametros_recargas!$K$82*'Plan mensual'!G27+parametros_recargas!$L$82*'Plan mensual'!G28</f>
        <v>0.146392848818844</v>
      </c>
      <c r="F12" s="21" t="n">
        <f aca="false">parametros_recargas!$E$82*'Plan mensual'!H21+parametros_recargas!$F$82*'Plan mensual'!H22+parametros_recargas!$G$82*'Plan mensual'!H23+parametros_recargas!$H$82*'Plan mensual'!H24+parametros_recargas!$I$82*'Plan mensual'!H25+parametros_recargas!$J$82*'Plan mensual'!H26+parametros_recargas!$K$82*'Plan mensual'!H27+parametros_recargas!$L$82*'Plan mensual'!H28</f>
        <v>0.146392848818844</v>
      </c>
      <c r="G12" s="21" t="n">
        <f aca="false">parametros_recargas!$E$82*'Plan mensual'!I21+parametros_recargas!$F$82*'Plan mensual'!I22+parametros_recargas!$G$82*'Plan mensual'!I23+parametros_recargas!$H$82*'Plan mensual'!I24+parametros_recargas!$I$82*'Plan mensual'!I25+parametros_recargas!$J$82*'Plan mensual'!I26+parametros_recargas!$K$82*'Plan mensual'!I27+parametros_recargas!$L$82*'Plan mensual'!I28</f>
        <v>0.146392848818844</v>
      </c>
      <c r="H12" s="21" t="n">
        <f aca="false">parametros_recargas!$E$82*'Plan mensual'!J21+parametros_recargas!$F$82*'Plan mensual'!J22+parametros_recargas!$G$82*'Plan mensual'!J23+parametros_recargas!$H$82*'Plan mensual'!J24+parametros_recargas!$I$82*'Plan mensual'!J25+parametros_recargas!$J$82*'Plan mensual'!J26+parametros_recargas!$K$82*'Plan mensual'!J27+parametros_recargas!$L$82*'Plan mensual'!J28</f>
        <v>0.146392848818844</v>
      </c>
      <c r="I12" s="21" t="n">
        <f aca="false">parametros_recargas!$E$82*'Plan mensual'!K21+parametros_recargas!$F$82*'Plan mensual'!K22+parametros_recargas!$G$82*'Plan mensual'!K23+parametros_recargas!$H$82*'Plan mensual'!K24+parametros_recargas!$I$82*'Plan mensual'!K25+parametros_recargas!$J$82*'Plan mensual'!K26+parametros_recargas!$K$82*'Plan mensual'!K27+parametros_recargas!$L$82*'Plan mensual'!K28</f>
        <v>0.146392848818844</v>
      </c>
      <c r="J12" s="21" t="n">
        <f aca="false">parametros_recargas!$E$82*'Plan mensual'!L21+parametros_recargas!$F$82*'Plan mensual'!L22+parametros_recargas!$G$82*'Plan mensual'!L23+parametros_recargas!$H$82*'Plan mensual'!L24+parametros_recargas!$I$82*'Plan mensual'!L25+parametros_recargas!$J$82*'Plan mensual'!L26+parametros_recargas!$K$82*'Plan mensual'!L27+parametros_recargas!$L$82*'Plan mensual'!L28</f>
        <v>0.146392848818844</v>
      </c>
      <c r="K12" s="21" t="n">
        <f aca="false">parametros_recargas!$E$82*'Plan mensual'!M21+parametros_recargas!$F$82*'Plan mensual'!M22+parametros_recargas!$G$82*'Plan mensual'!M23+parametros_recargas!$H$82*'Plan mensual'!M24+parametros_recargas!$I$82*'Plan mensual'!M25+parametros_recargas!$J$82*'Plan mensual'!M26+parametros_recargas!$K$82*'Plan mensual'!M27+parametros_recargas!$L$82*'Plan mensual'!M28</f>
        <v>0.146392848818844</v>
      </c>
      <c r="L12" s="21" t="n">
        <f aca="false">parametros_recargas!$E$82*'Plan mensual'!N21+parametros_recargas!$F$82*'Plan mensual'!N22+parametros_recargas!$G$82*'Plan mensual'!N23+parametros_recargas!$H$82*'Plan mensual'!N24+parametros_recargas!$I$82*'Plan mensual'!N25+parametros_recargas!$J$82*'Plan mensual'!N26+parametros_recargas!$K$82*'Plan mensual'!N27+parametros_recargas!$L$82*'Plan mensual'!N28</f>
        <v>0.146392848818844</v>
      </c>
      <c r="M12" s="21" t="n">
        <f aca="false">parametros_recargas!$E$82*'Plan mensual'!O21+parametros_recargas!$F$82*'Plan mensual'!O22+parametros_recargas!$G$82*'Plan mensual'!O23+parametros_recargas!$H$82*'Plan mensual'!O24+parametros_recargas!$I$82*'Plan mensual'!O25+parametros_recargas!$J$82*'Plan mensual'!O26+parametros_recargas!$K$82*'Plan mensual'!O27+parametros_recargas!$L$82*'Plan mensual'!O28</f>
        <v>0.146392848818844</v>
      </c>
      <c r="N12" s="6" t="n">
        <f aca="false">SUM(B12:M12)</f>
        <v>1.75671418582613</v>
      </c>
      <c r="O12" s="22" t="n">
        <f aca="false">MAX(B12:M12)</f>
        <v>0.146392848818844</v>
      </c>
      <c r="P12" s="12" t="n">
        <f aca="false">O12/parametros_recargas!$B$6</f>
        <v>0.000975952325458959</v>
      </c>
    </row>
    <row r="13" customFormat="false" ht="15" hidden="false" customHeight="false" outlineLevel="0" collapsed="false">
      <c r="A13" s="8" t="str">
        <f aca="false">parametros_recargas!$B$83</f>
        <v>Prueba hidráulica</v>
      </c>
      <c r="B13" s="21" t="n">
        <f aca="false">parametros_recargas!$E$83*'Plan mensual'!D21+parametros_recargas!$F$83*'Plan mensual'!D22+parametros_recargas!$G$83*'Plan mensual'!D23+parametros_recargas!$H$83*'Plan mensual'!D24+parametros_recargas!$I$83*'Plan mensual'!D25+parametros_recargas!$J$83*'Plan mensual'!D26+parametros_recargas!$K$83*'Plan mensual'!D27+parametros_recargas!$L$83*'Plan mensual'!D28</f>
        <v>35.7454383157017</v>
      </c>
      <c r="C13" s="21" t="n">
        <f aca="false">parametros_recargas!$E$83*'Plan mensual'!E21+parametros_recargas!$F$83*'Plan mensual'!E22+parametros_recargas!$G$83*'Plan mensual'!E23+parametros_recargas!$H$83*'Plan mensual'!E24+parametros_recargas!$I$83*'Plan mensual'!E25+parametros_recargas!$J$83*'Plan mensual'!E26+parametros_recargas!$K$83*'Plan mensual'!E27+parametros_recargas!$L$83*'Plan mensual'!E28</f>
        <v>35.7454383157017</v>
      </c>
      <c r="D13" s="21" t="n">
        <f aca="false">parametros_recargas!$E$83*'Plan mensual'!F21+parametros_recargas!$F$83*'Plan mensual'!F22+parametros_recargas!$G$83*'Plan mensual'!F23+parametros_recargas!$H$83*'Plan mensual'!F24+parametros_recargas!$I$83*'Plan mensual'!F25+parametros_recargas!$J$83*'Plan mensual'!F26+parametros_recargas!$K$83*'Plan mensual'!F27+parametros_recargas!$L$83*'Plan mensual'!F28</f>
        <v>35.7454383157017</v>
      </c>
      <c r="E13" s="21" t="n">
        <f aca="false">parametros_recargas!$E$83*'Plan mensual'!G21+parametros_recargas!$F$83*'Plan mensual'!G22+parametros_recargas!$G$83*'Plan mensual'!G23+parametros_recargas!$H$83*'Plan mensual'!G24+parametros_recargas!$I$83*'Plan mensual'!G25+parametros_recargas!$J$83*'Plan mensual'!G26+parametros_recargas!$K$83*'Plan mensual'!G27+parametros_recargas!$L$83*'Plan mensual'!G28</f>
        <v>35.7454383157017</v>
      </c>
      <c r="F13" s="21" t="n">
        <f aca="false">parametros_recargas!$E$83*'Plan mensual'!H21+parametros_recargas!$F$83*'Plan mensual'!H22+parametros_recargas!$G$83*'Plan mensual'!H23+parametros_recargas!$H$83*'Plan mensual'!H24+parametros_recargas!$I$83*'Plan mensual'!H25+parametros_recargas!$J$83*'Plan mensual'!H26+parametros_recargas!$K$83*'Plan mensual'!H27+parametros_recargas!$L$83*'Plan mensual'!H28</f>
        <v>35.7454383157017</v>
      </c>
      <c r="G13" s="21" t="n">
        <f aca="false">parametros_recargas!$E$83*'Plan mensual'!I21+parametros_recargas!$F$83*'Plan mensual'!I22+parametros_recargas!$G$83*'Plan mensual'!I23+parametros_recargas!$H$83*'Plan mensual'!I24+parametros_recargas!$I$83*'Plan mensual'!I25+parametros_recargas!$J$83*'Plan mensual'!I26+parametros_recargas!$K$83*'Plan mensual'!I27+parametros_recargas!$L$83*'Plan mensual'!I28</f>
        <v>35.7454383157017</v>
      </c>
      <c r="H13" s="21" t="n">
        <f aca="false">parametros_recargas!$E$83*'Plan mensual'!J21+parametros_recargas!$F$83*'Plan mensual'!J22+parametros_recargas!$G$83*'Plan mensual'!J23+parametros_recargas!$H$83*'Plan mensual'!J24+parametros_recargas!$I$83*'Plan mensual'!J25+parametros_recargas!$J$83*'Plan mensual'!J26+parametros_recargas!$K$83*'Plan mensual'!J27+parametros_recargas!$L$83*'Plan mensual'!J28</f>
        <v>35.7454383157017</v>
      </c>
      <c r="I13" s="21" t="n">
        <f aca="false">parametros_recargas!$E$83*'Plan mensual'!K21+parametros_recargas!$F$83*'Plan mensual'!K22+parametros_recargas!$G$83*'Plan mensual'!K23+parametros_recargas!$H$83*'Plan mensual'!K24+parametros_recargas!$I$83*'Plan mensual'!K25+parametros_recargas!$J$83*'Plan mensual'!K26+parametros_recargas!$K$83*'Plan mensual'!K27+parametros_recargas!$L$83*'Plan mensual'!K28</f>
        <v>35.7454383157017</v>
      </c>
      <c r="J13" s="21" t="n">
        <f aca="false">parametros_recargas!$E$83*'Plan mensual'!L21+parametros_recargas!$F$83*'Plan mensual'!L22+parametros_recargas!$G$83*'Plan mensual'!L23+parametros_recargas!$H$83*'Plan mensual'!L24+parametros_recargas!$I$83*'Plan mensual'!L25+parametros_recargas!$J$83*'Plan mensual'!L26+parametros_recargas!$K$83*'Plan mensual'!L27+parametros_recargas!$L$83*'Plan mensual'!L28</f>
        <v>35.7454383157017</v>
      </c>
      <c r="K13" s="21" t="n">
        <f aca="false">parametros_recargas!$E$83*'Plan mensual'!M21+parametros_recargas!$F$83*'Plan mensual'!M22+parametros_recargas!$G$83*'Plan mensual'!M23+parametros_recargas!$H$83*'Plan mensual'!M24+parametros_recargas!$I$83*'Plan mensual'!M25+parametros_recargas!$J$83*'Plan mensual'!M26+parametros_recargas!$K$83*'Plan mensual'!M27+parametros_recargas!$L$83*'Plan mensual'!M28</f>
        <v>35.7454383157017</v>
      </c>
      <c r="L13" s="21" t="n">
        <f aca="false">parametros_recargas!$E$83*'Plan mensual'!N21+parametros_recargas!$F$83*'Plan mensual'!N22+parametros_recargas!$G$83*'Plan mensual'!N23+parametros_recargas!$H$83*'Plan mensual'!N24+parametros_recargas!$I$83*'Plan mensual'!N25+parametros_recargas!$J$83*'Plan mensual'!N26+parametros_recargas!$K$83*'Plan mensual'!N27+parametros_recargas!$L$83*'Plan mensual'!N28</f>
        <v>35.7454383157017</v>
      </c>
      <c r="M13" s="21" t="n">
        <f aca="false">parametros_recargas!$E$83*'Plan mensual'!O21+parametros_recargas!$F$83*'Plan mensual'!O22+parametros_recargas!$G$83*'Plan mensual'!O23+parametros_recargas!$H$83*'Plan mensual'!O24+parametros_recargas!$I$83*'Plan mensual'!O25+parametros_recargas!$J$83*'Plan mensual'!O26+parametros_recargas!$K$83*'Plan mensual'!O27+parametros_recargas!$L$83*'Plan mensual'!O28</f>
        <v>35.7454383157017</v>
      </c>
      <c r="N13" s="6" t="n">
        <f aca="false">SUM(B13:M13)</f>
        <v>428.94525978842</v>
      </c>
      <c r="O13" s="22" t="n">
        <f aca="false">MAX(B13:M13)</f>
        <v>35.7454383157017</v>
      </c>
      <c r="P13" s="12" t="n">
        <f aca="false">O13/parametros_recargas!$B$6</f>
        <v>0.238302922104678</v>
      </c>
    </row>
    <row r="14" customFormat="false" ht="15" hidden="false" customHeight="false" outlineLevel="0" collapsed="false">
      <c r="A14" s="8" t="str">
        <f aca="false">parametros_recargas!$B$84</f>
        <v>Secado</v>
      </c>
      <c r="B14" s="21" t="n">
        <f aca="false">parametros_recargas!$E$84*'Plan mensual'!D21+parametros_recargas!$F$84*'Plan mensual'!D22+parametros_recargas!$G$84*'Plan mensual'!D23+parametros_recargas!$H$84*'Plan mensual'!D24+parametros_recargas!$I$84*'Plan mensual'!D25+parametros_recargas!$J$84*'Plan mensual'!D26+parametros_recargas!$K$84*'Plan mensual'!D27+parametros_recargas!$L$84*'Plan mensual'!D28</f>
        <v>33.6304497860877</v>
      </c>
      <c r="C14" s="21" t="n">
        <f aca="false">parametros_recargas!$E$84*'Plan mensual'!E21+parametros_recargas!$F$84*'Plan mensual'!E22+parametros_recargas!$G$84*'Plan mensual'!E23+parametros_recargas!$H$84*'Plan mensual'!E24+parametros_recargas!$I$84*'Plan mensual'!E25+parametros_recargas!$J$84*'Plan mensual'!E26+parametros_recargas!$K$84*'Plan mensual'!E27+parametros_recargas!$L$84*'Plan mensual'!E28</f>
        <v>33.6304497860877</v>
      </c>
      <c r="D14" s="21" t="n">
        <f aca="false">parametros_recargas!$E$84*'Plan mensual'!F21+parametros_recargas!$F$84*'Plan mensual'!F22+parametros_recargas!$G$84*'Plan mensual'!F23+parametros_recargas!$H$84*'Plan mensual'!F24+parametros_recargas!$I$84*'Plan mensual'!F25+parametros_recargas!$J$84*'Plan mensual'!F26+parametros_recargas!$K$84*'Plan mensual'!F27+parametros_recargas!$L$84*'Plan mensual'!F28</f>
        <v>33.6304497860877</v>
      </c>
      <c r="E14" s="21" t="n">
        <f aca="false">parametros_recargas!$E$84*'Plan mensual'!G21+parametros_recargas!$F$84*'Plan mensual'!G22+parametros_recargas!$G$84*'Plan mensual'!G23+parametros_recargas!$H$84*'Plan mensual'!G24+parametros_recargas!$I$84*'Plan mensual'!G25+parametros_recargas!$J$84*'Plan mensual'!G26+parametros_recargas!$K$84*'Plan mensual'!G27+parametros_recargas!$L$84*'Plan mensual'!G28</f>
        <v>33.6304497860877</v>
      </c>
      <c r="F14" s="21" t="n">
        <f aca="false">parametros_recargas!$E$84*'Plan mensual'!H21+parametros_recargas!$F$84*'Plan mensual'!H22+parametros_recargas!$G$84*'Plan mensual'!H23+parametros_recargas!$H$84*'Plan mensual'!H24+parametros_recargas!$I$84*'Plan mensual'!H25+parametros_recargas!$J$84*'Plan mensual'!H26+parametros_recargas!$K$84*'Plan mensual'!H27+parametros_recargas!$L$84*'Plan mensual'!H28</f>
        <v>33.6304497860877</v>
      </c>
      <c r="G14" s="21" t="n">
        <f aca="false">parametros_recargas!$E$84*'Plan mensual'!I21+parametros_recargas!$F$84*'Plan mensual'!I22+parametros_recargas!$G$84*'Plan mensual'!I23+parametros_recargas!$H$84*'Plan mensual'!I24+parametros_recargas!$I$84*'Plan mensual'!I25+parametros_recargas!$J$84*'Plan mensual'!I26+parametros_recargas!$K$84*'Plan mensual'!I27+parametros_recargas!$L$84*'Plan mensual'!I28</f>
        <v>33.6304497860877</v>
      </c>
      <c r="H14" s="21" t="n">
        <f aca="false">parametros_recargas!$E$84*'Plan mensual'!J21+parametros_recargas!$F$84*'Plan mensual'!J22+parametros_recargas!$G$84*'Plan mensual'!J23+parametros_recargas!$H$84*'Plan mensual'!J24+parametros_recargas!$I$84*'Plan mensual'!J25+parametros_recargas!$J$84*'Plan mensual'!J26+parametros_recargas!$K$84*'Plan mensual'!J27+parametros_recargas!$L$84*'Plan mensual'!J28</f>
        <v>33.6304497860877</v>
      </c>
      <c r="I14" s="21" t="n">
        <f aca="false">parametros_recargas!$E$84*'Plan mensual'!K21+parametros_recargas!$F$84*'Plan mensual'!K22+parametros_recargas!$G$84*'Plan mensual'!K23+parametros_recargas!$H$84*'Plan mensual'!K24+parametros_recargas!$I$84*'Plan mensual'!K25+parametros_recargas!$J$84*'Plan mensual'!K26+parametros_recargas!$K$84*'Plan mensual'!K27+parametros_recargas!$L$84*'Plan mensual'!K28</f>
        <v>33.6304497860877</v>
      </c>
      <c r="J14" s="21" t="n">
        <f aca="false">parametros_recargas!$E$84*'Plan mensual'!L21+parametros_recargas!$F$84*'Plan mensual'!L22+parametros_recargas!$G$84*'Plan mensual'!L23+parametros_recargas!$H$84*'Plan mensual'!L24+parametros_recargas!$I$84*'Plan mensual'!L25+parametros_recargas!$J$84*'Plan mensual'!L26+parametros_recargas!$K$84*'Plan mensual'!L27+parametros_recargas!$L$84*'Plan mensual'!L28</f>
        <v>33.6304497860877</v>
      </c>
      <c r="K14" s="21" t="n">
        <f aca="false">parametros_recargas!$E$84*'Plan mensual'!M21+parametros_recargas!$F$84*'Plan mensual'!M22+parametros_recargas!$G$84*'Plan mensual'!M23+parametros_recargas!$H$84*'Plan mensual'!M24+parametros_recargas!$I$84*'Plan mensual'!M25+parametros_recargas!$J$84*'Plan mensual'!M26+parametros_recargas!$K$84*'Plan mensual'!M27+parametros_recargas!$L$84*'Plan mensual'!M28</f>
        <v>33.6304497860877</v>
      </c>
      <c r="L14" s="21" t="n">
        <f aca="false">parametros_recargas!$E$84*'Plan mensual'!N21+parametros_recargas!$F$84*'Plan mensual'!N22+parametros_recargas!$G$84*'Plan mensual'!N23+parametros_recargas!$H$84*'Plan mensual'!N24+parametros_recargas!$I$84*'Plan mensual'!N25+parametros_recargas!$J$84*'Plan mensual'!N26+parametros_recargas!$K$84*'Plan mensual'!N27+parametros_recargas!$L$84*'Plan mensual'!N28</f>
        <v>33.6304497860877</v>
      </c>
      <c r="M14" s="21" t="n">
        <f aca="false">parametros_recargas!$E$84*'Plan mensual'!O21+parametros_recargas!$F$84*'Plan mensual'!O22+parametros_recargas!$G$84*'Plan mensual'!O23+parametros_recargas!$H$84*'Plan mensual'!O24+parametros_recargas!$I$84*'Plan mensual'!O25+parametros_recargas!$J$84*'Plan mensual'!O26+parametros_recargas!$K$84*'Plan mensual'!O27+parametros_recargas!$L$84*'Plan mensual'!O28</f>
        <v>33.6304497860877</v>
      </c>
      <c r="N14" s="6" t="n">
        <f aca="false">SUM(B14:M14)</f>
        <v>403.565397433052</v>
      </c>
      <c r="O14" s="22" t="n">
        <f aca="false">MAX(B14:M14)</f>
        <v>33.6304497860877</v>
      </c>
      <c r="P14" s="12" t="n">
        <f aca="false">O14/parametros_recargas!$B$6</f>
        <v>0.224202998573918</v>
      </c>
    </row>
    <row r="15" customFormat="false" ht="15" hidden="false" customHeight="false" outlineLevel="0" collapsed="false">
      <c r="A15" s="8" t="str">
        <f aca="false">parametros_recargas!$B$85</f>
        <v>Inspección interior con videoscopio</v>
      </c>
      <c r="B15" s="21" t="n">
        <f aca="false">parametros_recargas!$E$85*'Plan mensual'!D21+parametros_recargas!$F$85*'Plan mensual'!D22+parametros_recargas!$G$85*'Plan mensual'!D23+parametros_recargas!$H$85*'Plan mensual'!D24+parametros_recargas!$I$85*'Plan mensual'!D25+parametros_recargas!$J$85*'Plan mensual'!D26+parametros_recargas!$K$85*'Plan mensual'!D27+parametros_recargas!$L$85*'Plan mensual'!D28</f>
        <v>33.6304497860877</v>
      </c>
      <c r="C15" s="21" t="n">
        <f aca="false">parametros_recargas!$E$85*'Plan mensual'!E21+parametros_recargas!$F$85*'Plan mensual'!E22+parametros_recargas!$G$85*'Plan mensual'!E23+parametros_recargas!$H$85*'Plan mensual'!E24+parametros_recargas!$I$85*'Plan mensual'!E25+parametros_recargas!$J$85*'Plan mensual'!E26+parametros_recargas!$K$85*'Plan mensual'!E27+parametros_recargas!$L$85*'Plan mensual'!E28</f>
        <v>33.6304497860877</v>
      </c>
      <c r="D15" s="21" t="n">
        <f aca="false">parametros_recargas!$E$85*'Plan mensual'!F21+parametros_recargas!$F$85*'Plan mensual'!F22+parametros_recargas!$G$85*'Plan mensual'!F23+parametros_recargas!$H$85*'Plan mensual'!F24+parametros_recargas!$I$85*'Plan mensual'!F25+parametros_recargas!$J$85*'Plan mensual'!F26+parametros_recargas!$K$85*'Plan mensual'!F27+parametros_recargas!$L$85*'Plan mensual'!F28</f>
        <v>33.6304497860877</v>
      </c>
      <c r="E15" s="21" t="n">
        <f aca="false">parametros_recargas!$E$85*'Plan mensual'!G21+parametros_recargas!$F$85*'Plan mensual'!G22+parametros_recargas!$G$85*'Plan mensual'!G23+parametros_recargas!$H$85*'Plan mensual'!G24+parametros_recargas!$I$85*'Plan mensual'!G25+parametros_recargas!$J$85*'Plan mensual'!G26+parametros_recargas!$K$85*'Plan mensual'!G27+parametros_recargas!$L$85*'Plan mensual'!G28</f>
        <v>33.6304497860877</v>
      </c>
      <c r="F15" s="21" t="n">
        <f aca="false">parametros_recargas!$E$85*'Plan mensual'!H21+parametros_recargas!$F$85*'Plan mensual'!H22+parametros_recargas!$G$85*'Plan mensual'!H23+parametros_recargas!$H$85*'Plan mensual'!H24+parametros_recargas!$I$85*'Plan mensual'!H25+parametros_recargas!$J$85*'Plan mensual'!H26+parametros_recargas!$K$85*'Plan mensual'!H27+parametros_recargas!$L$85*'Plan mensual'!H28</f>
        <v>33.6304497860877</v>
      </c>
      <c r="G15" s="21" t="n">
        <f aca="false">parametros_recargas!$E$85*'Plan mensual'!I21+parametros_recargas!$F$85*'Plan mensual'!I22+parametros_recargas!$G$85*'Plan mensual'!I23+parametros_recargas!$H$85*'Plan mensual'!I24+parametros_recargas!$I$85*'Plan mensual'!I25+parametros_recargas!$J$85*'Plan mensual'!I26+parametros_recargas!$K$85*'Plan mensual'!I27+parametros_recargas!$L$85*'Plan mensual'!I28</f>
        <v>33.6304497860877</v>
      </c>
      <c r="H15" s="21" t="n">
        <f aca="false">parametros_recargas!$E$85*'Plan mensual'!J21+parametros_recargas!$F$85*'Plan mensual'!J22+parametros_recargas!$G$85*'Plan mensual'!J23+parametros_recargas!$H$85*'Plan mensual'!J24+parametros_recargas!$I$85*'Plan mensual'!J25+parametros_recargas!$J$85*'Plan mensual'!J26+parametros_recargas!$K$85*'Plan mensual'!J27+parametros_recargas!$L$85*'Plan mensual'!J28</f>
        <v>33.6304497860877</v>
      </c>
      <c r="I15" s="21" t="n">
        <f aca="false">parametros_recargas!$E$85*'Plan mensual'!K21+parametros_recargas!$F$85*'Plan mensual'!K22+parametros_recargas!$G$85*'Plan mensual'!K23+parametros_recargas!$H$85*'Plan mensual'!K24+parametros_recargas!$I$85*'Plan mensual'!K25+parametros_recargas!$J$85*'Plan mensual'!K26+parametros_recargas!$K$85*'Plan mensual'!K27+parametros_recargas!$L$85*'Plan mensual'!K28</f>
        <v>33.6304497860877</v>
      </c>
      <c r="J15" s="21" t="n">
        <f aca="false">parametros_recargas!$E$85*'Plan mensual'!L21+parametros_recargas!$F$85*'Plan mensual'!L22+parametros_recargas!$G$85*'Plan mensual'!L23+parametros_recargas!$H$85*'Plan mensual'!L24+parametros_recargas!$I$85*'Plan mensual'!L25+parametros_recargas!$J$85*'Plan mensual'!L26+parametros_recargas!$K$85*'Plan mensual'!L27+parametros_recargas!$L$85*'Plan mensual'!L28</f>
        <v>33.6304497860877</v>
      </c>
      <c r="K15" s="21" t="n">
        <f aca="false">parametros_recargas!$E$85*'Plan mensual'!M21+parametros_recargas!$F$85*'Plan mensual'!M22+parametros_recargas!$G$85*'Plan mensual'!M23+parametros_recargas!$H$85*'Plan mensual'!M24+parametros_recargas!$I$85*'Plan mensual'!M25+parametros_recargas!$J$85*'Plan mensual'!M26+parametros_recargas!$K$85*'Plan mensual'!M27+parametros_recargas!$L$85*'Plan mensual'!M28</f>
        <v>33.6304497860877</v>
      </c>
      <c r="L15" s="21" t="n">
        <f aca="false">parametros_recargas!$E$85*'Plan mensual'!N21+parametros_recargas!$F$85*'Plan mensual'!N22+parametros_recargas!$G$85*'Plan mensual'!N23+parametros_recargas!$H$85*'Plan mensual'!N24+parametros_recargas!$I$85*'Plan mensual'!N25+parametros_recargas!$J$85*'Plan mensual'!N26+parametros_recargas!$K$85*'Plan mensual'!N27+parametros_recargas!$L$85*'Plan mensual'!N28</f>
        <v>33.6304497860877</v>
      </c>
      <c r="M15" s="21" t="n">
        <f aca="false">parametros_recargas!$E$85*'Plan mensual'!O21+parametros_recargas!$F$85*'Plan mensual'!O22+parametros_recargas!$G$85*'Plan mensual'!O23+parametros_recargas!$H$85*'Plan mensual'!O24+parametros_recargas!$I$85*'Plan mensual'!O25+parametros_recargas!$J$85*'Plan mensual'!O26+parametros_recargas!$K$85*'Plan mensual'!O27+parametros_recargas!$L$85*'Plan mensual'!O28</f>
        <v>33.6304497860877</v>
      </c>
      <c r="N15" s="6" t="n">
        <f aca="false">SUM(B15:M15)</f>
        <v>403.565397433052</v>
      </c>
      <c r="O15" s="22" t="n">
        <f aca="false">MAX(B15:M15)</f>
        <v>33.6304497860877</v>
      </c>
      <c r="P15" s="12" t="n">
        <f aca="false">O15/parametros_recargas!$B$6</f>
        <v>0.224202998573918</v>
      </c>
    </row>
    <row r="16" customFormat="false" ht="15" hidden="false" customHeight="false" outlineLevel="0" collapsed="false">
      <c r="A16" s="8" t="str">
        <f aca="false">parametros_recargas!$B$86</f>
        <v>Pintura</v>
      </c>
      <c r="B16" s="21" t="n">
        <f aca="false">parametros_recargas!$E$86*'Plan mensual'!D21+parametros_recargas!$F$86*'Plan mensual'!D22+parametros_recargas!$G$86*'Plan mensual'!D23+parametros_recargas!$H$86*'Plan mensual'!D24+parametros_recargas!$I$86*'Plan mensual'!D25+parametros_recargas!$J$86*'Plan mensual'!D26+parametros_recargas!$K$86*'Plan mensual'!D27+parametros_recargas!$L$86*'Plan mensual'!D28</f>
        <v>16.7985520675998</v>
      </c>
      <c r="C16" s="21" t="n">
        <f aca="false">parametros_recargas!$E$86*'Plan mensual'!E21+parametros_recargas!$F$86*'Plan mensual'!E22+parametros_recargas!$G$86*'Plan mensual'!E23+parametros_recargas!$H$86*'Plan mensual'!E24+parametros_recargas!$I$86*'Plan mensual'!E25+parametros_recargas!$J$86*'Plan mensual'!E26+parametros_recargas!$K$86*'Plan mensual'!E27+parametros_recargas!$L$86*'Plan mensual'!E28</f>
        <v>16.7985520675998</v>
      </c>
      <c r="D16" s="21" t="n">
        <f aca="false">parametros_recargas!$E$86*'Plan mensual'!F21+parametros_recargas!$F$86*'Plan mensual'!F22+parametros_recargas!$G$86*'Plan mensual'!F23+parametros_recargas!$H$86*'Plan mensual'!F24+parametros_recargas!$I$86*'Plan mensual'!F25+parametros_recargas!$J$86*'Plan mensual'!F26+parametros_recargas!$K$86*'Plan mensual'!F27+parametros_recargas!$L$86*'Plan mensual'!F28</f>
        <v>16.7985520675998</v>
      </c>
      <c r="E16" s="21" t="n">
        <f aca="false">parametros_recargas!$E$86*'Plan mensual'!G21+parametros_recargas!$F$86*'Plan mensual'!G22+parametros_recargas!$G$86*'Plan mensual'!G23+parametros_recargas!$H$86*'Plan mensual'!G24+parametros_recargas!$I$86*'Plan mensual'!G25+parametros_recargas!$J$86*'Plan mensual'!G26+parametros_recargas!$K$86*'Plan mensual'!G27+parametros_recargas!$L$86*'Plan mensual'!G28</f>
        <v>16.7985520675998</v>
      </c>
      <c r="F16" s="21" t="n">
        <f aca="false">parametros_recargas!$E$86*'Plan mensual'!H21+parametros_recargas!$F$86*'Plan mensual'!H22+parametros_recargas!$G$86*'Plan mensual'!H23+parametros_recargas!$H$86*'Plan mensual'!H24+parametros_recargas!$I$86*'Plan mensual'!H25+parametros_recargas!$J$86*'Plan mensual'!H26+parametros_recargas!$K$86*'Plan mensual'!H27+parametros_recargas!$L$86*'Plan mensual'!H28</f>
        <v>16.7985520675998</v>
      </c>
      <c r="G16" s="21" t="n">
        <f aca="false">parametros_recargas!$E$86*'Plan mensual'!I21+parametros_recargas!$F$86*'Plan mensual'!I22+parametros_recargas!$G$86*'Plan mensual'!I23+parametros_recargas!$H$86*'Plan mensual'!I24+parametros_recargas!$I$86*'Plan mensual'!I25+parametros_recargas!$J$86*'Plan mensual'!I26+parametros_recargas!$K$86*'Plan mensual'!I27+parametros_recargas!$L$86*'Plan mensual'!I28</f>
        <v>16.7985520675998</v>
      </c>
      <c r="H16" s="21" t="n">
        <f aca="false">parametros_recargas!$E$86*'Plan mensual'!J21+parametros_recargas!$F$86*'Plan mensual'!J22+parametros_recargas!$G$86*'Plan mensual'!J23+parametros_recargas!$H$86*'Plan mensual'!J24+parametros_recargas!$I$86*'Plan mensual'!J25+parametros_recargas!$J$86*'Plan mensual'!J26+parametros_recargas!$K$86*'Plan mensual'!J27+parametros_recargas!$L$86*'Plan mensual'!J28</f>
        <v>16.7985520675998</v>
      </c>
      <c r="I16" s="21" t="n">
        <f aca="false">parametros_recargas!$E$86*'Plan mensual'!K21+parametros_recargas!$F$86*'Plan mensual'!K22+parametros_recargas!$G$86*'Plan mensual'!K23+parametros_recargas!$H$86*'Plan mensual'!K24+parametros_recargas!$I$86*'Plan mensual'!K25+parametros_recargas!$J$86*'Plan mensual'!K26+parametros_recargas!$K$86*'Plan mensual'!K27+parametros_recargas!$L$86*'Plan mensual'!K28</f>
        <v>16.7985520675998</v>
      </c>
      <c r="J16" s="21" t="n">
        <f aca="false">parametros_recargas!$E$86*'Plan mensual'!L21+parametros_recargas!$F$86*'Plan mensual'!L22+parametros_recargas!$G$86*'Plan mensual'!L23+parametros_recargas!$H$86*'Plan mensual'!L24+parametros_recargas!$I$86*'Plan mensual'!L25+parametros_recargas!$J$86*'Plan mensual'!L26+parametros_recargas!$K$86*'Plan mensual'!L27+parametros_recargas!$L$86*'Plan mensual'!L28</f>
        <v>16.7985520675998</v>
      </c>
      <c r="K16" s="21" t="n">
        <f aca="false">parametros_recargas!$E$86*'Plan mensual'!M21+parametros_recargas!$F$86*'Plan mensual'!M22+parametros_recargas!$G$86*'Plan mensual'!M23+parametros_recargas!$H$86*'Plan mensual'!M24+parametros_recargas!$I$86*'Plan mensual'!M25+parametros_recargas!$J$86*'Plan mensual'!M26+parametros_recargas!$K$86*'Plan mensual'!M27+parametros_recargas!$L$86*'Plan mensual'!M28</f>
        <v>16.7985520675998</v>
      </c>
      <c r="L16" s="21" t="n">
        <f aca="false">parametros_recargas!$E$86*'Plan mensual'!N21+parametros_recargas!$F$86*'Plan mensual'!N22+parametros_recargas!$G$86*'Plan mensual'!N23+parametros_recargas!$H$86*'Plan mensual'!N24+parametros_recargas!$I$86*'Plan mensual'!N25+parametros_recargas!$J$86*'Plan mensual'!N26+parametros_recargas!$K$86*'Plan mensual'!N27+parametros_recargas!$L$86*'Plan mensual'!N28</f>
        <v>16.7985520675998</v>
      </c>
      <c r="M16" s="21" t="n">
        <f aca="false">parametros_recargas!$E$86*'Plan mensual'!O21+parametros_recargas!$F$86*'Plan mensual'!O22+parametros_recargas!$G$86*'Plan mensual'!O23+parametros_recargas!$H$86*'Plan mensual'!O24+parametros_recargas!$I$86*'Plan mensual'!O25+parametros_recargas!$J$86*'Plan mensual'!O26+parametros_recargas!$K$86*'Plan mensual'!O27+parametros_recargas!$L$86*'Plan mensual'!O28</f>
        <v>16.7985520675998</v>
      </c>
      <c r="N16" s="6" t="n">
        <f aca="false">SUM(B16:M16)</f>
        <v>201.582624811197</v>
      </c>
      <c r="O16" s="22" t="n">
        <f aca="false">MAX(B16:M16)</f>
        <v>16.7985520675998</v>
      </c>
      <c r="P16" s="12" t="n">
        <f aca="false">O16/parametros_recargas!$B$6</f>
        <v>0.111990347117332</v>
      </c>
    </row>
    <row r="17" customFormat="false" ht="15" hidden="false" customHeight="false" outlineLevel="0" collapsed="false">
      <c r="A17" s="8" t="str">
        <f aca="false">parametros_recargas!$B$87</f>
        <v>Carga de polvo ABC</v>
      </c>
      <c r="B17" s="21" t="n">
        <f aca="false">parametros_recargas!$E$87*'Plan mensual'!D21+parametros_recargas!$F$87*'Plan mensual'!D22+parametros_recargas!$G$87*'Plan mensual'!D23+parametros_recargas!$H$87*'Plan mensual'!D24+parametros_recargas!$I$87*'Plan mensual'!D25+parametros_recargas!$J$87*'Plan mensual'!D26+parametros_recargas!$K$87*'Plan mensual'!D27+parametros_recargas!$L$87*'Plan mensual'!D28</f>
        <v>146.228853848734</v>
      </c>
      <c r="C17" s="21" t="n">
        <f aca="false">parametros_recargas!$E$87*'Plan mensual'!E21+parametros_recargas!$F$87*'Plan mensual'!E22+parametros_recargas!$G$87*'Plan mensual'!E23+parametros_recargas!$H$87*'Plan mensual'!E24+parametros_recargas!$I$87*'Plan mensual'!E25+parametros_recargas!$J$87*'Plan mensual'!E26+parametros_recargas!$K$87*'Plan mensual'!E27+parametros_recargas!$L$87*'Plan mensual'!E28</f>
        <v>146.228853848734</v>
      </c>
      <c r="D17" s="21" t="n">
        <f aca="false">parametros_recargas!$E$87*'Plan mensual'!F21+parametros_recargas!$F$87*'Plan mensual'!F22+parametros_recargas!$G$87*'Plan mensual'!F23+parametros_recargas!$H$87*'Plan mensual'!F24+parametros_recargas!$I$87*'Plan mensual'!F25+parametros_recargas!$J$87*'Plan mensual'!F26+parametros_recargas!$K$87*'Plan mensual'!F27+parametros_recargas!$L$87*'Plan mensual'!F28</f>
        <v>146.228853848734</v>
      </c>
      <c r="E17" s="21" t="n">
        <f aca="false">parametros_recargas!$E$87*'Plan mensual'!G21+parametros_recargas!$F$87*'Plan mensual'!G22+parametros_recargas!$G$87*'Plan mensual'!G23+parametros_recargas!$H$87*'Plan mensual'!G24+parametros_recargas!$I$87*'Plan mensual'!G25+parametros_recargas!$J$87*'Plan mensual'!G26+parametros_recargas!$K$87*'Plan mensual'!G27+parametros_recargas!$L$87*'Plan mensual'!G28</f>
        <v>146.228853848734</v>
      </c>
      <c r="F17" s="21" t="n">
        <f aca="false">parametros_recargas!$E$87*'Plan mensual'!H21+parametros_recargas!$F$87*'Plan mensual'!H22+parametros_recargas!$G$87*'Plan mensual'!H23+parametros_recargas!$H$87*'Plan mensual'!H24+parametros_recargas!$I$87*'Plan mensual'!H25+parametros_recargas!$J$87*'Plan mensual'!H26+parametros_recargas!$K$87*'Plan mensual'!H27+parametros_recargas!$L$87*'Plan mensual'!H28</f>
        <v>146.228853848734</v>
      </c>
      <c r="G17" s="21" t="n">
        <f aca="false">parametros_recargas!$E$87*'Plan mensual'!I21+parametros_recargas!$F$87*'Plan mensual'!I22+parametros_recargas!$G$87*'Plan mensual'!I23+parametros_recargas!$H$87*'Plan mensual'!I24+parametros_recargas!$I$87*'Plan mensual'!I25+parametros_recargas!$J$87*'Plan mensual'!I26+parametros_recargas!$K$87*'Plan mensual'!I27+parametros_recargas!$L$87*'Plan mensual'!I28</f>
        <v>146.228853848734</v>
      </c>
      <c r="H17" s="21" t="n">
        <f aca="false">parametros_recargas!$E$87*'Plan mensual'!J21+parametros_recargas!$F$87*'Plan mensual'!J22+parametros_recargas!$G$87*'Plan mensual'!J23+parametros_recargas!$H$87*'Plan mensual'!J24+parametros_recargas!$I$87*'Plan mensual'!J25+parametros_recargas!$J$87*'Plan mensual'!J26+parametros_recargas!$K$87*'Plan mensual'!J27+parametros_recargas!$L$87*'Plan mensual'!J28</f>
        <v>146.228853848734</v>
      </c>
      <c r="I17" s="21" t="n">
        <f aca="false">parametros_recargas!$E$87*'Plan mensual'!K21+parametros_recargas!$F$87*'Plan mensual'!K22+parametros_recargas!$G$87*'Plan mensual'!K23+parametros_recargas!$H$87*'Plan mensual'!K24+parametros_recargas!$I$87*'Plan mensual'!K25+parametros_recargas!$J$87*'Plan mensual'!K26+parametros_recargas!$K$87*'Plan mensual'!K27+parametros_recargas!$L$87*'Plan mensual'!K28</f>
        <v>146.228853848734</v>
      </c>
      <c r="J17" s="21" t="n">
        <f aca="false">parametros_recargas!$E$87*'Plan mensual'!L21+parametros_recargas!$F$87*'Plan mensual'!L22+parametros_recargas!$G$87*'Plan mensual'!L23+parametros_recargas!$H$87*'Plan mensual'!L24+parametros_recargas!$I$87*'Plan mensual'!L25+parametros_recargas!$J$87*'Plan mensual'!L26+parametros_recargas!$K$87*'Plan mensual'!L27+parametros_recargas!$L$87*'Plan mensual'!L28</f>
        <v>146.228853848734</v>
      </c>
      <c r="K17" s="21" t="n">
        <f aca="false">parametros_recargas!$E$87*'Plan mensual'!M21+parametros_recargas!$F$87*'Plan mensual'!M22+parametros_recargas!$G$87*'Plan mensual'!M23+parametros_recargas!$H$87*'Plan mensual'!M24+parametros_recargas!$I$87*'Plan mensual'!M25+parametros_recargas!$J$87*'Plan mensual'!M26+parametros_recargas!$K$87*'Plan mensual'!M27+parametros_recargas!$L$87*'Plan mensual'!M28</f>
        <v>146.228853848734</v>
      </c>
      <c r="L17" s="21" t="n">
        <f aca="false">parametros_recargas!$E$87*'Plan mensual'!N21+parametros_recargas!$F$87*'Plan mensual'!N22+parametros_recargas!$G$87*'Plan mensual'!N23+parametros_recargas!$H$87*'Plan mensual'!N24+parametros_recargas!$I$87*'Plan mensual'!N25+parametros_recargas!$J$87*'Plan mensual'!N26+parametros_recargas!$K$87*'Plan mensual'!N27+parametros_recargas!$L$87*'Plan mensual'!N28</f>
        <v>146.228853848734</v>
      </c>
      <c r="M17" s="21" t="n">
        <f aca="false">parametros_recargas!$E$87*'Plan mensual'!O21+parametros_recargas!$F$87*'Plan mensual'!O22+parametros_recargas!$G$87*'Plan mensual'!O23+parametros_recargas!$H$87*'Plan mensual'!O24+parametros_recargas!$I$87*'Plan mensual'!O25+parametros_recargas!$J$87*'Plan mensual'!O26+parametros_recargas!$K$87*'Plan mensual'!O27+parametros_recargas!$L$87*'Plan mensual'!O28</f>
        <v>146.228853848734</v>
      </c>
      <c r="N17" s="6" t="n">
        <f aca="false">SUM(B17:M17)</f>
        <v>1754.7462461848</v>
      </c>
      <c r="O17" s="22" t="n">
        <f aca="false">MAX(B17:M17)</f>
        <v>146.228853848734</v>
      </c>
      <c r="P17" s="12" t="n">
        <f aca="false">O17/parametros_recargas!$B$6</f>
        <v>0.974859025658224</v>
      </c>
    </row>
    <row r="18" customFormat="false" ht="15" hidden="false" customHeight="false" outlineLevel="0" collapsed="false">
      <c r="A18" s="8" t="str">
        <f aca="false">parametros_recargas!$B$88</f>
        <v>Carga de polvo BC</v>
      </c>
      <c r="B18" s="21" t="n">
        <f aca="false">parametros_recargas!$E$88*'Plan mensual'!D21+parametros_recargas!$F$88*'Plan mensual'!D22+parametros_recargas!$G$88*'Plan mensual'!D23+parametros_recargas!$H$88*'Plan mensual'!D24+parametros_recargas!$I$88*'Plan mensual'!D25+parametros_recargas!$J$88*'Plan mensual'!D26+parametros_recargas!$K$88*'Plan mensual'!D27+parametros_recargas!$L$88*'Plan mensual'!D28</f>
        <v>0.163994970110154</v>
      </c>
      <c r="C18" s="21" t="n">
        <f aca="false">parametros_recargas!$E$88*'Plan mensual'!E21+parametros_recargas!$F$88*'Plan mensual'!E22+parametros_recargas!$G$88*'Plan mensual'!E23+parametros_recargas!$H$88*'Plan mensual'!E24+parametros_recargas!$I$88*'Plan mensual'!E25+parametros_recargas!$J$88*'Plan mensual'!E26+parametros_recargas!$K$88*'Plan mensual'!E27+parametros_recargas!$L$88*'Plan mensual'!E28</f>
        <v>0.163994970110154</v>
      </c>
      <c r="D18" s="21" t="n">
        <f aca="false">parametros_recargas!$E$88*'Plan mensual'!F21+parametros_recargas!$F$88*'Plan mensual'!F22+parametros_recargas!$G$88*'Plan mensual'!F23+parametros_recargas!$H$88*'Plan mensual'!F24+parametros_recargas!$I$88*'Plan mensual'!F25+parametros_recargas!$J$88*'Plan mensual'!F26+parametros_recargas!$K$88*'Plan mensual'!F27+parametros_recargas!$L$88*'Plan mensual'!F28</f>
        <v>0.163994970110154</v>
      </c>
      <c r="E18" s="21" t="n">
        <f aca="false">parametros_recargas!$E$88*'Plan mensual'!G21+parametros_recargas!$F$88*'Plan mensual'!G22+parametros_recargas!$G$88*'Plan mensual'!G23+parametros_recargas!$H$88*'Plan mensual'!G24+parametros_recargas!$I$88*'Plan mensual'!G25+parametros_recargas!$J$88*'Plan mensual'!G26+parametros_recargas!$K$88*'Plan mensual'!G27+parametros_recargas!$L$88*'Plan mensual'!G28</f>
        <v>0.163994970110154</v>
      </c>
      <c r="F18" s="21" t="n">
        <f aca="false">parametros_recargas!$E$88*'Plan mensual'!H21+parametros_recargas!$F$88*'Plan mensual'!H22+parametros_recargas!$G$88*'Plan mensual'!H23+parametros_recargas!$H$88*'Plan mensual'!H24+parametros_recargas!$I$88*'Plan mensual'!H25+parametros_recargas!$J$88*'Plan mensual'!H26+parametros_recargas!$K$88*'Plan mensual'!H27+parametros_recargas!$L$88*'Plan mensual'!H28</f>
        <v>0.163994970110154</v>
      </c>
      <c r="G18" s="21" t="n">
        <f aca="false">parametros_recargas!$E$88*'Plan mensual'!I21+parametros_recargas!$F$88*'Plan mensual'!I22+parametros_recargas!$G$88*'Plan mensual'!I23+parametros_recargas!$H$88*'Plan mensual'!I24+parametros_recargas!$I$88*'Plan mensual'!I25+parametros_recargas!$J$88*'Plan mensual'!I26+parametros_recargas!$K$88*'Plan mensual'!I27+parametros_recargas!$L$88*'Plan mensual'!I28</f>
        <v>0.163994970110154</v>
      </c>
      <c r="H18" s="21" t="n">
        <f aca="false">parametros_recargas!$E$88*'Plan mensual'!J21+parametros_recargas!$F$88*'Plan mensual'!J22+parametros_recargas!$G$88*'Plan mensual'!J23+parametros_recargas!$H$88*'Plan mensual'!J24+parametros_recargas!$I$88*'Plan mensual'!J25+parametros_recargas!$J$88*'Plan mensual'!J26+parametros_recargas!$K$88*'Plan mensual'!J27+parametros_recargas!$L$88*'Plan mensual'!J28</f>
        <v>0.163994970110154</v>
      </c>
      <c r="I18" s="21" t="n">
        <f aca="false">parametros_recargas!$E$88*'Plan mensual'!K21+parametros_recargas!$F$88*'Plan mensual'!K22+parametros_recargas!$G$88*'Plan mensual'!K23+parametros_recargas!$H$88*'Plan mensual'!K24+parametros_recargas!$I$88*'Plan mensual'!K25+parametros_recargas!$J$88*'Plan mensual'!K26+parametros_recargas!$K$88*'Plan mensual'!K27+parametros_recargas!$L$88*'Plan mensual'!K28</f>
        <v>0.163994970110154</v>
      </c>
      <c r="J18" s="21" t="n">
        <f aca="false">parametros_recargas!$E$88*'Plan mensual'!L21+parametros_recargas!$F$88*'Plan mensual'!L22+parametros_recargas!$G$88*'Plan mensual'!L23+parametros_recargas!$H$88*'Plan mensual'!L24+parametros_recargas!$I$88*'Plan mensual'!L25+parametros_recargas!$J$88*'Plan mensual'!L26+parametros_recargas!$K$88*'Plan mensual'!L27+parametros_recargas!$L$88*'Plan mensual'!L28</f>
        <v>0.163994970110154</v>
      </c>
      <c r="K18" s="21" t="n">
        <f aca="false">parametros_recargas!$E$88*'Plan mensual'!M21+parametros_recargas!$F$88*'Plan mensual'!M22+parametros_recargas!$G$88*'Plan mensual'!M23+parametros_recargas!$H$88*'Plan mensual'!M24+parametros_recargas!$I$88*'Plan mensual'!M25+parametros_recargas!$J$88*'Plan mensual'!M26+parametros_recargas!$K$88*'Plan mensual'!M27+parametros_recargas!$L$88*'Plan mensual'!M28</f>
        <v>0.163994970110154</v>
      </c>
      <c r="L18" s="21" t="n">
        <f aca="false">parametros_recargas!$E$88*'Plan mensual'!N21+parametros_recargas!$F$88*'Plan mensual'!N22+parametros_recargas!$G$88*'Plan mensual'!N23+parametros_recargas!$H$88*'Plan mensual'!N24+parametros_recargas!$I$88*'Plan mensual'!N25+parametros_recargas!$J$88*'Plan mensual'!N26+parametros_recargas!$K$88*'Plan mensual'!N27+parametros_recargas!$L$88*'Plan mensual'!N28</f>
        <v>0.163994970110154</v>
      </c>
      <c r="M18" s="21" t="n">
        <f aca="false">parametros_recargas!$E$88*'Plan mensual'!O21+parametros_recargas!$F$88*'Plan mensual'!O22+parametros_recargas!$G$88*'Plan mensual'!O23+parametros_recargas!$H$88*'Plan mensual'!O24+parametros_recargas!$I$88*'Plan mensual'!O25+parametros_recargas!$J$88*'Plan mensual'!O26+parametros_recargas!$K$88*'Plan mensual'!O27+parametros_recargas!$L$88*'Plan mensual'!O28</f>
        <v>0.163994970110154</v>
      </c>
      <c r="N18" s="6" t="n">
        <f aca="false">SUM(B18:M18)</f>
        <v>1.96793964132184</v>
      </c>
      <c r="O18" s="22" t="n">
        <f aca="false">MAX(B18:M18)</f>
        <v>0.163994970110154</v>
      </c>
      <c r="P18" s="12" t="n">
        <f aca="false">O18/parametros_recargas!$B$6</f>
        <v>0.00109329980073436</v>
      </c>
    </row>
    <row r="19" customFormat="false" ht="15" hidden="false" customHeight="false" outlineLevel="0" collapsed="false">
      <c r="A19" s="8" t="str">
        <f aca="false">parametros_recargas!$B$89</f>
        <v>Descarga y carga Clase D</v>
      </c>
      <c r="B19" s="21" t="n">
        <f aca="false">parametros_recargas!$E$89*'Plan mensual'!D21+parametros_recargas!$F$89*'Plan mensual'!D22+parametros_recargas!$G$89*'Plan mensual'!D23+parametros_recargas!$H$89*'Plan mensual'!D24+parametros_recargas!$I$89*'Plan mensual'!D25+parametros_recargas!$J$89*'Plan mensual'!D26+parametros_recargas!$K$89*'Plan mensual'!D27+parametros_recargas!$L$89*'Plan mensual'!D28</f>
        <v>0.163994970110154</v>
      </c>
      <c r="C19" s="21" t="n">
        <f aca="false">parametros_recargas!$E$89*'Plan mensual'!E21+parametros_recargas!$F$89*'Plan mensual'!E22+parametros_recargas!$G$89*'Plan mensual'!E23+parametros_recargas!$H$89*'Plan mensual'!E24+parametros_recargas!$I$89*'Plan mensual'!E25+parametros_recargas!$J$89*'Plan mensual'!E26+parametros_recargas!$K$89*'Plan mensual'!E27+parametros_recargas!$L$89*'Plan mensual'!E28</f>
        <v>0.163994970110154</v>
      </c>
      <c r="D19" s="21" t="n">
        <f aca="false">parametros_recargas!$E$89*'Plan mensual'!F21+parametros_recargas!$F$89*'Plan mensual'!F22+parametros_recargas!$G$89*'Plan mensual'!F23+parametros_recargas!$H$89*'Plan mensual'!F24+parametros_recargas!$I$89*'Plan mensual'!F25+parametros_recargas!$J$89*'Plan mensual'!F26+parametros_recargas!$K$89*'Plan mensual'!F27+parametros_recargas!$L$89*'Plan mensual'!F28</f>
        <v>0.163994970110154</v>
      </c>
      <c r="E19" s="21" t="n">
        <f aca="false">parametros_recargas!$E$89*'Plan mensual'!G21+parametros_recargas!$F$89*'Plan mensual'!G22+parametros_recargas!$G$89*'Plan mensual'!G23+parametros_recargas!$H$89*'Plan mensual'!G24+parametros_recargas!$I$89*'Plan mensual'!G25+parametros_recargas!$J$89*'Plan mensual'!G26+parametros_recargas!$K$89*'Plan mensual'!G27+parametros_recargas!$L$89*'Plan mensual'!G28</f>
        <v>0.163994970110154</v>
      </c>
      <c r="F19" s="21" t="n">
        <f aca="false">parametros_recargas!$E$89*'Plan mensual'!H21+parametros_recargas!$F$89*'Plan mensual'!H22+parametros_recargas!$G$89*'Plan mensual'!H23+parametros_recargas!$H$89*'Plan mensual'!H24+parametros_recargas!$I$89*'Plan mensual'!H25+parametros_recargas!$J$89*'Plan mensual'!H26+parametros_recargas!$K$89*'Plan mensual'!H27+parametros_recargas!$L$89*'Plan mensual'!H28</f>
        <v>0.163994970110154</v>
      </c>
      <c r="G19" s="21" t="n">
        <f aca="false">parametros_recargas!$E$89*'Plan mensual'!I21+parametros_recargas!$F$89*'Plan mensual'!I22+parametros_recargas!$G$89*'Plan mensual'!I23+parametros_recargas!$H$89*'Plan mensual'!I24+parametros_recargas!$I$89*'Plan mensual'!I25+parametros_recargas!$J$89*'Plan mensual'!I26+parametros_recargas!$K$89*'Plan mensual'!I27+parametros_recargas!$L$89*'Plan mensual'!I28</f>
        <v>0.163994970110154</v>
      </c>
      <c r="H19" s="21" t="n">
        <f aca="false">parametros_recargas!$E$89*'Plan mensual'!J21+parametros_recargas!$F$89*'Plan mensual'!J22+parametros_recargas!$G$89*'Plan mensual'!J23+parametros_recargas!$H$89*'Plan mensual'!J24+parametros_recargas!$I$89*'Plan mensual'!J25+parametros_recargas!$J$89*'Plan mensual'!J26+parametros_recargas!$K$89*'Plan mensual'!J27+parametros_recargas!$L$89*'Plan mensual'!J28</f>
        <v>0.163994970110154</v>
      </c>
      <c r="I19" s="21" t="n">
        <f aca="false">parametros_recargas!$E$89*'Plan mensual'!K21+parametros_recargas!$F$89*'Plan mensual'!K22+parametros_recargas!$G$89*'Plan mensual'!K23+parametros_recargas!$H$89*'Plan mensual'!K24+parametros_recargas!$I$89*'Plan mensual'!K25+parametros_recargas!$J$89*'Plan mensual'!K26+parametros_recargas!$K$89*'Plan mensual'!K27+parametros_recargas!$L$89*'Plan mensual'!K28</f>
        <v>0.163994970110154</v>
      </c>
      <c r="J19" s="21" t="n">
        <f aca="false">parametros_recargas!$E$89*'Plan mensual'!L21+parametros_recargas!$F$89*'Plan mensual'!L22+parametros_recargas!$G$89*'Plan mensual'!L23+parametros_recargas!$H$89*'Plan mensual'!L24+parametros_recargas!$I$89*'Plan mensual'!L25+parametros_recargas!$J$89*'Plan mensual'!L26+parametros_recargas!$K$89*'Plan mensual'!L27+parametros_recargas!$L$89*'Plan mensual'!L28</f>
        <v>0.163994970110154</v>
      </c>
      <c r="K19" s="21" t="n">
        <f aca="false">parametros_recargas!$E$89*'Plan mensual'!M21+parametros_recargas!$F$89*'Plan mensual'!M22+parametros_recargas!$G$89*'Plan mensual'!M23+parametros_recargas!$H$89*'Plan mensual'!M24+parametros_recargas!$I$89*'Plan mensual'!M25+parametros_recargas!$J$89*'Plan mensual'!M26+parametros_recargas!$K$89*'Plan mensual'!M27+parametros_recargas!$L$89*'Plan mensual'!M28</f>
        <v>0.163994970110154</v>
      </c>
      <c r="L19" s="21" t="n">
        <f aca="false">parametros_recargas!$E$89*'Plan mensual'!N21+parametros_recargas!$F$89*'Plan mensual'!N22+parametros_recargas!$G$89*'Plan mensual'!N23+parametros_recargas!$H$89*'Plan mensual'!N24+parametros_recargas!$I$89*'Plan mensual'!N25+parametros_recargas!$J$89*'Plan mensual'!N26+parametros_recargas!$K$89*'Plan mensual'!N27+parametros_recargas!$L$89*'Plan mensual'!N28</f>
        <v>0.163994970110154</v>
      </c>
      <c r="M19" s="21" t="n">
        <f aca="false">parametros_recargas!$E$89*'Plan mensual'!O21+parametros_recargas!$F$89*'Plan mensual'!O22+parametros_recargas!$G$89*'Plan mensual'!O23+parametros_recargas!$H$89*'Plan mensual'!O24+parametros_recargas!$I$89*'Plan mensual'!O25+parametros_recargas!$J$89*'Plan mensual'!O26+parametros_recargas!$K$89*'Plan mensual'!O27+parametros_recargas!$L$89*'Plan mensual'!O28</f>
        <v>0.163994970110154</v>
      </c>
      <c r="N19" s="6" t="n">
        <f aca="false">SUM(B19:M19)</f>
        <v>1.96793964132184</v>
      </c>
      <c r="O19" s="22" t="n">
        <f aca="false">MAX(B19:M19)</f>
        <v>0.163994970110154</v>
      </c>
      <c r="P19" s="12" t="n">
        <f aca="false">O19/parametros_recargas!$B$6</f>
        <v>0.00109329980073436</v>
      </c>
    </row>
    <row r="20" customFormat="false" ht="15" hidden="false" customHeight="false" outlineLevel="0" collapsed="false">
      <c r="A20" s="8" t="str">
        <f aca="false">parametros_recargas!$B$90</f>
        <v>Carga de agua / AFFF / sales K</v>
      </c>
      <c r="B20" s="21" t="n">
        <f aca="false">parametros_recargas!$E$90*'Plan mensual'!D21+parametros_recargas!$F$90*'Plan mensual'!D22+parametros_recargas!$G$90*'Plan mensual'!D23+parametros_recargas!$H$90*'Plan mensual'!D24+parametros_recargas!$I$90*'Plan mensual'!D25+parametros_recargas!$J$90*'Plan mensual'!D26+parametros_recargas!$K$90*'Plan mensual'!D27+parametros_recargas!$L$90*'Plan mensual'!D28</f>
        <v>7.16111393500713</v>
      </c>
      <c r="C20" s="21" t="n">
        <f aca="false">parametros_recargas!$E$90*'Plan mensual'!E21+parametros_recargas!$F$90*'Plan mensual'!E22+parametros_recargas!$G$90*'Plan mensual'!E23+parametros_recargas!$H$90*'Plan mensual'!E24+parametros_recargas!$I$90*'Plan mensual'!E25+parametros_recargas!$J$90*'Plan mensual'!E26+parametros_recargas!$K$90*'Plan mensual'!E27+parametros_recargas!$L$90*'Plan mensual'!E28</f>
        <v>7.16111393500713</v>
      </c>
      <c r="D20" s="21" t="n">
        <f aca="false">parametros_recargas!$E$90*'Plan mensual'!F21+parametros_recargas!$F$90*'Plan mensual'!F22+parametros_recargas!$G$90*'Plan mensual'!F23+parametros_recargas!$H$90*'Plan mensual'!F24+parametros_recargas!$I$90*'Plan mensual'!F25+parametros_recargas!$J$90*'Plan mensual'!F26+parametros_recargas!$K$90*'Plan mensual'!F27+parametros_recargas!$L$90*'Plan mensual'!F28</f>
        <v>7.16111393500713</v>
      </c>
      <c r="E20" s="21" t="n">
        <f aca="false">parametros_recargas!$E$90*'Plan mensual'!G21+parametros_recargas!$F$90*'Plan mensual'!G22+parametros_recargas!$G$90*'Plan mensual'!G23+parametros_recargas!$H$90*'Plan mensual'!G24+parametros_recargas!$I$90*'Plan mensual'!G25+parametros_recargas!$J$90*'Plan mensual'!G26+parametros_recargas!$K$90*'Plan mensual'!G27+parametros_recargas!$L$90*'Plan mensual'!G28</f>
        <v>7.16111393500713</v>
      </c>
      <c r="F20" s="21" t="n">
        <f aca="false">parametros_recargas!$E$90*'Plan mensual'!H21+parametros_recargas!$F$90*'Plan mensual'!H22+parametros_recargas!$G$90*'Plan mensual'!H23+parametros_recargas!$H$90*'Plan mensual'!H24+parametros_recargas!$I$90*'Plan mensual'!H25+parametros_recargas!$J$90*'Plan mensual'!H26+parametros_recargas!$K$90*'Plan mensual'!H27+parametros_recargas!$L$90*'Plan mensual'!H28</f>
        <v>7.16111393500713</v>
      </c>
      <c r="G20" s="21" t="n">
        <f aca="false">parametros_recargas!$E$90*'Plan mensual'!I21+parametros_recargas!$F$90*'Plan mensual'!I22+parametros_recargas!$G$90*'Plan mensual'!I23+parametros_recargas!$H$90*'Plan mensual'!I24+parametros_recargas!$I$90*'Plan mensual'!I25+parametros_recargas!$J$90*'Plan mensual'!I26+parametros_recargas!$K$90*'Plan mensual'!I27+parametros_recargas!$L$90*'Plan mensual'!I28</f>
        <v>7.16111393500713</v>
      </c>
      <c r="H20" s="21" t="n">
        <f aca="false">parametros_recargas!$E$90*'Plan mensual'!J21+parametros_recargas!$F$90*'Plan mensual'!J22+parametros_recargas!$G$90*'Plan mensual'!J23+parametros_recargas!$H$90*'Plan mensual'!J24+parametros_recargas!$I$90*'Plan mensual'!J25+parametros_recargas!$J$90*'Plan mensual'!J26+parametros_recargas!$K$90*'Plan mensual'!J27+parametros_recargas!$L$90*'Plan mensual'!J28</f>
        <v>7.16111393500713</v>
      </c>
      <c r="I20" s="21" t="n">
        <f aca="false">parametros_recargas!$E$90*'Plan mensual'!K21+parametros_recargas!$F$90*'Plan mensual'!K22+parametros_recargas!$G$90*'Plan mensual'!K23+parametros_recargas!$H$90*'Plan mensual'!K24+parametros_recargas!$I$90*'Plan mensual'!K25+parametros_recargas!$J$90*'Plan mensual'!K26+parametros_recargas!$K$90*'Plan mensual'!K27+parametros_recargas!$L$90*'Plan mensual'!K28</f>
        <v>7.16111393500713</v>
      </c>
      <c r="J20" s="21" t="n">
        <f aca="false">parametros_recargas!$E$90*'Plan mensual'!L21+parametros_recargas!$F$90*'Plan mensual'!L22+parametros_recargas!$G$90*'Plan mensual'!L23+parametros_recargas!$H$90*'Plan mensual'!L24+parametros_recargas!$I$90*'Plan mensual'!L25+parametros_recargas!$J$90*'Plan mensual'!L26+parametros_recargas!$K$90*'Plan mensual'!L27+parametros_recargas!$L$90*'Plan mensual'!L28</f>
        <v>7.16111393500713</v>
      </c>
      <c r="K20" s="21" t="n">
        <f aca="false">parametros_recargas!$E$90*'Plan mensual'!M21+parametros_recargas!$F$90*'Plan mensual'!M22+parametros_recargas!$G$90*'Plan mensual'!M23+parametros_recargas!$H$90*'Plan mensual'!M24+parametros_recargas!$I$90*'Plan mensual'!M25+parametros_recargas!$J$90*'Plan mensual'!M26+parametros_recargas!$K$90*'Plan mensual'!M27+parametros_recargas!$L$90*'Plan mensual'!M28</f>
        <v>7.16111393500713</v>
      </c>
      <c r="L20" s="21" t="n">
        <f aca="false">parametros_recargas!$E$90*'Plan mensual'!N21+parametros_recargas!$F$90*'Plan mensual'!N22+parametros_recargas!$G$90*'Plan mensual'!N23+parametros_recargas!$H$90*'Plan mensual'!N24+parametros_recargas!$I$90*'Plan mensual'!N25+parametros_recargas!$J$90*'Plan mensual'!N26+parametros_recargas!$K$90*'Plan mensual'!N27+parametros_recargas!$L$90*'Plan mensual'!N28</f>
        <v>7.16111393500713</v>
      </c>
      <c r="M20" s="21" t="n">
        <f aca="false">parametros_recargas!$E$90*'Plan mensual'!O21+parametros_recargas!$F$90*'Plan mensual'!O22+parametros_recargas!$G$90*'Plan mensual'!O23+parametros_recargas!$H$90*'Plan mensual'!O24+parametros_recargas!$I$90*'Plan mensual'!O25+parametros_recargas!$J$90*'Plan mensual'!O26+parametros_recargas!$K$90*'Plan mensual'!O27+parametros_recargas!$L$90*'Plan mensual'!O28</f>
        <v>7.16111393500713</v>
      </c>
      <c r="N20" s="6" t="n">
        <f aca="false">SUM(B20:M20)</f>
        <v>85.9333672200856</v>
      </c>
      <c r="O20" s="22" t="n">
        <f aca="false">MAX(B20:M20)</f>
        <v>7.16111393500713</v>
      </c>
      <c r="P20" s="12" t="n">
        <f aca="false">O20/parametros_recargas!$B$6</f>
        <v>0.0477407595667142</v>
      </c>
    </row>
    <row r="21" customFormat="false" ht="15" hidden="false" customHeight="false" outlineLevel="0" collapsed="false">
      <c r="A21" s="8" t="str">
        <f aca="false">parametros_recargas!$B$91</f>
        <v>Carga de CO₂</v>
      </c>
      <c r="B21" s="21" t="n">
        <f aca="false">parametros_recargas!$E$91*'Plan mensual'!D21+parametros_recargas!$F$91*'Plan mensual'!D22+parametros_recargas!$G$91*'Plan mensual'!D23+parametros_recargas!$H$91*'Plan mensual'!D24+parametros_recargas!$I$91*'Plan mensual'!D25+parametros_recargas!$J$91*'Plan mensual'!D26+parametros_recargas!$K$91*'Plan mensual'!D27+parametros_recargas!$L$91*'Plan mensual'!D28</f>
        <v>4.14907290231696</v>
      </c>
      <c r="C21" s="21" t="n">
        <f aca="false">parametros_recargas!$E$91*'Plan mensual'!E21+parametros_recargas!$F$91*'Plan mensual'!E22+parametros_recargas!$G$91*'Plan mensual'!E23+parametros_recargas!$H$91*'Plan mensual'!E24+parametros_recargas!$I$91*'Plan mensual'!E25+parametros_recargas!$J$91*'Plan mensual'!E26+parametros_recargas!$K$91*'Plan mensual'!E27+parametros_recargas!$L$91*'Plan mensual'!E28</f>
        <v>4.14907290231696</v>
      </c>
      <c r="D21" s="21" t="n">
        <f aca="false">parametros_recargas!$E$91*'Plan mensual'!F21+parametros_recargas!$F$91*'Plan mensual'!F22+parametros_recargas!$G$91*'Plan mensual'!F23+parametros_recargas!$H$91*'Plan mensual'!F24+parametros_recargas!$I$91*'Plan mensual'!F25+parametros_recargas!$J$91*'Plan mensual'!F26+parametros_recargas!$K$91*'Plan mensual'!F27+parametros_recargas!$L$91*'Plan mensual'!F28</f>
        <v>4.14907290231696</v>
      </c>
      <c r="E21" s="21" t="n">
        <f aca="false">parametros_recargas!$E$91*'Plan mensual'!G21+parametros_recargas!$F$91*'Plan mensual'!G22+parametros_recargas!$G$91*'Plan mensual'!G23+parametros_recargas!$H$91*'Plan mensual'!G24+parametros_recargas!$I$91*'Plan mensual'!G25+parametros_recargas!$J$91*'Plan mensual'!G26+parametros_recargas!$K$91*'Plan mensual'!G27+parametros_recargas!$L$91*'Plan mensual'!G28</f>
        <v>4.14907290231696</v>
      </c>
      <c r="F21" s="21" t="n">
        <f aca="false">parametros_recargas!$E$91*'Plan mensual'!H21+parametros_recargas!$F$91*'Plan mensual'!H22+parametros_recargas!$G$91*'Plan mensual'!H23+parametros_recargas!$H$91*'Plan mensual'!H24+parametros_recargas!$I$91*'Plan mensual'!H25+parametros_recargas!$J$91*'Plan mensual'!H26+parametros_recargas!$K$91*'Plan mensual'!H27+parametros_recargas!$L$91*'Plan mensual'!H28</f>
        <v>4.14907290231696</v>
      </c>
      <c r="G21" s="21" t="n">
        <f aca="false">parametros_recargas!$E$91*'Plan mensual'!I21+parametros_recargas!$F$91*'Plan mensual'!I22+parametros_recargas!$G$91*'Plan mensual'!I23+parametros_recargas!$H$91*'Plan mensual'!I24+parametros_recargas!$I$91*'Plan mensual'!I25+parametros_recargas!$J$91*'Plan mensual'!I26+parametros_recargas!$K$91*'Plan mensual'!I27+parametros_recargas!$L$91*'Plan mensual'!I28</f>
        <v>4.14907290231696</v>
      </c>
      <c r="H21" s="21" t="n">
        <f aca="false">parametros_recargas!$E$91*'Plan mensual'!J21+parametros_recargas!$F$91*'Plan mensual'!J22+parametros_recargas!$G$91*'Plan mensual'!J23+parametros_recargas!$H$91*'Plan mensual'!J24+parametros_recargas!$I$91*'Plan mensual'!J25+parametros_recargas!$J$91*'Plan mensual'!J26+parametros_recargas!$K$91*'Plan mensual'!J27+parametros_recargas!$L$91*'Plan mensual'!J28</f>
        <v>4.14907290231696</v>
      </c>
      <c r="I21" s="21" t="n">
        <f aca="false">parametros_recargas!$E$91*'Plan mensual'!K21+parametros_recargas!$F$91*'Plan mensual'!K22+parametros_recargas!$G$91*'Plan mensual'!K23+parametros_recargas!$H$91*'Plan mensual'!K24+parametros_recargas!$I$91*'Plan mensual'!K25+parametros_recargas!$J$91*'Plan mensual'!K26+parametros_recargas!$K$91*'Plan mensual'!K27+parametros_recargas!$L$91*'Plan mensual'!K28</f>
        <v>4.14907290231696</v>
      </c>
      <c r="J21" s="21" t="n">
        <f aca="false">parametros_recargas!$E$91*'Plan mensual'!L21+parametros_recargas!$F$91*'Plan mensual'!L22+parametros_recargas!$G$91*'Plan mensual'!L23+parametros_recargas!$H$91*'Plan mensual'!L24+parametros_recargas!$I$91*'Plan mensual'!L25+parametros_recargas!$J$91*'Plan mensual'!L26+parametros_recargas!$K$91*'Plan mensual'!L27+parametros_recargas!$L$91*'Plan mensual'!L28</f>
        <v>4.14907290231696</v>
      </c>
      <c r="K21" s="21" t="n">
        <f aca="false">parametros_recargas!$E$91*'Plan mensual'!M21+parametros_recargas!$F$91*'Plan mensual'!M22+parametros_recargas!$G$91*'Plan mensual'!M23+parametros_recargas!$H$91*'Plan mensual'!M24+parametros_recargas!$I$91*'Plan mensual'!M25+parametros_recargas!$J$91*'Plan mensual'!M26+parametros_recargas!$K$91*'Plan mensual'!M27+parametros_recargas!$L$91*'Plan mensual'!M28</f>
        <v>4.14907290231696</v>
      </c>
      <c r="L21" s="21" t="n">
        <f aca="false">parametros_recargas!$E$91*'Plan mensual'!N21+parametros_recargas!$F$91*'Plan mensual'!N22+parametros_recargas!$G$91*'Plan mensual'!N23+parametros_recargas!$H$91*'Plan mensual'!N24+parametros_recargas!$I$91*'Plan mensual'!N25+parametros_recargas!$J$91*'Plan mensual'!N26+parametros_recargas!$K$91*'Plan mensual'!N27+parametros_recargas!$L$91*'Plan mensual'!N28</f>
        <v>4.14907290231696</v>
      </c>
      <c r="M21" s="21" t="n">
        <f aca="false">parametros_recargas!$E$91*'Plan mensual'!O21+parametros_recargas!$F$91*'Plan mensual'!O22+parametros_recargas!$G$91*'Plan mensual'!O23+parametros_recargas!$H$91*'Plan mensual'!O24+parametros_recargas!$I$91*'Plan mensual'!O25+parametros_recargas!$J$91*'Plan mensual'!O26+parametros_recargas!$K$91*'Plan mensual'!O27+parametros_recargas!$L$91*'Plan mensual'!O28</f>
        <v>4.14907290231696</v>
      </c>
      <c r="N21" s="6" t="n">
        <f aca="false">SUM(B21:M21)</f>
        <v>49.7888748278036</v>
      </c>
      <c r="O21" s="22" t="n">
        <f aca="false">MAX(B21:M21)</f>
        <v>4.14907290231696</v>
      </c>
      <c r="P21" s="12" t="n">
        <f aca="false">O21/parametros_recargas!$B$6</f>
        <v>0.0276604860154464</v>
      </c>
    </row>
    <row r="22" customFormat="false" ht="15" hidden="false" customHeight="false" outlineLevel="0" collapsed="false">
      <c r="A22" s="8" t="str">
        <f aca="false">parametros_recargas!$B$92</f>
        <v>Ensamblaje y marbete — recinto</v>
      </c>
      <c r="B22" s="21" t="n">
        <f aca="false">parametros_recargas!$E$92*'Plan mensual'!D21+parametros_recargas!$F$92*'Plan mensual'!D22+parametros_recargas!$G$92*'Plan mensual'!D23+parametros_recargas!$H$92*'Plan mensual'!D24+parametros_recargas!$I$92*'Plan mensual'!D25+parametros_recargas!$J$92*'Plan mensual'!D26+parametros_recargas!$K$92*'Plan mensual'!D27+parametros_recargas!$L$92*'Plan mensual'!D28</f>
        <v>146.556843788954</v>
      </c>
      <c r="C22" s="21" t="n">
        <f aca="false">parametros_recargas!$E$92*'Plan mensual'!E21+parametros_recargas!$F$92*'Plan mensual'!E22+parametros_recargas!$G$92*'Plan mensual'!E23+parametros_recargas!$H$92*'Plan mensual'!E24+parametros_recargas!$I$92*'Plan mensual'!E25+parametros_recargas!$J$92*'Plan mensual'!E26+parametros_recargas!$K$92*'Plan mensual'!E27+parametros_recargas!$L$92*'Plan mensual'!E28</f>
        <v>146.556843788954</v>
      </c>
      <c r="D22" s="21" t="n">
        <f aca="false">parametros_recargas!$E$92*'Plan mensual'!F21+parametros_recargas!$F$92*'Plan mensual'!F22+parametros_recargas!$G$92*'Plan mensual'!F23+parametros_recargas!$H$92*'Plan mensual'!F24+parametros_recargas!$I$92*'Plan mensual'!F25+parametros_recargas!$J$92*'Plan mensual'!F26+parametros_recargas!$K$92*'Plan mensual'!F27+parametros_recargas!$L$92*'Plan mensual'!F28</f>
        <v>146.556843788954</v>
      </c>
      <c r="E22" s="21" t="n">
        <f aca="false">parametros_recargas!$E$92*'Plan mensual'!G21+parametros_recargas!$F$92*'Plan mensual'!G22+parametros_recargas!$G$92*'Plan mensual'!G23+parametros_recargas!$H$92*'Plan mensual'!G24+parametros_recargas!$I$92*'Plan mensual'!G25+parametros_recargas!$J$92*'Plan mensual'!G26+parametros_recargas!$K$92*'Plan mensual'!G27+parametros_recargas!$L$92*'Plan mensual'!G28</f>
        <v>146.556843788954</v>
      </c>
      <c r="F22" s="21" t="n">
        <f aca="false">parametros_recargas!$E$92*'Plan mensual'!H21+parametros_recargas!$F$92*'Plan mensual'!H22+parametros_recargas!$G$92*'Plan mensual'!H23+parametros_recargas!$H$92*'Plan mensual'!H24+parametros_recargas!$I$92*'Plan mensual'!H25+parametros_recargas!$J$92*'Plan mensual'!H26+parametros_recargas!$K$92*'Plan mensual'!H27+parametros_recargas!$L$92*'Plan mensual'!H28</f>
        <v>146.556843788954</v>
      </c>
      <c r="G22" s="21" t="n">
        <f aca="false">parametros_recargas!$E$92*'Plan mensual'!I21+parametros_recargas!$F$92*'Plan mensual'!I22+parametros_recargas!$G$92*'Plan mensual'!I23+parametros_recargas!$H$92*'Plan mensual'!I24+parametros_recargas!$I$92*'Plan mensual'!I25+parametros_recargas!$J$92*'Plan mensual'!I26+parametros_recargas!$K$92*'Plan mensual'!I27+parametros_recargas!$L$92*'Plan mensual'!I28</f>
        <v>146.556843788954</v>
      </c>
      <c r="H22" s="21" t="n">
        <f aca="false">parametros_recargas!$E$92*'Plan mensual'!J21+parametros_recargas!$F$92*'Plan mensual'!J22+parametros_recargas!$G$92*'Plan mensual'!J23+parametros_recargas!$H$92*'Plan mensual'!J24+parametros_recargas!$I$92*'Plan mensual'!J25+parametros_recargas!$J$92*'Plan mensual'!J26+parametros_recargas!$K$92*'Plan mensual'!J27+parametros_recargas!$L$92*'Plan mensual'!J28</f>
        <v>146.556843788954</v>
      </c>
      <c r="I22" s="21" t="n">
        <f aca="false">parametros_recargas!$E$92*'Plan mensual'!K21+parametros_recargas!$F$92*'Plan mensual'!K22+parametros_recargas!$G$92*'Plan mensual'!K23+parametros_recargas!$H$92*'Plan mensual'!K24+parametros_recargas!$I$92*'Plan mensual'!K25+parametros_recargas!$J$92*'Plan mensual'!K26+parametros_recargas!$K$92*'Plan mensual'!K27+parametros_recargas!$L$92*'Plan mensual'!K28</f>
        <v>146.556843788954</v>
      </c>
      <c r="J22" s="21" t="n">
        <f aca="false">parametros_recargas!$E$92*'Plan mensual'!L21+parametros_recargas!$F$92*'Plan mensual'!L22+parametros_recargas!$G$92*'Plan mensual'!L23+parametros_recargas!$H$92*'Plan mensual'!L24+parametros_recargas!$I$92*'Plan mensual'!L25+parametros_recargas!$J$92*'Plan mensual'!L26+parametros_recargas!$K$92*'Plan mensual'!L27+parametros_recargas!$L$92*'Plan mensual'!L28</f>
        <v>146.556843788954</v>
      </c>
      <c r="K22" s="21" t="n">
        <f aca="false">parametros_recargas!$E$92*'Plan mensual'!M21+parametros_recargas!$F$92*'Plan mensual'!M22+parametros_recargas!$G$92*'Plan mensual'!M23+parametros_recargas!$H$92*'Plan mensual'!M24+parametros_recargas!$I$92*'Plan mensual'!M25+parametros_recargas!$J$92*'Plan mensual'!M26+parametros_recargas!$K$92*'Plan mensual'!M27+parametros_recargas!$L$92*'Plan mensual'!M28</f>
        <v>146.556843788954</v>
      </c>
      <c r="L22" s="21" t="n">
        <f aca="false">parametros_recargas!$E$92*'Plan mensual'!N21+parametros_recargas!$F$92*'Plan mensual'!N22+parametros_recargas!$G$92*'Plan mensual'!N23+parametros_recargas!$H$92*'Plan mensual'!N24+parametros_recargas!$I$92*'Plan mensual'!N25+parametros_recargas!$J$92*'Plan mensual'!N26+parametros_recargas!$K$92*'Plan mensual'!N27+parametros_recargas!$L$92*'Plan mensual'!N28</f>
        <v>146.556843788954</v>
      </c>
      <c r="M22" s="21" t="n">
        <f aca="false">parametros_recargas!$E$92*'Plan mensual'!O21+parametros_recargas!$F$92*'Plan mensual'!O22+parametros_recargas!$G$92*'Plan mensual'!O23+parametros_recargas!$H$92*'Plan mensual'!O24+parametros_recargas!$I$92*'Plan mensual'!O25+parametros_recargas!$J$92*'Plan mensual'!O26+parametros_recargas!$K$92*'Plan mensual'!O27+parametros_recargas!$L$92*'Plan mensual'!O28</f>
        <v>146.556843788954</v>
      </c>
      <c r="N22" s="6" t="n">
        <f aca="false">SUM(B22:M22)</f>
        <v>1758.68212546745</v>
      </c>
      <c r="O22" s="22" t="n">
        <f aca="false">MAX(B22:M22)</f>
        <v>146.556843788954</v>
      </c>
      <c r="P22" s="12" t="n">
        <f aca="false">O22/parametros_recargas!$B$6</f>
        <v>0.977045625259693</v>
      </c>
    </row>
    <row r="23" customFormat="false" ht="15" hidden="false" customHeight="false" outlineLevel="0" collapsed="false">
      <c r="A23" s="8" t="str">
        <f aca="false">parametros_recargas!$B$93</f>
        <v>Presurización — recinto</v>
      </c>
      <c r="B23" s="21" t="n">
        <f aca="false">parametros_recargas!$E$93*'Plan mensual'!D21+parametros_recargas!$F$93*'Plan mensual'!D22+parametros_recargas!$G$93*'Plan mensual'!D23+parametros_recargas!$H$93*'Plan mensual'!D24+parametros_recargas!$I$93*'Plan mensual'!D25+parametros_recargas!$J$93*'Plan mensual'!D26+parametros_recargas!$K$93*'Plan mensual'!D27+parametros_recargas!$L$93*'Plan mensual'!D28</f>
        <v>146.556843788954</v>
      </c>
      <c r="C23" s="21" t="n">
        <f aca="false">parametros_recargas!$E$93*'Plan mensual'!E21+parametros_recargas!$F$93*'Plan mensual'!E22+parametros_recargas!$G$93*'Plan mensual'!E23+parametros_recargas!$H$93*'Plan mensual'!E24+parametros_recargas!$I$93*'Plan mensual'!E25+parametros_recargas!$J$93*'Plan mensual'!E26+parametros_recargas!$K$93*'Plan mensual'!E27+parametros_recargas!$L$93*'Plan mensual'!E28</f>
        <v>146.556843788954</v>
      </c>
      <c r="D23" s="21" t="n">
        <f aca="false">parametros_recargas!$E$93*'Plan mensual'!F21+parametros_recargas!$F$93*'Plan mensual'!F22+parametros_recargas!$G$93*'Plan mensual'!F23+parametros_recargas!$H$93*'Plan mensual'!F24+parametros_recargas!$I$93*'Plan mensual'!F25+parametros_recargas!$J$93*'Plan mensual'!F26+parametros_recargas!$K$93*'Plan mensual'!F27+parametros_recargas!$L$93*'Plan mensual'!F28</f>
        <v>146.556843788954</v>
      </c>
      <c r="E23" s="21" t="n">
        <f aca="false">parametros_recargas!$E$93*'Plan mensual'!G21+parametros_recargas!$F$93*'Plan mensual'!G22+parametros_recargas!$G$93*'Plan mensual'!G23+parametros_recargas!$H$93*'Plan mensual'!G24+parametros_recargas!$I$93*'Plan mensual'!G25+parametros_recargas!$J$93*'Plan mensual'!G26+parametros_recargas!$K$93*'Plan mensual'!G27+parametros_recargas!$L$93*'Plan mensual'!G28</f>
        <v>146.556843788954</v>
      </c>
      <c r="F23" s="21" t="n">
        <f aca="false">parametros_recargas!$E$93*'Plan mensual'!H21+parametros_recargas!$F$93*'Plan mensual'!H22+parametros_recargas!$G$93*'Plan mensual'!H23+parametros_recargas!$H$93*'Plan mensual'!H24+parametros_recargas!$I$93*'Plan mensual'!H25+parametros_recargas!$J$93*'Plan mensual'!H26+parametros_recargas!$K$93*'Plan mensual'!H27+parametros_recargas!$L$93*'Plan mensual'!H28</f>
        <v>146.556843788954</v>
      </c>
      <c r="G23" s="21" t="n">
        <f aca="false">parametros_recargas!$E$93*'Plan mensual'!I21+parametros_recargas!$F$93*'Plan mensual'!I22+parametros_recargas!$G$93*'Plan mensual'!I23+parametros_recargas!$H$93*'Plan mensual'!I24+parametros_recargas!$I$93*'Plan mensual'!I25+parametros_recargas!$J$93*'Plan mensual'!I26+parametros_recargas!$K$93*'Plan mensual'!I27+parametros_recargas!$L$93*'Plan mensual'!I28</f>
        <v>146.556843788954</v>
      </c>
      <c r="H23" s="21" t="n">
        <f aca="false">parametros_recargas!$E$93*'Plan mensual'!J21+parametros_recargas!$F$93*'Plan mensual'!J22+parametros_recargas!$G$93*'Plan mensual'!J23+parametros_recargas!$H$93*'Plan mensual'!J24+parametros_recargas!$I$93*'Plan mensual'!J25+parametros_recargas!$J$93*'Plan mensual'!J26+parametros_recargas!$K$93*'Plan mensual'!J27+parametros_recargas!$L$93*'Plan mensual'!J28</f>
        <v>146.556843788954</v>
      </c>
      <c r="I23" s="21" t="n">
        <f aca="false">parametros_recargas!$E$93*'Plan mensual'!K21+parametros_recargas!$F$93*'Plan mensual'!K22+parametros_recargas!$G$93*'Plan mensual'!K23+parametros_recargas!$H$93*'Plan mensual'!K24+parametros_recargas!$I$93*'Plan mensual'!K25+parametros_recargas!$J$93*'Plan mensual'!K26+parametros_recargas!$K$93*'Plan mensual'!K27+parametros_recargas!$L$93*'Plan mensual'!K28</f>
        <v>146.556843788954</v>
      </c>
      <c r="J23" s="21" t="n">
        <f aca="false">parametros_recargas!$E$93*'Plan mensual'!L21+parametros_recargas!$F$93*'Plan mensual'!L22+parametros_recargas!$G$93*'Plan mensual'!L23+parametros_recargas!$H$93*'Plan mensual'!L24+parametros_recargas!$I$93*'Plan mensual'!L25+parametros_recargas!$J$93*'Plan mensual'!L26+parametros_recargas!$K$93*'Plan mensual'!L27+parametros_recargas!$L$93*'Plan mensual'!L28</f>
        <v>146.556843788954</v>
      </c>
      <c r="K23" s="21" t="n">
        <f aca="false">parametros_recargas!$E$93*'Plan mensual'!M21+parametros_recargas!$F$93*'Plan mensual'!M22+parametros_recargas!$G$93*'Plan mensual'!M23+parametros_recargas!$H$93*'Plan mensual'!M24+parametros_recargas!$I$93*'Plan mensual'!M25+parametros_recargas!$J$93*'Plan mensual'!M26+parametros_recargas!$K$93*'Plan mensual'!M27+parametros_recargas!$L$93*'Plan mensual'!M28</f>
        <v>146.556843788954</v>
      </c>
      <c r="L23" s="21" t="n">
        <f aca="false">parametros_recargas!$E$93*'Plan mensual'!N21+parametros_recargas!$F$93*'Plan mensual'!N22+parametros_recargas!$G$93*'Plan mensual'!N23+parametros_recargas!$H$93*'Plan mensual'!N24+parametros_recargas!$I$93*'Plan mensual'!N25+parametros_recargas!$J$93*'Plan mensual'!N26+parametros_recargas!$K$93*'Plan mensual'!N27+parametros_recargas!$L$93*'Plan mensual'!N28</f>
        <v>146.556843788954</v>
      </c>
      <c r="M23" s="21" t="n">
        <f aca="false">parametros_recargas!$E$93*'Plan mensual'!O21+parametros_recargas!$F$93*'Plan mensual'!O22+parametros_recargas!$G$93*'Plan mensual'!O23+parametros_recargas!$H$93*'Plan mensual'!O24+parametros_recargas!$I$93*'Plan mensual'!O25+parametros_recargas!$J$93*'Plan mensual'!O26+parametros_recargas!$K$93*'Plan mensual'!O27+parametros_recargas!$L$93*'Plan mensual'!O28</f>
        <v>146.556843788954</v>
      </c>
      <c r="N23" s="6" t="n">
        <f aca="false">SUM(B23:M23)</f>
        <v>1758.68212546745</v>
      </c>
      <c r="O23" s="22" t="n">
        <f aca="false">MAX(B23:M23)</f>
        <v>146.556843788954</v>
      </c>
      <c r="P23" s="12" t="n">
        <f aca="false">O23/parametros_recargas!$B$6</f>
        <v>0.977045625259693</v>
      </c>
    </row>
    <row r="24" customFormat="false" ht="15" hidden="false" customHeight="false" outlineLevel="0" collapsed="false">
      <c r="A24" s="8" t="str">
        <f aca="false">parametros_recargas!$B$94</f>
        <v>Ensamblaje y presurización — zona general</v>
      </c>
      <c r="B24" s="21" t="n">
        <f aca="false">parametros_recargas!$E$94*'Plan mensual'!D21+parametros_recargas!$F$94*'Plan mensual'!D22+parametros_recargas!$G$94*'Plan mensual'!D23+parametros_recargas!$H$94*'Plan mensual'!D24+parametros_recargas!$I$94*'Plan mensual'!D25+parametros_recargas!$J$94*'Plan mensual'!D26+parametros_recargas!$K$94*'Plan mensual'!D27+parametros_recargas!$L$94*'Plan mensual'!D28</f>
        <v>10.7280046730163</v>
      </c>
      <c r="C24" s="21" t="n">
        <f aca="false">parametros_recargas!$E$94*'Plan mensual'!E21+parametros_recargas!$F$94*'Plan mensual'!E22+parametros_recargas!$G$94*'Plan mensual'!E23+parametros_recargas!$H$94*'Plan mensual'!E24+parametros_recargas!$I$94*'Plan mensual'!E25+parametros_recargas!$J$94*'Plan mensual'!E26+parametros_recargas!$K$94*'Plan mensual'!E27+parametros_recargas!$L$94*'Plan mensual'!E28</f>
        <v>10.7280046730163</v>
      </c>
      <c r="D24" s="21" t="n">
        <f aca="false">parametros_recargas!$E$94*'Plan mensual'!F21+parametros_recargas!$F$94*'Plan mensual'!F22+parametros_recargas!$G$94*'Plan mensual'!F23+parametros_recargas!$H$94*'Plan mensual'!F24+parametros_recargas!$I$94*'Plan mensual'!F25+parametros_recargas!$J$94*'Plan mensual'!F26+parametros_recargas!$K$94*'Plan mensual'!F27+parametros_recargas!$L$94*'Plan mensual'!F28</f>
        <v>10.7280046730163</v>
      </c>
      <c r="E24" s="21" t="n">
        <f aca="false">parametros_recargas!$E$94*'Plan mensual'!G21+parametros_recargas!$F$94*'Plan mensual'!G22+parametros_recargas!$G$94*'Plan mensual'!G23+parametros_recargas!$H$94*'Plan mensual'!G24+parametros_recargas!$I$94*'Plan mensual'!G25+parametros_recargas!$J$94*'Plan mensual'!G26+parametros_recargas!$K$94*'Plan mensual'!G27+parametros_recargas!$L$94*'Plan mensual'!G28</f>
        <v>10.7280046730163</v>
      </c>
      <c r="F24" s="21" t="n">
        <f aca="false">parametros_recargas!$E$94*'Plan mensual'!H21+parametros_recargas!$F$94*'Plan mensual'!H22+parametros_recargas!$G$94*'Plan mensual'!H23+parametros_recargas!$H$94*'Plan mensual'!H24+parametros_recargas!$I$94*'Plan mensual'!H25+parametros_recargas!$J$94*'Plan mensual'!H26+parametros_recargas!$K$94*'Plan mensual'!H27+parametros_recargas!$L$94*'Plan mensual'!H28</f>
        <v>10.7280046730163</v>
      </c>
      <c r="G24" s="21" t="n">
        <f aca="false">parametros_recargas!$E$94*'Plan mensual'!I21+parametros_recargas!$F$94*'Plan mensual'!I22+parametros_recargas!$G$94*'Plan mensual'!I23+parametros_recargas!$H$94*'Plan mensual'!I24+parametros_recargas!$I$94*'Plan mensual'!I25+parametros_recargas!$J$94*'Plan mensual'!I26+parametros_recargas!$K$94*'Plan mensual'!I27+parametros_recargas!$L$94*'Plan mensual'!I28</f>
        <v>10.7280046730163</v>
      </c>
      <c r="H24" s="21" t="n">
        <f aca="false">parametros_recargas!$E$94*'Plan mensual'!J21+parametros_recargas!$F$94*'Plan mensual'!J22+parametros_recargas!$G$94*'Plan mensual'!J23+parametros_recargas!$H$94*'Plan mensual'!J24+parametros_recargas!$I$94*'Plan mensual'!J25+parametros_recargas!$J$94*'Plan mensual'!J26+parametros_recargas!$K$94*'Plan mensual'!J27+parametros_recargas!$L$94*'Plan mensual'!J28</f>
        <v>10.7280046730163</v>
      </c>
      <c r="I24" s="21" t="n">
        <f aca="false">parametros_recargas!$E$94*'Plan mensual'!K21+parametros_recargas!$F$94*'Plan mensual'!K22+parametros_recargas!$G$94*'Plan mensual'!K23+parametros_recargas!$H$94*'Plan mensual'!K24+parametros_recargas!$I$94*'Plan mensual'!K25+parametros_recargas!$J$94*'Plan mensual'!K26+parametros_recargas!$K$94*'Plan mensual'!K27+parametros_recargas!$L$94*'Plan mensual'!K28</f>
        <v>10.7280046730163</v>
      </c>
      <c r="J24" s="21" t="n">
        <f aca="false">parametros_recargas!$E$94*'Plan mensual'!L21+parametros_recargas!$F$94*'Plan mensual'!L22+parametros_recargas!$G$94*'Plan mensual'!L23+parametros_recargas!$H$94*'Plan mensual'!L24+parametros_recargas!$I$94*'Plan mensual'!L25+parametros_recargas!$J$94*'Plan mensual'!L26+parametros_recargas!$K$94*'Plan mensual'!L27+parametros_recargas!$L$94*'Plan mensual'!L28</f>
        <v>10.7280046730163</v>
      </c>
      <c r="K24" s="21" t="n">
        <f aca="false">parametros_recargas!$E$94*'Plan mensual'!M21+parametros_recargas!$F$94*'Plan mensual'!M22+parametros_recargas!$G$94*'Plan mensual'!M23+parametros_recargas!$H$94*'Plan mensual'!M24+parametros_recargas!$I$94*'Plan mensual'!M25+parametros_recargas!$J$94*'Plan mensual'!M26+parametros_recargas!$K$94*'Plan mensual'!M27+parametros_recargas!$L$94*'Plan mensual'!M28</f>
        <v>10.7280046730163</v>
      </c>
      <c r="L24" s="21" t="n">
        <f aca="false">parametros_recargas!$E$94*'Plan mensual'!N21+parametros_recargas!$F$94*'Plan mensual'!N22+parametros_recargas!$G$94*'Plan mensual'!N23+parametros_recargas!$H$94*'Plan mensual'!N24+parametros_recargas!$I$94*'Plan mensual'!N25+parametros_recargas!$J$94*'Plan mensual'!N26+parametros_recargas!$K$94*'Plan mensual'!N27+parametros_recargas!$L$94*'Plan mensual'!N28</f>
        <v>10.7280046730163</v>
      </c>
      <c r="M24" s="21" t="n">
        <f aca="false">parametros_recargas!$E$94*'Plan mensual'!O21+parametros_recargas!$F$94*'Plan mensual'!O22+parametros_recargas!$G$94*'Plan mensual'!O23+parametros_recargas!$H$94*'Plan mensual'!O24+parametros_recargas!$I$94*'Plan mensual'!O25+parametros_recargas!$J$94*'Plan mensual'!O26+parametros_recargas!$K$94*'Plan mensual'!O27+parametros_recargas!$L$94*'Plan mensual'!O28</f>
        <v>10.7280046730163</v>
      </c>
      <c r="N24" s="6" t="n">
        <f aca="false">SUM(B24:M24)</f>
        <v>128.736056076196</v>
      </c>
      <c r="O24" s="22" t="n">
        <f aca="false">MAX(B24:M24)</f>
        <v>10.7280046730163</v>
      </c>
      <c r="P24" s="12" t="n">
        <f aca="false">O24/parametros_recargas!$B$6</f>
        <v>0.071520031153442</v>
      </c>
    </row>
    <row r="25" customFormat="false" ht="15" hidden="false" customHeight="false" outlineLevel="0" collapsed="false">
      <c r="A25" s="8" t="str">
        <f aca="false">parametros_recargas!$B$95</f>
        <v>Carga y presurización de halogenado</v>
      </c>
      <c r="B25" s="21" t="n">
        <f aca="false">parametros_recargas!$E$95*'Plan mensual'!D21+parametros_recargas!$F$95*'Plan mensual'!D22+parametros_recargas!$G$95*'Plan mensual'!D23+parametros_recargas!$H$95*'Plan mensual'!D24+parametros_recargas!$I$95*'Plan mensual'!D25+parametros_recargas!$J$95*'Plan mensual'!D26+parametros_recargas!$K$95*'Plan mensual'!D27+parametros_recargas!$L$95*'Plan mensual'!D28</f>
        <v>0.109329986078363</v>
      </c>
      <c r="C25" s="21" t="n">
        <f aca="false">parametros_recargas!$E$95*'Plan mensual'!E21+parametros_recargas!$F$95*'Plan mensual'!E22+parametros_recargas!$G$95*'Plan mensual'!E23+parametros_recargas!$H$95*'Plan mensual'!E24+parametros_recargas!$I$95*'Plan mensual'!E25+parametros_recargas!$J$95*'Plan mensual'!E26+parametros_recargas!$K$95*'Plan mensual'!E27+parametros_recargas!$L$95*'Plan mensual'!E28</f>
        <v>0.109329986078363</v>
      </c>
      <c r="D25" s="21" t="n">
        <f aca="false">parametros_recargas!$E$95*'Plan mensual'!F21+parametros_recargas!$F$95*'Plan mensual'!F22+parametros_recargas!$G$95*'Plan mensual'!F23+parametros_recargas!$H$95*'Plan mensual'!F24+parametros_recargas!$I$95*'Plan mensual'!F25+parametros_recargas!$J$95*'Plan mensual'!F26+parametros_recargas!$K$95*'Plan mensual'!F27+parametros_recargas!$L$95*'Plan mensual'!F28</f>
        <v>0.109329986078363</v>
      </c>
      <c r="E25" s="21" t="n">
        <f aca="false">parametros_recargas!$E$95*'Plan mensual'!G21+parametros_recargas!$F$95*'Plan mensual'!G22+parametros_recargas!$G$95*'Plan mensual'!G23+parametros_recargas!$H$95*'Plan mensual'!G24+parametros_recargas!$I$95*'Plan mensual'!G25+parametros_recargas!$J$95*'Plan mensual'!G26+parametros_recargas!$K$95*'Plan mensual'!G27+parametros_recargas!$L$95*'Plan mensual'!G28</f>
        <v>0.109329986078363</v>
      </c>
      <c r="F25" s="21" t="n">
        <f aca="false">parametros_recargas!$E$95*'Plan mensual'!H21+parametros_recargas!$F$95*'Plan mensual'!H22+parametros_recargas!$G$95*'Plan mensual'!H23+parametros_recargas!$H$95*'Plan mensual'!H24+parametros_recargas!$I$95*'Plan mensual'!H25+parametros_recargas!$J$95*'Plan mensual'!H26+parametros_recargas!$K$95*'Plan mensual'!H27+parametros_recargas!$L$95*'Plan mensual'!H28</f>
        <v>0.109329986078363</v>
      </c>
      <c r="G25" s="21" t="n">
        <f aca="false">parametros_recargas!$E$95*'Plan mensual'!I21+parametros_recargas!$F$95*'Plan mensual'!I22+parametros_recargas!$G$95*'Plan mensual'!I23+parametros_recargas!$H$95*'Plan mensual'!I24+parametros_recargas!$I$95*'Plan mensual'!I25+parametros_recargas!$J$95*'Plan mensual'!I26+parametros_recargas!$K$95*'Plan mensual'!I27+parametros_recargas!$L$95*'Plan mensual'!I28</f>
        <v>0.109329986078363</v>
      </c>
      <c r="H25" s="21" t="n">
        <f aca="false">parametros_recargas!$E$95*'Plan mensual'!J21+parametros_recargas!$F$95*'Plan mensual'!J22+parametros_recargas!$G$95*'Plan mensual'!J23+parametros_recargas!$H$95*'Plan mensual'!J24+parametros_recargas!$I$95*'Plan mensual'!J25+parametros_recargas!$J$95*'Plan mensual'!J26+parametros_recargas!$K$95*'Plan mensual'!J27+parametros_recargas!$L$95*'Plan mensual'!J28</f>
        <v>0.109329986078363</v>
      </c>
      <c r="I25" s="21" t="n">
        <f aca="false">parametros_recargas!$E$95*'Plan mensual'!K21+parametros_recargas!$F$95*'Plan mensual'!K22+parametros_recargas!$G$95*'Plan mensual'!K23+parametros_recargas!$H$95*'Plan mensual'!K24+parametros_recargas!$I$95*'Plan mensual'!K25+parametros_recargas!$J$95*'Plan mensual'!K26+parametros_recargas!$K$95*'Plan mensual'!K27+parametros_recargas!$L$95*'Plan mensual'!K28</f>
        <v>0.109329986078363</v>
      </c>
      <c r="J25" s="21" t="n">
        <f aca="false">parametros_recargas!$E$95*'Plan mensual'!L21+parametros_recargas!$F$95*'Plan mensual'!L22+parametros_recargas!$G$95*'Plan mensual'!L23+parametros_recargas!$H$95*'Plan mensual'!L24+parametros_recargas!$I$95*'Plan mensual'!L25+parametros_recargas!$J$95*'Plan mensual'!L26+parametros_recargas!$K$95*'Plan mensual'!L27+parametros_recargas!$L$95*'Plan mensual'!L28</f>
        <v>0.109329986078363</v>
      </c>
      <c r="K25" s="21" t="n">
        <f aca="false">parametros_recargas!$E$95*'Plan mensual'!M21+parametros_recargas!$F$95*'Plan mensual'!M22+parametros_recargas!$G$95*'Plan mensual'!M23+parametros_recargas!$H$95*'Plan mensual'!M24+parametros_recargas!$I$95*'Plan mensual'!M25+parametros_recargas!$J$95*'Plan mensual'!M26+parametros_recargas!$K$95*'Plan mensual'!M27+parametros_recargas!$L$95*'Plan mensual'!M28</f>
        <v>0.109329986078363</v>
      </c>
      <c r="L25" s="21" t="n">
        <f aca="false">parametros_recargas!$E$95*'Plan mensual'!N21+parametros_recargas!$F$95*'Plan mensual'!N22+parametros_recargas!$G$95*'Plan mensual'!N23+parametros_recargas!$H$95*'Plan mensual'!N24+parametros_recargas!$I$95*'Plan mensual'!N25+parametros_recargas!$J$95*'Plan mensual'!N26+parametros_recargas!$K$95*'Plan mensual'!N27+parametros_recargas!$L$95*'Plan mensual'!N28</f>
        <v>0.109329986078363</v>
      </c>
      <c r="M25" s="21" t="n">
        <f aca="false">parametros_recargas!$E$95*'Plan mensual'!O21+parametros_recargas!$F$95*'Plan mensual'!O22+parametros_recargas!$G$95*'Plan mensual'!O23+parametros_recargas!$H$95*'Plan mensual'!O24+parametros_recargas!$I$95*'Plan mensual'!O25+parametros_recargas!$J$95*'Plan mensual'!O26+parametros_recargas!$K$95*'Plan mensual'!O27+parametros_recargas!$L$95*'Plan mensual'!O28</f>
        <v>0.109329986078363</v>
      </c>
      <c r="N25" s="6" t="n">
        <f aca="false">SUM(B25:M25)</f>
        <v>1.31195983294036</v>
      </c>
      <c r="O25" s="22" t="n">
        <f aca="false">MAX(B25:M25)</f>
        <v>0.109329986078363</v>
      </c>
      <c r="P25" s="12" t="n">
        <f aca="false">O25/parametros_recargas!$B$6</f>
        <v>0.000728866573855753</v>
      </c>
    </row>
    <row r="26" customFormat="false" ht="15" hidden="false" customHeight="false" outlineLevel="0" collapsed="false">
      <c r="A26" s="8" t="str">
        <f aca="false">parametros_recargas!$B$96</f>
        <v>Control de peso (CO₂ y halogenados sin recarga)</v>
      </c>
      <c r="B26" s="21" t="n">
        <f aca="false">parametros_recargas!$E$96*'Plan mensual'!D21+parametros_recargas!$F$96*'Plan mensual'!D22+parametros_recargas!$G$96*'Plan mensual'!D23+parametros_recargas!$H$96*'Plan mensual'!D24+parametros_recargas!$I$96*'Plan mensual'!D25+parametros_recargas!$J$96*'Plan mensual'!D26+parametros_recargas!$K$96*'Plan mensual'!D27+parametros_recargas!$L$96*'Plan mensual'!D28</f>
        <v>10.0091600636413</v>
      </c>
      <c r="C26" s="21" t="n">
        <f aca="false">parametros_recargas!$E$96*'Plan mensual'!E21+parametros_recargas!$F$96*'Plan mensual'!E22+parametros_recargas!$G$96*'Plan mensual'!E23+parametros_recargas!$H$96*'Plan mensual'!E24+parametros_recargas!$I$96*'Plan mensual'!E25+parametros_recargas!$J$96*'Plan mensual'!E26+parametros_recargas!$K$96*'Plan mensual'!E27+parametros_recargas!$L$96*'Plan mensual'!E28</f>
        <v>10.0091600636413</v>
      </c>
      <c r="D26" s="21" t="n">
        <f aca="false">parametros_recargas!$E$96*'Plan mensual'!F21+parametros_recargas!$F$96*'Plan mensual'!F22+parametros_recargas!$G$96*'Plan mensual'!F23+parametros_recargas!$H$96*'Plan mensual'!F24+parametros_recargas!$I$96*'Plan mensual'!F25+parametros_recargas!$J$96*'Plan mensual'!F26+parametros_recargas!$K$96*'Plan mensual'!F27+parametros_recargas!$L$96*'Plan mensual'!F28</f>
        <v>10.0091600636413</v>
      </c>
      <c r="E26" s="21" t="n">
        <f aca="false">parametros_recargas!$E$96*'Plan mensual'!G21+parametros_recargas!$F$96*'Plan mensual'!G22+parametros_recargas!$G$96*'Plan mensual'!G23+parametros_recargas!$H$96*'Plan mensual'!G24+parametros_recargas!$I$96*'Plan mensual'!G25+parametros_recargas!$J$96*'Plan mensual'!G26+parametros_recargas!$K$96*'Plan mensual'!G27+parametros_recargas!$L$96*'Plan mensual'!G28</f>
        <v>10.0091600636413</v>
      </c>
      <c r="F26" s="21" t="n">
        <f aca="false">parametros_recargas!$E$96*'Plan mensual'!H21+parametros_recargas!$F$96*'Plan mensual'!H22+parametros_recargas!$G$96*'Plan mensual'!H23+parametros_recargas!$H$96*'Plan mensual'!H24+parametros_recargas!$I$96*'Plan mensual'!H25+parametros_recargas!$J$96*'Plan mensual'!H26+parametros_recargas!$K$96*'Plan mensual'!H27+parametros_recargas!$L$96*'Plan mensual'!H28</f>
        <v>10.0091600636413</v>
      </c>
      <c r="G26" s="21" t="n">
        <f aca="false">parametros_recargas!$E$96*'Plan mensual'!I21+parametros_recargas!$F$96*'Plan mensual'!I22+parametros_recargas!$G$96*'Plan mensual'!I23+parametros_recargas!$H$96*'Plan mensual'!I24+parametros_recargas!$I$96*'Plan mensual'!I25+parametros_recargas!$J$96*'Plan mensual'!I26+parametros_recargas!$K$96*'Plan mensual'!I27+parametros_recargas!$L$96*'Plan mensual'!I28</f>
        <v>10.0091600636413</v>
      </c>
      <c r="H26" s="21" t="n">
        <f aca="false">parametros_recargas!$E$96*'Plan mensual'!J21+parametros_recargas!$F$96*'Plan mensual'!J22+parametros_recargas!$G$96*'Plan mensual'!J23+parametros_recargas!$H$96*'Plan mensual'!J24+parametros_recargas!$I$96*'Plan mensual'!J25+parametros_recargas!$J$96*'Plan mensual'!J26+parametros_recargas!$K$96*'Plan mensual'!J27+parametros_recargas!$L$96*'Plan mensual'!J28</f>
        <v>10.0091600636413</v>
      </c>
      <c r="I26" s="21" t="n">
        <f aca="false">parametros_recargas!$E$96*'Plan mensual'!K21+parametros_recargas!$F$96*'Plan mensual'!K22+parametros_recargas!$G$96*'Plan mensual'!K23+parametros_recargas!$H$96*'Plan mensual'!K24+parametros_recargas!$I$96*'Plan mensual'!K25+parametros_recargas!$J$96*'Plan mensual'!K26+parametros_recargas!$K$96*'Plan mensual'!K27+parametros_recargas!$L$96*'Plan mensual'!K28</f>
        <v>10.0091600636413</v>
      </c>
      <c r="J26" s="21" t="n">
        <f aca="false">parametros_recargas!$E$96*'Plan mensual'!L21+parametros_recargas!$F$96*'Plan mensual'!L22+parametros_recargas!$G$96*'Plan mensual'!L23+parametros_recargas!$H$96*'Plan mensual'!L24+parametros_recargas!$I$96*'Plan mensual'!L25+parametros_recargas!$J$96*'Plan mensual'!L26+parametros_recargas!$K$96*'Plan mensual'!L27+parametros_recargas!$L$96*'Plan mensual'!L28</f>
        <v>10.0091600636413</v>
      </c>
      <c r="K26" s="21" t="n">
        <f aca="false">parametros_recargas!$E$96*'Plan mensual'!M21+parametros_recargas!$F$96*'Plan mensual'!M22+parametros_recargas!$G$96*'Plan mensual'!M23+parametros_recargas!$H$96*'Plan mensual'!M24+parametros_recargas!$I$96*'Plan mensual'!M25+parametros_recargas!$J$96*'Plan mensual'!M26+parametros_recargas!$K$96*'Plan mensual'!M27+parametros_recargas!$L$96*'Plan mensual'!M28</f>
        <v>10.0091600636413</v>
      </c>
      <c r="L26" s="21" t="n">
        <f aca="false">parametros_recargas!$E$96*'Plan mensual'!N21+parametros_recargas!$F$96*'Plan mensual'!N22+parametros_recargas!$G$96*'Plan mensual'!N23+parametros_recargas!$H$96*'Plan mensual'!N24+parametros_recargas!$I$96*'Plan mensual'!N25+parametros_recargas!$J$96*'Plan mensual'!N26+parametros_recargas!$K$96*'Plan mensual'!N27+parametros_recargas!$L$96*'Plan mensual'!N28</f>
        <v>10.0091600636413</v>
      </c>
      <c r="M26" s="21" t="n">
        <f aca="false">parametros_recargas!$E$96*'Plan mensual'!O21+parametros_recargas!$F$96*'Plan mensual'!O22+parametros_recargas!$G$96*'Plan mensual'!O23+parametros_recargas!$H$96*'Plan mensual'!O24+parametros_recargas!$I$96*'Plan mensual'!O25+parametros_recargas!$J$96*'Plan mensual'!O26+parametros_recargas!$K$96*'Plan mensual'!O27+parametros_recargas!$L$96*'Plan mensual'!O28</f>
        <v>10.0091600636413</v>
      </c>
      <c r="N26" s="6" t="n">
        <f aca="false">SUM(B26:M26)</f>
        <v>120.109920763696</v>
      </c>
      <c r="O26" s="22" t="n">
        <f aca="false">MAX(B26:M26)</f>
        <v>10.0091600636413</v>
      </c>
      <c r="P26" s="12" t="n">
        <f aca="false">O26/parametros_recargas!$B$6</f>
        <v>0.0667277337576089</v>
      </c>
    </row>
    <row r="27" customFormat="false" ht="15" hidden="false" customHeight="false" outlineLevel="0" collapsed="false">
      <c r="A27" s="8" t="str">
        <f aca="false">parametros_recargas!$B$97</f>
        <v>Ensayo de pérdidas</v>
      </c>
      <c r="B27" s="21" t="n">
        <f aca="false">parametros_recargas!$E$97*'Plan mensual'!D21+parametros_recargas!$F$97*'Plan mensual'!D22+parametros_recargas!$G$97*'Plan mensual'!D23+parametros_recargas!$H$97*'Plan mensual'!D24+parametros_recargas!$I$97*'Plan mensual'!D25+parametros_recargas!$J$97*'Plan mensual'!D26+parametros_recargas!$K$97*'Plan mensual'!D27+parametros_recargas!$L$97*'Plan mensual'!D28</f>
        <v>167.985520675998</v>
      </c>
      <c r="C27" s="21" t="n">
        <f aca="false">parametros_recargas!$E$97*'Plan mensual'!E21+parametros_recargas!$F$97*'Plan mensual'!E22+parametros_recargas!$G$97*'Plan mensual'!E23+parametros_recargas!$H$97*'Plan mensual'!E24+parametros_recargas!$I$97*'Plan mensual'!E25+parametros_recargas!$J$97*'Plan mensual'!E26+parametros_recargas!$K$97*'Plan mensual'!E27+parametros_recargas!$L$97*'Plan mensual'!E28</f>
        <v>167.985520675998</v>
      </c>
      <c r="D27" s="21" t="n">
        <f aca="false">parametros_recargas!$E$97*'Plan mensual'!F21+parametros_recargas!$F$97*'Plan mensual'!F22+parametros_recargas!$G$97*'Plan mensual'!F23+parametros_recargas!$H$97*'Plan mensual'!F24+parametros_recargas!$I$97*'Plan mensual'!F25+parametros_recargas!$J$97*'Plan mensual'!F26+parametros_recargas!$K$97*'Plan mensual'!F27+parametros_recargas!$L$97*'Plan mensual'!F28</f>
        <v>167.985520675998</v>
      </c>
      <c r="E27" s="21" t="n">
        <f aca="false">parametros_recargas!$E$97*'Plan mensual'!G21+parametros_recargas!$F$97*'Plan mensual'!G22+parametros_recargas!$G$97*'Plan mensual'!G23+parametros_recargas!$H$97*'Plan mensual'!G24+parametros_recargas!$I$97*'Plan mensual'!G25+parametros_recargas!$J$97*'Plan mensual'!G26+parametros_recargas!$K$97*'Plan mensual'!G27+parametros_recargas!$L$97*'Plan mensual'!G28</f>
        <v>167.985520675998</v>
      </c>
      <c r="F27" s="21" t="n">
        <f aca="false">parametros_recargas!$E$97*'Plan mensual'!H21+parametros_recargas!$F$97*'Plan mensual'!H22+parametros_recargas!$G$97*'Plan mensual'!H23+parametros_recargas!$H$97*'Plan mensual'!H24+parametros_recargas!$I$97*'Plan mensual'!H25+parametros_recargas!$J$97*'Plan mensual'!H26+parametros_recargas!$K$97*'Plan mensual'!H27+parametros_recargas!$L$97*'Plan mensual'!H28</f>
        <v>167.985520675998</v>
      </c>
      <c r="G27" s="21" t="n">
        <f aca="false">parametros_recargas!$E$97*'Plan mensual'!I21+parametros_recargas!$F$97*'Plan mensual'!I22+parametros_recargas!$G$97*'Plan mensual'!I23+parametros_recargas!$H$97*'Plan mensual'!I24+parametros_recargas!$I$97*'Plan mensual'!I25+parametros_recargas!$J$97*'Plan mensual'!I26+parametros_recargas!$K$97*'Plan mensual'!I27+parametros_recargas!$L$97*'Plan mensual'!I28</f>
        <v>167.985520675998</v>
      </c>
      <c r="H27" s="21" t="n">
        <f aca="false">parametros_recargas!$E$97*'Plan mensual'!J21+parametros_recargas!$F$97*'Plan mensual'!J22+parametros_recargas!$G$97*'Plan mensual'!J23+parametros_recargas!$H$97*'Plan mensual'!J24+parametros_recargas!$I$97*'Plan mensual'!J25+parametros_recargas!$J$97*'Plan mensual'!J26+parametros_recargas!$K$97*'Plan mensual'!J27+parametros_recargas!$L$97*'Plan mensual'!J28</f>
        <v>167.985520675998</v>
      </c>
      <c r="I27" s="21" t="n">
        <f aca="false">parametros_recargas!$E$97*'Plan mensual'!K21+parametros_recargas!$F$97*'Plan mensual'!K22+parametros_recargas!$G$97*'Plan mensual'!K23+parametros_recargas!$H$97*'Plan mensual'!K24+parametros_recargas!$I$97*'Plan mensual'!K25+parametros_recargas!$J$97*'Plan mensual'!K26+parametros_recargas!$K$97*'Plan mensual'!K27+parametros_recargas!$L$97*'Plan mensual'!K28</f>
        <v>167.985520675998</v>
      </c>
      <c r="J27" s="21" t="n">
        <f aca="false">parametros_recargas!$E$97*'Plan mensual'!L21+parametros_recargas!$F$97*'Plan mensual'!L22+parametros_recargas!$G$97*'Plan mensual'!L23+parametros_recargas!$H$97*'Plan mensual'!L24+parametros_recargas!$I$97*'Plan mensual'!L25+parametros_recargas!$J$97*'Plan mensual'!L26+parametros_recargas!$K$97*'Plan mensual'!L27+parametros_recargas!$L$97*'Plan mensual'!L28</f>
        <v>167.985520675998</v>
      </c>
      <c r="K27" s="21" t="n">
        <f aca="false">parametros_recargas!$E$97*'Plan mensual'!M21+parametros_recargas!$F$97*'Plan mensual'!M22+parametros_recargas!$G$97*'Plan mensual'!M23+parametros_recargas!$H$97*'Plan mensual'!M24+parametros_recargas!$I$97*'Plan mensual'!M25+parametros_recargas!$J$97*'Plan mensual'!M26+parametros_recargas!$K$97*'Plan mensual'!M27+parametros_recargas!$L$97*'Plan mensual'!M28</f>
        <v>167.985520675998</v>
      </c>
      <c r="L27" s="21" t="n">
        <f aca="false">parametros_recargas!$E$97*'Plan mensual'!N21+parametros_recargas!$F$97*'Plan mensual'!N22+parametros_recargas!$G$97*'Plan mensual'!N23+parametros_recargas!$H$97*'Plan mensual'!N24+parametros_recargas!$I$97*'Plan mensual'!N25+parametros_recargas!$J$97*'Plan mensual'!N26+parametros_recargas!$K$97*'Plan mensual'!N27+parametros_recargas!$L$97*'Plan mensual'!N28</f>
        <v>167.985520675998</v>
      </c>
      <c r="M27" s="21" t="n">
        <f aca="false">parametros_recargas!$E$97*'Plan mensual'!O21+parametros_recargas!$F$97*'Plan mensual'!O22+parametros_recargas!$G$97*'Plan mensual'!O23+parametros_recargas!$H$97*'Plan mensual'!O24+parametros_recargas!$I$97*'Plan mensual'!O25+parametros_recargas!$J$97*'Plan mensual'!O26+parametros_recargas!$K$97*'Plan mensual'!O27+parametros_recargas!$L$97*'Plan mensual'!O28</f>
        <v>167.985520675998</v>
      </c>
      <c r="N27" s="6" t="n">
        <f aca="false">SUM(B27:M27)</f>
        <v>2015.82624811197</v>
      </c>
      <c r="O27" s="22" t="n">
        <f aca="false">MAX(B27:M27)</f>
        <v>167.985520675998</v>
      </c>
      <c r="P27" s="12" t="n">
        <f aca="false">O27/parametros_recargas!$B$6</f>
        <v>1.11990347117332</v>
      </c>
    </row>
    <row r="28" customFormat="false" ht="15" hidden="false" customHeight="false" outlineLevel="0" collapsed="false">
      <c r="A28" s="8" t="str">
        <f aca="false">parametros_recargas!$B$98</f>
        <v>Precinto, etiqueta y despacho</v>
      </c>
      <c r="B28" s="21" t="n">
        <f aca="false">parametros_recargas!$E$98*'Plan mensual'!D21+parametros_recargas!$F$98*'Plan mensual'!D22+parametros_recargas!$G$98*'Plan mensual'!D23+parametros_recargas!$H$98*'Plan mensual'!D24+parametros_recargas!$I$98*'Plan mensual'!D25+parametros_recargas!$J$98*'Plan mensual'!D26+parametros_recargas!$K$98*'Plan mensual'!D27+parametros_recargas!$L$98*'Plan mensual'!D28</f>
        <v>167.985520675998</v>
      </c>
      <c r="C28" s="21" t="n">
        <f aca="false">parametros_recargas!$E$98*'Plan mensual'!E21+parametros_recargas!$F$98*'Plan mensual'!E22+parametros_recargas!$G$98*'Plan mensual'!E23+parametros_recargas!$H$98*'Plan mensual'!E24+parametros_recargas!$I$98*'Plan mensual'!E25+parametros_recargas!$J$98*'Plan mensual'!E26+parametros_recargas!$K$98*'Plan mensual'!E27+parametros_recargas!$L$98*'Plan mensual'!E28</f>
        <v>167.985520675998</v>
      </c>
      <c r="D28" s="21" t="n">
        <f aca="false">parametros_recargas!$E$98*'Plan mensual'!F21+parametros_recargas!$F$98*'Plan mensual'!F22+parametros_recargas!$G$98*'Plan mensual'!F23+parametros_recargas!$H$98*'Plan mensual'!F24+parametros_recargas!$I$98*'Plan mensual'!F25+parametros_recargas!$J$98*'Plan mensual'!F26+parametros_recargas!$K$98*'Plan mensual'!F27+parametros_recargas!$L$98*'Plan mensual'!F28</f>
        <v>167.985520675998</v>
      </c>
      <c r="E28" s="21" t="n">
        <f aca="false">parametros_recargas!$E$98*'Plan mensual'!G21+parametros_recargas!$F$98*'Plan mensual'!G22+parametros_recargas!$G$98*'Plan mensual'!G23+parametros_recargas!$H$98*'Plan mensual'!G24+parametros_recargas!$I$98*'Plan mensual'!G25+parametros_recargas!$J$98*'Plan mensual'!G26+parametros_recargas!$K$98*'Plan mensual'!G27+parametros_recargas!$L$98*'Plan mensual'!G28</f>
        <v>167.985520675998</v>
      </c>
      <c r="F28" s="21" t="n">
        <f aca="false">parametros_recargas!$E$98*'Plan mensual'!H21+parametros_recargas!$F$98*'Plan mensual'!H22+parametros_recargas!$G$98*'Plan mensual'!H23+parametros_recargas!$H$98*'Plan mensual'!H24+parametros_recargas!$I$98*'Plan mensual'!H25+parametros_recargas!$J$98*'Plan mensual'!H26+parametros_recargas!$K$98*'Plan mensual'!H27+parametros_recargas!$L$98*'Plan mensual'!H28</f>
        <v>167.985520675998</v>
      </c>
      <c r="G28" s="21" t="n">
        <f aca="false">parametros_recargas!$E$98*'Plan mensual'!I21+parametros_recargas!$F$98*'Plan mensual'!I22+parametros_recargas!$G$98*'Plan mensual'!I23+parametros_recargas!$H$98*'Plan mensual'!I24+parametros_recargas!$I$98*'Plan mensual'!I25+parametros_recargas!$J$98*'Plan mensual'!I26+parametros_recargas!$K$98*'Plan mensual'!I27+parametros_recargas!$L$98*'Plan mensual'!I28</f>
        <v>167.985520675998</v>
      </c>
      <c r="H28" s="21" t="n">
        <f aca="false">parametros_recargas!$E$98*'Plan mensual'!J21+parametros_recargas!$F$98*'Plan mensual'!J22+parametros_recargas!$G$98*'Plan mensual'!J23+parametros_recargas!$H$98*'Plan mensual'!J24+parametros_recargas!$I$98*'Plan mensual'!J25+parametros_recargas!$J$98*'Plan mensual'!J26+parametros_recargas!$K$98*'Plan mensual'!J27+parametros_recargas!$L$98*'Plan mensual'!J28</f>
        <v>167.985520675998</v>
      </c>
      <c r="I28" s="21" t="n">
        <f aca="false">parametros_recargas!$E$98*'Plan mensual'!K21+parametros_recargas!$F$98*'Plan mensual'!K22+parametros_recargas!$G$98*'Plan mensual'!K23+parametros_recargas!$H$98*'Plan mensual'!K24+parametros_recargas!$I$98*'Plan mensual'!K25+parametros_recargas!$J$98*'Plan mensual'!K26+parametros_recargas!$K$98*'Plan mensual'!K27+parametros_recargas!$L$98*'Plan mensual'!K28</f>
        <v>167.985520675998</v>
      </c>
      <c r="J28" s="21" t="n">
        <f aca="false">parametros_recargas!$E$98*'Plan mensual'!L21+parametros_recargas!$F$98*'Plan mensual'!L22+parametros_recargas!$G$98*'Plan mensual'!L23+parametros_recargas!$H$98*'Plan mensual'!L24+parametros_recargas!$I$98*'Plan mensual'!L25+parametros_recargas!$J$98*'Plan mensual'!L26+parametros_recargas!$K$98*'Plan mensual'!L27+parametros_recargas!$L$98*'Plan mensual'!L28</f>
        <v>167.985520675998</v>
      </c>
      <c r="K28" s="21" t="n">
        <f aca="false">parametros_recargas!$E$98*'Plan mensual'!M21+parametros_recargas!$F$98*'Plan mensual'!M22+parametros_recargas!$G$98*'Plan mensual'!M23+parametros_recargas!$H$98*'Plan mensual'!M24+parametros_recargas!$I$98*'Plan mensual'!M25+parametros_recargas!$J$98*'Plan mensual'!M26+parametros_recargas!$K$98*'Plan mensual'!M27+parametros_recargas!$L$98*'Plan mensual'!M28</f>
        <v>167.985520675998</v>
      </c>
      <c r="L28" s="21" t="n">
        <f aca="false">parametros_recargas!$E$98*'Plan mensual'!N21+parametros_recargas!$F$98*'Plan mensual'!N22+parametros_recargas!$G$98*'Plan mensual'!N23+parametros_recargas!$H$98*'Plan mensual'!N24+parametros_recargas!$I$98*'Plan mensual'!N25+parametros_recargas!$J$98*'Plan mensual'!N26+parametros_recargas!$K$98*'Plan mensual'!N27+parametros_recargas!$L$98*'Plan mensual'!N28</f>
        <v>167.985520675998</v>
      </c>
      <c r="M28" s="21" t="n">
        <f aca="false">parametros_recargas!$E$98*'Plan mensual'!O21+parametros_recargas!$F$98*'Plan mensual'!O22+parametros_recargas!$G$98*'Plan mensual'!O23+parametros_recargas!$H$98*'Plan mensual'!O24+parametros_recargas!$I$98*'Plan mensual'!O25+parametros_recargas!$J$98*'Plan mensual'!O26+parametros_recargas!$K$98*'Plan mensual'!O27+parametros_recargas!$L$98*'Plan mensual'!O28</f>
        <v>167.985520675998</v>
      </c>
      <c r="N28" s="6" t="n">
        <f aca="false">SUM(B28:M28)</f>
        <v>2015.82624811197</v>
      </c>
      <c r="O28" s="22" t="n">
        <f aca="false">MAX(B28:M28)</f>
        <v>167.985520675998</v>
      </c>
      <c r="P28" s="12" t="n">
        <f aca="false">O28/parametros_recargas!$B$6</f>
        <v>1.11990347117332</v>
      </c>
    </row>
    <row r="29" customFormat="false" ht="15" hidden="false" customHeight="false" outlineLevel="0" collapsed="false">
      <c r="A29" s="8" t="str">
        <f aca="false">parametros_recargas!$B$99</f>
        <v>Inutilización y disposición final</v>
      </c>
      <c r="B29" s="21" t="n">
        <f aca="false">parametros_recargas!$E$99*'Plan mensual'!D21+parametros_recargas!$F$99*'Plan mensual'!D22+parametros_recargas!$G$99*'Plan mensual'!D23+parametros_recargas!$H$99*'Plan mensual'!D24+parametros_recargas!$I$99*'Plan mensual'!D25+parametros_recargas!$J$99*'Plan mensual'!D26+parametros_recargas!$K$99*'Plan mensual'!D27+parametros_recargas!$L$99*'Plan mensual'!D28</f>
        <v>13.2083376039511</v>
      </c>
      <c r="C29" s="21" t="n">
        <f aca="false">parametros_recargas!$E$99*'Plan mensual'!E21+parametros_recargas!$F$99*'Plan mensual'!E22+parametros_recargas!$G$99*'Plan mensual'!E23+parametros_recargas!$H$99*'Plan mensual'!E24+parametros_recargas!$I$99*'Plan mensual'!E25+parametros_recargas!$J$99*'Plan mensual'!E26+parametros_recargas!$K$99*'Plan mensual'!E27+parametros_recargas!$L$99*'Plan mensual'!E28</f>
        <v>13.2083376039511</v>
      </c>
      <c r="D29" s="21" t="n">
        <f aca="false">parametros_recargas!$E$99*'Plan mensual'!F21+parametros_recargas!$F$99*'Plan mensual'!F22+parametros_recargas!$G$99*'Plan mensual'!F23+parametros_recargas!$H$99*'Plan mensual'!F24+parametros_recargas!$I$99*'Plan mensual'!F25+parametros_recargas!$J$99*'Plan mensual'!F26+parametros_recargas!$K$99*'Plan mensual'!F27+parametros_recargas!$L$99*'Plan mensual'!F28</f>
        <v>13.2083376039511</v>
      </c>
      <c r="E29" s="21" t="n">
        <f aca="false">parametros_recargas!$E$99*'Plan mensual'!G21+parametros_recargas!$F$99*'Plan mensual'!G22+parametros_recargas!$G$99*'Plan mensual'!G23+parametros_recargas!$H$99*'Plan mensual'!G24+parametros_recargas!$I$99*'Plan mensual'!G25+parametros_recargas!$J$99*'Plan mensual'!G26+parametros_recargas!$K$99*'Plan mensual'!G27+parametros_recargas!$L$99*'Plan mensual'!G28</f>
        <v>13.2083376039511</v>
      </c>
      <c r="F29" s="21" t="n">
        <f aca="false">parametros_recargas!$E$99*'Plan mensual'!H21+parametros_recargas!$F$99*'Plan mensual'!H22+parametros_recargas!$G$99*'Plan mensual'!H23+parametros_recargas!$H$99*'Plan mensual'!H24+parametros_recargas!$I$99*'Plan mensual'!H25+parametros_recargas!$J$99*'Plan mensual'!H26+parametros_recargas!$K$99*'Plan mensual'!H27+parametros_recargas!$L$99*'Plan mensual'!H28</f>
        <v>13.2083376039511</v>
      </c>
      <c r="G29" s="21" t="n">
        <f aca="false">parametros_recargas!$E$99*'Plan mensual'!I21+parametros_recargas!$F$99*'Plan mensual'!I22+parametros_recargas!$G$99*'Plan mensual'!I23+parametros_recargas!$H$99*'Plan mensual'!I24+parametros_recargas!$I$99*'Plan mensual'!I25+parametros_recargas!$J$99*'Plan mensual'!I26+parametros_recargas!$K$99*'Plan mensual'!I27+parametros_recargas!$L$99*'Plan mensual'!I28</f>
        <v>13.2083376039511</v>
      </c>
      <c r="H29" s="21" t="n">
        <f aca="false">parametros_recargas!$E$99*'Plan mensual'!J21+parametros_recargas!$F$99*'Plan mensual'!J22+parametros_recargas!$G$99*'Plan mensual'!J23+parametros_recargas!$H$99*'Plan mensual'!J24+parametros_recargas!$I$99*'Plan mensual'!J25+parametros_recargas!$J$99*'Plan mensual'!J26+parametros_recargas!$K$99*'Plan mensual'!J27+parametros_recargas!$L$99*'Plan mensual'!J28</f>
        <v>13.2083376039511</v>
      </c>
      <c r="I29" s="21" t="n">
        <f aca="false">parametros_recargas!$E$99*'Plan mensual'!K21+parametros_recargas!$F$99*'Plan mensual'!K22+parametros_recargas!$G$99*'Plan mensual'!K23+parametros_recargas!$H$99*'Plan mensual'!K24+parametros_recargas!$I$99*'Plan mensual'!K25+parametros_recargas!$J$99*'Plan mensual'!K26+parametros_recargas!$K$99*'Plan mensual'!K27+parametros_recargas!$L$99*'Plan mensual'!K28</f>
        <v>13.2083376039511</v>
      </c>
      <c r="J29" s="21" t="n">
        <f aca="false">parametros_recargas!$E$99*'Plan mensual'!L21+parametros_recargas!$F$99*'Plan mensual'!L22+parametros_recargas!$G$99*'Plan mensual'!L23+parametros_recargas!$H$99*'Plan mensual'!L24+parametros_recargas!$I$99*'Plan mensual'!L25+parametros_recargas!$J$99*'Plan mensual'!L26+parametros_recargas!$K$99*'Plan mensual'!L27+parametros_recargas!$L$99*'Plan mensual'!L28</f>
        <v>13.2083376039511</v>
      </c>
      <c r="K29" s="21" t="n">
        <f aca="false">parametros_recargas!$E$99*'Plan mensual'!M21+parametros_recargas!$F$99*'Plan mensual'!M22+parametros_recargas!$G$99*'Plan mensual'!M23+parametros_recargas!$H$99*'Plan mensual'!M24+parametros_recargas!$I$99*'Plan mensual'!M25+parametros_recargas!$J$99*'Plan mensual'!M26+parametros_recargas!$K$99*'Plan mensual'!M27+parametros_recargas!$L$99*'Plan mensual'!M28</f>
        <v>13.2083376039511</v>
      </c>
      <c r="L29" s="21" t="n">
        <f aca="false">parametros_recargas!$E$99*'Plan mensual'!N21+parametros_recargas!$F$99*'Plan mensual'!N22+parametros_recargas!$G$99*'Plan mensual'!N23+parametros_recargas!$H$99*'Plan mensual'!N24+parametros_recargas!$I$99*'Plan mensual'!N25+parametros_recargas!$J$99*'Plan mensual'!N26+parametros_recargas!$K$99*'Plan mensual'!N27+parametros_recargas!$L$99*'Plan mensual'!N28</f>
        <v>13.2083376039511</v>
      </c>
      <c r="M29" s="21" t="n">
        <f aca="false">parametros_recargas!$E$99*'Plan mensual'!O21+parametros_recargas!$F$99*'Plan mensual'!O22+parametros_recargas!$G$99*'Plan mensual'!O23+parametros_recargas!$H$99*'Plan mensual'!O24+parametros_recargas!$I$99*'Plan mensual'!O25+parametros_recargas!$J$99*'Plan mensual'!O26+parametros_recargas!$K$99*'Plan mensual'!O27+parametros_recargas!$L$99*'Plan mensual'!O28</f>
        <v>13.2083376039511</v>
      </c>
      <c r="N29" s="6" t="n">
        <f aca="false">SUM(B29:M29)</f>
        <v>158.500051247413</v>
      </c>
      <c r="O29" s="22" t="n">
        <f aca="false">MAX(B29:M29)</f>
        <v>13.2083376039511</v>
      </c>
      <c r="P29" s="12" t="n">
        <f aca="false">O29/parametros_recargas!$B$6</f>
        <v>0.0880555840263406</v>
      </c>
    </row>
    <row r="30" customFormat="false" ht="15" hidden="false" customHeight="false" outlineLevel="0" collapsed="false">
      <c r="A30" s="8" t="str">
        <f aca="false">parametros_recargas!$B$100</f>
        <v>PH de mangueras (CO₂ y rodantes)</v>
      </c>
      <c r="B30" s="21" t="n">
        <f aca="false">'Plan mensual'!D29</f>
        <v>4.97451426147929</v>
      </c>
      <c r="C30" s="21" t="n">
        <f aca="false">'Plan mensual'!E29</f>
        <v>4.97451426147929</v>
      </c>
      <c r="D30" s="21" t="n">
        <f aca="false">'Plan mensual'!F29</f>
        <v>4.97451426147929</v>
      </c>
      <c r="E30" s="21" t="n">
        <f aca="false">'Plan mensual'!G29</f>
        <v>4.97451426147929</v>
      </c>
      <c r="F30" s="21" t="n">
        <f aca="false">'Plan mensual'!H29</f>
        <v>4.97451426147929</v>
      </c>
      <c r="G30" s="21" t="n">
        <f aca="false">'Plan mensual'!I29</f>
        <v>4.97451426147929</v>
      </c>
      <c r="H30" s="21" t="n">
        <f aca="false">'Plan mensual'!J29</f>
        <v>4.97451426147929</v>
      </c>
      <c r="I30" s="21" t="n">
        <f aca="false">'Plan mensual'!K29</f>
        <v>4.97451426147929</v>
      </c>
      <c r="J30" s="21" t="n">
        <f aca="false">'Plan mensual'!L29</f>
        <v>4.97451426147929</v>
      </c>
      <c r="K30" s="21" t="n">
        <f aca="false">'Plan mensual'!M29</f>
        <v>4.97451426147929</v>
      </c>
      <c r="L30" s="21" t="n">
        <f aca="false">'Plan mensual'!N29</f>
        <v>4.97451426147929</v>
      </c>
      <c r="M30" s="21" t="n">
        <f aca="false">'Plan mensual'!O29</f>
        <v>4.97451426147929</v>
      </c>
      <c r="N30" s="6" t="n">
        <f aca="false">SUM(B30:M30)</f>
        <v>59.6941711377515</v>
      </c>
      <c r="O30" s="22" t="n">
        <f aca="false">MAX(B30:M30)</f>
        <v>4.97451426147929</v>
      </c>
      <c r="P30" s="12" t="n">
        <f aca="false">O30/parametros_recargas!$B$6</f>
        <v>0.0331634284098619</v>
      </c>
    </row>
    <row r="33" customFormat="false" ht="23.85" hidden="false" customHeight="false" outlineLevel="0" collapsed="false">
      <c r="A33" s="2" t="s">
        <v>313</v>
      </c>
      <c r="B33" s="2" t="s">
        <v>130</v>
      </c>
      <c r="C33" s="2" t="s">
        <v>131</v>
      </c>
      <c r="D33" s="2" t="s">
        <v>132</v>
      </c>
      <c r="E33" s="2" t="s">
        <v>133</v>
      </c>
      <c r="F33" s="2" t="s">
        <v>134</v>
      </c>
      <c r="G33" s="2" t="s">
        <v>135</v>
      </c>
      <c r="H33" s="2" t="s">
        <v>136</v>
      </c>
      <c r="I33" s="2" t="s">
        <v>137</v>
      </c>
      <c r="J33" s="2" t="s">
        <v>138</v>
      </c>
      <c r="K33" s="2" t="s">
        <v>139</v>
      </c>
      <c r="L33" s="2" t="s">
        <v>140</v>
      </c>
      <c r="M33" s="2" t="s">
        <v>141</v>
      </c>
      <c r="N33" s="2" t="s">
        <v>310</v>
      </c>
      <c r="O33" s="2" t="s">
        <v>311</v>
      </c>
      <c r="P33" s="2" t="s">
        <v>312</v>
      </c>
    </row>
    <row r="34" customFormat="false" ht="15" hidden="false" customHeight="false" outlineLevel="0" collapsed="false">
      <c r="A34" s="8" t="str">
        <f aca="false">parametros_recargas!$B$72</f>
        <v>Recepción y registro</v>
      </c>
      <c r="B34" s="21" t="n">
        <f aca="false">parametros_recargas!$E$72*'Plan mensual'!D53+parametros_recargas!$F$72*'Plan mensual'!D54+parametros_recargas!$G$72*'Plan mensual'!D55+parametros_recargas!$H$72*'Plan mensual'!D56+parametros_recargas!$I$72*'Plan mensual'!D57+parametros_recargas!$J$72*'Plan mensual'!D58+parametros_recargas!$K$72*'Plan mensual'!D59+parametros_recargas!$L$72*'Plan mensual'!D60</f>
        <v>759.946561446901</v>
      </c>
      <c r="C34" s="21" t="n">
        <f aca="false">parametros_recargas!$E$72*'Plan mensual'!E53+parametros_recargas!$F$72*'Plan mensual'!E54+parametros_recargas!$G$72*'Plan mensual'!E55+parametros_recargas!$H$72*'Plan mensual'!E56+parametros_recargas!$I$72*'Plan mensual'!E57+parametros_recargas!$J$72*'Plan mensual'!E58+parametros_recargas!$K$72*'Plan mensual'!E59+parametros_recargas!$L$72*'Plan mensual'!E60</f>
        <v>759.946561446901</v>
      </c>
      <c r="D34" s="21" t="n">
        <f aca="false">parametros_recargas!$E$72*'Plan mensual'!F53+parametros_recargas!$F$72*'Plan mensual'!F54+parametros_recargas!$G$72*'Plan mensual'!F55+parametros_recargas!$H$72*'Plan mensual'!F56+parametros_recargas!$I$72*'Plan mensual'!F57+parametros_recargas!$J$72*'Plan mensual'!F58+parametros_recargas!$K$72*'Plan mensual'!F59+parametros_recargas!$L$72*'Plan mensual'!F60</f>
        <v>759.946561446901</v>
      </c>
      <c r="E34" s="21" t="n">
        <f aca="false">parametros_recargas!$E$72*'Plan mensual'!G53+parametros_recargas!$F$72*'Plan mensual'!G54+parametros_recargas!$G$72*'Plan mensual'!G55+parametros_recargas!$H$72*'Plan mensual'!G56+parametros_recargas!$I$72*'Plan mensual'!G57+parametros_recargas!$J$72*'Plan mensual'!G58+parametros_recargas!$K$72*'Plan mensual'!G59+parametros_recargas!$L$72*'Plan mensual'!G60</f>
        <v>759.946561446901</v>
      </c>
      <c r="F34" s="21" t="n">
        <f aca="false">parametros_recargas!$E$72*'Plan mensual'!H53+parametros_recargas!$F$72*'Plan mensual'!H54+parametros_recargas!$G$72*'Plan mensual'!H55+parametros_recargas!$H$72*'Plan mensual'!H56+parametros_recargas!$I$72*'Plan mensual'!H57+parametros_recargas!$J$72*'Plan mensual'!H58+parametros_recargas!$K$72*'Plan mensual'!H59+parametros_recargas!$L$72*'Plan mensual'!H60</f>
        <v>759.946561446901</v>
      </c>
      <c r="G34" s="21" t="n">
        <f aca="false">parametros_recargas!$E$72*'Plan mensual'!I53+parametros_recargas!$F$72*'Plan mensual'!I54+parametros_recargas!$G$72*'Plan mensual'!I55+parametros_recargas!$H$72*'Plan mensual'!I56+parametros_recargas!$I$72*'Plan mensual'!I57+parametros_recargas!$J$72*'Plan mensual'!I58+parametros_recargas!$K$72*'Plan mensual'!I59+parametros_recargas!$L$72*'Plan mensual'!I60</f>
        <v>759.946561446901</v>
      </c>
      <c r="H34" s="21" t="n">
        <f aca="false">parametros_recargas!$E$72*'Plan mensual'!J53+parametros_recargas!$F$72*'Plan mensual'!J54+parametros_recargas!$G$72*'Plan mensual'!J55+parametros_recargas!$H$72*'Plan mensual'!J56+parametros_recargas!$I$72*'Plan mensual'!J57+parametros_recargas!$J$72*'Plan mensual'!J58+parametros_recargas!$K$72*'Plan mensual'!J59+parametros_recargas!$L$72*'Plan mensual'!J60</f>
        <v>759.946561446901</v>
      </c>
      <c r="I34" s="21" t="n">
        <f aca="false">parametros_recargas!$E$72*'Plan mensual'!K53+parametros_recargas!$F$72*'Plan mensual'!K54+parametros_recargas!$G$72*'Plan mensual'!K55+parametros_recargas!$H$72*'Plan mensual'!K56+parametros_recargas!$I$72*'Plan mensual'!K57+parametros_recargas!$J$72*'Plan mensual'!K58+parametros_recargas!$K$72*'Plan mensual'!K59+parametros_recargas!$L$72*'Plan mensual'!K60</f>
        <v>759.946561446901</v>
      </c>
      <c r="J34" s="21" t="n">
        <f aca="false">parametros_recargas!$E$72*'Plan mensual'!L53+parametros_recargas!$F$72*'Plan mensual'!L54+parametros_recargas!$G$72*'Plan mensual'!L55+parametros_recargas!$H$72*'Plan mensual'!L56+parametros_recargas!$I$72*'Plan mensual'!L57+parametros_recargas!$J$72*'Plan mensual'!L58+parametros_recargas!$K$72*'Plan mensual'!L59+parametros_recargas!$L$72*'Plan mensual'!L60</f>
        <v>759.946561446901</v>
      </c>
      <c r="K34" s="21" t="n">
        <f aca="false">parametros_recargas!$E$72*'Plan mensual'!M53+parametros_recargas!$F$72*'Plan mensual'!M54+parametros_recargas!$G$72*'Plan mensual'!M55+parametros_recargas!$H$72*'Plan mensual'!M56+parametros_recargas!$I$72*'Plan mensual'!M57+parametros_recargas!$J$72*'Plan mensual'!M58+parametros_recargas!$K$72*'Plan mensual'!M59+parametros_recargas!$L$72*'Plan mensual'!M60</f>
        <v>759.946561446901</v>
      </c>
      <c r="L34" s="21" t="n">
        <f aca="false">parametros_recargas!$E$72*'Plan mensual'!N53+parametros_recargas!$F$72*'Plan mensual'!N54+parametros_recargas!$G$72*'Plan mensual'!N55+parametros_recargas!$H$72*'Plan mensual'!N56+parametros_recargas!$I$72*'Plan mensual'!N57+parametros_recargas!$J$72*'Plan mensual'!N58+parametros_recargas!$K$72*'Plan mensual'!N59+parametros_recargas!$L$72*'Plan mensual'!N60</f>
        <v>759.946561446901</v>
      </c>
      <c r="M34" s="21" t="n">
        <f aca="false">parametros_recargas!$E$72*'Plan mensual'!O53+parametros_recargas!$F$72*'Plan mensual'!O54+parametros_recargas!$G$72*'Plan mensual'!O55+parametros_recargas!$H$72*'Plan mensual'!O56+parametros_recargas!$I$72*'Plan mensual'!O57+parametros_recargas!$J$72*'Plan mensual'!O58+parametros_recargas!$K$72*'Plan mensual'!O59+parametros_recargas!$L$72*'Plan mensual'!O60</f>
        <v>759.946561446901</v>
      </c>
      <c r="N34" s="6" t="n">
        <f aca="false">SUM(B34:M34)</f>
        <v>9119.35873736281</v>
      </c>
      <c r="O34" s="22" t="n">
        <f aca="false">MAX(B34:M34)</f>
        <v>759.946561446901</v>
      </c>
      <c r="P34" s="12" t="n">
        <f aca="false">O34/parametros_recargas!$B$6</f>
        <v>5.06631040964601</v>
      </c>
    </row>
    <row r="35" customFormat="false" ht="15" hidden="false" customHeight="false" outlineLevel="0" collapsed="false">
      <c r="A35" s="8" t="str">
        <f aca="false">parametros_recargas!$B$73</f>
        <v>Inspección visual</v>
      </c>
      <c r="B35" s="21" t="n">
        <f aca="false">parametros_recargas!$E$73*'Plan mensual'!D53+parametros_recargas!$F$73*'Plan mensual'!D54+parametros_recargas!$G$73*'Plan mensual'!D55+parametros_recargas!$H$73*'Plan mensual'!D56+parametros_recargas!$I$73*'Plan mensual'!D57+parametros_recargas!$J$73*'Plan mensual'!D58+parametros_recargas!$K$73*'Plan mensual'!D59+parametros_recargas!$L$73*'Plan mensual'!D60</f>
        <v>759.946561446901</v>
      </c>
      <c r="C35" s="21" t="n">
        <f aca="false">parametros_recargas!$E$73*'Plan mensual'!E53+parametros_recargas!$F$73*'Plan mensual'!E54+parametros_recargas!$G$73*'Plan mensual'!E55+parametros_recargas!$H$73*'Plan mensual'!E56+parametros_recargas!$I$73*'Plan mensual'!E57+parametros_recargas!$J$73*'Plan mensual'!E58+parametros_recargas!$K$73*'Plan mensual'!E59+parametros_recargas!$L$73*'Plan mensual'!E60</f>
        <v>759.946561446901</v>
      </c>
      <c r="D35" s="21" t="n">
        <f aca="false">parametros_recargas!$E$73*'Plan mensual'!F53+parametros_recargas!$F$73*'Plan mensual'!F54+parametros_recargas!$G$73*'Plan mensual'!F55+parametros_recargas!$H$73*'Plan mensual'!F56+parametros_recargas!$I$73*'Plan mensual'!F57+parametros_recargas!$J$73*'Plan mensual'!F58+parametros_recargas!$K$73*'Plan mensual'!F59+parametros_recargas!$L$73*'Plan mensual'!F60</f>
        <v>759.946561446901</v>
      </c>
      <c r="E35" s="21" t="n">
        <f aca="false">parametros_recargas!$E$73*'Plan mensual'!G53+parametros_recargas!$F$73*'Plan mensual'!G54+parametros_recargas!$G$73*'Plan mensual'!G55+parametros_recargas!$H$73*'Plan mensual'!G56+parametros_recargas!$I$73*'Plan mensual'!G57+parametros_recargas!$J$73*'Plan mensual'!G58+parametros_recargas!$K$73*'Plan mensual'!G59+parametros_recargas!$L$73*'Plan mensual'!G60</f>
        <v>759.946561446901</v>
      </c>
      <c r="F35" s="21" t="n">
        <f aca="false">parametros_recargas!$E$73*'Plan mensual'!H53+parametros_recargas!$F$73*'Plan mensual'!H54+parametros_recargas!$G$73*'Plan mensual'!H55+parametros_recargas!$H$73*'Plan mensual'!H56+parametros_recargas!$I$73*'Plan mensual'!H57+parametros_recargas!$J$73*'Plan mensual'!H58+parametros_recargas!$K$73*'Plan mensual'!H59+parametros_recargas!$L$73*'Plan mensual'!H60</f>
        <v>759.946561446901</v>
      </c>
      <c r="G35" s="21" t="n">
        <f aca="false">parametros_recargas!$E$73*'Plan mensual'!I53+parametros_recargas!$F$73*'Plan mensual'!I54+parametros_recargas!$G$73*'Plan mensual'!I55+parametros_recargas!$H$73*'Plan mensual'!I56+parametros_recargas!$I$73*'Plan mensual'!I57+parametros_recargas!$J$73*'Plan mensual'!I58+parametros_recargas!$K$73*'Plan mensual'!I59+parametros_recargas!$L$73*'Plan mensual'!I60</f>
        <v>759.946561446901</v>
      </c>
      <c r="H35" s="21" t="n">
        <f aca="false">parametros_recargas!$E$73*'Plan mensual'!J53+parametros_recargas!$F$73*'Plan mensual'!J54+parametros_recargas!$G$73*'Plan mensual'!J55+parametros_recargas!$H$73*'Plan mensual'!J56+parametros_recargas!$I$73*'Plan mensual'!J57+parametros_recargas!$J$73*'Plan mensual'!J58+parametros_recargas!$K$73*'Plan mensual'!J59+parametros_recargas!$L$73*'Plan mensual'!J60</f>
        <v>759.946561446901</v>
      </c>
      <c r="I35" s="21" t="n">
        <f aca="false">parametros_recargas!$E$73*'Plan mensual'!K53+parametros_recargas!$F$73*'Plan mensual'!K54+parametros_recargas!$G$73*'Plan mensual'!K55+parametros_recargas!$H$73*'Plan mensual'!K56+parametros_recargas!$I$73*'Plan mensual'!K57+parametros_recargas!$J$73*'Plan mensual'!K58+parametros_recargas!$K$73*'Plan mensual'!K59+parametros_recargas!$L$73*'Plan mensual'!K60</f>
        <v>759.946561446901</v>
      </c>
      <c r="J35" s="21" t="n">
        <f aca="false">parametros_recargas!$E$73*'Plan mensual'!L53+parametros_recargas!$F$73*'Plan mensual'!L54+parametros_recargas!$G$73*'Plan mensual'!L55+parametros_recargas!$H$73*'Plan mensual'!L56+parametros_recargas!$I$73*'Plan mensual'!L57+parametros_recargas!$J$73*'Plan mensual'!L58+parametros_recargas!$K$73*'Plan mensual'!L59+parametros_recargas!$L$73*'Plan mensual'!L60</f>
        <v>759.946561446901</v>
      </c>
      <c r="K35" s="21" t="n">
        <f aca="false">parametros_recargas!$E$73*'Plan mensual'!M53+parametros_recargas!$F$73*'Plan mensual'!M54+parametros_recargas!$G$73*'Plan mensual'!M55+parametros_recargas!$H$73*'Plan mensual'!M56+parametros_recargas!$I$73*'Plan mensual'!M57+parametros_recargas!$J$73*'Plan mensual'!M58+parametros_recargas!$K$73*'Plan mensual'!M59+parametros_recargas!$L$73*'Plan mensual'!M60</f>
        <v>759.946561446901</v>
      </c>
      <c r="L35" s="21" t="n">
        <f aca="false">parametros_recargas!$E$73*'Plan mensual'!N53+parametros_recargas!$F$73*'Plan mensual'!N54+parametros_recargas!$G$73*'Plan mensual'!N55+parametros_recargas!$H$73*'Plan mensual'!N56+parametros_recargas!$I$73*'Plan mensual'!N57+parametros_recargas!$J$73*'Plan mensual'!N58+parametros_recargas!$K$73*'Plan mensual'!N59+parametros_recargas!$L$73*'Plan mensual'!N60</f>
        <v>759.946561446901</v>
      </c>
      <c r="M35" s="21" t="n">
        <f aca="false">parametros_recargas!$E$73*'Plan mensual'!O53+parametros_recargas!$F$73*'Plan mensual'!O54+parametros_recargas!$G$73*'Plan mensual'!O55+parametros_recargas!$H$73*'Plan mensual'!O56+parametros_recargas!$I$73*'Plan mensual'!O57+parametros_recargas!$J$73*'Plan mensual'!O58+parametros_recargas!$K$73*'Plan mensual'!O59+parametros_recargas!$L$73*'Plan mensual'!O60</f>
        <v>759.946561446901</v>
      </c>
      <c r="N35" s="6" t="n">
        <f aca="false">SUM(B35:M35)</f>
        <v>9119.35873736281</v>
      </c>
      <c r="O35" s="22" t="n">
        <f aca="false">MAX(B35:M35)</f>
        <v>759.946561446901</v>
      </c>
      <c r="P35" s="12" t="n">
        <f aca="false">O35/parametros_recargas!$B$6</f>
        <v>5.06631040964601</v>
      </c>
    </row>
    <row r="36" customFormat="false" ht="15" hidden="false" customHeight="false" outlineLevel="0" collapsed="false">
      <c r="A36" s="8" t="str">
        <f aca="false">parametros_recargas!$B$74</f>
        <v>Descarga ABC — ruta recuperable</v>
      </c>
      <c r="B36" s="21" t="n">
        <f aca="false">parametros_recargas!$E$74*'Plan mensual'!D53+parametros_recargas!$F$74*'Plan mensual'!D54+parametros_recargas!$G$74*'Plan mensual'!D55+parametros_recargas!$H$74*'Plan mensual'!D56+parametros_recargas!$I$74*'Plan mensual'!D57+parametros_recargas!$J$74*'Plan mensual'!D58+parametros_recargas!$K$74*'Plan mensual'!D59+parametros_recargas!$L$74*'Plan mensual'!D60</f>
        <v>564.727050326307</v>
      </c>
      <c r="C36" s="21" t="n">
        <f aca="false">parametros_recargas!$E$74*'Plan mensual'!E53+parametros_recargas!$F$74*'Plan mensual'!E54+parametros_recargas!$G$74*'Plan mensual'!E55+parametros_recargas!$H$74*'Plan mensual'!E56+parametros_recargas!$I$74*'Plan mensual'!E57+parametros_recargas!$J$74*'Plan mensual'!E58+parametros_recargas!$K$74*'Plan mensual'!E59+parametros_recargas!$L$74*'Plan mensual'!E60</f>
        <v>564.727050326307</v>
      </c>
      <c r="D36" s="21" t="n">
        <f aca="false">parametros_recargas!$E$74*'Plan mensual'!F53+parametros_recargas!$F$74*'Plan mensual'!F54+parametros_recargas!$G$74*'Plan mensual'!F55+parametros_recargas!$H$74*'Plan mensual'!F56+parametros_recargas!$I$74*'Plan mensual'!F57+parametros_recargas!$J$74*'Plan mensual'!F58+parametros_recargas!$K$74*'Plan mensual'!F59+parametros_recargas!$L$74*'Plan mensual'!F60</f>
        <v>564.727050326307</v>
      </c>
      <c r="E36" s="21" t="n">
        <f aca="false">parametros_recargas!$E$74*'Plan mensual'!G53+parametros_recargas!$F$74*'Plan mensual'!G54+parametros_recargas!$G$74*'Plan mensual'!G55+parametros_recargas!$H$74*'Plan mensual'!G56+parametros_recargas!$I$74*'Plan mensual'!G57+parametros_recargas!$J$74*'Plan mensual'!G58+parametros_recargas!$K$74*'Plan mensual'!G59+parametros_recargas!$L$74*'Plan mensual'!G60</f>
        <v>564.727050326307</v>
      </c>
      <c r="F36" s="21" t="n">
        <f aca="false">parametros_recargas!$E$74*'Plan mensual'!H53+parametros_recargas!$F$74*'Plan mensual'!H54+parametros_recargas!$G$74*'Plan mensual'!H55+parametros_recargas!$H$74*'Plan mensual'!H56+parametros_recargas!$I$74*'Plan mensual'!H57+parametros_recargas!$J$74*'Plan mensual'!H58+parametros_recargas!$K$74*'Plan mensual'!H59+parametros_recargas!$L$74*'Plan mensual'!H60</f>
        <v>564.727050326307</v>
      </c>
      <c r="G36" s="21" t="n">
        <f aca="false">parametros_recargas!$E$74*'Plan mensual'!I53+parametros_recargas!$F$74*'Plan mensual'!I54+parametros_recargas!$G$74*'Plan mensual'!I55+parametros_recargas!$H$74*'Plan mensual'!I56+parametros_recargas!$I$74*'Plan mensual'!I57+parametros_recargas!$J$74*'Plan mensual'!I58+parametros_recargas!$K$74*'Plan mensual'!I59+parametros_recargas!$L$74*'Plan mensual'!I60</f>
        <v>564.727050326307</v>
      </c>
      <c r="H36" s="21" t="n">
        <f aca="false">parametros_recargas!$E$74*'Plan mensual'!J53+parametros_recargas!$F$74*'Plan mensual'!J54+parametros_recargas!$G$74*'Plan mensual'!J55+parametros_recargas!$H$74*'Plan mensual'!J56+parametros_recargas!$I$74*'Plan mensual'!J57+parametros_recargas!$J$74*'Plan mensual'!J58+parametros_recargas!$K$74*'Plan mensual'!J59+parametros_recargas!$L$74*'Plan mensual'!J60</f>
        <v>564.727050326307</v>
      </c>
      <c r="I36" s="21" t="n">
        <f aca="false">parametros_recargas!$E$74*'Plan mensual'!K53+parametros_recargas!$F$74*'Plan mensual'!K54+parametros_recargas!$G$74*'Plan mensual'!K55+parametros_recargas!$H$74*'Plan mensual'!K56+parametros_recargas!$I$74*'Plan mensual'!K57+parametros_recargas!$J$74*'Plan mensual'!K58+parametros_recargas!$K$74*'Plan mensual'!K59+parametros_recargas!$L$74*'Plan mensual'!K60</f>
        <v>564.727050326307</v>
      </c>
      <c r="J36" s="21" t="n">
        <f aca="false">parametros_recargas!$E$74*'Plan mensual'!L53+parametros_recargas!$F$74*'Plan mensual'!L54+parametros_recargas!$G$74*'Plan mensual'!L55+parametros_recargas!$H$74*'Plan mensual'!L56+parametros_recargas!$I$74*'Plan mensual'!L57+parametros_recargas!$J$74*'Plan mensual'!L58+parametros_recargas!$K$74*'Plan mensual'!L59+parametros_recargas!$L$74*'Plan mensual'!L60</f>
        <v>564.727050326307</v>
      </c>
      <c r="K36" s="21" t="n">
        <f aca="false">parametros_recargas!$E$74*'Plan mensual'!M53+parametros_recargas!$F$74*'Plan mensual'!M54+parametros_recargas!$G$74*'Plan mensual'!M55+parametros_recargas!$H$74*'Plan mensual'!M56+parametros_recargas!$I$74*'Plan mensual'!M57+parametros_recargas!$J$74*'Plan mensual'!M58+parametros_recargas!$K$74*'Plan mensual'!M59+parametros_recargas!$L$74*'Plan mensual'!M60</f>
        <v>564.727050326307</v>
      </c>
      <c r="L36" s="21" t="n">
        <f aca="false">parametros_recargas!$E$74*'Plan mensual'!N53+parametros_recargas!$F$74*'Plan mensual'!N54+parametros_recargas!$G$74*'Plan mensual'!N55+parametros_recargas!$H$74*'Plan mensual'!N56+parametros_recargas!$I$74*'Plan mensual'!N57+parametros_recargas!$J$74*'Plan mensual'!N58+parametros_recargas!$K$74*'Plan mensual'!N59+parametros_recargas!$L$74*'Plan mensual'!N60</f>
        <v>564.727050326307</v>
      </c>
      <c r="M36" s="21" t="n">
        <f aca="false">parametros_recargas!$E$74*'Plan mensual'!O53+parametros_recargas!$F$74*'Plan mensual'!O54+parametros_recargas!$G$74*'Plan mensual'!O55+parametros_recargas!$H$74*'Plan mensual'!O56+parametros_recargas!$I$74*'Plan mensual'!O57+parametros_recargas!$J$74*'Plan mensual'!O58+parametros_recargas!$K$74*'Plan mensual'!O59+parametros_recargas!$L$74*'Plan mensual'!O60</f>
        <v>564.727050326307</v>
      </c>
      <c r="N36" s="6" t="n">
        <f aca="false">SUM(B36:M36)</f>
        <v>6776.72460391569</v>
      </c>
      <c r="O36" s="22" t="n">
        <f aca="false">MAX(B36:M36)</f>
        <v>564.727050326307</v>
      </c>
      <c r="P36" s="12" t="n">
        <f aca="false">O36/parametros_recargas!$B$6</f>
        <v>3.76484700217538</v>
      </c>
    </row>
    <row r="37" customFormat="false" ht="15" hidden="false" customHeight="false" outlineLevel="0" collapsed="false">
      <c r="A37" s="8" t="str">
        <f aca="false">parametros_recargas!$B$75</f>
        <v>Descarga ABC — ruta descarte</v>
      </c>
      <c r="B37" s="21" t="n">
        <f aca="false">parametros_recargas!$E$75*'Plan mensual'!D53+parametros_recargas!$F$75*'Plan mensual'!D54+parametros_recargas!$G$75*'Plan mensual'!D55+parametros_recargas!$H$75*'Plan mensual'!D56+parametros_recargas!$I$75*'Plan mensual'!D57+parametros_recargas!$J$75*'Plan mensual'!D58+parametros_recargas!$K$75*'Plan mensual'!D59+parametros_recargas!$L$75*'Plan mensual'!D60</f>
        <v>66.4384765089774</v>
      </c>
      <c r="C37" s="21" t="n">
        <f aca="false">parametros_recargas!$E$75*'Plan mensual'!E53+parametros_recargas!$F$75*'Plan mensual'!E54+parametros_recargas!$G$75*'Plan mensual'!E55+parametros_recargas!$H$75*'Plan mensual'!E56+parametros_recargas!$I$75*'Plan mensual'!E57+parametros_recargas!$J$75*'Plan mensual'!E58+parametros_recargas!$K$75*'Plan mensual'!E59+parametros_recargas!$L$75*'Plan mensual'!E60</f>
        <v>66.4384765089774</v>
      </c>
      <c r="D37" s="21" t="n">
        <f aca="false">parametros_recargas!$E$75*'Plan mensual'!F53+parametros_recargas!$F$75*'Plan mensual'!F54+parametros_recargas!$G$75*'Plan mensual'!F55+parametros_recargas!$H$75*'Plan mensual'!F56+parametros_recargas!$I$75*'Plan mensual'!F57+parametros_recargas!$J$75*'Plan mensual'!F58+parametros_recargas!$K$75*'Plan mensual'!F59+parametros_recargas!$L$75*'Plan mensual'!F60</f>
        <v>66.4384765089774</v>
      </c>
      <c r="E37" s="21" t="n">
        <f aca="false">parametros_recargas!$E$75*'Plan mensual'!G53+parametros_recargas!$F$75*'Plan mensual'!G54+parametros_recargas!$G$75*'Plan mensual'!G55+parametros_recargas!$H$75*'Plan mensual'!G56+parametros_recargas!$I$75*'Plan mensual'!G57+parametros_recargas!$J$75*'Plan mensual'!G58+parametros_recargas!$K$75*'Plan mensual'!G59+parametros_recargas!$L$75*'Plan mensual'!G60</f>
        <v>66.4384765089774</v>
      </c>
      <c r="F37" s="21" t="n">
        <f aca="false">parametros_recargas!$E$75*'Plan mensual'!H53+parametros_recargas!$F$75*'Plan mensual'!H54+parametros_recargas!$G$75*'Plan mensual'!H55+parametros_recargas!$H$75*'Plan mensual'!H56+parametros_recargas!$I$75*'Plan mensual'!H57+parametros_recargas!$J$75*'Plan mensual'!H58+parametros_recargas!$K$75*'Plan mensual'!H59+parametros_recargas!$L$75*'Plan mensual'!H60</f>
        <v>66.4384765089774</v>
      </c>
      <c r="G37" s="21" t="n">
        <f aca="false">parametros_recargas!$E$75*'Plan mensual'!I53+parametros_recargas!$F$75*'Plan mensual'!I54+parametros_recargas!$G$75*'Plan mensual'!I55+parametros_recargas!$H$75*'Plan mensual'!I56+parametros_recargas!$I$75*'Plan mensual'!I57+parametros_recargas!$J$75*'Plan mensual'!I58+parametros_recargas!$K$75*'Plan mensual'!I59+parametros_recargas!$L$75*'Plan mensual'!I60</f>
        <v>66.4384765089774</v>
      </c>
      <c r="H37" s="21" t="n">
        <f aca="false">parametros_recargas!$E$75*'Plan mensual'!J53+parametros_recargas!$F$75*'Plan mensual'!J54+parametros_recargas!$G$75*'Plan mensual'!J55+parametros_recargas!$H$75*'Plan mensual'!J56+parametros_recargas!$I$75*'Plan mensual'!J57+parametros_recargas!$J$75*'Plan mensual'!J58+parametros_recargas!$K$75*'Plan mensual'!J59+parametros_recargas!$L$75*'Plan mensual'!J60</f>
        <v>66.4384765089774</v>
      </c>
      <c r="I37" s="21" t="n">
        <f aca="false">parametros_recargas!$E$75*'Plan mensual'!K53+parametros_recargas!$F$75*'Plan mensual'!K54+parametros_recargas!$G$75*'Plan mensual'!K55+parametros_recargas!$H$75*'Plan mensual'!K56+parametros_recargas!$I$75*'Plan mensual'!K57+parametros_recargas!$J$75*'Plan mensual'!K58+parametros_recargas!$K$75*'Plan mensual'!K59+parametros_recargas!$L$75*'Plan mensual'!K60</f>
        <v>66.4384765089774</v>
      </c>
      <c r="J37" s="21" t="n">
        <f aca="false">parametros_recargas!$E$75*'Plan mensual'!L53+parametros_recargas!$F$75*'Plan mensual'!L54+parametros_recargas!$G$75*'Plan mensual'!L55+parametros_recargas!$H$75*'Plan mensual'!L56+parametros_recargas!$I$75*'Plan mensual'!L57+parametros_recargas!$J$75*'Plan mensual'!L58+parametros_recargas!$K$75*'Plan mensual'!L59+parametros_recargas!$L$75*'Plan mensual'!L60</f>
        <v>66.4384765089774</v>
      </c>
      <c r="K37" s="21" t="n">
        <f aca="false">parametros_recargas!$E$75*'Plan mensual'!M53+parametros_recargas!$F$75*'Plan mensual'!M54+parametros_recargas!$G$75*'Plan mensual'!M55+parametros_recargas!$H$75*'Plan mensual'!M56+parametros_recargas!$I$75*'Plan mensual'!M57+parametros_recargas!$J$75*'Plan mensual'!M58+parametros_recargas!$K$75*'Plan mensual'!M59+parametros_recargas!$L$75*'Plan mensual'!M60</f>
        <v>66.4384765089774</v>
      </c>
      <c r="L37" s="21" t="n">
        <f aca="false">parametros_recargas!$E$75*'Plan mensual'!N53+parametros_recargas!$F$75*'Plan mensual'!N54+parametros_recargas!$G$75*'Plan mensual'!N55+parametros_recargas!$H$75*'Plan mensual'!N56+parametros_recargas!$I$75*'Plan mensual'!N57+parametros_recargas!$J$75*'Plan mensual'!N58+parametros_recargas!$K$75*'Plan mensual'!N59+parametros_recargas!$L$75*'Plan mensual'!N60</f>
        <v>66.4384765089774</v>
      </c>
      <c r="M37" s="21" t="n">
        <f aca="false">parametros_recargas!$E$75*'Plan mensual'!O53+parametros_recargas!$F$75*'Plan mensual'!O54+parametros_recargas!$G$75*'Plan mensual'!O55+parametros_recargas!$H$75*'Plan mensual'!O56+parametros_recargas!$I$75*'Plan mensual'!O57+parametros_recargas!$J$75*'Plan mensual'!O58+parametros_recargas!$K$75*'Plan mensual'!O59+parametros_recargas!$L$75*'Plan mensual'!O60</f>
        <v>66.4384765089774</v>
      </c>
      <c r="N37" s="6" t="n">
        <f aca="false">SUM(B37:M37)</f>
        <v>797.261718107728</v>
      </c>
      <c r="O37" s="22" t="n">
        <f aca="false">MAX(B37:M37)</f>
        <v>66.4384765089774</v>
      </c>
      <c r="P37" s="12" t="n">
        <f aca="false">O37/parametros_recargas!$B$6</f>
        <v>0.442923176726516</v>
      </c>
    </row>
    <row r="38" customFormat="false" ht="15" hidden="false" customHeight="false" outlineLevel="0" collapsed="false">
      <c r="A38" s="8" t="str">
        <f aca="false">parametros_recargas!$B$76</f>
        <v>Descarga BC</v>
      </c>
      <c r="B38" s="21" t="n">
        <f aca="false">parametros_recargas!$E$76*'Plan mensual'!D53+parametros_recargas!$F$76*'Plan mensual'!D54+parametros_recargas!$G$76*'Plan mensual'!D55+parametros_recargas!$H$76*'Plan mensual'!D56+parametros_recargas!$I$76*'Plan mensual'!D57+parametros_recargas!$J$76*'Plan mensual'!D58+parametros_recargas!$K$76*'Plan mensual'!D59+parametros_recargas!$L$76*'Plan mensual'!D60</f>
        <v>1.21401577549084</v>
      </c>
      <c r="C38" s="21" t="n">
        <f aca="false">parametros_recargas!$E$76*'Plan mensual'!E53+parametros_recargas!$F$76*'Plan mensual'!E54+parametros_recargas!$G$76*'Plan mensual'!E55+parametros_recargas!$H$76*'Plan mensual'!E56+parametros_recargas!$I$76*'Plan mensual'!E57+parametros_recargas!$J$76*'Plan mensual'!E58+parametros_recargas!$K$76*'Plan mensual'!E59+parametros_recargas!$L$76*'Plan mensual'!E60</f>
        <v>1.21401577549084</v>
      </c>
      <c r="D38" s="21" t="n">
        <f aca="false">parametros_recargas!$E$76*'Plan mensual'!F53+parametros_recargas!$F$76*'Plan mensual'!F54+parametros_recargas!$G$76*'Plan mensual'!F55+parametros_recargas!$H$76*'Plan mensual'!F56+parametros_recargas!$I$76*'Plan mensual'!F57+parametros_recargas!$J$76*'Plan mensual'!F58+parametros_recargas!$K$76*'Plan mensual'!F59+parametros_recargas!$L$76*'Plan mensual'!F60</f>
        <v>1.21401577549084</v>
      </c>
      <c r="E38" s="21" t="n">
        <f aca="false">parametros_recargas!$E$76*'Plan mensual'!G53+parametros_recargas!$F$76*'Plan mensual'!G54+parametros_recargas!$G$76*'Plan mensual'!G55+parametros_recargas!$H$76*'Plan mensual'!G56+parametros_recargas!$I$76*'Plan mensual'!G57+parametros_recargas!$J$76*'Plan mensual'!G58+parametros_recargas!$K$76*'Plan mensual'!G59+parametros_recargas!$L$76*'Plan mensual'!G60</f>
        <v>1.21401577549084</v>
      </c>
      <c r="F38" s="21" t="n">
        <f aca="false">parametros_recargas!$E$76*'Plan mensual'!H53+parametros_recargas!$F$76*'Plan mensual'!H54+parametros_recargas!$G$76*'Plan mensual'!H55+parametros_recargas!$H$76*'Plan mensual'!H56+parametros_recargas!$I$76*'Plan mensual'!H57+parametros_recargas!$J$76*'Plan mensual'!H58+parametros_recargas!$K$76*'Plan mensual'!H59+parametros_recargas!$L$76*'Plan mensual'!H60</f>
        <v>1.21401577549084</v>
      </c>
      <c r="G38" s="21" t="n">
        <f aca="false">parametros_recargas!$E$76*'Plan mensual'!I53+parametros_recargas!$F$76*'Plan mensual'!I54+parametros_recargas!$G$76*'Plan mensual'!I55+parametros_recargas!$H$76*'Plan mensual'!I56+parametros_recargas!$I$76*'Plan mensual'!I57+parametros_recargas!$J$76*'Plan mensual'!I58+parametros_recargas!$K$76*'Plan mensual'!I59+parametros_recargas!$L$76*'Plan mensual'!I60</f>
        <v>1.21401577549084</v>
      </c>
      <c r="H38" s="21" t="n">
        <f aca="false">parametros_recargas!$E$76*'Plan mensual'!J53+parametros_recargas!$F$76*'Plan mensual'!J54+parametros_recargas!$G$76*'Plan mensual'!J55+parametros_recargas!$H$76*'Plan mensual'!J56+parametros_recargas!$I$76*'Plan mensual'!J57+parametros_recargas!$J$76*'Plan mensual'!J58+parametros_recargas!$K$76*'Plan mensual'!J59+parametros_recargas!$L$76*'Plan mensual'!J60</f>
        <v>1.21401577549084</v>
      </c>
      <c r="I38" s="21" t="n">
        <f aca="false">parametros_recargas!$E$76*'Plan mensual'!K53+parametros_recargas!$F$76*'Plan mensual'!K54+parametros_recargas!$G$76*'Plan mensual'!K55+parametros_recargas!$H$76*'Plan mensual'!K56+parametros_recargas!$I$76*'Plan mensual'!K57+parametros_recargas!$J$76*'Plan mensual'!K58+parametros_recargas!$K$76*'Plan mensual'!K59+parametros_recargas!$L$76*'Plan mensual'!K60</f>
        <v>1.21401577549084</v>
      </c>
      <c r="J38" s="21" t="n">
        <f aca="false">parametros_recargas!$E$76*'Plan mensual'!L53+parametros_recargas!$F$76*'Plan mensual'!L54+parametros_recargas!$G$76*'Plan mensual'!L55+parametros_recargas!$H$76*'Plan mensual'!L56+parametros_recargas!$I$76*'Plan mensual'!L57+parametros_recargas!$J$76*'Plan mensual'!L58+parametros_recargas!$K$76*'Plan mensual'!L59+parametros_recargas!$L$76*'Plan mensual'!L60</f>
        <v>1.21401577549084</v>
      </c>
      <c r="K38" s="21" t="n">
        <f aca="false">parametros_recargas!$E$76*'Plan mensual'!M53+parametros_recargas!$F$76*'Plan mensual'!M54+parametros_recargas!$G$76*'Plan mensual'!M55+parametros_recargas!$H$76*'Plan mensual'!M56+parametros_recargas!$I$76*'Plan mensual'!M57+parametros_recargas!$J$76*'Plan mensual'!M58+parametros_recargas!$K$76*'Plan mensual'!M59+parametros_recargas!$L$76*'Plan mensual'!M60</f>
        <v>1.21401577549084</v>
      </c>
      <c r="L38" s="21" t="n">
        <f aca="false">parametros_recargas!$E$76*'Plan mensual'!N53+parametros_recargas!$F$76*'Plan mensual'!N54+parametros_recargas!$G$76*'Plan mensual'!N55+parametros_recargas!$H$76*'Plan mensual'!N56+parametros_recargas!$I$76*'Plan mensual'!N57+parametros_recargas!$J$76*'Plan mensual'!N58+parametros_recargas!$K$76*'Plan mensual'!N59+parametros_recargas!$L$76*'Plan mensual'!N60</f>
        <v>1.21401577549084</v>
      </c>
      <c r="M38" s="21" t="n">
        <f aca="false">parametros_recargas!$E$76*'Plan mensual'!O53+parametros_recargas!$F$76*'Plan mensual'!O54+parametros_recargas!$G$76*'Plan mensual'!O55+parametros_recargas!$H$76*'Plan mensual'!O56+parametros_recargas!$I$76*'Plan mensual'!O57+parametros_recargas!$J$76*'Plan mensual'!O58+parametros_recargas!$K$76*'Plan mensual'!O59+parametros_recargas!$L$76*'Plan mensual'!O60</f>
        <v>1.21401577549084</v>
      </c>
      <c r="N38" s="6" t="n">
        <f aca="false">SUM(B38:M38)</f>
        <v>14.5681893058901</v>
      </c>
      <c r="O38" s="22" t="n">
        <f aca="false">MAX(B38:M38)</f>
        <v>1.21401577549084</v>
      </c>
      <c r="P38" s="12" t="n">
        <f aca="false">O38/parametros_recargas!$B$6</f>
        <v>0.00809343850327229</v>
      </c>
    </row>
    <row r="39" customFormat="false" ht="15" hidden="false" customHeight="false" outlineLevel="0" collapsed="false">
      <c r="A39" s="8" t="str">
        <f aca="false">parametros_recargas!$B$77</f>
        <v>Descarga de agua / AFFF / sales K</v>
      </c>
      <c r="B39" s="21" t="n">
        <f aca="false">parametros_recargas!$E$77*'Plan mensual'!D53+parametros_recargas!$F$77*'Plan mensual'!D54+parametros_recargas!$G$77*'Plan mensual'!D55+parametros_recargas!$H$77*'Plan mensual'!D56+parametros_recargas!$I$77*'Plan mensual'!D57+parametros_recargas!$J$77*'Plan mensual'!D58+parametros_recargas!$K$77*'Plan mensual'!D59+parametros_recargas!$L$77*'Plan mensual'!D60</f>
        <v>33.8828004422825</v>
      </c>
      <c r="C39" s="21" t="n">
        <f aca="false">parametros_recargas!$E$77*'Plan mensual'!E53+parametros_recargas!$F$77*'Plan mensual'!E54+parametros_recargas!$G$77*'Plan mensual'!E55+parametros_recargas!$H$77*'Plan mensual'!E56+parametros_recargas!$I$77*'Plan mensual'!E57+parametros_recargas!$J$77*'Plan mensual'!E58+parametros_recargas!$K$77*'Plan mensual'!E59+parametros_recargas!$L$77*'Plan mensual'!E60</f>
        <v>33.8828004422825</v>
      </c>
      <c r="D39" s="21" t="n">
        <f aca="false">parametros_recargas!$E$77*'Plan mensual'!F53+parametros_recargas!$F$77*'Plan mensual'!F54+parametros_recargas!$G$77*'Plan mensual'!F55+parametros_recargas!$H$77*'Plan mensual'!F56+parametros_recargas!$I$77*'Plan mensual'!F57+parametros_recargas!$J$77*'Plan mensual'!F58+parametros_recargas!$K$77*'Plan mensual'!F59+parametros_recargas!$L$77*'Plan mensual'!F60</f>
        <v>33.8828004422825</v>
      </c>
      <c r="E39" s="21" t="n">
        <f aca="false">parametros_recargas!$E$77*'Plan mensual'!G53+parametros_recargas!$F$77*'Plan mensual'!G54+parametros_recargas!$G$77*'Plan mensual'!G55+parametros_recargas!$H$77*'Plan mensual'!G56+parametros_recargas!$I$77*'Plan mensual'!G57+parametros_recargas!$J$77*'Plan mensual'!G58+parametros_recargas!$K$77*'Plan mensual'!G59+parametros_recargas!$L$77*'Plan mensual'!G60</f>
        <v>33.8828004422825</v>
      </c>
      <c r="F39" s="21" t="n">
        <f aca="false">parametros_recargas!$E$77*'Plan mensual'!H53+parametros_recargas!$F$77*'Plan mensual'!H54+parametros_recargas!$G$77*'Plan mensual'!H55+parametros_recargas!$H$77*'Plan mensual'!H56+parametros_recargas!$I$77*'Plan mensual'!H57+parametros_recargas!$J$77*'Plan mensual'!H58+parametros_recargas!$K$77*'Plan mensual'!H59+parametros_recargas!$L$77*'Plan mensual'!H60</f>
        <v>33.8828004422825</v>
      </c>
      <c r="G39" s="21" t="n">
        <f aca="false">parametros_recargas!$E$77*'Plan mensual'!I53+parametros_recargas!$F$77*'Plan mensual'!I54+parametros_recargas!$G$77*'Plan mensual'!I55+parametros_recargas!$H$77*'Plan mensual'!I56+parametros_recargas!$I$77*'Plan mensual'!I57+parametros_recargas!$J$77*'Plan mensual'!I58+parametros_recargas!$K$77*'Plan mensual'!I59+parametros_recargas!$L$77*'Plan mensual'!I60</f>
        <v>33.8828004422825</v>
      </c>
      <c r="H39" s="21" t="n">
        <f aca="false">parametros_recargas!$E$77*'Plan mensual'!J53+parametros_recargas!$F$77*'Plan mensual'!J54+parametros_recargas!$G$77*'Plan mensual'!J55+parametros_recargas!$H$77*'Plan mensual'!J56+parametros_recargas!$I$77*'Plan mensual'!J57+parametros_recargas!$J$77*'Plan mensual'!J58+parametros_recargas!$K$77*'Plan mensual'!J59+parametros_recargas!$L$77*'Plan mensual'!J60</f>
        <v>33.8828004422825</v>
      </c>
      <c r="I39" s="21" t="n">
        <f aca="false">parametros_recargas!$E$77*'Plan mensual'!K53+parametros_recargas!$F$77*'Plan mensual'!K54+parametros_recargas!$G$77*'Plan mensual'!K55+parametros_recargas!$H$77*'Plan mensual'!K56+parametros_recargas!$I$77*'Plan mensual'!K57+parametros_recargas!$J$77*'Plan mensual'!K58+parametros_recargas!$K$77*'Plan mensual'!K59+parametros_recargas!$L$77*'Plan mensual'!K60</f>
        <v>33.8828004422825</v>
      </c>
      <c r="J39" s="21" t="n">
        <f aca="false">parametros_recargas!$E$77*'Plan mensual'!L53+parametros_recargas!$F$77*'Plan mensual'!L54+parametros_recargas!$G$77*'Plan mensual'!L55+parametros_recargas!$H$77*'Plan mensual'!L56+parametros_recargas!$I$77*'Plan mensual'!L57+parametros_recargas!$J$77*'Plan mensual'!L58+parametros_recargas!$K$77*'Plan mensual'!L59+parametros_recargas!$L$77*'Plan mensual'!L60</f>
        <v>33.8828004422825</v>
      </c>
      <c r="K39" s="21" t="n">
        <f aca="false">parametros_recargas!$E$77*'Plan mensual'!M53+parametros_recargas!$F$77*'Plan mensual'!M54+parametros_recargas!$G$77*'Plan mensual'!M55+parametros_recargas!$H$77*'Plan mensual'!M56+parametros_recargas!$I$77*'Plan mensual'!M57+parametros_recargas!$J$77*'Plan mensual'!M58+parametros_recargas!$K$77*'Plan mensual'!M59+parametros_recargas!$L$77*'Plan mensual'!M60</f>
        <v>33.8828004422825</v>
      </c>
      <c r="L39" s="21" t="n">
        <f aca="false">parametros_recargas!$E$77*'Plan mensual'!N53+parametros_recargas!$F$77*'Plan mensual'!N54+parametros_recargas!$G$77*'Plan mensual'!N55+parametros_recargas!$H$77*'Plan mensual'!N56+parametros_recargas!$I$77*'Plan mensual'!N57+parametros_recargas!$J$77*'Plan mensual'!N58+parametros_recargas!$K$77*'Plan mensual'!N59+parametros_recargas!$L$77*'Plan mensual'!N60</f>
        <v>33.8828004422825</v>
      </c>
      <c r="M39" s="21" t="n">
        <f aca="false">parametros_recargas!$E$77*'Plan mensual'!O53+parametros_recargas!$F$77*'Plan mensual'!O54+parametros_recargas!$G$77*'Plan mensual'!O55+parametros_recargas!$H$77*'Plan mensual'!O56+parametros_recargas!$I$77*'Plan mensual'!O57+parametros_recargas!$J$77*'Plan mensual'!O58+parametros_recargas!$K$77*'Plan mensual'!O59+parametros_recargas!$L$77*'Plan mensual'!O60</f>
        <v>33.8828004422825</v>
      </c>
      <c r="N39" s="6" t="n">
        <f aca="false">SUM(B39:M39)</f>
        <v>406.59360530739</v>
      </c>
      <c r="O39" s="22" t="n">
        <f aca="false">MAX(B39:M39)</f>
        <v>33.8828004422825</v>
      </c>
      <c r="P39" s="12" t="n">
        <f aca="false">O39/parametros_recargas!$B$6</f>
        <v>0.225885336281883</v>
      </c>
    </row>
    <row r="40" customFormat="false" ht="15" hidden="false" customHeight="false" outlineLevel="0" collapsed="false">
      <c r="A40" s="8" t="str">
        <f aca="false">parametros_recargas!$B$78</f>
        <v>Recuperación de CO₂</v>
      </c>
      <c r="B40" s="21" t="n">
        <f aca="false">parametros_recargas!$E$78*'Plan mensual'!D53+parametros_recargas!$F$78*'Plan mensual'!D54+parametros_recargas!$G$78*'Plan mensual'!D55+parametros_recargas!$H$78*'Plan mensual'!D56+parametros_recargas!$I$78*'Plan mensual'!D57+parametros_recargas!$J$78*'Plan mensual'!D58+parametros_recargas!$K$78*'Plan mensual'!D59+parametros_recargas!$L$78*'Plan mensual'!D60</f>
        <v>14.1189048093248</v>
      </c>
      <c r="C40" s="21" t="n">
        <f aca="false">parametros_recargas!$E$78*'Plan mensual'!E53+parametros_recargas!$F$78*'Plan mensual'!E54+parametros_recargas!$G$78*'Plan mensual'!E55+parametros_recargas!$H$78*'Plan mensual'!E56+parametros_recargas!$I$78*'Plan mensual'!E57+parametros_recargas!$J$78*'Plan mensual'!E58+parametros_recargas!$K$78*'Plan mensual'!E59+parametros_recargas!$L$78*'Plan mensual'!E60</f>
        <v>14.1189048093248</v>
      </c>
      <c r="D40" s="21" t="n">
        <f aca="false">parametros_recargas!$E$78*'Plan mensual'!F53+parametros_recargas!$F$78*'Plan mensual'!F54+parametros_recargas!$G$78*'Plan mensual'!F55+parametros_recargas!$H$78*'Plan mensual'!F56+parametros_recargas!$I$78*'Plan mensual'!F57+parametros_recargas!$J$78*'Plan mensual'!F58+parametros_recargas!$K$78*'Plan mensual'!F59+parametros_recargas!$L$78*'Plan mensual'!F60</f>
        <v>14.1189048093248</v>
      </c>
      <c r="E40" s="21" t="n">
        <f aca="false">parametros_recargas!$E$78*'Plan mensual'!G53+parametros_recargas!$F$78*'Plan mensual'!G54+parametros_recargas!$G$78*'Plan mensual'!G55+parametros_recargas!$H$78*'Plan mensual'!G56+parametros_recargas!$I$78*'Plan mensual'!G57+parametros_recargas!$J$78*'Plan mensual'!G58+parametros_recargas!$K$78*'Plan mensual'!G59+parametros_recargas!$L$78*'Plan mensual'!G60</f>
        <v>14.1189048093248</v>
      </c>
      <c r="F40" s="21" t="n">
        <f aca="false">parametros_recargas!$E$78*'Plan mensual'!H53+parametros_recargas!$F$78*'Plan mensual'!H54+parametros_recargas!$G$78*'Plan mensual'!H55+parametros_recargas!$H$78*'Plan mensual'!H56+parametros_recargas!$I$78*'Plan mensual'!H57+parametros_recargas!$J$78*'Plan mensual'!H58+parametros_recargas!$K$78*'Plan mensual'!H59+parametros_recargas!$L$78*'Plan mensual'!H60</f>
        <v>14.1189048093248</v>
      </c>
      <c r="G40" s="21" t="n">
        <f aca="false">parametros_recargas!$E$78*'Plan mensual'!I53+parametros_recargas!$F$78*'Plan mensual'!I54+parametros_recargas!$G$78*'Plan mensual'!I55+parametros_recargas!$H$78*'Plan mensual'!I56+parametros_recargas!$I$78*'Plan mensual'!I57+parametros_recargas!$J$78*'Plan mensual'!I58+parametros_recargas!$K$78*'Plan mensual'!I59+parametros_recargas!$L$78*'Plan mensual'!I60</f>
        <v>14.1189048093248</v>
      </c>
      <c r="H40" s="21" t="n">
        <f aca="false">parametros_recargas!$E$78*'Plan mensual'!J53+parametros_recargas!$F$78*'Plan mensual'!J54+parametros_recargas!$G$78*'Plan mensual'!J55+parametros_recargas!$H$78*'Plan mensual'!J56+parametros_recargas!$I$78*'Plan mensual'!J57+parametros_recargas!$J$78*'Plan mensual'!J58+parametros_recargas!$K$78*'Plan mensual'!J59+parametros_recargas!$L$78*'Plan mensual'!J60</f>
        <v>14.1189048093248</v>
      </c>
      <c r="I40" s="21" t="n">
        <f aca="false">parametros_recargas!$E$78*'Plan mensual'!K53+parametros_recargas!$F$78*'Plan mensual'!K54+parametros_recargas!$G$78*'Plan mensual'!K55+parametros_recargas!$H$78*'Plan mensual'!K56+parametros_recargas!$I$78*'Plan mensual'!K57+parametros_recargas!$J$78*'Plan mensual'!K58+parametros_recargas!$K$78*'Plan mensual'!K59+parametros_recargas!$L$78*'Plan mensual'!K60</f>
        <v>14.1189048093248</v>
      </c>
      <c r="J40" s="21" t="n">
        <f aca="false">parametros_recargas!$E$78*'Plan mensual'!L53+parametros_recargas!$F$78*'Plan mensual'!L54+parametros_recargas!$G$78*'Plan mensual'!L55+parametros_recargas!$H$78*'Plan mensual'!L56+parametros_recargas!$I$78*'Plan mensual'!L57+parametros_recargas!$J$78*'Plan mensual'!L58+parametros_recargas!$K$78*'Plan mensual'!L59+parametros_recargas!$L$78*'Plan mensual'!L60</f>
        <v>14.1189048093248</v>
      </c>
      <c r="K40" s="21" t="n">
        <f aca="false">parametros_recargas!$E$78*'Plan mensual'!M53+parametros_recargas!$F$78*'Plan mensual'!M54+parametros_recargas!$G$78*'Plan mensual'!M55+parametros_recargas!$H$78*'Plan mensual'!M56+parametros_recargas!$I$78*'Plan mensual'!M57+parametros_recargas!$J$78*'Plan mensual'!M58+parametros_recargas!$K$78*'Plan mensual'!M59+parametros_recargas!$L$78*'Plan mensual'!M60</f>
        <v>14.1189048093248</v>
      </c>
      <c r="L40" s="21" t="n">
        <f aca="false">parametros_recargas!$E$78*'Plan mensual'!N53+parametros_recargas!$F$78*'Plan mensual'!N54+parametros_recargas!$G$78*'Plan mensual'!N55+parametros_recargas!$H$78*'Plan mensual'!N56+parametros_recargas!$I$78*'Plan mensual'!N57+parametros_recargas!$J$78*'Plan mensual'!N58+parametros_recargas!$K$78*'Plan mensual'!N59+parametros_recargas!$L$78*'Plan mensual'!N60</f>
        <v>14.1189048093248</v>
      </c>
      <c r="M40" s="21" t="n">
        <f aca="false">parametros_recargas!$E$78*'Plan mensual'!O53+parametros_recargas!$F$78*'Plan mensual'!O54+parametros_recargas!$G$78*'Plan mensual'!O55+parametros_recargas!$H$78*'Plan mensual'!O56+parametros_recargas!$I$78*'Plan mensual'!O57+parametros_recargas!$J$78*'Plan mensual'!O58+parametros_recargas!$K$78*'Plan mensual'!O59+parametros_recargas!$L$78*'Plan mensual'!O60</f>
        <v>14.1189048093248</v>
      </c>
      <c r="N40" s="6" t="n">
        <f aca="false">SUM(B40:M40)</f>
        <v>169.426857711898</v>
      </c>
      <c r="O40" s="22" t="n">
        <f aca="false">MAX(B40:M40)</f>
        <v>14.1189048093248</v>
      </c>
      <c r="P40" s="12" t="n">
        <f aca="false">O40/parametros_recargas!$B$6</f>
        <v>0.0941260320621655</v>
      </c>
    </row>
    <row r="41" customFormat="false" ht="15" hidden="false" customHeight="false" outlineLevel="0" collapsed="false">
      <c r="A41" s="8" t="str">
        <f aca="false">parametros_recargas!$B$79</f>
        <v>Recuperación de halogenado</v>
      </c>
      <c r="B41" s="21" t="n">
        <f aca="false">parametros_recargas!$E$79*'Plan mensual'!D53+parametros_recargas!$F$79*'Plan mensual'!D54+parametros_recargas!$G$79*'Plan mensual'!D55+parametros_recargas!$H$79*'Plan mensual'!D56+parametros_recargas!$I$79*'Plan mensual'!D57+parametros_recargas!$J$79*'Plan mensual'!D58+parametros_recargas!$K$79*'Plan mensual'!D59+parametros_recargas!$L$79*'Plan mensual'!D60</f>
        <v>0.693836281640962</v>
      </c>
      <c r="C41" s="21" t="n">
        <f aca="false">parametros_recargas!$E$79*'Plan mensual'!E53+parametros_recargas!$F$79*'Plan mensual'!E54+parametros_recargas!$G$79*'Plan mensual'!E55+parametros_recargas!$H$79*'Plan mensual'!E56+parametros_recargas!$I$79*'Plan mensual'!E57+parametros_recargas!$J$79*'Plan mensual'!E58+parametros_recargas!$K$79*'Plan mensual'!E59+parametros_recargas!$L$79*'Plan mensual'!E60</f>
        <v>0.693836281640962</v>
      </c>
      <c r="D41" s="21" t="n">
        <f aca="false">parametros_recargas!$E$79*'Plan mensual'!F53+parametros_recargas!$F$79*'Plan mensual'!F54+parametros_recargas!$G$79*'Plan mensual'!F55+parametros_recargas!$H$79*'Plan mensual'!F56+parametros_recargas!$I$79*'Plan mensual'!F57+parametros_recargas!$J$79*'Plan mensual'!F58+parametros_recargas!$K$79*'Plan mensual'!F59+parametros_recargas!$L$79*'Plan mensual'!F60</f>
        <v>0.693836281640962</v>
      </c>
      <c r="E41" s="21" t="n">
        <f aca="false">parametros_recargas!$E$79*'Plan mensual'!G53+parametros_recargas!$F$79*'Plan mensual'!G54+parametros_recargas!$G$79*'Plan mensual'!G55+parametros_recargas!$H$79*'Plan mensual'!G56+parametros_recargas!$I$79*'Plan mensual'!G57+parametros_recargas!$J$79*'Plan mensual'!G58+parametros_recargas!$K$79*'Plan mensual'!G59+parametros_recargas!$L$79*'Plan mensual'!G60</f>
        <v>0.693836281640962</v>
      </c>
      <c r="F41" s="21" t="n">
        <f aca="false">parametros_recargas!$E$79*'Plan mensual'!H53+parametros_recargas!$F$79*'Plan mensual'!H54+parametros_recargas!$G$79*'Plan mensual'!H55+parametros_recargas!$H$79*'Plan mensual'!H56+parametros_recargas!$I$79*'Plan mensual'!H57+parametros_recargas!$J$79*'Plan mensual'!H58+parametros_recargas!$K$79*'Plan mensual'!H59+parametros_recargas!$L$79*'Plan mensual'!H60</f>
        <v>0.693836281640962</v>
      </c>
      <c r="G41" s="21" t="n">
        <f aca="false">parametros_recargas!$E$79*'Plan mensual'!I53+parametros_recargas!$F$79*'Plan mensual'!I54+parametros_recargas!$G$79*'Plan mensual'!I55+parametros_recargas!$H$79*'Plan mensual'!I56+parametros_recargas!$I$79*'Plan mensual'!I57+parametros_recargas!$J$79*'Plan mensual'!I58+parametros_recargas!$K$79*'Plan mensual'!I59+parametros_recargas!$L$79*'Plan mensual'!I60</f>
        <v>0.693836281640962</v>
      </c>
      <c r="H41" s="21" t="n">
        <f aca="false">parametros_recargas!$E$79*'Plan mensual'!J53+parametros_recargas!$F$79*'Plan mensual'!J54+parametros_recargas!$G$79*'Plan mensual'!J55+parametros_recargas!$H$79*'Plan mensual'!J56+parametros_recargas!$I$79*'Plan mensual'!J57+parametros_recargas!$J$79*'Plan mensual'!J58+parametros_recargas!$K$79*'Plan mensual'!J59+parametros_recargas!$L$79*'Plan mensual'!J60</f>
        <v>0.693836281640962</v>
      </c>
      <c r="I41" s="21" t="n">
        <f aca="false">parametros_recargas!$E$79*'Plan mensual'!K53+parametros_recargas!$F$79*'Plan mensual'!K54+parametros_recargas!$G$79*'Plan mensual'!K55+parametros_recargas!$H$79*'Plan mensual'!K56+parametros_recargas!$I$79*'Plan mensual'!K57+parametros_recargas!$J$79*'Plan mensual'!K58+parametros_recargas!$K$79*'Plan mensual'!K59+parametros_recargas!$L$79*'Plan mensual'!K60</f>
        <v>0.693836281640962</v>
      </c>
      <c r="J41" s="21" t="n">
        <f aca="false">parametros_recargas!$E$79*'Plan mensual'!L53+parametros_recargas!$F$79*'Plan mensual'!L54+parametros_recargas!$G$79*'Plan mensual'!L55+parametros_recargas!$H$79*'Plan mensual'!L56+parametros_recargas!$I$79*'Plan mensual'!L57+parametros_recargas!$J$79*'Plan mensual'!L58+parametros_recargas!$K$79*'Plan mensual'!L59+parametros_recargas!$L$79*'Plan mensual'!L60</f>
        <v>0.693836281640962</v>
      </c>
      <c r="K41" s="21" t="n">
        <f aca="false">parametros_recargas!$E$79*'Plan mensual'!M53+parametros_recargas!$F$79*'Plan mensual'!M54+parametros_recargas!$G$79*'Plan mensual'!M55+parametros_recargas!$H$79*'Plan mensual'!M56+parametros_recargas!$I$79*'Plan mensual'!M57+parametros_recargas!$J$79*'Plan mensual'!M58+parametros_recargas!$K$79*'Plan mensual'!M59+parametros_recargas!$L$79*'Plan mensual'!M60</f>
        <v>0.693836281640962</v>
      </c>
      <c r="L41" s="21" t="n">
        <f aca="false">parametros_recargas!$E$79*'Plan mensual'!N53+parametros_recargas!$F$79*'Plan mensual'!N54+parametros_recargas!$G$79*'Plan mensual'!N55+parametros_recargas!$H$79*'Plan mensual'!N56+parametros_recargas!$I$79*'Plan mensual'!N57+parametros_recargas!$J$79*'Plan mensual'!N58+parametros_recargas!$K$79*'Plan mensual'!N59+parametros_recargas!$L$79*'Plan mensual'!N60</f>
        <v>0.693836281640962</v>
      </c>
      <c r="M41" s="21" t="n">
        <f aca="false">parametros_recargas!$E$79*'Plan mensual'!O53+parametros_recargas!$F$79*'Plan mensual'!O54+parametros_recargas!$G$79*'Plan mensual'!O55+parametros_recargas!$H$79*'Plan mensual'!O56+parametros_recargas!$I$79*'Plan mensual'!O57+parametros_recargas!$J$79*'Plan mensual'!O58+parametros_recargas!$K$79*'Plan mensual'!O59+parametros_recargas!$L$79*'Plan mensual'!O60</f>
        <v>0.693836281640962</v>
      </c>
      <c r="N41" s="6" t="n">
        <f aca="false">SUM(B41:M41)</f>
        <v>8.32603537969154</v>
      </c>
      <c r="O41" s="22" t="n">
        <f aca="false">MAX(B41:M41)</f>
        <v>0.693836281640962</v>
      </c>
      <c r="P41" s="12" t="n">
        <f aca="false">O41/parametros_recargas!$B$6</f>
        <v>0.00462557521093975</v>
      </c>
    </row>
    <row r="42" customFormat="false" ht="15" hidden="false" customHeight="false" outlineLevel="0" collapsed="false">
      <c r="A42" s="8" t="str">
        <f aca="false">parametros_recargas!$B$80</f>
        <v>Desarme y limpieza — recinto</v>
      </c>
      <c r="B42" s="21" t="n">
        <f aca="false">parametros_recargas!$E$80*'Plan mensual'!D53+parametros_recargas!$F$80*'Plan mensual'!D54+parametros_recargas!$G$80*'Plan mensual'!D55+parametros_recargas!$H$80*'Plan mensual'!D56+parametros_recargas!$I$80*'Plan mensual'!D57+parametros_recargas!$J$80*'Plan mensual'!D58+parametros_recargas!$K$80*'Plan mensual'!D59+parametros_recargas!$L$80*'Plan mensual'!D60</f>
        <v>666.812796640755</v>
      </c>
      <c r="C42" s="21" t="n">
        <f aca="false">parametros_recargas!$E$80*'Plan mensual'!E53+parametros_recargas!$F$80*'Plan mensual'!E54+parametros_recargas!$G$80*'Plan mensual'!E55+parametros_recargas!$H$80*'Plan mensual'!E56+parametros_recargas!$I$80*'Plan mensual'!E57+parametros_recargas!$J$80*'Plan mensual'!E58+parametros_recargas!$K$80*'Plan mensual'!E59+parametros_recargas!$L$80*'Plan mensual'!E60</f>
        <v>666.812796640755</v>
      </c>
      <c r="D42" s="21" t="n">
        <f aca="false">parametros_recargas!$E$80*'Plan mensual'!F53+parametros_recargas!$F$80*'Plan mensual'!F54+parametros_recargas!$G$80*'Plan mensual'!F55+parametros_recargas!$H$80*'Plan mensual'!F56+parametros_recargas!$I$80*'Plan mensual'!F57+parametros_recargas!$J$80*'Plan mensual'!F58+parametros_recargas!$K$80*'Plan mensual'!F59+parametros_recargas!$L$80*'Plan mensual'!F60</f>
        <v>666.812796640755</v>
      </c>
      <c r="E42" s="21" t="n">
        <f aca="false">parametros_recargas!$E$80*'Plan mensual'!G53+parametros_recargas!$F$80*'Plan mensual'!G54+parametros_recargas!$G$80*'Plan mensual'!G55+parametros_recargas!$H$80*'Plan mensual'!G56+parametros_recargas!$I$80*'Plan mensual'!G57+parametros_recargas!$J$80*'Plan mensual'!G58+parametros_recargas!$K$80*'Plan mensual'!G59+parametros_recargas!$L$80*'Plan mensual'!G60</f>
        <v>666.812796640755</v>
      </c>
      <c r="F42" s="21" t="n">
        <f aca="false">parametros_recargas!$E$80*'Plan mensual'!H53+parametros_recargas!$F$80*'Plan mensual'!H54+parametros_recargas!$G$80*'Plan mensual'!H55+parametros_recargas!$H$80*'Plan mensual'!H56+parametros_recargas!$I$80*'Plan mensual'!H57+parametros_recargas!$J$80*'Plan mensual'!H58+parametros_recargas!$K$80*'Plan mensual'!H59+parametros_recargas!$L$80*'Plan mensual'!H60</f>
        <v>666.812796640755</v>
      </c>
      <c r="G42" s="21" t="n">
        <f aca="false">parametros_recargas!$E$80*'Plan mensual'!I53+parametros_recargas!$F$80*'Plan mensual'!I54+parametros_recargas!$G$80*'Plan mensual'!I55+parametros_recargas!$H$80*'Plan mensual'!I56+parametros_recargas!$I$80*'Plan mensual'!I57+parametros_recargas!$J$80*'Plan mensual'!I58+parametros_recargas!$K$80*'Plan mensual'!I59+parametros_recargas!$L$80*'Plan mensual'!I60</f>
        <v>666.812796640755</v>
      </c>
      <c r="H42" s="21" t="n">
        <f aca="false">parametros_recargas!$E$80*'Plan mensual'!J53+parametros_recargas!$F$80*'Plan mensual'!J54+parametros_recargas!$G$80*'Plan mensual'!J55+parametros_recargas!$H$80*'Plan mensual'!J56+parametros_recargas!$I$80*'Plan mensual'!J57+parametros_recargas!$J$80*'Plan mensual'!J58+parametros_recargas!$K$80*'Plan mensual'!J59+parametros_recargas!$L$80*'Plan mensual'!J60</f>
        <v>666.812796640755</v>
      </c>
      <c r="I42" s="21" t="n">
        <f aca="false">parametros_recargas!$E$80*'Plan mensual'!K53+parametros_recargas!$F$80*'Plan mensual'!K54+parametros_recargas!$G$80*'Plan mensual'!K55+parametros_recargas!$H$80*'Plan mensual'!K56+parametros_recargas!$I$80*'Plan mensual'!K57+parametros_recargas!$J$80*'Plan mensual'!K58+parametros_recargas!$K$80*'Plan mensual'!K59+parametros_recargas!$L$80*'Plan mensual'!K60</f>
        <v>666.812796640755</v>
      </c>
      <c r="J42" s="21" t="n">
        <f aca="false">parametros_recargas!$E$80*'Plan mensual'!L53+parametros_recargas!$F$80*'Plan mensual'!L54+parametros_recargas!$G$80*'Plan mensual'!L55+parametros_recargas!$H$80*'Plan mensual'!L56+parametros_recargas!$I$80*'Plan mensual'!L57+parametros_recargas!$J$80*'Plan mensual'!L58+parametros_recargas!$K$80*'Plan mensual'!L59+parametros_recargas!$L$80*'Plan mensual'!L60</f>
        <v>666.812796640755</v>
      </c>
      <c r="K42" s="21" t="n">
        <f aca="false">parametros_recargas!$E$80*'Plan mensual'!M53+parametros_recargas!$F$80*'Plan mensual'!M54+parametros_recargas!$G$80*'Plan mensual'!M55+parametros_recargas!$H$80*'Plan mensual'!M56+parametros_recargas!$I$80*'Plan mensual'!M57+parametros_recargas!$J$80*'Plan mensual'!M58+parametros_recargas!$K$80*'Plan mensual'!M59+parametros_recargas!$L$80*'Plan mensual'!M60</f>
        <v>666.812796640755</v>
      </c>
      <c r="L42" s="21" t="n">
        <f aca="false">parametros_recargas!$E$80*'Plan mensual'!N53+parametros_recargas!$F$80*'Plan mensual'!N54+parametros_recargas!$G$80*'Plan mensual'!N55+parametros_recargas!$H$80*'Plan mensual'!N56+parametros_recargas!$I$80*'Plan mensual'!N57+parametros_recargas!$J$80*'Plan mensual'!N58+parametros_recargas!$K$80*'Plan mensual'!N59+parametros_recargas!$L$80*'Plan mensual'!N60</f>
        <v>666.812796640755</v>
      </c>
      <c r="M42" s="21" t="n">
        <f aca="false">parametros_recargas!$E$80*'Plan mensual'!O53+parametros_recargas!$F$80*'Plan mensual'!O54+parametros_recargas!$G$80*'Plan mensual'!O55+parametros_recargas!$H$80*'Plan mensual'!O56+parametros_recargas!$I$80*'Plan mensual'!O57+parametros_recargas!$J$80*'Plan mensual'!O58+parametros_recargas!$K$80*'Plan mensual'!O59+parametros_recargas!$L$80*'Plan mensual'!O60</f>
        <v>666.812796640755</v>
      </c>
      <c r="N42" s="6" t="n">
        <f aca="false">SUM(B42:M42)</f>
        <v>8001.75355968906</v>
      </c>
      <c r="O42" s="22" t="n">
        <f aca="false">MAX(B42:M42)</f>
        <v>666.812796640755</v>
      </c>
      <c r="P42" s="12" t="n">
        <f aca="false">O42/parametros_recargas!$B$6</f>
        <v>4.4454186442717</v>
      </c>
    </row>
    <row r="43" customFormat="false" ht="15" hidden="false" customHeight="false" outlineLevel="0" collapsed="false">
      <c r="A43" s="8" t="str">
        <f aca="false">parametros_recargas!$B$81</f>
        <v>Desarme e inspección interior — zona general</v>
      </c>
      <c r="B43" s="21" t="n">
        <f aca="false">parametros_recargas!$E$81*'Plan mensual'!D53+parametros_recargas!$F$81*'Plan mensual'!D54+parametros_recargas!$G$81*'Plan mensual'!D55+parametros_recargas!$H$81*'Plan mensual'!D56+parametros_recargas!$I$81*'Plan mensual'!D57+parametros_recargas!$J$81*'Plan mensual'!D58+parametros_recargas!$K$81*'Plan mensual'!D59+parametros_recargas!$L$81*'Plan mensual'!D60</f>
        <v>48.6955415332483</v>
      </c>
      <c r="C43" s="21" t="n">
        <f aca="false">parametros_recargas!$E$81*'Plan mensual'!E53+parametros_recargas!$F$81*'Plan mensual'!E54+parametros_recargas!$G$81*'Plan mensual'!E55+parametros_recargas!$H$81*'Plan mensual'!E56+parametros_recargas!$I$81*'Plan mensual'!E57+parametros_recargas!$J$81*'Plan mensual'!E58+parametros_recargas!$K$81*'Plan mensual'!E59+parametros_recargas!$L$81*'Plan mensual'!E60</f>
        <v>48.6955415332483</v>
      </c>
      <c r="D43" s="21" t="n">
        <f aca="false">parametros_recargas!$E$81*'Plan mensual'!F53+parametros_recargas!$F$81*'Plan mensual'!F54+parametros_recargas!$G$81*'Plan mensual'!F55+parametros_recargas!$H$81*'Plan mensual'!F56+parametros_recargas!$I$81*'Plan mensual'!F57+parametros_recargas!$J$81*'Plan mensual'!F58+parametros_recargas!$K$81*'Plan mensual'!F59+parametros_recargas!$L$81*'Plan mensual'!F60</f>
        <v>48.6955415332483</v>
      </c>
      <c r="E43" s="21" t="n">
        <f aca="false">parametros_recargas!$E$81*'Plan mensual'!G53+parametros_recargas!$F$81*'Plan mensual'!G54+parametros_recargas!$G$81*'Plan mensual'!G55+parametros_recargas!$H$81*'Plan mensual'!G56+parametros_recargas!$I$81*'Plan mensual'!G57+parametros_recargas!$J$81*'Plan mensual'!G58+parametros_recargas!$K$81*'Plan mensual'!G59+parametros_recargas!$L$81*'Plan mensual'!G60</f>
        <v>48.6955415332483</v>
      </c>
      <c r="F43" s="21" t="n">
        <f aca="false">parametros_recargas!$E$81*'Plan mensual'!H53+parametros_recargas!$F$81*'Plan mensual'!H54+parametros_recargas!$G$81*'Plan mensual'!H55+parametros_recargas!$H$81*'Plan mensual'!H56+parametros_recargas!$I$81*'Plan mensual'!H57+parametros_recargas!$J$81*'Plan mensual'!H58+parametros_recargas!$K$81*'Plan mensual'!H59+parametros_recargas!$L$81*'Plan mensual'!H60</f>
        <v>48.6955415332483</v>
      </c>
      <c r="G43" s="21" t="n">
        <f aca="false">parametros_recargas!$E$81*'Plan mensual'!I53+parametros_recargas!$F$81*'Plan mensual'!I54+parametros_recargas!$G$81*'Plan mensual'!I55+parametros_recargas!$H$81*'Plan mensual'!I56+parametros_recargas!$I$81*'Plan mensual'!I57+parametros_recargas!$J$81*'Plan mensual'!I58+parametros_recargas!$K$81*'Plan mensual'!I59+parametros_recargas!$L$81*'Plan mensual'!I60</f>
        <v>48.6955415332483</v>
      </c>
      <c r="H43" s="21" t="n">
        <f aca="false">parametros_recargas!$E$81*'Plan mensual'!J53+parametros_recargas!$F$81*'Plan mensual'!J54+parametros_recargas!$G$81*'Plan mensual'!J55+parametros_recargas!$H$81*'Plan mensual'!J56+parametros_recargas!$I$81*'Plan mensual'!J57+parametros_recargas!$J$81*'Plan mensual'!J58+parametros_recargas!$K$81*'Plan mensual'!J59+parametros_recargas!$L$81*'Plan mensual'!J60</f>
        <v>48.6955415332483</v>
      </c>
      <c r="I43" s="21" t="n">
        <f aca="false">parametros_recargas!$E$81*'Plan mensual'!K53+parametros_recargas!$F$81*'Plan mensual'!K54+parametros_recargas!$G$81*'Plan mensual'!K55+parametros_recargas!$H$81*'Plan mensual'!K56+parametros_recargas!$I$81*'Plan mensual'!K57+parametros_recargas!$J$81*'Plan mensual'!K58+parametros_recargas!$K$81*'Plan mensual'!K59+parametros_recargas!$L$81*'Plan mensual'!K60</f>
        <v>48.6955415332483</v>
      </c>
      <c r="J43" s="21" t="n">
        <f aca="false">parametros_recargas!$E$81*'Plan mensual'!L53+parametros_recargas!$F$81*'Plan mensual'!L54+parametros_recargas!$G$81*'Plan mensual'!L55+parametros_recargas!$H$81*'Plan mensual'!L56+parametros_recargas!$I$81*'Plan mensual'!L57+parametros_recargas!$J$81*'Plan mensual'!L58+parametros_recargas!$K$81*'Plan mensual'!L59+parametros_recargas!$L$81*'Plan mensual'!L60</f>
        <v>48.6955415332483</v>
      </c>
      <c r="K43" s="21" t="n">
        <f aca="false">parametros_recargas!$E$81*'Plan mensual'!M53+parametros_recargas!$F$81*'Plan mensual'!M54+parametros_recargas!$G$81*'Plan mensual'!M55+parametros_recargas!$H$81*'Plan mensual'!M56+parametros_recargas!$I$81*'Plan mensual'!M57+parametros_recargas!$J$81*'Plan mensual'!M58+parametros_recargas!$K$81*'Plan mensual'!M59+parametros_recargas!$L$81*'Plan mensual'!M60</f>
        <v>48.6955415332483</v>
      </c>
      <c r="L43" s="21" t="n">
        <f aca="false">parametros_recargas!$E$81*'Plan mensual'!N53+parametros_recargas!$F$81*'Plan mensual'!N54+parametros_recargas!$G$81*'Plan mensual'!N55+parametros_recargas!$H$81*'Plan mensual'!N56+parametros_recargas!$I$81*'Plan mensual'!N57+parametros_recargas!$J$81*'Plan mensual'!N58+parametros_recargas!$K$81*'Plan mensual'!N59+parametros_recargas!$L$81*'Plan mensual'!N60</f>
        <v>48.6955415332483</v>
      </c>
      <c r="M43" s="21" t="n">
        <f aca="false">parametros_recargas!$E$81*'Plan mensual'!O53+parametros_recargas!$F$81*'Plan mensual'!O54+parametros_recargas!$G$81*'Plan mensual'!O55+parametros_recargas!$H$81*'Plan mensual'!O56+parametros_recargas!$I$81*'Plan mensual'!O57+parametros_recargas!$J$81*'Plan mensual'!O58+parametros_recargas!$K$81*'Plan mensual'!O59+parametros_recargas!$L$81*'Plan mensual'!O60</f>
        <v>48.6955415332483</v>
      </c>
      <c r="N43" s="6" t="n">
        <f aca="false">SUM(B43:M43)</f>
        <v>584.346498398979</v>
      </c>
      <c r="O43" s="22" t="n">
        <f aca="false">MAX(B43:M43)</f>
        <v>48.6955415332483</v>
      </c>
      <c r="P43" s="12" t="n">
        <f aca="false">O43/parametros_recargas!$B$6</f>
        <v>0.324636943554989</v>
      </c>
    </row>
    <row r="44" customFormat="false" ht="15" hidden="false" customHeight="false" outlineLevel="0" collapsed="false">
      <c r="A44" s="8" t="str">
        <f aca="false">parametros_recargas!$B$82</f>
        <v>Laboratorio — Puffer y mufla</v>
      </c>
      <c r="B44" s="21" t="n">
        <f aca="false">parametros_recargas!$E$82*'Plan mensual'!D53+parametros_recargas!$F$82*'Plan mensual'!D54+parametros_recargas!$G$82*'Plan mensual'!D55+parametros_recargas!$H$82*'Plan mensual'!D56+parametros_recargas!$I$82*'Plan mensual'!D57+parametros_recargas!$J$82*'Plan mensual'!D58+parametros_recargas!$K$82*'Plan mensual'!D59+parametros_recargas!$L$82*'Plan mensual'!D60</f>
        <v>0.665598780865264</v>
      </c>
      <c r="C44" s="21" t="n">
        <f aca="false">parametros_recargas!$E$82*'Plan mensual'!E53+parametros_recargas!$F$82*'Plan mensual'!E54+parametros_recargas!$G$82*'Plan mensual'!E55+parametros_recargas!$H$82*'Plan mensual'!E56+parametros_recargas!$I$82*'Plan mensual'!E57+parametros_recargas!$J$82*'Plan mensual'!E58+parametros_recargas!$K$82*'Plan mensual'!E59+parametros_recargas!$L$82*'Plan mensual'!E60</f>
        <v>0.665598780865264</v>
      </c>
      <c r="D44" s="21" t="n">
        <f aca="false">parametros_recargas!$E$82*'Plan mensual'!F53+parametros_recargas!$F$82*'Plan mensual'!F54+parametros_recargas!$G$82*'Plan mensual'!F55+parametros_recargas!$H$82*'Plan mensual'!F56+parametros_recargas!$I$82*'Plan mensual'!F57+parametros_recargas!$J$82*'Plan mensual'!F58+parametros_recargas!$K$82*'Plan mensual'!F59+parametros_recargas!$L$82*'Plan mensual'!F60</f>
        <v>0.665598780865264</v>
      </c>
      <c r="E44" s="21" t="n">
        <f aca="false">parametros_recargas!$E$82*'Plan mensual'!G53+parametros_recargas!$F$82*'Plan mensual'!G54+parametros_recargas!$G$82*'Plan mensual'!G55+parametros_recargas!$H$82*'Plan mensual'!G56+parametros_recargas!$I$82*'Plan mensual'!G57+parametros_recargas!$J$82*'Plan mensual'!G58+parametros_recargas!$K$82*'Plan mensual'!G59+parametros_recargas!$L$82*'Plan mensual'!G60</f>
        <v>0.665598780865264</v>
      </c>
      <c r="F44" s="21" t="n">
        <f aca="false">parametros_recargas!$E$82*'Plan mensual'!H53+parametros_recargas!$F$82*'Plan mensual'!H54+parametros_recargas!$G$82*'Plan mensual'!H55+parametros_recargas!$H$82*'Plan mensual'!H56+parametros_recargas!$I$82*'Plan mensual'!H57+parametros_recargas!$J$82*'Plan mensual'!H58+parametros_recargas!$K$82*'Plan mensual'!H59+parametros_recargas!$L$82*'Plan mensual'!H60</f>
        <v>0.665598780865264</v>
      </c>
      <c r="G44" s="21" t="n">
        <f aca="false">parametros_recargas!$E$82*'Plan mensual'!I53+parametros_recargas!$F$82*'Plan mensual'!I54+parametros_recargas!$G$82*'Plan mensual'!I55+parametros_recargas!$H$82*'Plan mensual'!I56+parametros_recargas!$I$82*'Plan mensual'!I57+parametros_recargas!$J$82*'Plan mensual'!I58+parametros_recargas!$K$82*'Plan mensual'!I59+parametros_recargas!$L$82*'Plan mensual'!I60</f>
        <v>0.665598780865264</v>
      </c>
      <c r="H44" s="21" t="n">
        <f aca="false">parametros_recargas!$E$82*'Plan mensual'!J53+parametros_recargas!$F$82*'Plan mensual'!J54+parametros_recargas!$G$82*'Plan mensual'!J55+parametros_recargas!$H$82*'Plan mensual'!J56+parametros_recargas!$I$82*'Plan mensual'!J57+parametros_recargas!$J$82*'Plan mensual'!J58+parametros_recargas!$K$82*'Plan mensual'!J59+parametros_recargas!$L$82*'Plan mensual'!J60</f>
        <v>0.665598780865264</v>
      </c>
      <c r="I44" s="21" t="n">
        <f aca="false">parametros_recargas!$E$82*'Plan mensual'!K53+parametros_recargas!$F$82*'Plan mensual'!K54+parametros_recargas!$G$82*'Plan mensual'!K55+parametros_recargas!$H$82*'Plan mensual'!K56+parametros_recargas!$I$82*'Plan mensual'!K57+parametros_recargas!$J$82*'Plan mensual'!K58+parametros_recargas!$K$82*'Plan mensual'!K59+parametros_recargas!$L$82*'Plan mensual'!K60</f>
        <v>0.665598780865264</v>
      </c>
      <c r="J44" s="21" t="n">
        <f aca="false">parametros_recargas!$E$82*'Plan mensual'!L53+parametros_recargas!$F$82*'Plan mensual'!L54+parametros_recargas!$G$82*'Plan mensual'!L55+parametros_recargas!$H$82*'Plan mensual'!L56+parametros_recargas!$I$82*'Plan mensual'!L57+parametros_recargas!$J$82*'Plan mensual'!L58+parametros_recargas!$K$82*'Plan mensual'!L59+parametros_recargas!$L$82*'Plan mensual'!L60</f>
        <v>0.665598780865264</v>
      </c>
      <c r="K44" s="21" t="n">
        <f aca="false">parametros_recargas!$E$82*'Plan mensual'!M53+parametros_recargas!$F$82*'Plan mensual'!M54+parametros_recargas!$G$82*'Plan mensual'!M55+parametros_recargas!$H$82*'Plan mensual'!M56+parametros_recargas!$I$82*'Plan mensual'!M57+parametros_recargas!$J$82*'Plan mensual'!M58+parametros_recargas!$K$82*'Plan mensual'!M59+parametros_recargas!$L$82*'Plan mensual'!M60</f>
        <v>0.665598780865264</v>
      </c>
      <c r="L44" s="21" t="n">
        <f aca="false">parametros_recargas!$E$82*'Plan mensual'!N53+parametros_recargas!$F$82*'Plan mensual'!N54+parametros_recargas!$G$82*'Plan mensual'!N55+parametros_recargas!$H$82*'Plan mensual'!N56+parametros_recargas!$I$82*'Plan mensual'!N57+parametros_recargas!$J$82*'Plan mensual'!N58+parametros_recargas!$K$82*'Plan mensual'!N59+parametros_recargas!$L$82*'Plan mensual'!N60</f>
        <v>0.665598780865264</v>
      </c>
      <c r="M44" s="21" t="n">
        <f aca="false">parametros_recargas!$E$82*'Plan mensual'!O53+parametros_recargas!$F$82*'Plan mensual'!O54+parametros_recargas!$G$82*'Plan mensual'!O55+parametros_recargas!$H$82*'Plan mensual'!O56+parametros_recargas!$I$82*'Plan mensual'!O57+parametros_recargas!$J$82*'Plan mensual'!O58+parametros_recargas!$K$82*'Plan mensual'!O59+parametros_recargas!$L$82*'Plan mensual'!O60</f>
        <v>0.665598780865264</v>
      </c>
      <c r="N44" s="6" t="n">
        <f aca="false">SUM(B44:M44)</f>
        <v>7.98718537038317</v>
      </c>
      <c r="O44" s="22" t="n">
        <f aca="false">MAX(B44:M44)</f>
        <v>0.665598780865264</v>
      </c>
      <c r="P44" s="12" t="n">
        <f aca="false">O44/parametros_recargas!$B$6</f>
        <v>0.00443732520576843</v>
      </c>
    </row>
    <row r="45" customFormat="false" ht="15" hidden="false" customHeight="false" outlineLevel="0" collapsed="false">
      <c r="A45" s="8" t="str">
        <f aca="false">parametros_recargas!$B$83</f>
        <v>Prueba hidráulica</v>
      </c>
      <c r="B45" s="21" t="n">
        <f aca="false">parametros_recargas!$E$83*'Plan mensual'!D53+parametros_recargas!$F$83*'Plan mensual'!D54+parametros_recargas!$G$83*'Plan mensual'!D55+parametros_recargas!$H$83*'Plan mensual'!D56+parametros_recargas!$I$83*'Plan mensual'!D57+parametros_recargas!$J$83*'Plan mensual'!D58+parametros_recargas!$K$83*'Plan mensual'!D59+parametros_recargas!$L$83*'Plan mensual'!D60</f>
        <v>162.154152422065</v>
      </c>
      <c r="C45" s="21" t="n">
        <f aca="false">parametros_recargas!$E$83*'Plan mensual'!E53+parametros_recargas!$F$83*'Plan mensual'!E54+parametros_recargas!$G$83*'Plan mensual'!E55+parametros_recargas!$H$83*'Plan mensual'!E56+parametros_recargas!$I$83*'Plan mensual'!E57+parametros_recargas!$J$83*'Plan mensual'!E58+parametros_recargas!$K$83*'Plan mensual'!E59+parametros_recargas!$L$83*'Plan mensual'!E60</f>
        <v>162.154152422065</v>
      </c>
      <c r="D45" s="21" t="n">
        <f aca="false">parametros_recargas!$E$83*'Plan mensual'!F53+parametros_recargas!$F$83*'Plan mensual'!F54+parametros_recargas!$G$83*'Plan mensual'!F55+parametros_recargas!$H$83*'Plan mensual'!F56+parametros_recargas!$I$83*'Plan mensual'!F57+parametros_recargas!$J$83*'Plan mensual'!F58+parametros_recargas!$K$83*'Plan mensual'!F59+parametros_recargas!$L$83*'Plan mensual'!F60</f>
        <v>162.154152422065</v>
      </c>
      <c r="E45" s="21" t="n">
        <f aca="false">parametros_recargas!$E$83*'Plan mensual'!G53+parametros_recargas!$F$83*'Plan mensual'!G54+parametros_recargas!$G$83*'Plan mensual'!G55+parametros_recargas!$H$83*'Plan mensual'!G56+parametros_recargas!$I$83*'Plan mensual'!G57+parametros_recargas!$J$83*'Plan mensual'!G58+parametros_recargas!$K$83*'Plan mensual'!G59+parametros_recargas!$L$83*'Plan mensual'!G60</f>
        <v>162.154152422065</v>
      </c>
      <c r="F45" s="21" t="n">
        <f aca="false">parametros_recargas!$E$83*'Plan mensual'!H53+parametros_recargas!$F$83*'Plan mensual'!H54+parametros_recargas!$G$83*'Plan mensual'!H55+parametros_recargas!$H$83*'Plan mensual'!H56+parametros_recargas!$I$83*'Plan mensual'!H57+parametros_recargas!$J$83*'Plan mensual'!H58+parametros_recargas!$K$83*'Plan mensual'!H59+parametros_recargas!$L$83*'Plan mensual'!H60</f>
        <v>162.154152422065</v>
      </c>
      <c r="G45" s="21" t="n">
        <f aca="false">parametros_recargas!$E$83*'Plan mensual'!I53+parametros_recargas!$F$83*'Plan mensual'!I54+parametros_recargas!$G$83*'Plan mensual'!I55+parametros_recargas!$H$83*'Plan mensual'!I56+parametros_recargas!$I$83*'Plan mensual'!I57+parametros_recargas!$J$83*'Plan mensual'!I58+parametros_recargas!$K$83*'Plan mensual'!I59+parametros_recargas!$L$83*'Plan mensual'!I60</f>
        <v>162.154152422065</v>
      </c>
      <c r="H45" s="21" t="n">
        <f aca="false">parametros_recargas!$E$83*'Plan mensual'!J53+parametros_recargas!$F$83*'Plan mensual'!J54+parametros_recargas!$G$83*'Plan mensual'!J55+parametros_recargas!$H$83*'Plan mensual'!J56+parametros_recargas!$I$83*'Plan mensual'!J57+parametros_recargas!$J$83*'Plan mensual'!J58+parametros_recargas!$K$83*'Plan mensual'!J59+parametros_recargas!$L$83*'Plan mensual'!J60</f>
        <v>162.154152422065</v>
      </c>
      <c r="I45" s="21" t="n">
        <f aca="false">parametros_recargas!$E$83*'Plan mensual'!K53+parametros_recargas!$F$83*'Plan mensual'!K54+parametros_recargas!$G$83*'Plan mensual'!K55+parametros_recargas!$H$83*'Plan mensual'!K56+parametros_recargas!$I$83*'Plan mensual'!K57+parametros_recargas!$J$83*'Plan mensual'!K58+parametros_recargas!$K$83*'Plan mensual'!K59+parametros_recargas!$L$83*'Plan mensual'!K60</f>
        <v>162.154152422065</v>
      </c>
      <c r="J45" s="21" t="n">
        <f aca="false">parametros_recargas!$E$83*'Plan mensual'!L53+parametros_recargas!$F$83*'Plan mensual'!L54+parametros_recargas!$G$83*'Plan mensual'!L55+parametros_recargas!$H$83*'Plan mensual'!L56+parametros_recargas!$I$83*'Plan mensual'!L57+parametros_recargas!$J$83*'Plan mensual'!L58+parametros_recargas!$K$83*'Plan mensual'!L59+parametros_recargas!$L$83*'Plan mensual'!L60</f>
        <v>162.154152422065</v>
      </c>
      <c r="K45" s="21" t="n">
        <f aca="false">parametros_recargas!$E$83*'Plan mensual'!M53+parametros_recargas!$F$83*'Plan mensual'!M54+parametros_recargas!$G$83*'Plan mensual'!M55+parametros_recargas!$H$83*'Plan mensual'!M56+parametros_recargas!$I$83*'Plan mensual'!M57+parametros_recargas!$J$83*'Plan mensual'!M58+parametros_recargas!$K$83*'Plan mensual'!M59+parametros_recargas!$L$83*'Plan mensual'!M60</f>
        <v>162.154152422065</v>
      </c>
      <c r="L45" s="21" t="n">
        <f aca="false">parametros_recargas!$E$83*'Plan mensual'!N53+parametros_recargas!$F$83*'Plan mensual'!N54+parametros_recargas!$G$83*'Plan mensual'!N55+parametros_recargas!$H$83*'Plan mensual'!N56+parametros_recargas!$I$83*'Plan mensual'!N57+parametros_recargas!$J$83*'Plan mensual'!N58+parametros_recargas!$K$83*'Plan mensual'!N59+parametros_recargas!$L$83*'Plan mensual'!N60</f>
        <v>162.154152422065</v>
      </c>
      <c r="M45" s="21" t="n">
        <f aca="false">parametros_recargas!$E$83*'Plan mensual'!O53+parametros_recargas!$F$83*'Plan mensual'!O54+parametros_recargas!$G$83*'Plan mensual'!O55+parametros_recargas!$H$83*'Plan mensual'!O56+parametros_recargas!$I$83*'Plan mensual'!O57+parametros_recargas!$J$83*'Plan mensual'!O58+parametros_recargas!$K$83*'Plan mensual'!O59+parametros_recargas!$L$83*'Plan mensual'!O60</f>
        <v>162.154152422065</v>
      </c>
      <c r="N45" s="6" t="n">
        <f aca="false">SUM(B45:M45)</f>
        <v>1945.84982906478</v>
      </c>
      <c r="O45" s="22" t="n">
        <f aca="false">MAX(B45:M45)</f>
        <v>162.154152422065</v>
      </c>
      <c r="P45" s="12" t="n">
        <f aca="false">O45/parametros_recargas!$B$6</f>
        <v>1.08102768281377</v>
      </c>
    </row>
    <row r="46" customFormat="false" ht="15" hidden="false" customHeight="false" outlineLevel="0" collapsed="false">
      <c r="A46" s="8" t="str">
        <f aca="false">parametros_recargas!$B$84</f>
        <v>Secado</v>
      </c>
      <c r="B46" s="21" t="n">
        <f aca="false">parametros_recargas!$E$84*'Plan mensual'!D53+parametros_recargas!$F$84*'Plan mensual'!D54+parametros_recargas!$G$84*'Plan mensual'!D55+parametros_recargas!$H$84*'Plan mensual'!D56+parametros_recargas!$I$84*'Plan mensual'!D57+parametros_recargas!$J$84*'Plan mensual'!D58+parametros_recargas!$K$84*'Plan mensual'!D59+parametros_recargas!$L$84*'Plan mensual'!D60</f>
        <v>151.880880167331</v>
      </c>
      <c r="C46" s="21" t="n">
        <f aca="false">parametros_recargas!$E$84*'Plan mensual'!E53+parametros_recargas!$F$84*'Plan mensual'!E54+parametros_recargas!$G$84*'Plan mensual'!E55+parametros_recargas!$H$84*'Plan mensual'!E56+parametros_recargas!$I$84*'Plan mensual'!E57+parametros_recargas!$J$84*'Plan mensual'!E58+parametros_recargas!$K$84*'Plan mensual'!E59+parametros_recargas!$L$84*'Plan mensual'!E60</f>
        <v>151.880880167331</v>
      </c>
      <c r="D46" s="21" t="n">
        <f aca="false">parametros_recargas!$E$84*'Plan mensual'!F53+parametros_recargas!$F$84*'Plan mensual'!F54+parametros_recargas!$G$84*'Plan mensual'!F55+parametros_recargas!$H$84*'Plan mensual'!F56+parametros_recargas!$I$84*'Plan mensual'!F57+parametros_recargas!$J$84*'Plan mensual'!F58+parametros_recargas!$K$84*'Plan mensual'!F59+parametros_recargas!$L$84*'Plan mensual'!F60</f>
        <v>151.880880167331</v>
      </c>
      <c r="E46" s="21" t="n">
        <f aca="false">parametros_recargas!$E$84*'Plan mensual'!G53+parametros_recargas!$F$84*'Plan mensual'!G54+parametros_recargas!$G$84*'Plan mensual'!G55+parametros_recargas!$H$84*'Plan mensual'!G56+parametros_recargas!$I$84*'Plan mensual'!G57+parametros_recargas!$J$84*'Plan mensual'!G58+parametros_recargas!$K$84*'Plan mensual'!G59+parametros_recargas!$L$84*'Plan mensual'!G60</f>
        <v>151.880880167331</v>
      </c>
      <c r="F46" s="21" t="n">
        <f aca="false">parametros_recargas!$E$84*'Plan mensual'!H53+parametros_recargas!$F$84*'Plan mensual'!H54+parametros_recargas!$G$84*'Plan mensual'!H55+parametros_recargas!$H$84*'Plan mensual'!H56+parametros_recargas!$I$84*'Plan mensual'!H57+parametros_recargas!$J$84*'Plan mensual'!H58+parametros_recargas!$K$84*'Plan mensual'!H59+parametros_recargas!$L$84*'Plan mensual'!H60</f>
        <v>151.880880167331</v>
      </c>
      <c r="G46" s="21" t="n">
        <f aca="false">parametros_recargas!$E$84*'Plan mensual'!I53+parametros_recargas!$F$84*'Plan mensual'!I54+parametros_recargas!$G$84*'Plan mensual'!I55+parametros_recargas!$H$84*'Plan mensual'!I56+parametros_recargas!$I$84*'Plan mensual'!I57+parametros_recargas!$J$84*'Plan mensual'!I58+parametros_recargas!$K$84*'Plan mensual'!I59+parametros_recargas!$L$84*'Plan mensual'!I60</f>
        <v>151.880880167331</v>
      </c>
      <c r="H46" s="21" t="n">
        <f aca="false">parametros_recargas!$E$84*'Plan mensual'!J53+parametros_recargas!$F$84*'Plan mensual'!J54+parametros_recargas!$G$84*'Plan mensual'!J55+parametros_recargas!$H$84*'Plan mensual'!J56+parametros_recargas!$I$84*'Plan mensual'!J57+parametros_recargas!$J$84*'Plan mensual'!J58+parametros_recargas!$K$84*'Plan mensual'!J59+parametros_recargas!$L$84*'Plan mensual'!J60</f>
        <v>151.880880167331</v>
      </c>
      <c r="I46" s="21" t="n">
        <f aca="false">parametros_recargas!$E$84*'Plan mensual'!K53+parametros_recargas!$F$84*'Plan mensual'!K54+parametros_recargas!$G$84*'Plan mensual'!K55+parametros_recargas!$H$84*'Plan mensual'!K56+parametros_recargas!$I$84*'Plan mensual'!K57+parametros_recargas!$J$84*'Plan mensual'!K58+parametros_recargas!$K$84*'Plan mensual'!K59+parametros_recargas!$L$84*'Plan mensual'!K60</f>
        <v>151.880880167331</v>
      </c>
      <c r="J46" s="21" t="n">
        <f aca="false">parametros_recargas!$E$84*'Plan mensual'!L53+parametros_recargas!$F$84*'Plan mensual'!L54+parametros_recargas!$G$84*'Plan mensual'!L55+parametros_recargas!$H$84*'Plan mensual'!L56+parametros_recargas!$I$84*'Plan mensual'!L57+parametros_recargas!$J$84*'Plan mensual'!L58+parametros_recargas!$K$84*'Plan mensual'!L59+parametros_recargas!$L$84*'Plan mensual'!L60</f>
        <v>151.880880167331</v>
      </c>
      <c r="K46" s="21" t="n">
        <f aca="false">parametros_recargas!$E$84*'Plan mensual'!M53+parametros_recargas!$F$84*'Plan mensual'!M54+parametros_recargas!$G$84*'Plan mensual'!M55+parametros_recargas!$H$84*'Plan mensual'!M56+parametros_recargas!$I$84*'Plan mensual'!M57+parametros_recargas!$J$84*'Plan mensual'!M58+parametros_recargas!$K$84*'Plan mensual'!M59+parametros_recargas!$L$84*'Plan mensual'!M60</f>
        <v>151.880880167331</v>
      </c>
      <c r="L46" s="21" t="n">
        <f aca="false">parametros_recargas!$E$84*'Plan mensual'!N53+parametros_recargas!$F$84*'Plan mensual'!N54+parametros_recargas!$G$84*'Plan mensual'!N55+parametros_recargas!$H$84*'Plan mensual'!N56+parametros_recargas!$I$84*'Plan mensual'!N57+parametros_recargas!$J$84*'Plan mensual'!N58+parametros_recargas!$K$84*'Plan mensual'!N59+parametros_recargas!$L$84*'Plan mensual'!N60</f>
        <v>151.880880167331</v>
      </c>
      <c r="M46" s="21" t="n">
        <f aca="false">parametros_recargas!$E$84*'Plan mensual'!O53+parametros_recargas!$F$84*'Plan mensual'!O54+parametros_recargas!$G$84*'Plan mensual'!O55+parametros_recargas!$H$84*'Plan mensual'!O56+parametros_recargas!$I$84*'Plan mensual'!O57+parametros_recargas!$J$84*'Plan mensual'!O58+parametros_recargas!$K$84*'Plan mensual'!O59+parametros_recargas!$L$84*'Plan mensual'!O60</f>
        <v>151.880880167331</v>
      </c>
      <c r="N46" s="6" t="n">
        <f aca="false">SUM(B46:M46)</f>
        <v>1822.57056200797</v>
      </c>
      <c r="O46" s="22" t="n">
        <f aca="false">MAX(B46:M46)</f>
        <v>151.880880167331</v>
      </c>
      <c r="P46" s="12" t="n">
        <f aca="false">O46/parametros_recargas!$B$6</f>
        <v>1.01253920111554</v>
      </c>
    </row>
    <row r="47" customFormat="false" ht="15" hidden="false" customHeight="false" outlineLevel="0" collapsed="false">
      <c r="A47" s="8" t="str">
        <f aca="false">parametros_recargas!$B$85</f>
        <v>Inspección interior con videoscopio</v>
      </c>
      <c r="B47" s="21" t="n">
        <f aca="false">parametros_recargas!$E$85*'Plan mensual'!D53+parametros_recargas!$F$85*'Plan mensual'!D54+parametros_recargas!$G$85*'Plan mensual'!D55+parametros_recargas!$H$85*'Plan mensual'!D56+parametros_recargas!$I$85*'Plan mensual'!D57+parametros_recargas!$J$85*'Plan mensual'!D58+parametros_recargas!$K$85*'Plan mensual'!D59+parametros_recargas!$L$85*'Plan mensual'!D60</f>
        <v>151.880880167331</v>
      </c>
      <c r="C47" s="21" t="n">
        <f aca="false">parametros_recargas!$E$85*'Plan mensual'!E53+parametros_recargas!$F$85*'Plan mensual'!E54+parametros_recargas!$G$85*'Plan mensual'!E55+parametros_recargas!$H$85*'Plan mensual'!E56+parametros_recargas!$I$85*'Plan mensual'!E57+parametros_recargas!$J$85*'Plan mensual'!E58+parametros_recargas!$K$85*'Plan mensual'!E59+parametros_recargas!$L$85*'Plan mensual'!E60</f>
        <v>151.880880167331</v>
      </c>
      <c r="D47" s="21" t="n">
        <f aca="false">parametros_recargas!$E$85*'Plan mensual'!F53+parametros_recargas!$F$85*'Plan mensual'!F54+parametros_recargas!$G$85*'Plan mensual'!F55+parametros_recargas!$H$85*'Plan mensual'!F56+parametros_recargas!$I$85*'Plan mensual'!F57+parametros_recargas!$J$85*'Plan mensual'!F58+parametros_recargas!$K$85*'Plan mensual'!F59+parametros_recargas!$L$85*'Plan mensual'!F60</f>
        <v>151.880880167331</v>
      </c>
      <c r="E47" s="21" t="n">
        <f aca="false">parametros_recargas!$E$85*'Plan mensual'!G53+parametros_recargas!$F$85*'Plan mensual'!G54+parametros_recargas!$G$85*'Plan mensual'!G55+parametros_recargas!$H$85*'Plan mensual'!G56+parametros_recargas!$I$85*'Plan mensual'!G57+parametros_recargas!$J$85*'Plan mensual'!G58+parametros_recargas!$K$85*'Plan mensual'!G59+parametros_recargas!$L$85*'Plan mensual'!G60</f>
        <v>151.880880167331</v>
      </c>
      <c r="F47" s="21" t="n">
        <f aca="false">parametros_recargas!$E$85*'Plan mensual'!H53+parametros_recargas!$F$85*'Plan mensual'!H54+parametros_recargas!$G$85*'Plan mensual'!H55+parametros_recargas!$H$85*'Plan mensual'!H56+parametros_recargas!$I$85*'Plan mensual'!H57+parametros_recargas!$J$85*'Plan mensual'!H58+parametros_recargas!$K$85*'Plan mensual'!H59+parametros_recargas!$L$85*'Plan mensual'!H60</f>
        <v>151.880880167331</v>
      </c>
      <c r="G47" s="21" t="n">
        <f aca="false">parametros_recargas!$E$85*'Plan mensual'!I53+parametros_recargas!$F$85*'Plan mensual'!I54+parametros_recargas!$G$85*'Plan mensual'!I55+parametros_recargas!$H$85*'Plan mensual'!I56+parametros_recargas!$I$85*'Plan mensual'!I57+parametros_recargas!$J$85*'Plan mensual'!I58+parametros_recargas!$K$85*'Plan mensual'!I59+parametros_recargas!$L$85*'Plan mensual'!I60</f>
        <v>151.880880167331</v>
      </c>
      <c r="H47" s="21" t="n">
        <f aca="false">parametros_recargas!$E$85*'Plan mensual'!J53+parametros_recargas!$F$85*'Plan mensual'!J54+parametros_recargas!$G$85*'Plan mensual'!J55+parametros_recargas!$H$85*'Plan mensual'!J56+parametros_recargas!$I$85*'Plan mensual'!J57+parametros_recargas!$J$85*'Plan mensual'!J58+parametros_recargas!$K$85*'Plan mensual'!J59+parametros_recargas!$L$85*'Plan mensual'!J60</f>
        <v>151.880880167331</v>
      </c>
      <c r="I47" s="21" t="n">
        <f aca="false">parametros_recargas!$E$85*'Plan mensual'!K53+parametros_recargas!$F$85*'Plan mensual'!K54+parametros_recargas!$G$85*'Plan mensual'!K55+parametros_recargas!$H$85*'Plan mensual'!K56+parametros_recargas!$I$85*'Plan mensual'!K57+parametros_recargas!$J$85*'Plan mensual'!K58+parametros_recargas!$K$85*'Plan mensual'!K59+parametros_recargas!$L$85*'Plan mensual'!K60</f>
        <v>151.880880167331</v>
      </c>
      <c r="J47" s="21" t="n">
        <f aca="false">parametros_recargas!$E$85*'Plan mensual'!L53+parametros_recargas!$F$85*'Plan mensual'!L54+parametros_recargas!$G$85*'Plan mensual'!L55+parametros_recargas!$H$85*'Plan mensual'!L56+parametros_recargas!$I$85*'Plan mensual'!L57+parametros_recargas!$J$85*'Plan mensual'!L58+parametros_recargas!$K$85*'Plan mensual'!L59+parametros_recargas!$L$85*'Plan mensual'!L60</f>
        <v>151.880880167331</v>
      </c>
      <c r="K47" s="21" t="n">
        <f aca="false">parametros_recargas!$E$85*'Plan mensual'!M53+parametros_recargas!$F$85*'Plan mensual'!M54+parametros_recargas!$G$85*'Plan mensual'!M55+parametros_recargas!$H$85*'Plan mensual'!M56+parametros_recargas!$I$85*'Plan mensual'!M57+parametros_recargas!$J$85*'Plan mensual'!M58+parametros_recargas!$K$85*'Plan mensual'!M59+parametros_recargas!$L$85*'Plan mensual'!M60</f>
        <v>151.880880167331</v>
      </c>
      <c r="L47" s="21" t="n">
        <f aca="false">parametros_recargas!$E$85*'Plan mensual'!N53+parametros_recargas!$F$85*'Plan mensual'!N54+parametros_recargas!$G$85*'Plan mensual'!N55+parametros_recargas!$H$85*'Plan mensual'!N56+parametros_recargas!$I$85*'Plan mensual'!N57+parametros_recargas!$J$85*'Plan mensual'!N58+parametros_recargas!$K$85*'Plan mensual'!N59+parametros_recargas!$L$85*'Plan mensual'!N60</f>
        <v>151.880880167331</v>
      </c>
      <c r="M47" s="21" t="n">
        <f aca="false">parametros_recargas!$E$85*'Plan mensual'!O53+parametros_recargas!$F$85*'Plan mensual'!O54+parametros_recargas!$G$85*'Plan mensual'!O55+parametros_recargas!$H$85*'Plan mensual'!O56+parametros_recargas!$I$85*'Plan mensual'!O57+parametros_recargas!$J$85*'Plan mensual'!O58+parametros_recargas!$K$85*'Plan mensual'!O59+parametros_recargas!$L$85*'Plan mensual'!O60</f>
        <v>151.880880167331</v>
      </c>
      <c r="N47" s="6" t="n">
        <f aca="false">SUM(B47:M47)</f>
        <v>1822.57056200797</v>
      </c>
      <c r="O47" s="22" t="n">
        <f aca="false">MAX(B47:M47)</f>
        <v>151.880880167331</v>
      </c>
      <c r="P47" s="12" t="n">
        <f aca="false">O47/parametros_recargas!$B$6</f>
        <v>1.01253920111554</v>
      </c>
    </row>
    <row r="48" customFormat="false" ht="15" hidden="false" customHeight="false" outlineLevel="0" collapsed="false">
      <c r="A48" s="8" t="str">
        <f aca="false">parametros_recargas!$B$86</f>
        <v>Pintura</v>
      </c>
      <c r="B48" s="21" t="n">
        <f aca="false">parametros_recargas!$E$86*'Plan mensual'!D53+parametros_recargas!$F$86*'Plan mensual'!D54+parametros_recargas!$G$86*'Plan mensual'!D55+parametros_recargas!$H$86*'Plan mensual'!D56+parametros_recargas!$I$86*'Plan mensual'!D57+parametros_recargas!$J$86*'Plan mensual'!D58+parametros_recargas!$K$86*'Plan mensual'!D59+parametros_recargas!$L$86*'Plan mensual'!D60</f>
        <v>75.9946561446901</v>
      </c>
      <c r="C48" s="21" t="n">
        <f aca="false">parametros_recargas!$E$86*'Plan mensual'!E53+parametros_recargas!$F$86*'Plan mensual'!E54+parametros_recargas!$G$86*'Plan mensual'!E55+parametros_recargas!$H$86*'Plan mensual'!E56+parametros_recargas!$I$86*'Plan mensual'!E57+parametros_recargas!$J$86*'Plan mensual'!E58+parametros_recargas!$K$86*'Plan mensual'!E59+parametros_recargas!$L$86*'Plan mensual'!E60</f>
        <v>75.9946561446901</v>
      </c>
      <c r="D48" s="21" t="n">
        <f aca="false">parametros_recargas!$E$86*'Plan mensual'!F53+parametros_recargas!$F$86*'Plan mensual'!F54+parametros_recargas!$G$86*'Plan mensual'!F55+parametros_recargas!$H$86*'Plan mensual'!F56+parametros_recargas!$I$86*'Plan mensual'!F57+parametros_recargas!$J$86*'Plan mensual'!F58+parametros_recargas!$K$86*'Plan mensual'!F59+parametros_recargas!$L$86*'Plan mensual'!F60</f>
        <v>75.9946561446901</v>
      </c>
      <c r="E48" s="21" t="n">
        <f aca="false">parametros_recargas!$E$86*'Plan mensual'!G53+parametros_recargas!$F$86*'Plan mensual'!G54+parametros_recargas!$G$86*'Plan mensual'!G55+parametros_recargas!$H$86*'Plan mensual'!G56+parametros_recargas!$I$86*'Plan mensual'!G57+parametros_recargas!$J$86*'Plan mensual'!G58+parametros_recargas!$K$86*'Plan mensual'!G59+parametros_recargas!$L$86*'Plan mensual'!G60</f>
        <v>75.9946561446901</v>
      </c>
      <c r="F48" s="21" t="n">
        <f aca="false">parametros_recargas!$E$86*'Plan mensual'!H53+parametros_recargas!$F$86*'Plan mensual'!H54+parametros_recargas!$G$86*'Plan mensual'!H55+parametros_recargas!$H$86*'Plan mensual'!H56+parametros_recargas!$I$86*'Plan mensual'!H57+parametros_recargas!$J$86*'Plan mensual'!H58+parametros_recargas!$K$86*'Plan mensual'!H59+parametros_recargas!$L$86*'Plan mensual'!H60</f>
        <v>75.9946561446901</v>
      </c>
      <c r="G48" s="21" t="n">
        <f aca="false">parametros_recargas!$E$86*'Plan mensual'!I53+parametros_recargas!$F$86*'Plan mensual'!I54+parametros_recargas!$G$86*'Plan mensual'!I55+parametros_recargas!$H$86*'Plan mensual'!I56+parametros_recargas!$I$86*'Plan mensual'!I57+parametros_recargas!$J$86*'Plan mensual'!I58+parametros_recargas!$K$86*'Plan mensual'!I59+parametros_recargas!$L$86*'Plan mensual'!I60</f>
        <v>75.9946561446901</v>
      </c>
      <c r="H48" s="21" t="n">
        <f aca="false">parametros_recargas!$E$86*'Plan mensual'!J53+parametros_recargas!$F$86*'Plan mensual'!J54+parametros_recargas!$G$86*'Plan mensual'!J55+parametros_recargas!$H$86*'Plan mensual'!J56+parametros_recargas!$I$86*'Plan mensual'!J57+parametros_recargas!$J$86*'Plan mensual'!J58+parametros_recargas!$K$86*'Plan mensual'!J59+parametros_recargas!$L$86*'Plan mensual'!J60</f>
        <v>75.9946561446901</v>
      </c>
      <c r="I48" s="21" t="n">
        <f aca="false">parametros_recargas!$E$86*'Plan mensual'!K53+parametros_recargas!$F$86*'Plan mensual'!K54+parametros_recargas!$G$86*'Plan mensual'!K55+parametros_recargas!$H$86*'Plan mensual'!K56+parametros_recargas!$I$86*'Plan mensual'!K57+parametros_recargas!$J$86*'Plan mensual'!K58+parametros_recargas!$K$86*'Plan mensual'!K59+parametros_recargas!$L$86*'Plan mensual'!K60</f>
        <v>75.9946561446901</v>
      </c>
      <c r="J48" s="21" t="n">
        <f aca="false">parametros_recargas!$E$86*'Plan mensual'!L53+parametros_recargas!$F$86*'Plan mensual'!L54+parametros_recargas!$G$86*'Plan mensual'!L55+parametros_recargas!$H$86*'Plan mensual'!L56+parametros_recargas!$I$86*'Plan mensual'!L57+parametros_recargas!$J$86*'Plan mensual'!L58+parametros_recargas!$K$86*'Plan mensual'!L59+parametros_recargas!$L$86*'Plan mensual'!L60</f>
        <v>75.9946561446901</v>
      </c>
      <c r="K48" s="21" t="n">
        <f aca="false">parametros_recargas!$E$86*'Plan mensual'!M53+parametros_recargas!$F$86*'Plan mensual'!M54+parametros_recargas!$G$86*'Plan mensual'!M55+parametros_recargas!$H$86*'Plan mensual'!M56+parametros_recargas!$I$86*'Plan mensual'!M57+parametros_recargas!$J$86*'Plan mensual'!M58+parametros_recargas!$K$86*'Plan mensual'!M59+parametros_recargas!$L$86*'Plan mensual'!M60</f>
        <v>75.9946561446901</v>
      </c>
      <c r="L48" s="21" t="n">
        <f aca="false">parametros_recargas!$E$86*'Plan mensual'!N53+parametros_recargas!$F$86*'Plan mensual'!N54+parametros_recargas!$G$86*'Plan mensual'!N55+parametros_recargas!$H$86*'Plan mensual'!N56+parametros_recargas!$I$86*'Plan mensual'!N57+parametros_recargas!$J$86*'Plan mensual'!N58+parametros_recargas!$K$86*'Plan mensual'!N59+parametros_recargas!$L$86*'Plan mensual'!N60</f>
        <v>75.9946561446901</v>
      </c>
      <c r="M48" s="21" t="n">
        <f aca="false">parametros_recargas!$E$86*'Plan mensual'!O53+parametros_recargas!$F$86*'Plan mensual'!O54+parametros_recargas!$G$86*'Plan mensual'!O55+parametros_recargas!$H$86*'Plan mensual'!O56+parametros_recargas!$I$86*'Plan mensual'!O57+parametros_recargas!$J$86*'Plan mensual'!O58+parametros_recargas!$K$86*'Plan mensual'!O59+parametros_recargas!$L$86*'Plan mensual'!O60</f>
        <v>75.9946561446901</v>
      </c>
      <c r="N48" s="6" t="n">
        <f aca="false">SUM(B48:M48)</f>
        <v>911.935873736281</v>
      </c>
      <c r="O48" s="22" t="n">
        <f aca="false">MAX(B48:M48)</f>
        <v>75.9946561446901</v>
      </c>
      <c r="P48" s="12" t="n">
        <f aca="false">O48/parametros_recargas!$B$6</f>
        <v>0.506631040964601</v>
      </c>
    </row>
    <row r="49" customFormat="false" ht="15" hidden="false" customHeight="false" outlineLevel="0" collapsed="false">
      <c r="A49" s="8" t="str">
        <f aca="false">parametros_recargas!$B$87</f>
        <v>Carga de polvo ABC</v>
      </c>
      <c r="B49" s="21" t="n">
        <f aca="false">parametros_recargas!$E$87*'Plan mensual'!D53+parametros_recargas!$F$87*'Plan mensual'!D54+parametros_recargas!$G$87*'Plan mensual'!D55+parametros_recargas!$H$87*'Plan mensual'!D56+parametros_recargas!$I$87*'Plan mensual'!D57+parametros_recargas!$J$87*'Plan mensual'!D58+parametros_recargas!$K$87*'Plan mensual'!D59+parametros_recargas!$L$87*'Plan mensual'!D60</f>
        <v>664.384765089774</v>
      </c>
      <c r="C49" s="21" t="n">
        <f aca="false">parametros_recargas!$E$87*'Plan mensual'!E53+parametros_recargas!$F$87*'Plan mensual'!E54+parametros_recargas!$G$87*'Plan mensual'!E55+parametros_recargas!$H$87*'Plan mensual'!E56+parametros_recargas!$I$87*'Plan mensual'!E57+parametros_recargas!$J$87*'Plan mensual'!E58+parametros_recargas!$K$87*'Plan mensual'!E59+parametros_recargas!$L$87*'Plan mensual'!E60</f>
        <v>664.384765089774</v>
      </c>
      <c r="D49" s="21" t="n">
        <f aca="false">parametros_recargas!$E$87*'Plan mensual'!F53+parametros_recargas!$F$87*'Plan mensual'!F54+parametros_recargas!$G$87*'Plan mensual'!F55+parametros_recargas!$H$87*'Plan mensual'!F56+parametros_recargas!$I$87*'Plan mensual'!F57+parametros_recargas!$J$87*'Plan mensual'!F58+parametros_recargas!$K$87*'Plan mensual'!F59+parametros_recargas!$L$87*'Plan mensual'!F60</f>
        <v>664.384765089774</v>
      </c>
      <c r="E49" s="21" t="n">
        <f aca="false">parametros_recargas!$E$87*'Plan mensual'!G53+parametros_recargas!$F$87*'Plan mensual'!G54+parametros_recargas!$G$87*'Plan mensual'!G55+parametros_recargas!$H$87*'Plan mensual'!G56+parametros_recargas!$I$87*'Plan mensual'!G57+parametros_recargas!$J$87*'Plan mensual'!G58+parametros_recargas!$K$87*'Plan mensual'!G59+parametros_recargas!$L$87*'Plan mensual'!G60</f>
        <v>664.384765089774</v>
      </c>
      <c r="F49" s="21" t="n">
        <f aca="false">parametros_recargas!$E$87*'Plan mensual'!H53+parametros_recargas!$F$87*'Plan mensual'!H54+parametros_recargas!$G$87*'Plan mensual'!H55+parametros_recargas!$H$87*'Plan mensual'!H56+parametros_recargas!$I$87*'Plan mensual'!H57+parametros_recargas!$J$87*'Plan mensual'!H58+parametros_recargas!$K$87*'Plan mensual'!H59+parametros_recargas!$L$87*'Plan mensual'!H60</f>
        <v>664.384765089774</v>
      </c>
      <c r="G49" s="21" t="n">
        <f aca="false">parametros_recargas!$E$87*'Plan mensual'!I53+parametros_recargas!$F$87*'Plan mensual'!I54+parametros_recargas!$G$87*'Plan mensual'!I55+parametros_recargas!$H$87*'Plan mensual'!I56+parametros_recargas!$I$87*'Plan mensual'!I57+parametros_recargas!$J$87*'Plan mensual'!I58+parametros_recargas!$K$87*'Plan mensual'!I59+parametros_recargas!$L$87*'Plan mensual'!I60</f>
        <v>664.384765089774</v>
      </c>
      <c r="H49" s="21" t="n">
        <f aca="false">parametros_recargas!$E$87*'Plan mensual'!J53+parametros_recargas!$F$87*'Plan mensual'!J54+parametros_recargas!$G$87*'Plan mensual'!J55+parametros_recargas!$H$87*'Plan mensual'!J56+parametros_recargas!$I$87*'Plan mensual'!J57+parametros_recargas!$J$87*'Plan mensual'!J58+parametros_recargas!$K$87*'Plan mensual'!J59+parametros_recargas!$L$87*'Plan mensual'!J60</f>
        <v>664.384765089774</v>
      </c>
      <c r="I49" s="21" t="n">
        <f aca="false">parametros_recargas!$E$87*'Plan mensual'!K53+parametros_recargas!$F$87*'Plan mensual'!K54+parametros_recargas!$G$87*'Plan mensual'!K55+parametros_recargas!$H$87*'Plan mensual'!K56+parametros_recargas!$I$87*'Plan mensual'!K57+parametros_recargas!$J$87*'Plan mensual'!K58+parametros_recargas!$K$87*'Plan mensual'!K59+parametros_recargas!$L$87*'Plan mensual'!K60</f>
        <v>664.384765089774</v>
      </c>
      <c r="J49" s="21" t="n">
        <f aca="false">parametros_recargas!$E$87*'Plan mensual'!L53+parametros_recargas!$F$87*'Plan mensual'!L54+parametros_recargas!$G$87*'Plan mensual'!L55+parametros_recargas!$H$87*'Plan mensual'!L56+parametros_recargas!$I$87*'Plan mensual'!L57+parametros_recargas!$J$87*'Plan mensual'!L58+parametros_recargas!$K$87*'Plan mensual'!L59+parametros_recargas!$L$87*'Plan mensual'!L60</f>
        <v>664.384765089774</v>
      </c>
      <c r="K49" s="21" t="n">
        <f aca="false">parametros_recargas!$E$87*'Plan mensual'!M53+parametros_recargas!$F$87*'Plan mensual'!M54+parametros_recargas!$G$87*'Plan mensual'!M55+parametros_recargas!$H$87*'Plan mensual'!M56+parametros_recargas!$I$87*'Plan mensual'!M57+parametros_recargas!$J$87*'Plan mensual'!M58+parametros_recargas!$K$87*'Plan mensual'!M59+parametros_recargas!$L$87*'Plan mensual'!M60</f>
        <v>664.384765089774</v>
      </c>
      <c r="L49" s="21" t="n">
        <f aca="false">parametros_recargas!$E$87*'Plan mensual'!N53+parametros_recargas!$F$87*'Plan mensual'!N54+parametros_recargas!$G$87*'Plan mensual'!N55+parametros_recargas!$H$87*'Plan mensual'!N56+parametros_recargas!$I$87*'Plan mensual'!N57+parametros_recargas!$J$87*'Plan mensual'!N58+parametros_recargas!$K$87*'Plan mensual'!N59+parametros_recargas!$L$87*'Plan mensual'!N60</f>
        <v>664.384765089774</v>
      </c>
      <c r="M49" s="21" t="n">
        <f aca="false">parametros_recargas!$E$87*'Plan mensual'!O53+parametros_recargas!$F$87*'Plan mensual'!O54+parametros_recargas!$G$87*'Plan mensual'!O55+parametros_recargas!$H$87*'Plan mensual'!O56+parametros_recargas!$I$87*'Plan mensual'!O57+parametros_recargas!$J$87*'Plan mensual'!O58+parametros_recargas!$K$87*'Plan mensual'!O59+parametros_recargas!$L$87*'Plan mensual'!O60</f>
        <v>664.384765089774</v>
      </c>
      <c r="N49" s="6" t="n">
        <f aca="false">SUM(B49:M49)</f>
        <v>7972.61718107728</v>
      </c>
      <c r="O49" s="22" t="n">
        <f aca="false">MAX(B49:M49)</f>
        <v>664.384765089774</v>
      </c>
      <c r="P49" s="12" t="n">
        <f aca="false">O49/parametros_recargas!$B$6</f>
        <v>4.42923176726516</v>
      </c>
    </row>
    <row r="50" customFormat="false" ht="15" hidden="false" customHeight="false" outlineLevel="0" collapsed="false">
      <c r="A50" s="8" t="str">
        <f aca="false">parametros_recargas!$B$88</f>
        <v>Carga de polvo BC</v>
      </c>
      <c r="B50" s="21" t="n">
        <f aca="false">parametros_recargas!$E$88*'Plan mensual'!D53+parametros_recargas!$F$88*'Plan mensual'!D54+parametros_recargas!$G$88*'Plan mensual'!D55+parametros_recargas!$H$88*'Plan mensual'!D56+parametros_recargas!$I$88*'Plan mensual'!D57+parametros_recargas!$J$88*'Plan mensual'!D58+parametros_recargas!$K$88*'Plan mensual'!D59+parametros_recargas!$L$88*'Plan mensual'!D60</f>
        <v>1.21401577549084</v>
      </c>
      <c r="C50" s="21" t="n">
        <f aca="false">parametros_recargas!$E$88*'Plan mensual'!E53+parametros_recargas!$F$88*'Plan mensual'!E54+parametros_recargas!$G$88*'Plan mensual'!E55+parametros_recargas!$H$88*'Plan mensual'!E56+parametros_recargas!$I$88*'Plan mensual'!E57+parametros_recargas!$J$88*'Plan mensual'!E58+parametros_recargas!$K$88*'Plan mensual'!E59+parametros_recargas!$L$88*'Plan mensual'!E60</f>
        <v>1.21401577549084</v>
      </c>
      <c r="D50" s="21" t="n">
        <f aca="false">parametros_recargas!$E$88*'Plan mensual'!F53+parametros_recargas!$F$88*'Plan mensual'!F54+parametros_recargas!$G$88*'Plan mensual'!F55+parametros_recargas!$H$88*'Plan mensual'!F56+parametros_recargas!$I$88*'Plan mensual'!F57+parametros_recargas!$J$88*'Plan mensual'!F58+parametros_recargas!$K$88*'Plan mensual'!F59+parametros_recargas!$L$88*'Plan mensual'!F60</f>
        <v>1.21401577549084</v>
      </c>
      <c r="E50" s="21" t="n">
        <f aca="false">parametros_recargas!$E$88*'Plan mensual'!G53+parametros_recargas!$F$88*'Plan mensual'!G54+parametros_recargas!$G$88*'Plan mensual'!G55+parametros_recargas!$H$88*'Plan mensual'!G56+parametros_recargas!$I$88*'Plan mensual'!G57+parametros_recargas!$J$88*'Plan mensual'!G58+parametros_recargas!$K$88*'Plan mensual'!G59+parametros_recargas!$L$88*'Plan mensual'!G60</f>
        <v>1.21401577549084</v>
      </c>
      <c r="F50" s="21" t="n">
        <f aca="false">parametros_recargas!$E$88*'Plan mensual'!H53+parametros_recargas!$F$88*'Plan mensual'!H54+parametros_recargas!$G$88*'Plan mensual'!H55+parametros_recargas!$H$88*'Plan mensual'!H56+parametros_recargas!$I$88*'Plan mensual'!H57+parametros_recargas!$J$88*'Plan mensual'!H58+parametros_recargas!$K$88*'Plan mensual'!H59+parametros_recargas!$L$88*'Plan mensual'!H60</f>
        <v>1.21401577549084</v>
      </c>
      <c r="G50" s="21" t="n">
        <f aca="false">parametros_recargas!$E$88*'Plan mensual'!I53+parametros_recargas!$F$88*'Plan mensual'!I54+parametros_recargas!$G$88*'Plan mensual'!I55+parametros_recargas!$H$88*'Plan mensual'!I56+parametros_recargas!$I$88*'Plan mensual'!I57+parametros_recargas!$J$88*'Plan mensual'!I58+parametros_recargas!$K$88*'Plan mensual'!I59+parametros_recargas!$L$88*'Plan mensual'!I60</f>
        <v>1.21401577549084</v>
      </c>
      <c r="H50" s="21" t="n">
        <f aca="false">parametros_recargas!$E$88*'Plan mensual'!J53+parametros_recargas!$F$88*'Plan mensual'!J54+parametros_recargas!$G$88*'Plan mensual'!J55+parametros_recargas!$H$88*'Plan mensual'!J56+parametros_recargas!$I$88*'Plan mensual'!J57+parametros_recargas!$J$88*'Plan mensual'!J58+parametros_recargas!$K$88*'Plan mensual'!J59+parametros_recargas!$L$88*'Plan mensual'!J60</f>
        <v>1.21401577549084</v>
      </c>
      <c r="I50" s="21" t="n">
        <f aca="false">parametros_recargas!$E$88*'Plan mensual'!K53+parametros_recargas!$F$88*'Plan mensual'!K54+parametros_recargas!$G$88*'Plan mensual'!K55+parametros_recargas!$H$88*'Plan mensual'!K56+parametros_recargas!$I$88*'Plan mensual'!K57+parametros_recargas!$J$88*'Plan mensual'!K58+parametros_recargas!$K$88*'Plan mensual'!K59+parametros_recargas!$L$88*'Plan mensual'!K60</f>
        <v>1.21401577549084</v>
      </c>
      <c r="J50" s="21" t="n">
        <f aca="false">parametros_recargas!$E$88*'Plan mensual'!L53+parametros_recargas!$F$88*'Plan mensual'!L54+parametros_recargas!$G$88*'Plan mensual'!L55+parametros_recargas!$H$88*'Plan mensual'!L56+parametros_recargas!$I$88*'Plan mensual'!L57+parametros_recargas!$J$88*'Plan mensual'!L58+parametros_recargas!$K$88*'Plan mensual'!L59+parametros_recargas!$L$88*'Plan mensual'!L60</f>
        <v>1.21401577549084</v>
      </c>
      <c r="K50" s="21" t="n">
        <f aca="false">parametros_recargas!$E$88*'Plan mensual'!M53+parametros_recargas!$F$88*'Plan mensual'!M54+parametros_recargas!$G$88*'Plan mensual'!M55+parametros_recargas!$H$88*'Plan mensual'!M56+parametros_recargas!$I$88*'Plan mensual'!M57+parametros_recargas!$J$88*'Plan mensual'!M58+parametros_recargas!$K$88*'Plan mensual'!M59+parametros_recargas!$L$88*'Plan mensual'!M60</f>
        <v>1.21401577549084</v>
      </c>
      <c r="L50" s="21" t="n">
        <f aca="false">parametros_recargas!$E$88*'Plan mensual'!N53+parametros_recargas!$F$88*'Plan mensual'!N54+parametros_recargas!$G$88*'Plan mensual'!N55+parametros_recargas!$H$88*'Plan mensual'!N56+parametros_recargas!$I$88*'Plan mensual'!N57+parametros_recargas!$J$88*'Plan mensual'!N58+parametros_recargas!$K$88*'Plan mensual'!N59+parametros_recargas!$L$88*'Plan mensual'!N60</f>
        <v>1.21401577549084</v>
      </c>
      <c r="M50" s="21" t="n">
        <f aca="false">parametros_recargas!$E$88*'Plan mensual'!O53+parametros_recargas!$F$88*'Plan mensual'!O54+parametros_recargas!$G$88*'Plan mensual'!O55+parametros_recargas!$H$88*'Plan mensual'!O56+parametros_recargas!$I$88*'Plan mensual'!O57+parametros_recargas!$J$88*'Plan mensual'!O58+parametros_recargas!$K$88*'Plan mensual'!O59+parametros_recargas!$L$88*'Plan mensual'!O60</f>
        <v>1.21401577549084</v>
      </c>
      <c r="N50" s="6" t="n">
        <f aca="false">SUM(B50:M50)</f>
        <v>14.5681893058901</v>
      </c>
      <c r="O50" s="22" t="n">
        <f aca="false">MAX(B50:M50)</f>
        <v>1.21401577549084</v>
      </c>
      <c r="P50" s="12" t="n">
        <f aca="false">O50/parametros_recargas!$B$6</f>
        <v>0.00809343850327229</v>
      </c>
    </row>
    <row r="51" customFormat="false" ht="15" hidden="false" customHeight="false" outlineLevel="0" collapsed="false">
      <c r="A51" s="8" t="str">
        <f aca="false">parametros_recargas!$B$89</f>
        <v>Descarga y carga Clase D</v>
      </c>
      <c r="B51" s="21" t="n">
        <f aca="false">parametros_recargas!$E$89*'Plan mensual'!D53+parametros_recargas!$F$89*'Plan mensual'!D54+parametros_recargas!$G$89*'Plan mensual'!D55+parametros_recargas!$H$89*'Plan mensual'!D56+parametros_recargas!$I$89*'Plan mensual'!D57+parametros_recargas!$J$89*'Plan mensual'!D58+parametros_recargas!$K$89*'Plan mensual'!D59+parametros_recargas!$L$89*'Plan mensual'!D60</f>
        <v>1.21401577549084</v>
      </c>
      <c r="C51" s="21" t="n">
        <f aca="false">parametros_recargas!$E$89*'Plan mensual'!E53+parametros_recargas!$F$89*'Plan mensual'!E54+parametros_recargas!$G$89*'Plan mensual'!E55+parametros_recargas!$H$89*'Plan mensual'!E56+parametros_recargas!$I$89*'Plan mensual'!E57+parametros_recargas!$J$89*'Plan mensual'!E58+parametros_recargas!$K$89*'Plan mensual'!E59+parametros_recargas!$L$89*'Plan mensual'!E60</f>
        <v>1.21401577549084</v>
      </c>
      <c r="D51" s="21" t="n">
        <f aca="false">parametros_recargas!$E$89*'Plan mensual'!F53+parametros_recargas!$F$89*'Plan mensual'!F54+parametros_recargas!$G$89*'Plan mensual'!F55+parametros_recargas!$H$89*'Plan mensual'!F56+parametros_recargas!$I$89*'Plan mensual'!F57+parametros_recargas!$J$89*'Plan mensual'!F58+parametros_recargas!$K$89*'Plan mensual'!F59+parametros_recargas!$L$89*'Plan mensual'!F60</f>
        <v>1.21401577549084</v>
      </c>
      <c r="E51" s="21" t="n">
        <f aca="false">parametros_recargas!$E$89*'Plan mensual'!G53+parametros_recargas!$F$89*'Plan mensual'!G54+parametros_recargas!$G$89*'Plan mensual'!G55+parametros_recargas!$H$89*'Plan mensual'!G56+parametros_recargas!$I$89*'Plan mensual'!G57+parametros_recargas!$J$89*'Plan mensual'!G58+parametros_recargas!$K$89*'Plan mensual'!G59+parametros_recargas!$L$89*'Plan mensual'!G60</f>
        <v>1.21401577549084</v>
      </c>
      <c r="F51" s="21" t="n">
        <f aca="false">parametros_recargas!$E$89*'Plan mensual'!H53+parametros_recargas!$F$89*'Plan mensual'!H54+parametros_recargas!$G$89*'Plan mensual'!H55+parametros_recargas!$H$89*'Plan mensual'!H56+parametros_recargas!$I$89*'Plan mensual'!H57+parametros_recargas!$J$89*'Plan mensual'!H58+parametros_recargas!$K$89*'Plan mensual'!H59+parametros_recargas!$L$89*'Plan mensual'!H60</f>
        <v>1.21401577549084</v>
      </c>
      <c r="G51" s="21" t="n">
        <f aca="false">parametros_recargas!$E$89*'Plan mensual'!I53+parametros_recargas!$F$89*'Plan mensual'!I54+parametros_recargas!$G$89*'Plan mensual'!I55+parametros_recargas!$H$89*'Plan mensual'!I56+parametros_recargas!$I$89*'Plan mensual'!I57+parametros_recargas!$J$89*'Plan mensual'!I58+parametros_recargas!$K$89*'Plan mensual'!I59+parametros_recargas!$L$89*'Plan mensual'!I60</f>
        <v>1.21401577549084</v>
      </c>
      <c r="H51" s="21" t="n">
        <f aca="false">parametros_recargas!$E$89*'Plan mensual'!J53+parametros_recargas!$F$89*'Plan mensual'!J54+parametros_recargas!$G$89*'Plan mensual'!J55+parametros_recargas!$H$89*'Plan mensual'!J56+parametros_recargas!$I$89*'Plan mensual'!J57+parametros_recargas!$J$89*'Plan mensual'!J58+parametros_recargas!$K$89*'Plan mensual'!J59+parametros_recargas!$L$89*'Plan mensual'!J60</f>
        <v>1.21401577549084</v>
      </c>
      <c r="I51" s="21" t="n">
        <f aca="false">parametros_recargas!$E$89*'Plan mensual'!K53+parametros_recargas!$F$89*'Plan mensual'!K54+parametros_recargas!$G$89*'Plan mensual'!K55+parametros_recargas!$H$89*'Plan mensual'!K56+parametros_recargas!$I$89*'Plan mensual'!K57+parametros_recargas!$J$89*'Plan mensual'!K58+parametros_recargas!$K$89*'Plan mensual'!K59+parametros_recargas!$L$89*'Plan mensual'!K60</f>
        <v>1.21401577549084</v>
      </c>
      <c r="J51" s="21" t="n">
        <f aca="false">parametros_recargas!$E$89*'Plan mensual'!L53+parametros_recargas!$F$89*'Plan mensual'!L54+parametros_recargas!$G$89*'Plan mensual'!L55+parametros_recargas!$H$89*'Plan mensual'!L56+parametros_recargas!$I$89*'Plan mensual'!L57+parametros_recargas!$J$89*'Plan mensual'!L58+parametros_recargas!$K$89*'Plan mensual'!L59+parametros_recargas!$L$89*'Plan mensual'!L60</f>
        <v>1.21401577549084</v>
      </c>
      <c r="K51" s="21" t="n">
        <f aca="false">parametros_recargas!$E$89*'Plan mensual'!M53+parametros_recargas!$F$89*'Plan mensual'!M54+parametros_recargas!$G$89*'Plan mensual'!M55+parametros_recargas!$H$89*'Plan mensual'!M56+parametros_recargas!$I$89*'Plan mensual'!M57+parametros_recargas!$J$89*'Plan mensual'!M58+parametros_recargas!$K$89*'Plan mensual'!M59+parametros_recargas!$L$89*'Plan mensual'!M60</f>
        <v>1.21401577549084</v>
      </c>
      <c r="L51" s="21" t="n">
        <f aca="false">parametros_recargas!$E$89*'Plan mensual'!N53+parametros_recargas!$F$89*'Plan mensual'!N54+parametros_recargas!$G$89*'Plan mensual'!N55+parametros_recargas!$H$89*'Plan mensual'!N56+parametros_recargas!$I$89*'Plan mensual'!N57+parametros_recargas!$J$89*'Plan mensual'!N58+parametros_recargas!$K$89*'Plan mensual'!N59+parametros_recargas!$L$89*'Plan mensual'!N60</f>
        <v>1.21401577549084</v>
      </c>
      <c r="M51" s="21" t="n">
        <f aca="false">parametros_recargas!$E$89*'Plan mensual'!O53+parametros_recargas!$F$89*'Plan mensual'!O54+parametros_recargas!$G$89*'Plan mensual'!O55+parametros_recargas!$H$89*'Plan mensual'!O56+parametros_recargas!$I$89*'Plan mensual'!O57+parametros_recargas!$J$89*'Plan mensual'!O58+parametros_recargas!$K$89*'Plan mensual'!O59+parametros_recargas!$L$89*'Plan mensual'!O60</f>
        <v>1.21401577549084</v>
      </c>
      <c r="N51" s="6" t="n">
        <f aca="false">SUM(B51:M51)</f>
        <v>14.5681893058901</v>
      </c>
      <c r="O51" s="22" t="n">
        <f aca="false">MAX(B51:M51)</f>
        <v>1.21401577549084</v>
      </c>
      <c r="P51" s="12" t="n">
        <f aca="false">O51/parametros_recargas!$B$6</f>
        <v>0.00809343850327229</v>
      </c>
    </row>
    <row r="52" customFormat="false" ht="15" hidden="false" customHeight="false" outlineLevel="0" collapsed="false">
      <c r="A52" s="8" t="str">
        <f aca="false">parametros_recargas!$B$90</f>
        <v>Carga de agua / AFFF / sales K</v>
      </c>
      <c r="B52" s="21" t="n">
        <f aca="false">parametros_recargas!$E$90*'Plan mensual'!D53+parametros_recargas!$F$90*'Plan mensual'!D54+parametros_recargas!$G$90*'Plan mensual'!D55+parametros_recargas!$H$90*'Plan mensual'!D56+parametros_recargas!$I$90*'Plan mensual'!D57+parametros_recargas!$J$90*'Plan mensual'!D58+parametros_recargas!$K$90*'Plan mensual'!D59+parametros_recargas!$L$90*'Plan mensual'!D60</f>
        <v>33.8828004422825</v>
      </c>
      <c r="C52" s="21" t="n">
        <f aca="false">parametros_recargas!$E$90*'Plan mensual'!E53+parametros_recargas!$F$90*'Plan mensual'!E54+parametros_recargas!$G$90*'Plan mensual'!E55+parametros_recargas!$H$90*'Plan mensual'!E56+parametros_recargas!$I$90*'Plan mensual'!E57+parametros_recargas!$J$90*'Plan mensual'!E58+parametros_recargas!$K$90*'Plan mensual'!E59+parametros_recargas!$L$90*'Plan mensual'!E60</f>
        <v>33.8828004422825</v>
      </c>
      <c r="D52" s="21" t="n">
        <f aca="false">parametros_recargas!$E$90*'Plan mensual'!F53+parametros_recargas!$F$90*'Plan mensual'!F54+parametros_recargas!$G$90*'Plan mensual'!F55+parametros_recargas!$H$90*'Plan mensual'!F56+parametros_recargas!$I$90*'Plan mensual'!F57+parametros_recargas!$J$90*'Plan mensual'!F58+parametros_recargas!$K$90*'Plan mensual'!F59+parametros_recargas!$L$90*'Plan mensual'!F60</f>
        <v>33.8828004422825</v>
      </c>
      <c r="E52" s="21" t="n">
        <f aca="false">parametros_recargas!$E$90*'Plan mensual'!G53+parametros_recargas!$F$90*'Plan mensual'!G54+parametros_recargas!$G$90*'Plan mensual'!G55+parametros_recargas!$H$90*'Plan mensual'!G56+parametros_recargas!$I$90*'Plan mensual'!G57+parametros_recargas!$J$90*'Plan mensual'!G58+parametros_recargas!$K$90*'Plan mensual'!G59+parametros_recargas!$L$90*'Plan mensual'!G60</f>
        <v>33.8828004422825</v>
      </c>
      <c r="F52" s="21" t="n">
        <f aca="false">parametros_recargas!$E$90*'Plan mensual'!H53+parametros_recargas!$F$90*'Plan mensual'!H54+parametros_recargas!$G$90*'Plan mensual'!H55+parametros_recargas!$H$90*'Plan mensual'!H56+parametros_recargas!$I$90*'Plan mensual'!H57+parametros_recargas!$J$90*'Plan mensual'!H58+parametros_recargas!$K$90*'Plan mensual'!H59+parametros_recargas!$L$90*'Plan mensual'!H60</f>
        <v>33.8828004422825</v>
      </c>
      <c r="G52" s="21" t="n">
        <f aca="false">parametros_recargas!$E$90*'Plan mensual'!I53+parametros_recargas!$F$90*'Plan mensual'!I54+parametros_recargas!$G$90*'Plan mensual'!I55+parametros_recargas!$H$90*'Plan mensual'!I56+parametros_recargas!$I$90*'Plan mensual'!I57+parametros_recargas!$J$90*'Plan mensual'!I58+parametros_recargas!$K$90*'Plan mensual'!I59+parametros_recargas!$L$90*'Plan mensual'!I60</f>
        <v>33.8828004422825</v>
      </c>
      <c r="H52" s="21" t="n">
        <f aca="false">parametros_recargas!$E$90*'Plan mensual'!J53+parametros_recargas!$F$90*'Plan mensual'!J54+parametros_recargas!$G$90*'Plan mensual'!J55+parametros_recargas!$H$90*'Plan mensual'!J56+parametros_recargas!$I$90*'Plan mensual'!J57+parametros_recargas!$J$90*'Plan mensual'!J58+parametros_recargas!$K$90*'Plan mensual'!J59+parametros_recargas!$L$90*'Plan mensual'!J60</f>
        <v>33.8828004422825</v>
      </c>
      <c r="I52" s="21" t="n">
        <f aca="false">parametros_recargas!$E$90*'Plan mensual'!K53+parametros_recargas!$F$90*'Plan mensual'!K54+parametros_recargas!$G$90*'Plan mensual'!K55+parametros_recargas!$H$90*'Plan mensual'!K56+parametros_recargas!$I$90*'Plan mensual'!K57+parametros_recargas!$J$90*'Plan mensual'!K58+parametros_recargas!$K$90*'Plan mensual'!K59+parametros_recargas!$L$90*'Plan mensual'!K60</f>
        <v>33.8828004422825</v>
      </c>
      <c r="J52" s="21" t="n">
        <f aca="false">parametros_recargas!$E$90*'Plan mensual'!L53+parametros_recargas!$F$90*'Plan mensual'!L54+parametros_recargas!$G$90*'Plan mensual'!L55+parametros_recargas!$H$90*'Plan mensual'!L56+parametros_recargas!$I$90*'Plan mensual'!L57+parametros_recargas!$J$90*'Plan mensual'!L58+parametros_recargas!$K$90*'Plan mensual'!L59+parametros_recargas!$L$90*'Plan mensual'!L60</f>
        <v>33.8828004422825</v>
      </c>
      <c r="K52" s="21" t="n">
        <f aca="false">parametros_recargas!$E$90*'Plan mensual'!M53+parametros_recargas!$F$90*'Plan mensual'!M54+parametros_recargas!$G$90*'Plan mensual'!M55+parametros_recargas!$H$90*'Plan mensual'!M56+parametros_recargas!$I$90*'Plan mensual'!M57+parametros_recargas!$J$90*'Plan mensual'!M58+parametros_recargas!$K$90*'Plan mensual'!M59+parametros_recargas!$L$90*'Plan mensual'!M60</f>
        <v>33.8828004422825</v>
      </c>
      <c r="L52" s="21" t="n">
        <f aca="false">parametros_recargas!$E$90*'Plan mensual'!N53+parametros_recargas!$F$90*'Plan mensual'!N54+parametros_recargas!$G$90*'Plan mensual'!N55+parametros_recargas!$H$90*'Plan mensual'!N56+parametros_recargas!$I$90*'Plan mensual'!N57+parametros_recargas!$J$90*'Plan mensual'!N58+parametros_recargas!$K$90*'Plan mensual'!N59+parametros_recargas!$L$90*'Plan mensual'!N60</f>
        <v>33.8828004422825</v>
      </c>
      <c r="M52" s="21" t="n">
        <f aca="false">parametros_recargas!$E$90*'Plan mensual'!O53+parametros_recargas!$F$90*'Plan mensual'!O54+parametros_recargas!$G$90*'Plan mensual'!O55+parametros_recargas!$H$90*'Plan mensual'!O56+parametros_recargas!$I$90*'Plan mensual'!O57+parametros_recargas!$J$90*'Plan mensual'!O58+parametros_recargas!$K$90*'Plan mensual'!O59+parametros_recargas!$L$90*'Plan mensual'!O60</f>
        <v>33.8828004422825</v>
      </c>
      <c r="N52" s="6" t="n">
        <f aca="false">SUM(B52:M52)</f>
        <v>406.59360530739</v>
      </c>
      <c r="O52" s="22" t="n">
        <f aca="false">MAX(B52:M52)</f>
        <v>33.8828004422825</v>
      </c>
      <c r="P52" s="12" t="n">
        <f aca="false">O52/parametros_recargas!$B$6</f>
        <v>0.225885336281883</v>
      </c>
    </row>
    <row r="53" customFormat="false" ht="15" hidden="false" customHeight="false" outlineLevel="0" collapsed="false">
      <c r="A53" s="8" t="str">
        <f aca="false">parametros_recargas!$B$91</f>
        <v>Carga de CO₂</v>
      </c>
      <c r="B53" s="21" t="n">
        <f aca="false">parametros_recargas!$E$91*'Plan mensual'!D53+parametros_recargas!$F$91*'Plan mensual'!D54+parametros_recargas!$G$91*'Plan mensual'!D55+parametros_recargas!$H$91*'Plan mensual'!D56+parametros_recargas!$I$91*'Plan mensual'!D57+parametros_recargas!$J$91*'Plan mensual'!D58+parametros_recargas!$K$91*'Plan mensual'!D59+parametros_recargas!$L$91*'Plan mensual'!D60</f>
        <v>16.9426857711898</v>
      </c>
      <c r="C53" s="21" t="n">
        <f aca="false">parametros_recargas!$E$91*'Plan mensual'!E53+parametros_recargas!$F$91*'Plan mensual'!E54+parametros_recargas!$G$91*'Plan mensual'!E55+parametros_recargas!$H$91*'Plan mensual'!E56+parametros_recargas!$I$91*'Plan mensual'!E57+parametros_recargas!$J$91*'Plan mensual'!E58+parametros_recargas!$K$91*'Plan mensual'!E59+parametros_recargas!$L$91*'Plan mensual'!E60</f>
        <v>16.9426857711898</v>
      </c>
      <c r="D53" s="21" t="n">
        <f aca="false">parametros_recargas!$E$91*'Plan mensual'!F53+parametros_recargas!$F$91*'Plan mensual'!F54+parametros_recargas!$G$91*'Plan mensual'!F55+parametros_recargas!$H$91*'Plan mensual'!F56+parametros_recargas!$I$91*'Plan mensual'!F57+parametros_recargas!$J$91*'Plan mensual'!F58+parametros_recargas!$K$91*'Plan mensual'!F59+parametros_recargas!$L$91*'Plan mensual'!F60</f>
        <v>16.9426857711898</v>
      </c>
      <c r="E53" s="21" t="n">
        <f aca="false">parametros_recargas!$E$91*'Plan mensual'!G53+parametros_recargas!$F$91*'Plan mensual'!G54+parametros_recargas!$G$91*'Plan mensual'!G55+parametros_recargas!$H$91*'Plan mensual'!G56+parametros_recargas!$I$91*'Plan mensual'!G57+parametros_recargas!$J$91*'Plan mensual'!G58+parametros_recargas!$K$91*'Plan mensual'!G59+parametros_recargas!$L$91*'Plan mensual'!G60</f>
        <v>16.9426857711898</v>
      </c>
      <c r="F53" s="21" t="n">
        <f aca="false">parametros_recargas!$E$91*'Plan mensual'!H53+parametros_recargas!$F$91*'Plan mensual'!H54+parametros_recargas!$G$91*'Plan mensual'!H55+parametros_recargas!$H$91*'Plan mensual'!H56+parametros_recargas!$I$91*'Plan mensual'!H57+parametros_recargas!$J$91*'Plan mensual'!H58+parametros_recargas!$K$91*'Plan mensual'!H59+parametros_recargas!$L$91*'Plan mensual'!H60</f>
        <v>16.9426857711898</v>
      </c>
      <c r="G53" s="21" t="n">
        <f aca="false">parametros_recargas!$E$91*'Plan mensual'!I53+parametros_recargas!$F$91*'Plan mensual'!I54+parametros_recargas!$G$91*'Plan mensual'!I55+parametros_recargas!$H$91*'Plan mensual'!I56+parametros_recargas!$I$91*'Plan mensual'!I57+parametros_recargas!$J$91*'Plan mensual'!I58+parametros_recargas!$K$91*'Plan mensual'!I59+parametros_recargas!$L$91*'Plan mensual'!I60</f>
        <v>16.9426857711898</v>
      </c>
      <c r="H53" s="21" t="n">
        <f aca="false">parametros_recargas!$E$91*'Plan mensual'!J53+parametros_recargas!$F$91*'Plan mensual'!J54+parametros_recargas!$G$91*'Plan mensual'!J55+parametros_recargas!$H$91*'Plan mensual'!J56+parametros_recargas!$I$91*'Plan mensual'!J57+parametros_recargas!$J$91*'Plan mensual'!J58+parametros_recargas!$K$91*'Plan mensual'!J59+parametros_recargas!$L$91*'Plan mensual'!J60</f>
        <v>16.9426857711898</v>
      </c>
      <c r="I53" s="21" t="n">
        <f aca="false">parametros_recargas!$E$91*'Plan mensual'!K53+parametros_recargas!$F$91*'Plan mensual'!K54+parametros_recargas!$G$91*'Plan mensual'!K55+parametros_recargas!$H$91*'Plan mensual'!K56+parametros_recargas!$I$91*'Plan mensual'!K57+parametros_recargas!$J$91*'Plan mensual'!K58+parametros_recargas!$K$91*'Plan mensual'!K59+parametros_recargas!$L$91*'Plan mensual'!K60</f>
        <v>16.9426857711898</v>
      </c>
      <c r="J53" s="21" t="n">
        <f aca="false">parametros_recargas!$E$91*'Plan mensual'!L53+parametros_recargas!$F$91*'Plan mensual'!L54+parametros_recargas!$G$91*'Plan mensual'!L55+parametros_recargas!$H$91*'Plan mensual'!L56+parametros_recargas!$I$91*'Plan mensual'!L57+parametros_recargas!$J$91*'Plan mensual'!L58+parametros_recargas!$K$91*'Plan mensual'!L59+parametros_recargas!$L$91*'Plan mensual'!L60</f>
        <v>16.9426857711898</v>
      </c>
      <c r="K53" s="21" t="n">
        <f aca="false">parametros_recargas!$E$91*'Plan mensual'!M53+parametros_recargas!$F$91*'Plan mensual'!M54+parametros_recargas!$G$91*'Plan mensual'!M55+parametros_recargas!$H$91*'Plan mensual'!M56+parametros_recargas!$I$91*'Plan mensual'!M57+parametros_recargas!$J$91*'Plan mensual'!M58+parametros_recargas!$K$91*'Plan mensual'!M59+parametros_recargas!$L$91*'Plan mensual'!M60</f>
        <v>16.9426857711898</v>
      </c>
      <c r="L53" s="21" t="n">
        <f aca="false">parametros_recargas!$E$91*'Plan mensual'!N53+parametros_recargas!$F$91*'Plan mensual'!N54+parametros_recargas!$G$91*'Plan mensual'!N55+parametros_recargas!$H$91*'Plan mensual'!N56+parametros_recargas!$I$91*'Plan mensual'!N57+parametros_recargas!$J$91*'Plan mensual'!N58+parametros_recargas!$K$91*'Plan mensual'!N59+parametros_recargas!$L$91*'Plan mensual'!N60</f>
        <v>16.9426857711898</v>
      </c>
      <c r="M53" s="21" t="n">
        <f aca="false">parametros_recargas!$E$91*'Plan mensual'!O53+parametros_recargas!$F$91*'Plan mensual'!O54+parametros_recargas!$G$91*'Plan mensual'!O55+parametros_recargas!$H$91*'Plan mensual'!O56+parametros_recargas!$I$91*'Plan mensual'!O57+parametros_recargas!$J$91*'Plan mensual'!O58+parametros_recargas!$K$91*'Plan mensual'!O59+parametros_recargas!$L$91*'Plan mensual'!O60</f>
        <v>16.9426857711898</v>
      </c>
      <c r="N53" s="6" t="n">
        <f aca="false">SUM(B53:M53)</f>
        <v>203.312229254278</v>
      </c>
      <c r="O53" s="22" t="n">
        <f aca="false">MAX(B53:M53)</f>
        <v>16.9426857711898</v>
      </c>
      <c r="P53" s="12" t="n">
        <f aca="false">O53/parametros_recargas!$B$6</f>
        <v>0.112951238474599</v>
      </c>
    </row>
    <row r="54" customFormat="false" ht="15" hidden="false" customHeight="false" outlineLevel="0" collapsed="false">
      <c r="A54" s="8" t="str">
        <f aca="false">parametros_recargas!$B$92</f>
        <v>Ensamblaje y marbete — recinto</v>
      </c>
      <c r="B54" s="21" t="n">
        <f aca="false">parametros_recargas!$E$92*'Plan mensual'!D53+parametros_recargas!$F$92*'Plan mensual'!D54+parametros_recargas!$G$92*'Plan mensual'!D55+parametros_recargas!$H$92*'Plan mensual'!D56+parametros_recargas!$I$92*'Plan mensual'!D57+parametros_recargas!$J$92*'Plan mensual'!D58+parametros_recargas!$K$92*'Plan mensual'!D59+parametros_recargas!$L$92*'Plan mensual'!D60</f>
        <v>666.812796640755</v>
      </c>
      <c r="C54" s="21" t="n">
        <f aca="false">parametros_recargas!$E$92*'Plan mensual'!E53+parametros_recargas!$F$92*'Plan mensual'!E54+parametros_recargas!$G$92*'Plan mensual'!E55+parametros_recargas!$H$92*'Plan mensual'!E56+parametros_recargas!$I$92*'Plan mensual'!E57+parametros_recargas!$J$92*'Plan mensual'!E58+parametros_recargas!$K$92*'Plan mensual'!E59+parametros_recargas!$L$92*'Plan mensual'!E60</f>
        <v>666.812796640755</v>
      </c>
      <c r="D54" s="21" t="n">
        <f aca="false">parametros_recargas!$E$92*'Plan mensual'!F53+parametros_recargas!$F$92*'Plan mensual'!F54+parametros_recargas!$G$92*'Plan mensual'!F55+parametros_recargas!$H$92*'Plan mensual'!F56+parametros_recargas!$I$92*'Plan mensual'!F57+parametros_recargas!$J$92*'Plan mensual'!F58+parametros_recargas!$K$92*'Plan mensual'!F59+parametros_recargas!$L$92*'Plan mensual'!F60</f>
        <v>666.812796640755</v>
      </c>
      <c r="E54" s="21" t="n">
        <f aca="false">parametros_recargas!$E$92*'Plan mensual'!G53+parametros_recargas!$F$92*'Plan mensual'!G54+parametros_recargas!$G$92*'Plan mensual'!G55+parametros_recargas!$H$92*'Plan mensual'!G56+parametros_recargas!$I$92*'Plan mensual'!G57+parametros_recargas!$J$92*'Plan mensual'!G58+parametros_recargas!$K$92*'Plan mensual'!G59+parametros_recargas!$L$92*'Plan mensual'!G60</f>
        <v>666.812796640755</v>
      </c>
      <c r="F54" s="21" t="n">
        <f aca="false">parametros_recargas!$E$92*'Plan mensual'!H53+parametros_recargas!$F$92*'Plan mensual'!H54+parametros_recargas!$G$92*'Plan mensual'!H55+parametros_recargas!$H$92*'Plan mensual'!H56+parametros_recargas!$I$92*'Plan mensual'!H57+parametros_recargas!$J$92*'Plan mensual'!H58+parametros_recargas!$K$92*'Plan mensual'!H59+parametros_recargas!$L$92*'Plan mensual'!H60</f>
        <v>666.812796640755</v>
      </c>
      <c r="G54" s="21" t="n">
        <f aca="false">parametros_recargas!$E$92*'Plan mensual'!I53+parametros_recargas!$F$92*'Plan mensual'!I54+parametros_recargas!$G$92*'Plan mensual'!I55+parametros_recargas!$H$92*'Plan mensual'!I56+parametros_recargas!$I$92*'Plan mensual'!I57+parametros_recargas!$J$92*'Plan mensual'!I58+parametros_recargas!$K$92*'Plan mensual'!I59+parametros_recargas!$L$92*'Plan mensual'!I60</f>
        <v>666.812796640755</v>
      </c>
      <c r="H54" s="21" t="n">
        <f aca="false">parametros_recargas!$E$92*'Plan mensual'!J53+parametros_recargas!$F$92*'Plan mensual'!J54+parametros_recargas!$G$92*'Plan mensual'!J55+parametros_recargas!$H$92*'Plan mensual'!J56+parametros_recargas!$I$92*'Plan mensual'!J57+parametros_recargas!$J$92*'Plan mensual'!J58+parametros_recargas!$K$92*'Plan mensual'!J59+parametros_recargas!$L$92*'Plan mensual'!J60</f>
        <v>666.812796640755</v>
      </c>
      <c r="I54" s="21" t="n">
        <f aca="false">parametros_recargas!$E$92*'Plan mensual'!K53+parametros_recargas!$F$92*'Plan mensual'!K54+parametros_recargas!$G$92*'Plan mensual'!K55+parametros_recargas!$H$92*'Plan mensual'!K56+parametros_recargas!$I$92*'Plan mensual'!K57+parametros_recargas!$J$92*'Plan mensual'!K58+parametros_recargas!$K$92*'Plan mensual'!K59+parametros_recargas!$L$92*'Plan mensual'!K60</f>
        <v>666.812796640755</v>
      </c>
      <c r="J54" s="21" t="n">
        <f aca="false">parametros_recargas!$E$92*'Plan mensual'!L53+parametros_recargas!$F$92*'Plan mensual'!L54+parametros_recargas!$G$92*'Plan mensual'!L55+parametros_recargas!$H$92*'Plan mensual'!L56+parametros_recargas!$I$92*'Plan mensual'!L57+parametros_recargas!$J$92*'Plan mensual'!L58+parametros_recargas!$K$92*'Plan mensual'!L59+parametros_recargas!$L$92*'Plan mensual'!L60</f>
        <v>666.812796640755</v>
      </c>
      <c r="K54" s="21" t="n">
        <f aca="false">parametros_recargas!$E$92*'Plan mensual'!M53+parametros_recargas!$F$92*'Plan mensual'!M54+parametros_recargas!$G$92*'Plan mensual'!M55+parametros_recargas!$H$92*'Plan mensual'!M56+parametros_recargas!$I$92*'Plan mensual'!M57+parametros_recargas!$J$92*'Plan mensual'!M58+parametros_recargas!$K$92*'Plan mensual'!M59+parametros_recargas!$L$92*'Plan mensual'!M60</f>
        <v>666.812796640755</v>
      </c>
      <c r="L54" s="21" t="n">
        <f aca="false">parametros_recargas!$E$92*'Plan mensual'!N53+parametros_recargas!$F$92*'Plan mensual'!N54+parametros_recargas!$G$92*'Plan mensual'!N55+parametros_recargas!$H$92*'Plan mensual'!N56+parametros_recargas!$I$92*'Plan mensual'!N57+parametros_recargas!$J$92*'Plan mensual'!N58+parametros_recargas!$K$92*'Plan mensual'!N59+parametros_recargas!$L$92*'Plan mensual'!N60</f>
        <v>666.812796640755</v>
      </c>
      <c r="M54" s="21" t="n">
        <f aca="false">parametros_recargas!$E$92*'Plan mensual'!O53+parametros_recargas!$F$92*'Plan mensual'!O54+parametros_recargas!$G$92*'Plan mensual'!O55+parametros_recargas!$H$92*'Plan mensual'!O56+parametros_recargas!$I$92*'Plan mensual'!O57+parametros_recargas!$J$92*'Plan mensual'!O58+parametros_recargas!$K$92*'Plan mensual'!O59+parametros_recargas!$L$92*'Plan mensual'!O60</f>
        <v>666.812796640755</v>
      </c>
      <c r="N54" s="6" t="n">
        <f aca="false">SUM(B54:M54)</f>
        <v>8001.75355968906</v>
      </c>
      <c r="O54" s="22" t="n">
        <f aca="false">MAX(B54:M54)</f>
        <v>666.812796640755</v>
      </c>
      <c r="P54" s="12" t="n">
        <f aca="false">O54/parametros_recargas!$B$6</f>
        <v>4.4454186442717</v>
      </c>
    </row>
    <row r="55" customFormat="false" ht="15" hidden="false" customHeight="false" outlineLevel="0" collapsed="false">
      <c r="A55" s="8" t="str">
        <f aca="false">parametros_recargas!$B$93</f>
        <v>Presurización — recinto</v>
      </c>
      <c r="B55" s="21" t="n">
        <f aca="false">parametros_recargas!$E$93*'Plan mensual'!D53+parametros_recargas!$F$93*'Plan mensual'!D54+parametros_recargas!$G$93*'Plan mensual'!D55+parametros_recargas!$H$93*'Plan mensual'!D56+parametros_recargas!$I$93*'Plan mensual'!D57+parametros_recargas!$J$93*'Plan mensual'!D58+parametros_recargas!$K$93*'Plan mensual'!D59+parametros_recargas!$L$93*'Plan mensual'!D60</f>
        <v>666.812796640755</v>
      </c>
      <c r="C55" s="21" t="n">
        <f aca="false">parametros_recargas!$E$93*'Plan mensual'!E53+parametros_recargas!$F$93*'Plan mensual'!E54+parametros_recargas!$G$93*'Plan mensual'!E55+parametros_recargas!$H$93*'Plan mensual'!E56+parametros_recargas!$I$93*'Plan mensual'!E57+parametros_recargas!$J$93*'Plan mensual'!E58+parametros_recargas!$K$93*'Plan mensual'!E59+parametros_recargas!$L$93*'Plan mensual'!E60</f>
        <v>666.812796640755</v>
      </c>
      <c r="D55" s="21" t="n">
        <f aca="false">parametros_recargas!$E$93*'Plan mensual'!F53+parametros_recargas!$F$93*'Plan mensual'!F54+parametros_recargas!$G$93*'Plan mensual'!F55+parametros_recargas!$H$93*'Plan mensual'!F56+parametros_recargas!$I$93*'Plan mensual'!F57+parametros_recargas!$J$93*'Plan mensual'!F58+parametros_recargas!$K$93*'Plan mensual'!F59+parametros_recargas!$L$93*'Plan mensual'!F60</f>
        <v>666.812796640755</v>
      </c>
      <c r="E55" s="21" t="n">
        <f aca="false">parametros_recargas!$E$93*'Plan mensual'!G53+parametros_recargas!$F$93*'Plan mensual'!G54+parametros_recargas!$G$93*'Plan mensual'!G55+parametros_recargas!$H$93*'Plan mensual'!G56+parametros_recargas!$I$93*'Plan mensual'!G57+parametros_recargas!$J$93*'Plan mensual'!G58+parametros_recargas!$K$93*'Plan mensual'!G59+parametros_recargas!$L$93*'Plan mensual'!G60</f>
        <v>666.812796640755</v>
      </c>
      <c r="F55" s="21" t="n">
        <f aca="false">parametros_recargas!$E$93*'Plan mensual'!H53+parametros_recargas!$F$93*'Plan mensual'!H54+parametros_recargas!$G$93*'Plan mensual'!H55+parametros_recargas!$H$93*'Plan mensual'!H56+parametros_recargas!$I$93*'Plan mensual'!H57+parametros_recargas!$J$93*'Plan mensual'!H58+parametros_recargas!$K$93*'Plan mensual'!H59+parametros_recargas!$L$93*'Plan mensual'!H60</f>
        <v>666.812796640755</v>
      </c>
      <c r="G55" s="21" t="n">
        <f aca="false">parametros_recargas!$E$93*'Plan mensual'!I53+parametros_recargas!$F$93*'Plan mensual'!I54+parametros_recargas!$G$93*'Plan mensual'!I55+parametros_recargas!$H$93*'Plan mensual'!I56+parametros_recargas!$I$93*'Plan mensual'!I57+parametros_recargas!$J$93*'Plan mensual'!I58+parametros_recargas!$K$93*'Plan mensual'!I59+parametros_recargas!$L$93*'Plan mensual'!I60</f>
        <v>666.812796640755</v>
      </c>
      <c r="H55" s="21" t="n">
        <f aca="false">parametros_recargas!$E$93*'Plan mensual'!J53+parametros_recargas!$F$93*'Plan mensual'!J54+parametros_recargas!$G$93*'Plan mensual'!J55+parametros_recargas!$H$93*'Plan mensual'!J56+parametros_recargas!$I$93*'Plan mensual'!J57+parametros_recargas!$J$93*'Plan mensual'!J58+parametros_recargas!$K$93*'Plan mensual'!J59+parametros_recargas!$L$93*'Plan mensual'!J60</f>
        <v>666.812796640755</v>
      </c>
      <c r="I55" s="21" t="n">
        <f aca="false">parametros_recargas!$E$93*'Plan mensual'!K53+parametros_recargas!$F$93*'Plan mensual'!K54+parametros_recargas!$G$93*'Plan mensual'!K55+parametros_recargas!$H$93*'Plan mensual'!K56+parametros_recargas!$I$93*'Plan mensual'!K57+parametros_recargas!$J$93*'Plan mensual'!K58+parametros_recargas!$K$93*'Plan mensual'!K59+parametros_recargas!$L$93*'Plan mensual'!K60</f>
        <v>666.812796640755</v>
      </c>
      <c r="J55" s="21" t="n">
        <f aca="false">parametros_recargas!$E$93*'Plan mensual'!L53+parametros_recargas!$F$93*'Plan mensual'!L54+parametros_recargas!$G$93*'Plan mensual'!L55+parametros_recargas!$H$93*'Plan mensual'!L56+parametros_recargas!$I$93*'Plan mensual'!L57+parametros_recargas!$J$93*'Plan mensual'!L58+parametros_recargas!$K$93*'Plan mensual'!L59+parametros_recargas!$L$93*'Plan mensual'!L60</f>
        <v>666.812796640755</v>
      </c>
      <c r="K55" s="21" t="n">
        <f aca="false">parametros_recargas!$E$93*'Plan mensual'!M53+parametros_recargas!$F$93*'Plan mensual'!M54+parametros_recargas!$G$93*'Plan mensual'!M55+parametros_recargas!$H$93*'Plan mensual'!M56+parametros_recargas!$I$93*'Plan mensual'!M57+parametros_recargas!$J$93*'Plan mensual'!M58+parametros_recargas!$K$93*'Plan mensual'!M59+parametros_recargas!$L$93*'Plan mensual'!M60</f>
        <v>666.812796640755</v>
      </c>
      <c r="L55" s="21" t="n">
        <f aca="false">parametros_recargas!$E$93*'Plan mensual'!N53+parametros_recargas!$F$93*'Plan mensual'!N54+parametros_recargas!$G$93*'Plan mensual'!N55+parametros_recargas!$H$93*'Plan mensual'!N56+parametros_recargas!$I$93*'Plan mensual'!N57+parametros_recargas!$J$93*'Plan mensual'!N58+parametros_recargas!$K$93*'Plan mensual'!N59+parametros_recargas!$L$93*'Plan mensual'!N60</f>
        <v>666.812796640755</v>
      </c>
      <c r="M55" s="21" t="n">
        <f aca="false">parametros_recargas!$E$93*'Plan mensual'!O53+parametros_recargas!$F$93*'Plan mensual'!O54+parametros_recargas!$G$93*'Plan mensual'!O55+parametros_recargas!$H$93*'Plan mensual'!O56+parametros_recargas!$I$93*'Plan mensual'!O57+parametros_recargas!$J$93*'Plan mensual'!O58+parametros_recargas!$K$93*'Plan mensual'!O59+parametros_recargas!$L$93*'Plan mensual'!O60</f>
        <v>666.812796640755</v>
      </c>
      <c r="N55" s="6" t="n">
        <f aca="false">SUM(B55:M55)</f>
        <v>8001.75355968906</v>
      </c>
      <c r="O55" s="22" t="n">
        <f aca="false">MAX(B55:M55)</f>
        <v>666.812796640755</v>
      </c>
      <c r="P55" s="12" t="n">
        <f aca="false">O55/parametros_recargas!$B$6</f>
        <v>4.4454186442717</v>
      </c>
    </row>
    <row r="56" customFormat="false" ht="15" hidden="false" customHeight="false" outlineLevel="0" collapsed="false">
      <c r="A56" s="8" t="str">
        <f aca="false">parametros_recargas!$B$94</f>
        <v>Ensamblaje y presurización — zona general</v>
      </c>
      <c r="B56" s="21" t="n">
        <f aca="false">parametros_recargas!$E$94*'Plan mensual'!D53+parametros_recargas!$F$94*'Plan mensual'!D54+parametros_recargas!$G$94*'Plan mensual'!D55+parametros_recargas!$H$94*'Plan mensual'!D56+parametros_recargas!$I$94*'Plan mensual'!D57+parametros_recargas!$J$94*'Plan mensual'!D58+parametros_recargas!$K$94*'Plan mensual'!D59+parametros_recargas!$L$94*'Plan mensual'!D60</f>
        <v>48.6955415332483</v>
      </c>
      <c r="C56" s="21" t="n">
        <f aca="false">parametros_recargas!$E$94*'Plan mensual'!E53+parametros_recargas!$F$94*'Plan mensual'!E54+parametros_recargas!$G$94*'Plan mensual'!E55+parametros_recargas!$H$94*'Plan mensual'!E56+parametros_recargas!$I$94*'Plan mensual'!E57+parametros_recargas!$J$94*'Plan mensual'!E58+parametros_recargas!$K$94*'Plan mensual'!E59+parametros_recargas!$L$94*'Plan mensual'!E60</f>
        <v>48.6955415332483</v>
      </c>
      <c r="D56" s="21" t="n">
        <f aca="false">parametros_recargas!$E$94*'Plan mensual'!F53+parametros_recargas!$F$94*'Plan mensual'!F54+parametros_recargas!$G$94*'Plan mensual'!F55+parametros_recargas!$H$94*'Plan mensual'!F56+parametros_recargas!$I$94*'Plan mensual'!F57+parametros_recargas!$J$94*'Plan mensual'!F58+parametros_recargas!$K$94*'Plan mensual'!F59+parametros_recargas!$L$94*'Plan mensual'!F60</f>
        <v>48.6955415332483</v>
      </c>
      <c r="E56" s="21" t="n">
        <f aca="false">parametros_recargas!$E$94*'Plan mensual'!G53+parametros_recargas!$F$94*'Plan mensual'!G54+parametros_recargas!$G$94*'Plan mensual'!G55+parametros_recargas!$H$94*'Plan mensual'!G56+parametros_recargas!$I$94*'Plan mensual'!G57+parametros_recargas!$J$94*'Plan mensual'!G58+parametros_recargas!$K$94*'Plan mensual'!G59+parametros_recargas!$L$94*'Plan mensual'!G60</f>
        <v>48.6955415332483</v>
      </c>
      <c r="F56" s="21" t="n">
        <f aca="false">parametros_recargas!$E$94*'Plan mensual'!H53+parametros_recargas!$F$94*'Plan mensual'!H54+parametros_recargas!$G$94*'Plan mensual'!H55+parametros_recargas!$H$94*'Plan mensual'!H56+parametros_recargas!$I$94*'Plan mensual'!H57+parametros_recargas!$J$94*'Plan mensual'!H58+parametros_recargas!$K$94*'Plan mensual'!H59+parametros_recargas!$L$94*'Plan mensual'!H60</f>
        <v>48.6955415332483</v>
      </c>
      <c r="G56" s="21" t="n">
        <f aca="false">parametros_recargas!$E$94*'Plan mensual'!I53+parametros_recargas!$F$94*'Plan mensual'!I54+parametros_recargas!$G$94*'Plan mensual'!I55+parametros_recargas!$H$94*'Plan mensual'!I56+parametros_recargas!$I$94*'Plan mensual'!I57+parametros_recargas!$J$94*'Plan mensual'!I58+parametros_recargas!$K$94*'Plan mensual'!I59+parametros_recargas!$L$94*'Plan mensual'!I60</f>
        <v>48.6955415332483</v>
      </c>
      <c r="H56" s="21" t="n">
        <f aca="false">parametros_recargas!$E$94*'Plan mensual'!J53+parametros_recargas!$F$94*'Plan mensual'!J54+parametros_recargas!$G$94*'Plan mensual'!J55+parametros_recargas!$H$94*'Plan mensual'!J56+parametros_recargas!$I$94*'Plan mensual'!J57+parametros_recargas!$J$94*'Plan mensual'!J58+parametros_recargas!$K$94*'Plan mensual'!J59+parametros_recargas!$L$94*'Plan mensual'!J60</f>
        <v>48.6955415332483</v>
      </c>
      <c r="I56" s="21" t="n">
        <f aca="false">parametros_recargas!$E$94*'Plan mensual'!K53+parametros_recargas!$F$94*'Plan mensual'!K54+parametros_recargas!$G$94*'Plan mensual'!K55+parametros_recargas!$H$94*'Plan mensual'!K56+parametros_recargas!$I$94*'Plan mensual'!K57+parametros_recargas!$J$94*'Plan mensual'!K58+parametros_recargas!$K$94*'Plan mensual'!K59+parametros_recargas!$L$94*'Plan mensual'!K60</f>
        <v>48.6955415332483</v>
      </c>
      <c r="J56" s="21" t="n">
        <f aca="false">parametros_recargas!$E$94*'Plan mensual'!L53+parametros_recargas!$F$94*'Plan mensual'!L54+parametros_recargas!$G$94*'Plan mensual'!L55+parametros_recargas!$H$94*'Plan mensual'!L56+parametros_recargas!$I$94*'Plan mensual'!L57+parametros_recargas!$J$94*'Plan mensual'!L58+parametros_recargas!$K$94*'Plan mensual'!L59+parametros_recargas!$L$94*'Plan mensual'!L60</f>
        <v>48.6955415332483</v>
      </c>
      <c r="K56" s="21" t="n">
        <f aca="false">parametros_recargas!$E$94*'Plan mensual'!M53+parametros_recargas!$F$94*'Plan mensual'!M54+parametros_recargas!$G$94*'Plan mensual'!M55+parametros_recargas!$H$94*'Plan mensual'!M56+parametros_recargas!$I$94*'Plan mensual'!M57+parametros_recargas!$J$94*'Plan mensual'!M58+parametros_recargas!$K$94*'Plan mensual'!M59+parametros_recargas!$L$94*'Plan mensual'!M60</f>
        <v>48.6955415332483</v>
      </c>
      <c r="L56" s="21" t="n">
        <f aca="false">parametros_recargas!$E$94*'Plan mensual'!N53+parametros_recargas!$F$94*'Plan mensual'!N54+parametros_recargas!$G$94*'Plan mensual'!N55+parametros_recargas!$H$94*'Plan mensual'!N56+parametros_recargas!$I$94*'Plan mensual'!N57+parametros_recargas!$J$94*'Plan mensual'!N58+parametros_recargas!$K$94*'Plan mensual'!N59+parametros_recargas!$L$94*'Plan mensual'!N60</f>
        <v>48.6955415332483</v>
      </c>
      <c r="M56" s="21" t="n">
        <f aca="false">parametros_recargas!$E$94*'Plan mensual'!O53+parametros_recargas!$F$94*'Plan mensual'!O54+parametros_recargas!$G$94*'Plan mensual'!O55+parametros_recargas!$H$94*'Plan mensual'!O56+parametros_recargas!$I$94*'Plan mensual'!O57+parametros_recargas!$J$94*'Plan mensual'!O58+parametros_recargas!$K$94*'Plan mensual'!O59+parametros_recargas!$L$94*'Plan mensual'!O60</f>
        <v>48.6955415332483</v>
      </c>
      <c r="N56" s="6" t="n">
        <f aca="false">SUM(B56:M56)</f>
        <v>584.346498398979</v>
      </c>
      <c r="O56" s="22" t="n">
        <f aca="false">MAX(B56:M56)</f>
        <v>48.6955415332483</v>
      </c>
      <c r="P56" s="12" t="n">
        <f aca="false">O56/parametros_recargas!$B$6</f>
        <v>0.324636943554989</v>
      </c>
    </row>
    <row r="57" customFormat="false" ht="15" hidden="false" customHeight="false" outlineLevel="0" collapsed="false">
      <c r="A57" s="8" t="str">
        <f aca="false">parametros_recargas!$B$95</f>
        <v>Carga y presurización de halogenado</v>
      </c>
      <c r="B57" s="21" t="n">
        <f aca="false">parametros_recargas!$E$95*'Plan mensual'!D53+parametros_recargas!$F$95*'Plan mensual'!D54+parametros_recargas!$G$95*'Plan mensual'!D55+parametros_recargas!$H$95*'Plan mensual'!D56+parametros_recargas!$I$95*'Plan mensual'!D57+parametros_recargas!$J$95*'Plan mensual'!D58+parametros_recargas!$K$95*'Plan mensual'!D59+parametros_recargas!$L$95*'Plan mensual'!D60</f>
        <v>0.693836281640962</v>
      </c>
      <c r="C57" s="21" t="n">
        <f aca="false">parametros_recargas!$E$95*'Plan mensual'!E53+parametros_recargas!$F$95*'Plan mensual'!E54+parametros_recargas!$G$95*'Plan mensual'!E55+parametros_recargas!$H$95*'Plan mensual'!E56+parametros_recargas!$I$95*'Plan mensual'!E57+parametros_recargas!$J$95*'Plan mensual'!E58+parametros_recargas!$K$95*'Plan mensual'!E59+parametros_recargas!$L$95*'Plan mensual'!E60</f>
        <v>0.693836281640962</v>
      </c>
      <c r="D57" s="21" t="n">
        <f aca="false">parametros_recargas!$E$95*'Plan mensual'!F53+parametros_recargas!$F$95*'Plan mensual'!F54+parametros_recargas!$G$95*'Plan mensual'!F55+parametros_recargas!$H$95*'Plan mensual'!F56+parametros_recargas!$I$95*'Plan mensual'!F57+parametros_recargas!$J$95*'Plan mensual'!F58+parametros_recargas!$K$95*'Plan mensual'!F59+parametros_recargas!$L$95*'Plan mensual'!F60</f>
        <v>0.693836281640962</v>
      </c>
      <c r="E57" s="21" t="n">
        <f aca="false">parametros_recargas!$E$95*'Plan mensual'!G53+parametros_recargas!$F$95*'Plan mensual'!G54+parametros_recargas!$G$95*'Plan mensual'!G55+parametros_recargas!$H$95*'Plan mensual'!G56+parametros_recargas!$I$95*'Plan mensual'!G57+parametros_recargas!$J$95*'Plan mensual'!G58+parametros_recargas!$K$95*'Plan mensual'!G59+parametros_recargas!$L$95*'Plan mensual'!G60</f>
        <v>0.693836281640962</v>
      </c>
      <c r="F57" s="21" t="n">
        <f aca="false">parametros_recargas!$E$95*'Plan mensual'!H53+parametros_recargas!$F$95*'Plan mensual'!H54+parametros_recargas!$G$95*'Plan mensual'!H55+parametros_recargas!$H$95*'Plan mensual'!H56+parametros_recargas!$I$95*'Plan mensual'!H57+parametros_recargas!$J$95*'Plan mensual'!H58+parametros_recargas!$K$95*'Plan mensual'!H59+parametros_recargas!$L$95*'Plan mensual'!H60</f>
        <v>0.693836281640962</v>
      </c>
      <c r="G57" s="21" t="n">
        <f aca="false">parametros_recargas!$E$95*'Plan mensual'!I53+parametros_recargas!$F$95*'Plan mensual'!I54+parametros_recargas!$G$95*'Plan mensual'!I55+parametros_recargas!$H$95*'Plan mensual'!I56+parametros_recargas!$I$95*'Plan mensual'!I57+parametros_recargas!$J$95*'Plan mensual'!I58+parametros_recargas!$K$95*'Plan mensual'!I59+parametros_recargas!$L$95*'Plan mensual'!I60</f>
        <v>0.693836281640962</v>
      </c>
      <c r="H57" s="21" t="n">
        <f aca="false">parametros_recargas!$E$95*'Plan mensual'!J53+parametros_recargas!$F$95*'Plan mensual'!J54+parametros_recargas!$G$95*'Plan mensual'!J55+parametros_recargas!$H$95*'Plan mensual'!J56+parametros_recargas!$I$95*'Plan mensual'!J57+parametros_recargas!$J$95*'Plan mensual'!J58+parametros_recargas!$K$95*'Plan mensual'!J59+parametros_recargas!$L$95*'Plan mensual'!J60</f>
        <v>0.693836281640962</v>
      </c>
      <c r="I57" s="21" t="n">
        <f aca="false">parametros_recargas!$E$95*'Plan mensual'!K53+parametros_recargas!$F$95*'Plan mensual'!K54+parametros_recargas!$G$95*'Plan mensual'!K55+parametros_recargas!$H$95*'Plan mensual'!K56+parametros_recargas!$I$95*'Plan mensual'!K57+parametros_recargas!$J$95*'Plan mensual'!K58+parametros_recargas!$K$95*'Plan mensual'!K59+parametros_recargas!$L$95*'Plan mensual'!K60</f>
        <v>0.693836281640962</v>
      </c>
      <c r="J57" s="21" t="n">
        <f aca="false">parametros_recargas!$E$95*'Plan mensual'!L53+parametros_recargas!$F$95*'Plan mensual'!L54+parametros_recargas!$G$95*'Plan mensual'!L55+parametros_recargas!$H$95*'Plan mensual'!L56+parametros_recargas!$I$95*'Plan mensual'!L57+parametros_recargas!$J$95*'Plan mensual'!L58+parametros_recargas!$K$95*'Plan mensual'!L59+parametros_recargas!$L$95*'Plan mensual'!L60</f>
        <v>0.693836281640962</v>
      </c>
      <c r="K57" s="21" t="n">
        <f aca="false">parametros_recargas!$E$95*'Plan mensual'!M53+parametros_recargas!$F$95*'Plan mensual'!M54+parametros_recargas!$G$95*'Plan mensual'!M55+parametros_recargas!$H$95*'Plan mensual'!M56+parametros_recargas!$I$95*'Plan mensual'!M57+parametros_recargas!$J$95*'Plan mensual'!M58+parametros_recargas!$K$95*'Plan mensual'!M59+parametros_recargas!$L$95*'Plan mensual'!M60</f>
        <v>0.693836281640962</v>
      </c>
      <c r="L57" s="21" t="n">
        <f aca="false">parametros_recargas!$E$95*'Plan mensual'!N53+parametros_recargas!$F$95*'Plan mensual'!N54+parametros_recargas!$G$95*'Plan mensual'!N55+parametros_recargas!$H$95*'Plan mensual'!N56+parametros_recargas!$I$95*'Plan mensual'!N57+parametros_recargas!$J$95*'Plan mensual'!N58+parametros_recargas!$K$95*'Plan mensual'!N59+parametros_recargas!$L$95*'Plan mensual'!N60</f>
        <v>0.693836281640962</v>
      </c>
      <c r="M57" s="21" t="n">
        <f aca="false">parametros_recargas!$E$95*'Plan mensual'!O53+parametros_recargas!$F$95*'Plan mensual'!O54+parametros_recargas!$G$95*'Plan mensual'!O55+parametros_recargas!$H$95*'Plan mensual'!O56+parametros_recargas!$I$95*'Plan mensual'!O57+parametros_recargas!$J$95*'Plan mensual'!O58+parametros_recargas!$K$95*'Plan mensual'!O59+parametros_recargas!$L$95*'Plan mensual'!O60</f>
        <v>0.693836281640962</v>
      </c>
      <c r="N57" s="6" t="n">
        <f aca="false">SUM(B57:M57)</f>
        <v>8.32603537969154</v>
      </c>
      <c r="O57" s="22" t="n">
        <f aca="false">MAX(B57:M57)</f>
        <v>0.693836281640962</v>
      </c>
      <c r="P57" s="12" t="n">
        <f aca="false">O57/parametros_recargas!$B$6</f>
        <v>0.00462557521093975</v>
      </c>
    </row>
    <row r="58" customFormat="false" ht="15" hidden="false" customHeight="false" outlineLevel="0" collapsed="false">
      <c r="A58" s="8" t="str">
        <f aca="false">parametros_recargas!$B$96</f>
        <v>Control de peso (CO₂ y halogenados sin recarga)</v>
      </c>
      <c r="B58" s="21" t="n">
        <f aca="false">parametros_recargas!$E$96*'Plan mensual'!D53+parametros_recargas!$F$96*'Plan mensual'!D54+parametros_recargas!$G$96*'Plan mensual'!D55+parametros_recargas!$H$96*'Plan mensual'!D56+parametros_recargas!$I$96*'Plan mensual'!D57+parametros_recargas!$J$96*'Plan mensual'!D58+parametros_recargas!$K$96*'Plan mensual'!D59+parametros_recargas!$L$96*'Plan mensual'!D60</f>
        <v>41.6144423110324</v>
      </c>
      <c r="C58" s="21" t="n">
        <f aca="false">parametros_recargas!$E$96*'Plan mensual'!E53+parametros_recargas!$F$96*'Plan mensual'!E54+parametros_recargas!$G$96*'Plan mensual'!E55+parametros_recargas!$H$96*'Plan mensual'!E56+parametros_recargas!$I$96*'Plan mensual'!E57+parametros_recargas!$J$96*'Plan mensual'!E58+parametros_recargas!$K$96*'Plan mensual'!E59+parametros_recargas!$L$96*'Plan mensual'!E60</f>
        <v>41.6144423110324</v>
      </c>
      <c r="D58" s="21" t="n">
        <f aca="false">parametros_recargas!$E$96*'Plan mensual'!F53+parametros_recargas!$F$96*'Plan mensual'!F54+parametros_recargas!$G$96*'Plan mensual'!F55+parametros_recargas!$H$96*'Plan mensual'!F56+parametros_recargas!$I$96*'Plan mensual'!F57+parametros_recargas!$J$96*'Plan mensual'!F58+parametros_recargas!$K$96*'Plan mensual'!F59+parametros_recargas!$L$96*'Plan mensual'!F60</f>
        <v>41.6144423110324</v>
      </c>
      <c r="E58" s="21" t="n">
        <f aca="false">parametros_recargas!$E$96*'Plan mensual'!G53+parametros_recargas!$F$96*'Plan mensual'!G54+parametros_recargas!$G$96*'Plan mensual'!G55+parametros_recargas!$H$96*'Plan mensual'!G56+parametros_recargas!$I$96*'Plan mensual'!G57+parametros_recargas!$J$96*'Plan mensual'!G58+parametros_recargas!$K$96*'Plan mensual'!G59+parametros_recargas!$L$96*'Plan mensual'!G60</f>
        <v>41.6144423110324</v>
      </c>
      <c r="F58" s="21" t="n">
        <f aca="false">parametros_recargas!$E$96*'Plan mensual'!H53+parametros_recargas!$F$96*'Plan mensual'!H54+parametros_recargas!$G$96*'Plan mensual'!H55+parametros_recargas!$H$96*'Plan mensual'!H56+parametros_recargas!$I$96*'Plan mensual'!H57+parametros_recargas!$J$96*'Plan mensual'!H58+parametros_recargas!$K$96*'Plan mensual'!H59+parametros_recargas!$L$96*'Plan mensual'!H60</f>
        <v>41.6144423110324</v>
      </c>
      <c r="G58" s="21" t="n">
        <f aca="false">parametros_recargas!$E$96*'Plan mensual'!I53+parametros_recargas!$F$96*'Plan mensual'!I54+parametros_recargas!$G$96*'Plan mensual'!I55+parametros_recargas!$H$96*'Plan mensual'!I56+parametros_recargas!$I$96*'Plan mensual'!I57+parametros_recargas!$J$96*'Plan mensual'!I58+parametros_recargas!$K$96*'Plan mensual'!I59+parametros_recargas!$L$96*'Plan mensual'!I60</f>
        <v>41.6144423110324</v>
      </c>
      <c r="H58" s="21" t="n">
        <f aca="false">parametros_recargas!$E$96*'Plan mensual'!J53+parametros_recargas!$F$96*'Plan mensual'!J54+parametros_recargas!$G$96*'Plan mensual'!J55+parametros_recargas!$H$96*'Plan mensual'!J56+parametros_recargas!$I$96*'Plan mensual'!J57+parametros_recargas!$J$96*'Plan mensual'!J58+parametros_recargas!$K$96*'Plan mensual'!J59+parametros_recargas!$L$96*'Plan mensual'!J60</f>
        <v>41.6144423110324</v>
      </c>
      <c r="I58" s="21" t="n">
        <f aca="false">parametros_recargas!$E$96*'Plan mensual'!K53+parametros_recargas!$F$96*'Plan mensual'!K54+parametros_recargas!$G$96*'Plan mensual'!K55+parametros_recargas!$H$96*'Plan mensual'!K56+parametros_recargas!$I$96*'Plan mensual'!K57+parametros_recargas!$J$96*'Plan mensual'!K58+parametros_recargas!$K$96*'Plan mensual'!K59+parametros_recargas!$L$96*'Plan mensual'!K60</f>
        <v>41.6144423110324</v>
      </c>
      <c r="J58" s="21" t="n">
        <f aca="false">parametros_recargas!$E$96*'Plan mensual'!L53+parametros_recargas!$F$96*'Plan mensual'!L54+parametros_recargas!$G$96*'Plan mensual'!L55+parametros_recargas!$H$96*'Plan mensual'!L56+parametros_recargas!$I$96*'Plan mensual'!L57+parametros_recargas!$J$96*'Plan mensual'!L58+parametros_recargas!$K$96*'Plan mensual'!L59+parametros_recargas!$L$96*'Plan mensual'!L60</f>
        <v>41.6144423110324</v>
      </c>
      <c r="K58" s="21" t="n">
        <f aca="false">parametros_recargas!$E$96*'Plan mensual'!M53+parametros_recargas!$F$96*'Plan mensual'!M54+parametros_recargas!$G$96*'Plan mensual'!M55+parametros_recargas!$H$96*'Plan mensual'!M56+parametros_recargas!$I$96*'Plan mensual'!M57+parametros_recargas!$J$96*'Plan mensual'!M58+parametros_recargas!$K$96*'Plan mensual'!M59+parametros_recargas!$L$96*'Plan mensual'!M60</f>
        <v>41.6144423110324</v>
      </c>
      <c r="L58" s="21" t="n">
        <f aca="false">parametros_recargas!$E$96*'Plan mensual'!N53+parametros_recargas!$F$96*'Plan mensual'!N54+parametros_recargas!$G$96*'Plan mensual'!N55+parametros_recargas!$H$96*'Plan mensual'!N56+parametros_recargas!$I$96*'Plan mensual'!N57+parametros_recargas!$J$96*'Plan mensual'!N58+parametros_recargas!$K$96*'Plan mensual'!N59+parametros_recargas!$L$96*'Plan mensual'!N60</f>
        <v>41.6144423110324</v>
      </c>
      <c r="M58" s="21" t="n">
        <f aca="false">parametros_recargas!$E$96*'Plan mensual'!O53+parametros_recargas!$F$96*'Plan mensual'!O54+parametros_recargas!$G$96*'Plan mensual'!O55+parametros_recargas!$H$96*'Plan mensual'!O56+parametros_recargas!$I$96*'Plan mensual'!O57+parametros_recargas!$J$96*'Plan mensual'!O58+parametros_recargas!$K$96*'Plan mensual'!O59+parametros_recargas!$L$96*'Plan mensual'!O60</f>
        <v>41.6144423110324</v>
      </c>
      <c r="N58" s="6" t="n">
        <f aca="false">SUM(B58:M58)</f>
        <v>499.373307732389</v>
      </c>
      <c r="O58" s="22" t="n">
        <f aca="false">MAX(B58:M58)</f>
        <v>41.6144423110324</v>
      </c>
      <c r="P58" s="12" t="n">
        <f aca="false">O58/parametros_recargas!$B$6</f>
        <v>0.277429615406883</v>
      </c>
    </row>
    <row r="59" customFormat="false" ht="15" hidden="false" customHeight="false" outlineLevel="0" collapsed="false">
      <c r="A59" s="8" t="str">
        <f aca="false">parametros_recargas!$B$97</f>
        <v>Ensayo de pérdidas</v>
      </c>
      <c r="B59" s="21" t="n">
        <f aca="false">parametros_recargas!$E$97*'Plan mensual'!D53+parametros_recargas!$F$97*'Plan mensual'!D54+parametros_recargas!$G$97*'Plan mensual'!D55+parametros_recargas!$H$97*'Plan mensual'!D56+parametros_recargas!$I$97*'Plan mensual'!D57+parametros_recargas!$J$97*'Plan mensual'!D58+parametros_recargas!$K$97*'Plan mensual'!D59+parametros_recargas!$L$97*'Plan mensual'!D60</f>
        <v>759.946561446901</v>
      </c>
      <c r="C59" s="21" t="n">
        <f aca="false">parametros_recargas!$E$97*'Plan mensual'!E53+parametros_recargas!$F$97*'Plan mensual'!E54+parametros_recargas!$G$97*'Plan mensual'!E55+parametros_recargas!$H$97*'Plan mensual'!E56+parametros_recargas!$I$97*'Plan mensual'!E57+parametros_recargas!$J$97*'Plan mensual'!E58+parametros_recargas!$K$97*'Plan mensual'!E59+parametros_recargas!$L$97*'Plan mensual'!E60</f>
        <v>759.946561446901</v>
      </c>
      <c r="D59" s="21" t="n">
        <f aca="false">parametros_recargas!$E$97*'Plan mensual'!F53+parametros_recargas!$F$97*'Plan mensual'!F54+parametros_recargas!$G$97*'Plan mensual'!F55+parametros_recargas!$H$97*'Plan mensual'!F56+parametros_recargas!$I$97*'Plan mensual'!F57+parametros_recargas!$J$97*'Plan mensual'!F58+parametros_recargas!$K$97*'Plan mensual'!F59+parametros_recargas!$L$97*'Plan mensual'!F60</f>
        <v>759.946561446901</v>
      </c>
      <c r="E59" s="21" t="n">
        <f aca="false">parametros_recargas!$E$97*'Plan mensual'!G53+parametros_recargas!$F$97*'Plan mensual'!G54+parametros_recargas!$G$97*'Plan mensual'!G55+parametros_recargas!$H$97*'Plan mensual'!G56+parametros_recargas!$I$97*'Plan mensual'!G57+parametros_recargas!$J$97*'Plan mensual'!G58+parametros_recargas!$K$97*'Plan mensual'!G59+parametros_recargas!$L$97*'Plan mensual'!G60</f>
        <v>759.946561446901</v>
      </c>
      <c r="F59" s="21" t="n">
        <f aca="false">parametros_recargas!$E$97*'Plan mensual'!H53+parametros_recargas!$F$97*'Plan mensual'!H54+parametros_recargas!$G$97*'Plan mensual'!H55+parametros_recargas!$H$97*'Plan mensual'!H56+parametros_recargas!$I$97*'Plan mensual'!H57+parametros_recargas!$J$97*'Plan mensual'!H58+parametros_recargas!$K$97*'Plan mensual'!H59+parametros_recargas!$L$97*'Plan mensual'!H60</f>
        <v>759.946561446901</v>
      </c>
      <c r="G59" s="21" t="n">
        <f aca="false">parametros_recargas!$E$97*'Plan mensual'!I53+parametros_recargas!$F$97*'Plan mensual'!I54+parametros_recargas!$G$97*'Plan mensual'!I55+parametros_recargas!$H$97*'Plan mensual'!I56+parametros_recargas!$I$97*'Plan mensual'!I57+parametros_recargas!$J$97*'Plan mensual'!I58+parametros_recargas!$K$97*'Plan mensual'!I59+parametros_recargas!$L$97*'Plan mensual'!I60</f>
        <v>759.946561446901</v>
      </c>
      <c r="H59" s="21" t="n">
        <f aca="false">parametros_recargas!$E$97*'Plan mensual'!J53+parametros_recargas!$F$97*'Plan mensual'!J54+parametros_recargas!$G$97*'Plan mensual'!J55+parametros_recargas!$H$97*'Plan mensual'!J56+parametros_recargas!$I$97*'Plan mensual'!J57+parametros_recargas!$J$97*'Plan mensual'!J58+parametros_recargas!$K$97*'Plan mensual'!J59+parametros_recargas!$L$97*'Plan mensual'!J60</f>
        <v>759.946561446901</v>
      </c>
      <c r="I59" s="21" t="n">
        <f aca="false">parametros_recargas!$E$97*'Plan mensual'!K53+parametros_recargas!$F$97*'Plan mensual'!K54+parametros_recargas!$G$97*'Plan mensual'!K55+parametros_recargas!$H$97*'Plan mensual'!K56+parametros_recargas!$I$97*'Plan mensual'!K57+parametros_recargas!$J$97*'Plan mensual'!K58+parametros_recargas!$K$97*'Plan mensual'!K59+parametros_recargas!$L$97*'Plan mensual'!K60</f>
        <v>759.946561446901</v>
      </c>
      <c r="J59" s="21" t="n">
        <f aca="false">parametros_recargas!$E$97*'Plan mensual'!L53+parametros_recargas!$F$97*'Plan mensual'!L54+parametros_recargas!$G$97*'Plan mensual'!L55+parametros_recargas!$H$97*'Plan mensual'!L56+parametros_recargas!$I$97*'Plan mensual'!L57+parametros_recargas!$J$97*'Plan mensual'!L58+parametros_recargas!$K$97*'Plan mensual'!L59+parametros_recargas!$L$97*'Plan mensual'!L60</f>
        <v>759.946561446901</v>
      </c>
      <c r="K59" s="21" t="n">
        <f aca="false">parametros_recargas!$E$97*'Plan mensual'!M53+parametros_recargas!$F$97*'Plan mensual'!M54+parametros_recargas!$G$97*'Plan mensual'!M55+parametros_recargas!$H$97*'Plan mensual'!M56+parametros_recargas!$I$97*'Plan mensual'!M57+parametros_recargas!$J$97*'Plan mensual'!M58+parametros_recargas!$K$97*'Plan mensual'!M59+parametros_recargas!$L$97*'Plan mensual'!M60</f>
        <v>759.946561446901</v>
      </c>
      <c r="L59" s="21" t="n">
        <f aca="false">parametros_recargas!$E$97*'Plan mensual'!N53+parametros_recargas!$F$97*'Plan mensual'!N54+parametros_recargas!$G$97*'Plan mensual'!N55+parametros_recargas!$H$97*'Plan mensual'!N56+parametros_recargas!$I$97*'Plan mensual'!N57+parametros_recargas!$J$97*'Plan mensual'!N58+parametros_recargas!$K$97*'Plan mensual'!N59+parametros_recargas!$L$97*'Plan mensual'!N60</f>
        <v>759.946561446901</v>
      </c>
      <c r="M59" s="21" t="n">
        <f aca="false">parametros_recargas!$E$97*'Plan mensual'!O53+parametros_recargas!$F$97*'Plan mensual'!O54+parametros_recargas!$G$97*'Plan mensual'!O55+parametros_recargas!$H$97*'Plan mensual'!O56+parametros_recargas!$I$97*'Plan mensual'!O57+parametros_recargas!$J$97*'Plan mensual'!O58+parametros_recargas!$K$97*'Plan mensual'!O59+parametros_recargas!$L$97*'Plan mensual'!O60</f>
        <v>759.946561446901</v>
      </c>
      <c r="N59" s="6" t="n">
        <f aca="false">SUM(B59:M59)</f>
        <v>9119.35873736281</v>
      </c>
      <c r="O59" s="22" t="n">
        <f aca="false">MAX(B59:M59)</f>
        <v>759.946561446901</v>
      </c>
      <c r="P59" s="12" t="n">
        <f aca="false">O59/parametros_recargas!$B$6</f>
        <v>5.06631040964601</v>
      </c>
    </row>
    <row r="60" customFormat="false" ht="15" hidden="false" customHeight="false" outlineLevel="0" collapsed="false">
      <c r="A60" s="8" t="str">
        <f aca="false">parametros_recargas!$B$98</f>
        <v>Precinto, etiqueta y despacho</v>
      </c>
      <c r="B60" s="21" t="n">
        <f aca="false">parametros_recargas!$E$98*'Plan mensual'!D53+parametros_recargas!$F$98*'Plan mensual'!D54+parametros_recargas!$G$98*'Plan mensual'!D55+parametros_recargas!$H$98*'Plan mensual'!D56+parametros_recargas!$I$98*'Plan mensual'!D57+parametros_recargas!$J$98*'Plan mensual'!D58+parametros_recargas!$K$98*'Plan mensual'!D59+parametros_recargas!$L$98*'Plan mensual'!D60</f>
        <v>759.946561446901</v>
      </c>
      <c r="C60" s="21" t="n">
        <f aca="false">parametros_recargas!$E$98*'Plan mensual'!E53+parametros_recargas!$F$98*'Plan mensual'!E54+parametros_recargas!$G$98*'Plan mensual'!E55+parametros_recargas!$H$98*'Plan mensual'!E56+parametros_recargas!$I$98*'Plan mensual'!E57+parametros_recargas!$J$98*'Plan mensual'!E58+parametros_recargas!$K$98*'Plan mensual'!E59+parametros_recargas!$L$98*'Plan mensual'!E60</f>
        <v>759.946561446901</v>
      </c>
      <c r="D60" s="21" t="n">
        <f aca="false">parametros_recargas!$E$98*'Plan mensual'!F53+parametros_recargas!$F$98*'Plan mensual'!F54+parametros_recargas!$G$98*'Plan mensual'!F55+parametros_recargas!$H$98*'Plan mensual'!F56+parametros_recargas!$I$98*'Plan mensual'!F57+parametros_recargas!$J$98*'Plan mensual'!F58+parametros_recargas!$K$98*'Plan mensual'!F59+parametros_recargas!$L$98*'Plan mensual'!F60</f>
        <v>759.946561446901</v>
      </c>
      <c r="E60" s="21" t="n">
        <f aca="false">parametros_recargas!$E$98*'Plan mensual'!G53+parametros_recargas!$F$98*'Plan mensual'!G54+parametros_recargas!$G$98*'Plan mensual'!G55+parametros_recargas!$H$98*'Plan mensual'!G56+parametros_recargas!$I$98*'Plan mensual'!G57+parametros_recargas!$J$98*'Plan mensual'!G58+parametros_recargas!$K$98*'Plan mensual'!G59+parametros_recargas!$L$98*'Plan mensual'!G60</f>
        <v>759.946561446901</v>
      </c>
      <c r="F60" s="21" t="n">
        <f aca="false">parametros_recargas!$E$98*'Plan mensual'!H53+parametros_recargas!$F$98*'Plan mensual'!H54+parametros_recargas!$G$98*'Plan mensual'!H55+parametros_recargas!$H$98*'Plan mensual'!H56+parametros_recargas!$I$98*'Plan mensual'!H57+parametros_recargas!$J$98*'Plan mensual'!H58+parametros_recargas!$K$98*'Plan mensual'!H59+parametros_recargas!$L$98*'Plan mensual'!H60</f>
        <v>759.946561446901</v>
      </c>
      <c r="G60" s="21" t="n">
        <f aca="false">parametros_recargas!$E$98*'Plan mensual'!I53+parametros_recargas!$F$98*'Plan mensual'!I54+parametros_recargas!$G$98*'Plan mensual'!I55+parametros_recargas!$H$98*'Plan mensual'!I56+parametros_recargas!$I$98*'Plan mensual'!I57+parametros_recargas!$J$98*'Plan mensual'!I58+parametros_recargas!$K$98*'Plan mensual'!I59+parametros_recargas!$L$98*'Plan mensual'!I60</f>
        <v>759.946561446901</v>
      </c>
      <c r="H60" s="21" t="n">
        <f aca="false">parametros_recargas!$E$98*'Plan mensual'!J53+parametros_recargas!$F$98*'Plan mensual'!J54+parametros_recargas!$G$98*'Plan mensual'!J55+parametros_recargas!$H$98*'Plan mensual'!J56+parametros_recargas!$I$98*'Plan mensual'!J57+parametros_recargas!$J$98*'Plan mensual'!J58+parametros_recargas!$K$98*'Plan mensual'!J59+parametros_recargas!$L$98*'Plan mensual'!J60</f>
        <v>759.946561446901</v>
      </c>
      <c r="I60" s="21" t="n">
        <f aca="false">parametros_recargas!$E$98*'Plan mensual'!K53+parametros_recargas!$F$98*'Plan mensual'!K54+parametros_recargas!$G$98*'Plan mensual'!K55+parametros_recargas!$H$98*'Plan mensual'!K56+parametros_recargas!$I$98*'Plan mensual'!K57+parametros_recargas!$J$98*'Plan mensual'!K58+parametros_recargas!$K$98*'Plan mensual'!K59+parametros_recargas!$L$98*'Plan mensual'!K60</f>
        <v>759.946561446901</v>
      </c>
      <c r="J60" s="21" t="n">
        <f aca="false">parametros_recargas!$E$98*'Plan mensual'!L53+parametros_recargas!$F$98*'Plan mensual'!L54+parametros_recargas!$G$98*'Plan mensual'!L55+parametros_recargas!$H$98*'Plan mensual'!L56+parametros_recargas!$I$98*'Plan mensual'!L57+parametros_recargas!$J$98*'Plan mensual'!L58+parametros_recargas!$K$98*'Plan mensual'!L59+parametros_recargas!$L$98*'Plan mensual'!L60</f>
        <v>759.946561446901</v>
      </c>
      <c r="K60" s="21" t="n">
        <f aca="false">parametros_recargas!$E$98*'Plan mensual'!M53+parametros_recargas!$F$98*'Plan mensual'!M54+parametros_recargas!$G$98*'Plan mensual'!M55+parametros_recargas!$H$98*'Plan mensual'!M56+parametros_recargas!$I$98*'Plan mensual'!M57+parametros_recargas!$J$98*'Plan mensual'!M58+parametros_recargas!$K$98*'Plan mensual'!M59+parametros_recargas!$L$98*'Plan mensual'!M60</f>
        <v>759.946561446901</v>
      </c>
      <c r="L60" s="21" t="n">
        <f aca="false">parametros_recargas!$E$98*'Plan mensual'!N53+parametros_recargas!$F$98*'Plan mensual'!N54+parametros_recargas!$G$98*'Plan mensual'!N55+parametros_recargas!$H$98*'Plan mensual'!N56+parametros_recargas!$I$98*'Plan mensual'!N57+parametros_recargas!$J$98*'Plan mensual'!N58+parametros_recargas!$K$98*'Plan mensual'!N59+parametros_recargas!$L$98*'Plan mensual'!N60</f>
        <v>759.946561446901</v>
      </c>
      <c r="M60" s="21" t="n">
        <f aca="false">parametros_recargas!$E$98*'Plan mensual'!O53+parametros_recargas!$F$98*'Plan mensual'!O54+parametros_recargas!$G$98*'Plan mensual'!O55+parametros_recargas!$H$98*'Plan mensual'!O56+parametros_recargas!$I$98*'Plan mensual'!O57+parametros_recargas!$J$98*'Plan mensual'!O58+parametros_recargas!$K$98*'Plan mensual'!O59+parametros_recargas!$L$98*'Plan mensual'!O60</f>
        <v>759.946561446901</v>
      </c>
      <c r="N60" s="6" t="n">
        <f aca="false">SUM(B60:M60)</f>
        <v>9119.35873736281</v>
      </c>
      <c r="O60" s="22" t="n">
        <f aca="false">MAX(B60:M60)</f>
        <v>759.946561446901</v>
      </c>
      <c r="P60" s="12" t="n">
        <f aca="false">O60/parametros_recargas!$B$6</f>
        <v>5.06631040964601</v>
      </c>
    </row>
    <row r="61" customFormat="false" ht="15" hidden="false" customHeight="false" outlineLevel="0" collapsed="false">
      <c r="A61" s="8" t="str">
        <f aca="false">parametros_recargas!$B$99</f>
        <v>Inutilización y disposición final</v>
      </c>
      <c r="B61" s="21" t="n">
        <f aca="false">parametros_recargas!$E$99*'Plan mensual'!D53+parametros_recargas!$F$99*'Plan mensual'!D54+parametros_recargas!$G$99*'Plan mensual'!D55+parametros_recargas!$H$99*'Plan mensual'!D56+parametros_recargas!$I$99*'Plan mensual'!D57+parametros_recargas!$J$99*'Plan mensual'!D58+parametros_recargas!$K$99*'Plan mensual'!D59+parametros_recargas!$L$99*'Plan mensual'!D60</f>
        <v>59.8544645951304</v>
      </c>
      <c r="C61" s="21" t="n">
        <f aca="false">parametros_recargas!$E$99*'Plan mensual'!E53+parametros_recargas!$F$99*'Plan mensual'!E54+parametros_recargas!$G$99*'Plan mensual'!E55+parametros_recargas!$H$99*'Plan mensual'!E56+parametros_recargas!$I$99*'Plan mensual'!E57+parametros_recargas!$J$99*'Plan mensual'!E58+parametros_recargas!$K$99*'Plan mensual'!E59+parametros_recargas!$L$99*'Plan mensual'!E60</f>
        <v>59.8544645951304</v>
      </c>
      <c r="D61" s="21" t="n">
        <f aca="false">parametros_recargas!$E$99*'Plan mensual'!F53+parametros_recargas!$F$99*'Plan mensual'!F54+parametros_recargas!$G$99*'Plan mensual'!F55+parametros_recargas!$H$99*'Plan mensual'!F56+parametros_recargas!$I$99*'Plan mensual'!F57+parametros_recargas!$J$99*'Plan mensual'!F58+parametros_recargas!$K$99*'Plan mensual'!F59+parametros_recargas!$L$99*'Plan mensual'!F60</f>
        <v>59.8544645951304</v>
      </c>
      <c r="E61" s="21" t="n">
        <f aca="false">parametros_recargas!$E$99*'Plan mensual'!G53+parametros_recargas!$F$99*'Plan mensual'!G54+parametros_recargas!$G$99*'Plan mensual'!G55+parametros_recargas!$H$99*'Plan mensual'!G56+parametros_recargas!$I$99*'Plan mensual'!G57+parametros_recargas!$J$99*'Plan mensual'!G58+parametros_recargas!$K$99*'Plan mensual'!G59+parametros_recargas!$L$99*'Plan mensual'!G60</f>
        <v>59.8544645951304</v>
      </c>
      <c r="F61" s="21" t="n">
        <f aca="false">parametros_recargas!$E$99*'Plan mensual'!H53+parametros_recargas!$F$99*'Plan mensual'!H54+parametros_recargas!$G$99*'Plan mensual'!H55+parametros_recargas!$H$99*'Plan mensual'!H56+parametros_recargas!$I$99*'Plan mensual'!H57+parametros_recargas!$J$99*'Plan mensual'!H58+parametros_recargas!$K$99*'Plan mensual'!H59+parametros_recargas!$L$99*'Plan mensual'!H60</f>
        <v>59.8544645951304</v>
      </c>
      <c r="G61" s="21" t="n">
        <f aca="false">parametros_recargas!$E$99*'Plan mensual'!I53+parametros_recargas!$F$99*'Plan mensual'!I54+parametros_recargas!$G$99*'Plan mensual'!I55+parametros_recargas!$H$99*'Plan mensual'!I56+parametros_recargas!$I$99*'Plan mensual'!I57+parametros_recargas!$J$99*'Plan mensual'!I58+parametros_recargas!$K$99*'Plan mensual'!I59+parametros_recargas!$L$99*'Plan mensual'!I60</f>
        <v>59.8544645951304</v>
      </c>
      <c r="H61" s="21" t="n">
        <f aca="false">parametros_recargas!$E$99*'Plan mensual'!J53+parametros_recargas!$F$99*'Plan mensual'!J54+parametros_recargas!$G$99*'Plan mensual'!J55+parametros_recargas!$H$99*'Plan mensual'!J56+parametros_recargas!$I$99*'Plan mensual'!J57+parametros_recargas!$J$99*'Plan mensual'!J58+parametros_recargas!$K$99*'Plan mensual'!J59+parametros_recargas!$L$99*'Plan mensual'!J60</f>
        <v>59.8544645951304</v>
      </c>
      <c r="I61" s="21" t="n">
        <f aca="false">parametros_recargas!$E$99*'Plan mensual'!K53+parametros_recargas!$F$99*'Plan mensual'!K54+parametros_recargas!$G$99*'Plan mensual'!K55+parametros_recargas!$H$99*'Plan mensual'!K56+parametros_recargas!$I$99*'Plan mensual'!K57+parametros_recargas!$J$99*'Plan mensual'!K58+parametros_recargas!$K$99*'Plan mensual'!K59+parametros_recargas!$L$99*'Plan mensual'!K60</f>
        <v>59.8544645951304</v>
      </c>
      <c r="J61" s="21" t="n">
        <f aca="false">parametros_recargas!$E$99*'Plan mensual'!L53+parametros_recargas!$F$99*'Plan mensual'!L54+parametros_recargas!$G$99*'Plan mensual'!L55+parametros_recargas!$H$99*'Plan mensual'!L56+parametros_recargas!$I$99*'Plan mensual'!L57+parametros_recargas!$J$99*'Plan mensual'!L58+parametros_recargas!$K$99*'Plan mensual'!L59+parametros_recargas!$L$99*'Plan mensual'!L60</f>
        <v>59.8544645951304</v>
      </c>
      <c r="K61" s="21" t="n">
        <f aca="false">parametros_recargas!$E$99*'Plan mensual'!M53+parametros_recargas!$F$99*'Plan mensual'!M54+parametros_recargas!$G$99*'Plan mensual'!M55+parametros_recargas!$H$99*'Plan mensual'!M56+parametros_recargas!$I$99*'Plan mensual'!M57+parametros_recargas!$J$99*'Plan mensual'!M58+parametros_recargas!$K$99*'Plan mensual'!M59+parametros_recargas!$L$99*'Plan mensual'!M60</f>
        <v>59.8544645951304</v>
      </c>
      <c r="L61" s="21" t="n">
        <f aca="false">parametros_recargas!$E$99*'Plan mensual'!N53+parametros_recargas!$F$99*'Plan mensual'!N54+parametros_recargas!$G$99*'Plan mensual'!N55+parametros_recargas!$H$99*'Plan mensual'!N56+parametros_recargas!$I$99*'Plan mensual'!N57+parametros_recargas!$J$99*'Plan mensual'!N58+parametros_recargas!$K$99*'Plan mensual'!N59+parametros_recargas!$L$99*'Plan mensual'!N60</f>
        <v>59.8544645951304</v>
      </c>
      <c r="M61" s="21" t="n">
        <f aca="false">parametros_recargas!$E$99*'Plan mensual'!O53+parametros_recargas!$F$99*'Plan mensual'!O54+parametros_recargas!$G$99*'Plan mensual'!O55+parametros_recargas!$H$99*'Plan mensual'!O56+parametros_recargas!$I$99*'Plan mensual'!O57+parametros_recargas!$J$99*'Plan mensual'!O58+parametros_recargas!$K$99*'Plan mensual'!O59+parametros_recargas!$L$99*'Plan mensual'!O60</f>
        <v>59.8544645951304</v>
      </c>
      <c r="N61" s="6" t="n">
        <f aca="false">SUM(B61:M61)</f>
        <v>718.253575141565</v>
      </c>
      <c r="O61" s="22" t="n">
        <f aca="false">MAX(B61:M61)</f>
        <v>59.8544645951304</v>
      </c>
      <c r="P61" s="12" t="n">
        <f aca="false">O61/parametros_recargas!$B$6</f>
        <v>0.399029763967536</v>
      </c>
    </row>
    <row r="62" customFormat="false" ht="15" hidden="false" customHeight="false" outlineLevel="0" collapsed="false">
      <c r="A62" s="8" t="str">
        <f aca="false">parametros_recargas!$B$100</f>
        <v>PH de mangueras (CO₂ y rodantes)</v>
      </c>
      <c r="B62" s="21" t="n">
        <f aca="false">'Plan mensual'!D61</f>
        <v>26.2204283079717</v>
      </c>
      <c r="C62" s="21" t="n">
        <f aca="false">'Plan mensual'!E61</f>
        <v>26.2204283079717</v>
      </c>
      <c r="D62" s="21" t="n">
        <f aca="false">'Plan mensual'!F61</f>
        <v>26.2204283079717</v>
      </c>
      <c r="E62" s="21" t="n">
        <f aca="false">'Plan mensual'!G61</f>
        <v>26.2204283079717</v>
      </c>
      <c r="F62" s="21" t="n">
        <f aca="false">'Plan mensual'!H61</f>
        <v>26.2204283079717</v>
      </c>
      <c r="G62" s="21" t="n">
        <f aca="false">'Plan mensual'!I61</f>
        <v>26.2204283079717</v>
      </c>
      <c r="H62" s="21" t="n">
        <f aca="false">'Plan mensual'!J61</f>
        <v>26.2204283079717</v>
      </c>
      <c r="I62" s="21" t="n">
        <f aca="false">'Plan mensual'!K61</f>
        <v>26.2204283079717</v>
      </c>
      <c r="J62" s="21" t="n">
        <f aca="false">'Plan mensual'!L61</f>
        <v>26.2204283079717</v>
      </c>
      <c r="K62" s="21" t="n">
        <f aca="false">'Plan mensual'!M61</f>
        <v>26.2204283079717</v>
      </c>
      <c r="L62" s="21" t="n">
        <f aca="false">'Plan mensual'!N61</f>
        <v>26.2204283079717</v>
      </c>
      <c r="M62" s="21" t="n">
        <f aca="false">'Plan mensual'!O61</f>
        <v>26.2204283079717</v>
      </c>
      <c r="N62" s="6" t="n">
        <f aca="false">SUM(B62:M62)</f>
        <v>314.64513969566</v>
      </c>
      <c r="O62" s="22" t="n">
        <f aca="false">MAX(B62:M62)</f>
        <v>26.2204283079717</v>
      </c>
      <c r="P62" s="12" t="n">
        <f aca="false">O62/parametros_recargas!$B$6</f>
        <v>0.174802855386478</v>
      </c>
    </row>
    <row r="65" customFormat="false" ht="23.85" hidden="false" customHeight="false" outlineLevel="0" collapsed="false">
      <c r="A65" s="2" t="s">
        <v>314</v>
      </c>
      <c r="B65" s="2" t="s">
        <v>130</v>
      </c>
      <c r="C65" s="2" t="s">
        <v>131</v>
      </c>
      <c r="D65" s="2" t="s">
        <v>132</v>
      </c>
      <c r="E65" s="2" t="s">
        <v>133</v>
      </c>
      <c r="F65" s="2" t="s">
        <v>134</v>
      </c>
      <c r="G65" s="2" t="s">
        <v>135</v>
      </c>
      <c r="H65" s="2" t="s">
        <v>136</v>
      </c>
      <c r="I65" s="2" t="s">
        <v>137</v>
      </c>
      <c r="J65" s="2" t="s">
        <v>138</v>
      </c>
      <c r="K65" s="2" t="s">
        <v>139</v>
      </c>
      <c r="L65" s="2" t="s">
        <v>140</v>
      </c>
      <c r="M65" s="2" t="s">
        <v>141</v>
      </c>
      <c r="N65" s="2" t="s">
        <v>310</v>
      </c>
      <c r="O65" s="2" t="s">
        <v>311</v>
      </c>
      <c r="P65" s="2" t="s">
        <v>312</v>
      </c>
    </row>
    <row r="66" customFormat="false" ht="15" hidden="false" customHeight="false" outlineLevel="0" collapsed="false">
      <c r="A66" s="8" t="str">
        <f aca="false">parametros_recargas!$B$72</f>
        <v>Recepción y registro</v>
      </c>
      <c r="B66" s="21" t="n">
        <f aca="false">parametros_recargas!$E$72*'Plan mensual'!D85+parametros_recargas!$F$72*'Plan mensual'!D86+parametros_recargas!$G$72*'Plan mensual'!D87+parametros_recargas!$H$72*'Plan mensual'!D88+parametros_recargas!$I$72*'Plan mensual'!D89+parametros_recargas!$J$72*'Plan mensual'!D90+parametros_recargas!$K$72*'Plan mensual'!D91+parametros_recargas!$L$72*'Plan mensual'!D92</f>
        <v>1526.44764958831</v>
      </c>
      <c r="C66" s="21" t="n">
        <f aca="false">parametros_recargas!$E$72*'Plan mensual'!E85+parametros_recargas!$F$72*'Plan mensual'!E86+parametros_recargas!$G$72*'Plan mensual'!E87+parametros_recargas!$H$72*'Plan mensual'!E88+parametros_recargas!$I$72*'Plan mensual'!E89+parametros_recargas!$J$72*'Plan mensual'!E90+parametros_recargas!$K$72*'Plan mensual'!E91+parametros_recargas!$L$72*'Plan mensual'!E92</f>
        <v>1526.44764958831</v>
      </c>
      <c r="D66" s="21" t="n">
        <f aca="false">parametros_recargas!$E$72*'Plan mensual'!F85+parametros_recargas!$F$72*'Plan mensual'!F86+parametros_recargas!$G$72*'Plan mensual'!F87+parametros_recargas!$H$72*'Plan mensual'!F88+parametros_recargas!$I$72*'Plan mensual'!F89+parametros_recargas!$J$72*'Plan mensual'!F90+parametros_recargas!$K$72*'Plan mensual'!F91+parametros_recargas!$L$72*'Plan mensual'!F92</f>
        <v>1526.44764958831</v>
      </c>
      <c r="E66" s="21" t="n">
        <f aca="false">parametros_recargas!$E$72*'Plan mensual'!G85+parametros_recargas!$F$72*'Plan mensual'!G86+parametros_recargas!$G$72*'Plan mensual'!G87+parametros_recargas!$H$72*'Plan mensual'!G88+parametros_recargas!$I$72*'Plan mensual'!G89+parametros_recargas!$J$72*'Plan mensual'!G90+parametros_recargas!$K$72*'Plan mensual'!G91+parametros_recargas!$L$72*'Plan mensual'!G92</f>
        <v>1526.44764958831</v>
      </c>
      <c r="F66" s="21" t="n">
        <f aca="false">parametros_recargas!$E$72*'Plan mensual'!H85+parametros_recargas!$F$72*'Plan mensual'!H86+parametros_recargas!$G$72*'Plan mensual'!H87+parametros_recargas!$H$72*'Plan mensual'!H88+parametros_recargas!$I$72*'Plan mensual'!H89+parametros_recargas!$J$72*'Plan mensual'!H90+parametros_recargas!$K$72*'Plan mensual'!H91+parametros_recargas!$L$72*'Plan mensual'!H92</f>
        <v>1526.44764958831</v>
      </c>
      <c r="G66" s="21" t="n">
        <f aca="false">parametros_recargas!$E$72*'Plan mensual'!I85+parametros_recargas!$F$72*'Plan mensual'!I86+parametros_recargas!$G$72*'Plan mensual'!I87+parametros_recargas!$H$72*'Plan mensual'!I88+parametros_recargas!$I$72*'Plan mensual'!I89+parametros_recargas!$J$72*'Plan mensual'!I90+parametros_recargas!$K$72*'Plan mensual'!I91+parametros_recargas!$L$72*'Plan mensual'!I92</f>
        <v>1526.44764958831</v>
      </c>
      <c r="H66" s="21" t="n">
        <f aca="false">parametros_recargas!$E$72*'Plan mensual'!J85+parametros_recargas!$F$72*'Plan mensual'!J86+parametros_recargas!$G$72*'Plan mensual'!J87+parametros_recargas!$H$72*'Plan mensual'!J88+parametros_recargas!$I$72*'Plan mensual'!J89+parametros_recargas!$J$72*'Plan mensual'!J90+parametros_recargas!$K$72*'Plan mensual'!J91+parametros_recargas!$L$72*'Plan mensual'!J92</f>
        <v>1526.44764958831</v>
      </c>
      <c r="I66" s="21" t="n">
        <f aca="false">parametros_recargas!$E$72*'Plan mensual'!K85+parametros_recargas!$F$72*'Plan mensual'!K86+parametros_recargas!$G$72*'Plan mensual'!K87+parametros_recargas!$H$72*'Plan mensual'!K88+parametros_recargas!$I$72*'Plan mensual'!K89+parametros_recargas!$J$72*'Plan mensual'!K90+parametros_recargas!$K$72*'Plan mensual'!K91+parametros_recargas!$L$72*'Plan mensual'!K92</f>
        <v>1526.44764958831</v>
      </c>
      <c r="J66" s="21" t="n">
        <f aca="false">parametros_recargas!$E$72*'Plan mensual'!L85+parametros_recargas!$F$72*'Plan mensual'!L86+parametros_recargas!$G$72*'Plan mensual'!L87+parametros_recargas!$H$72*'Plan mensual'!L88+parametros_recargas!$I$72*'Plan mensual'!L89+parametros_recargas!$J$72*'Plan mensual'!L90+parametros_recargas!$K$72*'Plan mensual'!L91+parametros_recargas!$L$72*'Plan mensual'!L92</f>
        <v>1526.44764958831</v>
      </c>
      <c r="K66" s="21" t="n">
        <f aca="false">parametros_recargas!$E$72*'Plan mensual'!M85+parametros_recargas!$F$72*'Plan mensual'!M86+parametros_recargas!$G$72*'Plan mensual'!M87+parametros_recargas!$H$72*'Plan mensual'!M88+parametros_recargas!$I$72*'Plan mensual'!M89+parametros_recargas!$J$72*'Plan mensual'!M90+parametros_recargas!$K$72*'Plan mensual'!M91+parametros_recargas!$L$72*'Plan mensual'!M92</f>
        <v>1526.44764958831</v>
      </c>
      <c r="L66" s="21" t="n">
        <f aca="false">parametros_recargas!$E$72*'Plan mensual'!N85+parametros_recargas!$F$72*'Plan mensual'!N86+parametros_recargas!$G$72*'Plan mensual'!N87+parametros_recargas!$H$72*'Plan mensual'!N88+parametros_recargas!$I$72*'Plan mensual'!N89+parametros_recargas!$J$72*'Plan mensual'!N90+parametros_recargas!$K$72*'Plan mensual'!N91+parametros_recargas!$L$72*'Plan mensual'!N92</f>
        <v>1526.44764958831</v>
      </c>
      <c r="M66" s="21" t="n">
        <f aca="false">parametros_recargas!$E$72*'Plan mensual'!O85+parametros_recargas!$F$72*'Plan mensual'!O86+parametros_recargas!$G$72*'Plan mensual'!O87+parametros_recargas!$H$72*'Plan mensual'!O88+parametros_recargas!$I$72*'Plan mensual'!O89+parametros_recargas!$J$72*'Plan mensual'!O90+parametros_recargas!$K$72*'Plan mensual'!O91+parametros_recargas!$L$72*'Plan mensual'!O92</f>
        <v>1526.44764958831</v>
      </c>
      <c r="N66" s="6" t="n">
        <f aca="false">SUM(B66:M66)</f>
        <v>18317.3717950597</v>
      </c>
      <c r="O66" s="22" t="n">
        <f aca="false">MAX(B66:M66)</f>
        <v>1526.44764958831</v>
      </c>
      <c r="P66" s="12" t="n">
        <f aca="false">O66/parametros_recargas!$B$6</f>
        <v>10.176317663922</v>
      </c>
    </row>
    <row r="67" customFormat="false" ht="15" hidden="false" customHeight="false" outlineLevel="0" collapsed="false">
      <c r="A67" s="8" t="str">
        <f aca="false">parametros_recargas!$B$73</f>
        <v>Inspección visual</v>
      </c>
      <c r="B67" s="21" t="n">
        <f aca="false">parametros_recargas!$E$73*'Plan mensual'!D85+parametros_recargas!$F$73*'Plan mensual'!D86+parametros_recargas!$G$73*'Plan mensual'!D87+parametros_recargas!$H$73*'Plan mensual'!D88+parametros_recargas!$I$73*'Plan mensual'!D89+parametros_recargas!$J$73*'Plan mensual'!D90+parametros_recargas!$K$73*'Plan mensual'!D91+parametros_recargas!$L$73*'Plan mensual'!D92</f>
        <v>1526.44764958831</v>
      </c>
      <c r="C67" s="21" t="n">
        <f aca="false">parametros_recargas!$E$73*'Plan mensual'!E85+parametros_recargas!$F$73*'Plan mensual'!E86+parametros_recargas!$G$73*'Plan mensual'!E87+parametros_recargas!$H$73*'Plan mensual'!E88+parametros_recargas!$I$73*'Plan mensual'!E89+parametros_recargas!$J$73*'Plan mensual'!E90+parametros_recargas!$K$73*'Plan mensual'!E91+parametros_recargas!$L$73*'Plan mensual'!E92</f>
        <v>1526.44764958831</v>
      </c>
      <c r="D67" s="21" t="n">
        <f aca="false">parametros_recargas!$E$73*'Plan mensual'!F85+parametros_recargas!$F$73*'Plan mensual'!F86+parametros_recargas!$G$73*'Plan mensual'!F87+parametros_recargas!$H$73*'Plan mensual'!F88+parametros_recargas!$I$73*'Plan mensual'!F89+parametros_recargas!$J$73*'Plan mensual'!F90+parametros_recargas!$K$73*'Plan mensual'!F91+parametros_recargas!$L$73*'Plan mensual'!F92</f>
        <v>1526.44764958831</v>
      </c>
      <c r="E67" s="21" t="n">
        <f aca="false">parametros_recargas!$E$73*'Plan mensual'!G85+parametros_recargas!$F$73*'Plan mensual'!G86+parametros_recargas!$G$73*'Plan mensual'!G87+parametros_recargas!$H$73*'Plan mensual'!G88+parametros_recargas!$I$73*'Plan mensual'!G89+parametros_recargas!$J$73*'Plan mensual'!G90+parametros_recargas!$K$73*'Plan mensual'!G91+parametros_recargas!$L$73*'Plan mensual'!G92</f>
        <v>1526.44764958831</v>
      </c>
      <c r="F67" s="21" t="n">
        <f aca="false">parametros_recargas!$E$73*'Plan mensual'!H85+parametros_recargas!$F$73*'Plan mensual'!H86+parametros_recargas!$G$73*'Plan mensual'!H87+parametros_recargas!$H$73*'Plan mensual'!H88+parametros_recargas!$I$73*'Plan mensual'!H89+parametros_recargas!$J$73*'Plan mensual'!H90+parametros_recargas!$K$73*'Plan mensual'!H91+parametros_recargas!$L$73*'Plan mensual'!H92</f>
        <v>1526.44764958831</v>
      </c>
      <c r="G67" s="21" t="n">
        <f aca="false">parametros_recargas!$E$73*'Plan mensual'!I85+parametros_recargas!$F$73*'Plan mensual'!I86+parametros_recargas!$G$73*'Plan mensual'!I87+parametros_recargas!$H$73*'Plan mensual'!I88+parametros_recargas!$I$73*'Plan mensual'!I89+parametros_recargas!$J$73*'Plan mensual'!I90+parametros_recargas!$K$73*'Plan mensual'!I91+parametros_recargas!$L$73*'Plan mensual'!I92</f>
        <v>1526.44764958831</v>
      </c>
      <c r="H67" s="21" t="n">
        <f aca="false">parametros_recargas!$E$73*'Plan mensual'!J85+parametros_recargas!$F$73*'Plan mensual'!J86+parametros_recargas!$G$73*'Plan mensual'!J87+parametros_recargas!$H$73*'Plan mensual'!J88+parametros_recargas!$I$73*'Plan mensual'!J89+parametros_recargas!$J$73*'Plan mensual'!J90+parametros_recargas!$K$73*'Plan mensual'!J91+parametros_recargas!$L$73*'Plan mensual'!J92</f>
        <v>1526.44764958831</v>
      </c>
      <c r="I67" s="21" t="n">
        <f aca="false">parametros_recargas!$E$73*'Plan mensual'!K85+parametros_recargas!$F$73*'Plan mensual'!K86+parametros_recargas!$G$73*'Plan mensual'!K87+parametros_recargas!$H$73*'Plan mensual'!K88+parametros_recargas!$I$73*'Plan mensual'!K89+parametros_recargas!$J$73*'Plan mensual'!K90+parametros_recargas!$K$73*'Plan mensual'!K91+parametros_recargas!$L$73*'Plan mensual'!K92</f>
        <v>1526.44764958831</v>
      </c>
      <c r="J67" s="21" t="n">
        <f aca="false">parametros_recargas!$E$73*'Plan mensual'!L85+parametros_recargas!$F$73*'Plan mensual'!L86+parametros_recargas!$G$73*'Plan mensual'!L87+parametros_recargas!$H$73*'Plan mensual'!L88+parametros_recargas!$I$73*'Plan mensual'!L89+parametros_recargas!$J$73*'Plan mensual'!L90+parametros_recargas!$K$73*'Plan mensual'!L91+parametros_recargas!$L$73*'Plan mensual'!L92</f>
        <v>1526.44764958831</v>
      </c>
      <c r="K67" s="21" t="n">
        <f aca="false">parametros_recargas!$E$73*'Plan mensual'!M85+parametros_recargas!$F$73*'Plan mensual'!M86+parametros_recargas!$G$73*'Plan mensual'!M87+parametros_recargas!$H$73*'Plan mensual'!M88+parametros_recargas!$I$73*'Plan mensual'!M89+parametros_recargas!$J$73*'Plan mensual'!M90+parametros_recargas!$K$73*'Plan mensual'!M91+parametros_recargas!$L$73*'Plan mensual'!M92</f>
        <v>1526.44764958831</v>
      </c>
      <c r="L67" s="21" t="n">
        <f aca="false">parametros_recargas!$E$73*'Plan mensual'!N85+parametros_recargas!$F$73*'Plan mensual'!N86+parametros_recargas!$G$73*'Plan mensual'!N87+parametros_recargas!$H$73*'Plan mensual'!N88+parametros_recargas!$I$73*'Plan mensual'!N89+parametros_recargas!$J$73*'Plan mensual'!N90+parametros_recargas!$K$73*'Plan mensual'!N91+parametros_recargas!$L$73*'Plan mensual'!N92</f>
        <v>1526.44764958831</v>
      </c>
      <c r="M67" s="21" t="n">
        <f aca="false">parametros_recargas!$E$73*'Plan mensual'!O85+parametros_recargas!$F$73*'Plan mensual'!O86+parametros_recargas!$G$73*'Plan mensual'!O87+parametros_recargas!$H$73*'Plan mensual'!O88+parametros_recargas!$I$73*'Plan mensual'!O89+parametros_recargas!$J$73*'Plan mensual'!O90+parametros_recargas!$K$73*'Plan mensual'!O91+parametros_recargas!$L$73*'Plan mensual'!O92</f>
        <v>1526.44764958831</v>
      </c>
      <c r="N67" s="6" t="n">
        <f aca="false">SUM(B67:M67)</f>
        <v>18317.3717950597</v>
      </c>
      <c r="O67" s="22" t="n">
        <f aca="false">MAX(B67:M67)</f>
        <v>1526.44764958831</v>
      </c>
      <c r="P67" s="12" t="n">
        <f aca="false">O67/parametros_recargas!$B$6</f>
        <v>10.176317663922</v>
      </c>
    </row>
    <row r="68" customFormat="false" ht="15" hidden="false" customHeight="false" outlineLevel="0" collapsed="false">
      <c r="A68" s="8" t="str">
        <f aca="false">parametros_recargas!$B$74</f>
        <v>Descarga ABC — ruta recuperable</v>
      </c>
      <c r="B68" s="21" t="n">
        <f aca="false">parametros_recargas!$E$74*'Plan mensual'!D85+parametros_recargas!$F$74*'Plan mensual'!D86+parametros_recargas!$G$74*'Plan mensual'!D87+parametros_recargas!$H$74*'Plan mensual'!D88+parametros_recargas!$I$74*'Plan mensual'!D89+parametros_recargas!$J$74*'Plan mensual'!D90+parametros_recargas!$K$74*'Plan mensual'!D91+parametros_recargas!$L$74*'Plan mensual'!D92</f>
        <v>1116.85873908973</v>
      </c>
      <c r="C68" s="21" t="n">
        <f aca="false">parametros_recargas!$E$74*'Plan mensual'!E85+parametros_recargas!$F$74*'Plan mensual'!E86+parametros_recargas!$G$74*'Plan mensual'!E87+parametros_recargas!$H$74*'Plan mensual'!E88+parametros_recargas!$I$74*'Plan mensual'!E89+parametros_recargas!$J$74*'Plan mensual'!E90+parametros_recargas!$K$74*'Plan mensual'!E91+parametros_recargas!$L$74*'Plan mensual'!E92</f>
        <v>1116.85873908973</v>
      </c>
      <c r="D68" s="21" t="n">
        <f aca="false">parametros_recargas!$E$74*'Plan mensual'!F85+parametros_recargas!$F$74*'Plan mensual'!F86+parametros_recargas!$G$74*'Plan mensual'!F87+parametros_recargas!$H$74*'Plan mensual'!F88+parametros_recargas!$I$74*'Plan mensual'!F89+parametros_recargas!$J$74*'Plan mensual'!F90+parametros_recargas!$K$74*'Plan mensual'!F91+parametros_recargas!$L$74*'Plan mensual'!F92</f>
        <v>1116.85873908973</v>
      </c>
      <c r="E68" s="21" t="n">
        <f aca="false">parametros_recargas!$E$74*'Plan mensual'!G85+parametros_recargas!$F$74*'Plan mensual'!G86+parametros_recargas!$G$74*'Plan mensual'!G87+parametros_recargas!$H$74*'Plan mensual'!G88+parametros_recargas!$I$74*'Plan mensual'!G89+parametros_recargas!$J$74*'Plan mensual'!G90+parametros_recargas!$K$74*'Plan mensual'!G91+parametros_recargas!$L$74*'Plan mensual'!G92</f>
        <v>1116.85873908973</v>
      </c>
      <c r="F68" s="21" t="n">
        <f aca="false">parametros_recargas!$E$74*'Plan mensual'!H85+parametros_recargas!$F$74*'Plan mensual'!H86+parametros_recargas!$G$74*'Plan mensual'!H87+parametros_recargas!$H$74*'Plan mensual'!H88+parametros_recargas!$I$74*'Plan mensual'!H89+parametros_recargas!$J$74*'Plan mensual'!H90+parametros_recargas!$K$74*'Plan mensual'!H91+parametros_recargas!$L$74*'Plan mensual'!H92</f>
        <v>1116.85873908973</v>
      </c>
      <c r="G68" s="21" t="n">
        <f aca="false">parametros_recargas!$E$74*'Plan mensual'!I85+parametros_recargas!$F$74*'Plan mensual'!I86+parametros_recargas!$G$74*'Plan mensual'!I87+parametros_recargas!$H$74*'Plan mensual'!I88+parametros_recargas!$I$74*'Plan mensual'!I89+parametros_recargas!$J$74*'Plan mensual'!I90+parametros_recargas!$K$74*'Plan mensual'!I91+parametros_recargas!$L$74*'Plan mensual'!I92</f>
        <v>1116.85873908973</v>
      </c>
      <c r="H68" s="21" t="n">
        <f aca="false">parametros_recargas!$E$74*'Plan mensual'!J85+parametros_recargas!$F$74*'Plan mensual'!J86+parametros_recargas!$G$74*'Plan mensual'!J87+parametros_recargas!$H$74*'Plan mensual'!J88+parametros_recargas!$I$74*'Plan mensual'!J89+parametros_recargas!$J$74*'Plan mensual'!J90+parametros_recargas!$K$74*'Plan mensual'!J91+parametros_recargas!$L$74*'Plan mensual'!J92</f>
        <v>1116.85873908973</v>
      </c>
      <c r="I68" s="21" t="n">
        <f aca="false">parametros_recargas!$E$74*'Plan mensual'!K85+parametros_recargas!$F$74*'Plan mensual'!K86+parametros_recargas!$G$74*'Plan mensual'!K87+parametros_recargas!$H$74*'Plan mensual'!K88+parametros_recargas!$I$74*'Plan mensual'!K89+parametros_recargas!$J$74*'Plan mensual'!K90+parametros_recargas!$K$74*'Plan mensual'!K91+parametros_recargas!$L$74*'Plan mensual'!K92</f>
        <v>1116.85873908973</v>
      </c>
      <c r="J68" s="21" t="n">
        <f aca="false">parametros_recargas!$E$74*'Plan mensual'!L85+parametros_recargas!$F$74*'Plan mensual'!L86+parametros_recargas!$G$74*'Plan mensual'!L87+parametros_recargas!$H$74*'Plan mensual'!L88+parametros_recargas!$I$74*'Plan mensual'!L89+parametros_recargas!$J$74*'Plan mensual'!L90+parametros_recargas!$K$74*'Plan mensual'!L91+parametros_recargas!$L$74*'Plan mensual'!L92</f>
        <v>1116.85873908973</v>
      </c>
      <c r="K68" s="21" t="n">
        <f aca="false">parametros_recargas!$E$74*'Plan mensual'!M85+parametros_recargas!$F$74*'Plan mensual'!M86+parametros_recargas!$G$74*'Plan mensual'!M87+parametros_recargas!$H$74*'Plan mensual'!M88+parametros_recargas!$I$74*'Plan mensual'!M89+parametros_recargas!$J$74*'Plan mensual'!M90+parametros_recargas!$K$74*'Plan mensual'!M91+parametros_recargas!$L$74*'Plan mensual'!M92</f>
        <v>1116.85873908973</v>
      </c>
      <c r="L68" s="21" t="n">
        <f aca="false">parametros_recargas!$E$74*'Plan mensual'!N85+parametros_recargas!$F$74*'Plan mensual'!N86+parametros_recargas!$G$74*'Plan mensual'!N87+parametros_recargas!$H$74*'Plan mensual'!N88+parametros_recargas!$I$74*'Plan mensual'!N89+parametros_recargas!$J$74*'Plan mensual'!N90+parametros_recargas!$K$74*'Plan mensual'!N91+parametros_recargas!$L$74*'Plan mensual'!N92</f>
        <v>1116.85873908973</v>
      </c>
      <c r="M68" s="21" t="n">
        <f aca="false">parametros_recargas!$E$74*'Plan mensual'!O85+parametros_recargas!$F$74*'Plan mensual'!O86+parametros_recargas!$G$74*'Plan mensual'!O87+parametros_recargas!$H$74*'Plan mensual'!O88+parametros_recargas!$I$74*'Plan mensual'!O89+parametros_recargas!$J$74*'Plan mensual'!O90+parametros_recargas!$K$74*'Plan mensual'!O91+parametros_recargas!$L$74*'Plan mensual'!O92</f>
        <v>1116.85873908973</v>
      </c>
      <c r="N68" s="6" t="n">
        <f aca="false">SUM(B68:M68)</f>
        <v>13402.3048690768</v>
      </c>
      <c r="O68" s="22" t="n">
        <f aca="false">MAX(B68:M68)</f>
        <v>1116.85873908973</v>
      </c>
      <c r="P68" s="12" t="n">
        <f aca="false">O68/parametros_recargas!$B$6</f>
        <v>7.44572492726486</v>
      </c>
    </row>
    <row r="69" customFormat="false" ht="15" hidden="false" customHeight="false" outlineLevel="0" collapsed="false">
      <c r="A69" s="8" t="str">
        <f aca="false">parametros_recargas!$B$75</f>
        <v>Descarga ABC — ruta descarte</v>
      </c>
      <c r="B69" s="21" t="n">
        <f aca="false">parametros_recargas!$E$75*'Plan mensual'!D85+parametros_recargas!$F$75*'Plan mensual'!D86+parametros_recargas!$G$75*'Plan mensual'!D87+parametros_recargas!$H$75*'Plan mensual'!D88+parametros_recargas!$I$75*'Plan mensual'!D89+parametros_recargas!$J$75*'Plan mensual'!D90+parametros_recargas!$K$75*'Plan mensual'!D91+parametros_recargas!$L$75*'Plan mensual'!D92</f>
        <v>131.395145775262</v>
      </c>
      <c r="C69" s="21" t="n">
        <f aca="false">parametros_recargas!$E$75*'Plan mensual'!E85+parametros_recargas!$F$75*'Plan mensual'!E86+parametros_recargas!$G$75*'Plan mensual'!E87+parametros_recargas!$H$75*'Plan mensual'!E88+parametros_recargas!$I$75*'Plan mensual'!E89+parametros_recargas!$J$75*'Plan mensual'!E90+parametros_recargas!$K$75*'Plan mensual'!E91+parametros_recargas!$L$75*'Plan mensual'!E92</f>
        <v>131.395145775262</v>
      </c>
      <c r="D69" s="21" t="n">
        <f aca="false">parametros_recargas!$E$75*'Plan mensual'!F85+parametros_recargas!$F$75*'Plan mensual'!F86+parametros_recargas!$G$75*'Plan mensual'!F87+parametros_recargas!$H$75*'Plan mensual'!F88+parametros_recargas!$I$75*'Plan mensual'!F89+parametros_recargas!$J$75*'Plan mensual'!F90+parametros_recargas!$K$75*'Plan mensual'!F91+parametros_recargas!$L$75*'Plan mensual'!F92</f>
        <v>131.395145775262</v>
      </c>
      <c r="E69" s="21" t="n">
        <f aca="false">parametros_recargas!$E$75*'Plan mensual'!G85+parametros_recargas!$F$75*'Plan mensual'!G86+parametros_recargas!$G$75*'Plan mensual'!G87+parametros_recargas!$H$75*'Plan mensual'!G88+parametros_recargas!$I$75*'Plan mensual'!G89+parametros_recargas!$J$75*'Plan mensual'!G90+parametros_recargas!$K$75*'Plan mensual'!G91+parametros_recargas!$L$75*'Plan mensual'!G92</f>
        <v>131.395145775262</v>
      </c>
      <c r="F69" s="21" t="n">
        <f aca="false">parametros_recargas!$E$75*'Plan mensual'!H85+parametros_recargas!$F$75*'Plan mensual'!H86+parametros_recargas!$G$75*'Plan mensual'!H87+parametros_recargas!$H$75*'Plan mensual'!H88+parametros_recargas!$I$75*'Plan mensual'!H89+parametros_recargas!$J$75*'Plan mensual'!H90+parametros_recargas!$K$75*'Plan mensual'!H91+parametros_recargas!$L$75*'Plan mensual'!H92</f>
        <v>131.395145775262</v>
      </c>
      <c r="G69" s="21" t="n">
        <f aca="false">parametros_recargas!$E$75*'Plan mensual'!I85+parametros_recargas!$F$75*'Plan mensual'!I86+parametros_recargas!$G$75*'Plan mensual'!I87+parametros_recargas!$H$75*'Plan mensual'!I88+parametros_recargas!$I$75*'Plan mensual'!I89+parametros_recargas!$J$75*'Plan mensual'!I90+parametros_recargas!$K$75*'Plan mensual'!I91+parametros_recargas!$L$75*'Plan mensual'!I92</f>
        <v>131.395145775262</v>
      </c>
      <c r="H69" s="21" t="n">
        <f aca="false">parametros_recargas!$E$75*'Plan mensual'!J85+parametros_recargas!$F$75*'Plan mensual'!J86+parametros_recargas!$G$75*'Plan mensual'!J87+parametros_recargas!$H$75*'Plan mensual'!J88+parametros_recargas!$I$75*'Plan mensual'!J89+parametros_recargas!$J$75*'Plan mensual'!J90+parametros_recargas!$K$75*'Plan mensual'!J91+parametros_recargas!$L$75*'Plan mensual'!J92</f>
        <v>131.395145775262</v>
      </c>
      <c r="I69" s="21" t="n">
        <f aca="false">parametros_recargas!$E$75*'Plan mensual'!K85+parametros_recargas!$F$75*'Plan mensual'!K86+parametros_recargas!$G$75*'Plan mensual'!K87+parametros_recargas!$H$75*'Plan mensual'!K88+parametros_recargas!$I$75*'Plan mensual'!K89+parametros_recargas!$J$75*'Plan mensual'!K90+parametros_recargas!$K$75*'Plan mensual'!K91+parametros_recargas!$L$75*'Plan mensual'!K92</f>
        <v>131.395145775262</v>
      </c>
      <c r="J69" s="21" t="n">
        <f aca="false">parametros_recargas!$E$75*'Plan mensual'!L85+parametros_recargas!$F$75*'Plan mensual'!L86+parametros_recargas!$G$75*'Plan mensual'!L87+parametros_recargas!$H$75*'Plan mensual'!L88+parametros_recargas!$I$75*'Plan mensual'!L89+parametros_recargas!$J$75*'Plan mensual'!L90+parametros_recargas!$K$75*'Plan mensual'!L91+parametros_recargas!$L$75*'Plan mensual'!L92</f>
        <v>131.395145775262</v>
      </c>
      <c r="K69" s="21" t="n">
        <f aca="false">parametros_recargas!$E$75*'Plan mensual'!M85+parametros_recargas!$F$75*'Plan mensual'!M86+parametros_recargas!$G$75*'Plan mensual'!M87+parametros_recargas!$H$75*'Plan mensual'!M88+parametros_recargas!$I$75*'Plan mensual'!M89+parametros_recargas!$J$75*'Plan mensual'!M90+parametros_recargas!$K$75*'Plan mensual'!M91+parametros_recargas!$L$75*'Plan mensual'!M92</f>
        <v>131.395145775262</v>
      </c>
      <c r="L69" s="21" t="n">
        <f aca="false">parametros_recargas!$E$75*'Plan mensual'!N85+parametros_recargas!$F$75*'Plan mensual'!N86+parametros_recargas!$G$75*'Plan mensual'!N87+parametros_recargas!$H$75*'Plan mensual'!N88+parametros_recargas!$I$75*'Plan mensual'!N89+parametros_recargas!$J$75*'Plan mensual'!N90+parametros_recargas!$K$75*'Plan mensual'!N91+parametros_recargas!$L$75*'Plan mensual'!N92</f>
        <v>131.395145775262</v>
      </c>
      <c r="M69" s="21" t="n">
        <f aca="false">parametros_recargas!$E$75*'Plan mensual'!O85+parametros_recargas!$F$75*'Plan mensual'!O86+parametros_recargas!$G$75*'Plan mensual'!O87+parametros_recargas!$H$75*'Plan mensual'!O88+parametros_recargas!$I$75*'Plan mensual'!O89+parametros_recargas!$J$75*'Plan mensual'!O90+parametros_recargas!$K$75*'Plan mensual'!O91+parametros_recargas!$L$75*'Plan mensual'!O92</f>
        <v>131.395145775262</v>
      </c>
      <c r="N69" s="6" t="n">
        <f aca="false">SUM(B69:M69)</f>
        <v>1576.74174930315</v>
      </c>
      <c r="O69" s="22" t="n">
        <f aca="false">MAX(B69:M69)</f>
        <v>131.395145775262</v>
      </c>
      <c r="P69" s="12" t="n">
        <f aca="false">O69/parametros_recargas!$B$6</f>
        <v>0.875967638501749</v>
      </c>
    </row>
    <row r="70" customFormat="false" ht="15" hidden="false" customHeight="false" outlineLevel="0" collapsed="false">
      <c r="A70" s="8" t="str">
        <f aca="false">parametros_recargas!$B$76</f>
        <v>Descarga BC</v>
      </c>
      <c r="B70" s="21" t="n">
        <f aca="false">parametros_recargas!$E$76*'Plan mensual'!D85+parametros_recargas!$F$76*'Plan mensual'!D86+parametros_recargas!$G$76*'Plan mensual'!D87+parametros_recargas!$H$76*'Plan mensual'!D88+parametros_recargas!$I$76*'Plan mensual'!D89+parametros_recargas!$J$76*'Plan mensual'!D90+parametros_recargas!$K$76*'Plan mensual'!D91+parametros_recargas!$L$76*'Plan mensual'!D92</f>
        <v>2.21843746543893</v>
      </c>
      <c r="C70" s="21" t="n">
        <f aca="false">parametros_recargas!$E$76*'Plan mensual'!E85+parametros_recargas!$F$76*'Plan mensual'!E86+parametros_recargas!$G$76*'Plan mensual'!E87+parametros_recargas!$H$76*'Plan mensual'!E88+parametros_recargas!$I$76*'Plan mensual'!E89+parametros_recargas!$J$76*'Plan mensual'!E90+parametros_recargas!$K$76*'Plan mensual'!E91+parametros_recargas!$L$76*'Plan mensual'!E92</f>
        <v>2.21843746543893</v>
      </c>
      <c r="D70" s="21" t="n">
        <f aca="false">parametros_recargas!$E$76*'Plan mensual'!F85+parametros_recargas!$F$76*'Plan mensual'!F86+parametros_recargas!$G$76*'Plan mensual'!F87+parametros_recargas!$H$76*'Plan mensual'!F88+parametros_recargas!$I$76*'Plan mensual'!F89+parametros_recargas!$J$76*'Plan mensual'!F90+parametros_recargas!$K$76*'Plan mensual'!F91+parametros_recargas!$L$76*'Plan mensual'!F92</f>
        <v>2.21843746543893</v>
      </c>
      <c r="E70" s="21" t="n">
        <f aca="false">parametros_recargas!$E$76*'Plan mensual'!G85+parametros_recargas!$F$76*'Plan mensual'!G86+parametros_recargas!$G$76*'Plan mensual'!G87+parametros_recargas!$H$76*'Plan mensual'!G88+parametros_recargas!$I$76*'Plan mensual'!G89+parametros_recargas!$J$76*'Plan mensual'!G90+parametros_recargas!$K$76*'Plan mensual'!G91+parametros_recargas!$L$76*'Plan mensual'!G92</f>
        <v>2.21843746543893</v>
      </c>
      <c r="F70" s="21" t="n">
        <f aca="false">parametros_recargas!$E$76*'Plan mensual'!H85+parametros_recargas!$F$76*'Plan mensual'!H86+parametros_recargas!$G$76*'Plan mensual'!H87+parametros_recargas!$H$76*'Plan mensual'!H88+parametros_recargas!$I$76*'Plan mensual'!H89+parametros_recargas!$J$76*'Plan mensual'!H90+parametros_recargas!$K$76*'Plan mensual'!H91+parametros_recargas!$L$76*'Plan mensual'!H92</f>
        <v>2.21843746543893</v>
      </c>
      <c r="G70" s="21" t="n">
        <f aca="false">parametros_recargas!$E$76*'Plan mensual'!I85+parametros_recargas!$F$76*'Plan mensual'!I86+parametros_recargas!$G$76*'Plan mensual'!I87+parametros_recargas!$H$76*'Plan mensual'!I88+parametros_recargas!$I$76*'Plan mensual'!I89+parametros_recargas!$J$76*'Plan mensual'!I90+parametros_recargas!$K$76*'Plan mensual'!I91+parametros_recargas!$L$76*'Plan mensual'!I92</f>
        <v>2.21843746543893</v>
      </c>
      <c r="H70" s="21" t="n">
        <f aca="false">parametros_recargas!$E$76*'Plan mensual'!J85+parametros_recargas!$F$76*'Plan mensual'!J86+parametros_recargas!$G$76*'Plan mensual'!J87+parametros_recargas!$H$76*'Plan mensual'!J88+parametros_recargas!$I$76*'Plan mensual'!J89+parametros_recargas!$J$76*'Plan mensual'!J90+parametros_recargas!$K$76*'Plan mensual'!J91+parametros_recargas!$L$76*'Plan mensual'!J92</f>
        <v>2.21843746543893</v>
      </c>
      <c r="I70" s="21" t="n">
        <f aca="false">parametros_recargas!$E$76*'Plan mensual'!K85+parametros_recargas!$F$76*'Plan mensual'!K86+parametros_recargas!$G$76*'Plan mensual'!K87+parametros_recargas!$H$76*'Plan mensual'!K88+parametros_recargas!$I$76*'Plan mensual'!K89+parametros_recargas!$J$76*'Plan mensual'!K90+parametros_recargas!$K$76*'Plan mensual'!K91+parametros_recargas!$L$76*'Plan mensual'!K92</f>
        <v>2.21843746543893</v>
      </c>
      <c r="J70" s="21" t="n">
        <f aca="false">parametros_recargas!$E$76*'Plan mensual'!L85+parametros_recargas!$F$76*'Plan mensual'!L86+parametros_recargas!$G$76*'Plan mensual'!L87+parametros_recargas!$H$76*'Plan mensual'!L88+parametros_recargas!$I$76*'Plan mensual'!L89+parametros_recargas!$J$76*'Plan mensual'!L90+parametros_recargas!$K$76*'Plan mensual'!L91+parametros_recargas!$L$76*'Plan mensual'!L92</f>
        <v>2.21843746543893</v>
      </c>
      <c r="K70" s="21" t="n">
        <f aca="false">parametros_recargas!$E$76*'Plan mensual'!M85+parametros_recargas!$F$76*'Plan mensual'!M86+parametros_recargas!$G$76*'Plan mensual'!M87+parametros_recargas!$H$76*'Plan mensual'!M88+parametros_recargas!$I$76*'Plan mensual'!M89+parametros_recargas!$J$76*'Plan mensual'!M90+parametros_recargas!$K$76*'Plan mensual'!M91+parametros_recargas!$L$76*'Plan mensual'!M92</f>
        <v>2.21843746543893</v>
      </c>
      <c r="L70" s="21" t="n">
        <f aca="false">parametros_recargas!$E$76*'Plan mensual'!N85+parametros_recargas!$F$76*'Plan mensual'!N86+parametros_recargas!$G$76*'Plan mensual'!N87+parametros_recargas!$H$76*'Plan mensual'!N88+parametros_recargas!$I$76*'Plan mensual'!N89+parametros_recargas!$J$76*'Plan mensual'!N90+parametros_recargas!$K$76*'Plan mensual'!N91+parametros_recargas!$L$76*'Plan mensual'!N92</f>
        <v>2.21843746543893</v>
      </c>
      <c r="M70" s="21" t="n">
        <f aca="false">parametros_recargas!$E$76*'Plan mensual'!O85+parametros_recargas!$F$76*'Plan mensual'!O86+parametros_recargas!$G$76*'Plan mensual'!O87+parametros_recargas!$H$76*'Plan mensual'!O88+parametros_recargas!$I$76*'Plan mensual'!O89+parametros_recargas!$J$76*'Plan mensual'!O90+parametros_recargas!$K$76*'Plan mensual'!O91+parametros_recargas!$L$76*'Plan mensual'!O92</f>
        <v>2.21843746543893</v>
      </c>
      <c r="N70" s="6" t="n">
        <f aca="false">SUM(B70:M70)</f>
        <v>26.6212495852672</v>
      </c>
      <c r="O70" s="22" t="n">
        <f aca="false">MAX(B70:M70)</f>
        <v>2.21843746543893</v>
      </c>
      <c r="P70" s="12" t="n">
        <f aca="false">O70/parametros_recargas!$B$6</f>
        <v>0.0147895831029262</v>
      </c>
    </row>
    <row r="71" customFormat="false" ht="15" hidden="false" customHeight="false" outlineLevel="0" collapsed="false">
      <c r="A71" s="8" t="str">
        <f aca="false">parametros_recargas!$B$77</f>
        <v>Descarga de agua / AFFF / sales K</v>
      </c>
      <c r="B71" s="21" t="n">
        <f aca="false">parametros_recargas!$E$77*'Plan mensual'!D85+parametros_recargas!$F$77*'Plan mensual'!D86+parametros_recargas!$G$77*'Plan mensual'!D87+parametros_recargas!$H$77*'Plan mensual'!D88+parametros_recargas!$I$77*'Plan mensual'!D89+parametros_recargas!$J$77*'Plan mensual'!D90+parametros_recargas!$K$77*'Plan mensual'!D91+parametros_recargas!$L$77*'Plan mensual'!D92</f>
        <v>73.5527734606476</v>
      </c>
      <c r="C71" s="21" t="n">
        <f aca="false">parametros_recargas!$E$77*'Plan mensual'!E85+parametros_recargas!$F$77*'Plan mensual'!E86+parametros_recargas!$G$77*'Plan mensual'!E87+parametros_recargas!$H$77*'Plan mensual'!E88+parametros_recargas!$I$77*'Plan mensual'!E89+parametros_recargas!$J$77*'Plan mensual'!E90+parametros_recargas!$K$77*'Plan mensual'!E91+parametros_recargas!$L$77*'Plan mensual'!E92</f>
        <v>73.5527734606476</v>
      </c>
      <c r="D71" s="21" t="n">
        <f aca="false">parametros_recargas!$E$77*'Plan mensual'!F85+parametros_recargas!$F$77*'Plan mensual'!F86+parametros_recargas!$G$77*'Plan mensual'!F87+parametros_recargas!$H$77*'Plan mensual'!F88+parametros_recargas!$I$77*'Plan mensual'!F89+parametros_recargas!$J$77*'Plan mensual'!F90+parametros_recargas!$K$77*'Plan mensual'!F91+parametros_recargas!$L$77*'Plan mensual'!F92</f>
        <v>73.5527734606476</v>
      </c>
      <c r="E71" s="21" t="n">
        <f aca="false">parametros_recargas!$E$77*'Plan mensual'!G85+parametros_recargas!$F$77*'Plan mensual'!G86+parametros_recargas!$G$77*'Plan mensual'!G87+parametros_recargas!$H$77*'Plan mensual'!G88+parametros_recargas!$I$77*'Plan mensual'!G89+parametros_recargas!$J$77*'Plan mensual'!G90+parametros_recargas!$K$77*'Plan mensual'!G91+parametros_recargas!$L$77*'Plan mensual'!G92</f>
        <v>73.5527734606476</v>
      </c>
      <c r="F71" s="21" t="n">
        <f aca="false">parametros_recargas!$E$77*'Plan mensual'!H85+parametros_recargas!$F$77*'Plan mensual'!H86+parametros_recargas!$G$77*'Plan mensual'!H87+parametros_recargas!$H$77*'Plan mensual'!H88+parametros_recargas!$I$77*'Plan mensual'!H89+parametros_recargas!$J$77*'Plan mensual'!H90+parametros_recargas!$K$77*'Plan mensual'!H91+parametros_recargas!$L$77*'Plan mensual'!H92</f>
        <v>73.5527734606476</v>
      </c>
      <c r="G71" s="21" t="n">
        <f aca="false">parametros_recargas!$E$77*'Plan mensual'!I85+parametros_recargas!$F$77*'Plan mensual'!I86+parametros_recargas!$G$77*'Plan mensual'!I87+parametros_recargas!$H$77*'Plan mensual'!I88+parametros_recargas!$I$77*'Plan mensual'!I89+parametros_recargas!$J$77*'Plan mensual'!I90+parametros_recargas!$K$77*'Plan mensual'!I91+parametros_recargas!$L$77*'Plan mensual'!I92</f>
        <v>73.5527734606476</v>
      </c>
      <c r="H71" s="21" t="n">
        <f aca="false">parametros_recargas!$E$77*'Plan mensual'!J85+parametros_recargas!$F$77*'Plan mensual'!J86+parametros_recargas!$G$77*'Plan mensual'!J87+parametros_recargas!$H$77*'Plan mensual'!J88+parametros_recargas!$I$77*'Plan mensual'!J89+parametros_recargas!$J$77*'Plan mensual'!J90+parametros_recargas!$K$77*'Plan mensual'!J91+parametros_recargas!$L$77*'Plan mensual'!J92</f>
        <v>73.5527734606476</v>
      </c>
      <c r="I71" s="21" t="n">
        <f aca="false">parametros_recargas!$E$77*'Plan mensual'!K85+parametros_recargas!$F$77*'Plan mensual'!K86+parametros_recargas!$G$77*'Plan mensual'!K87+parametros_recargas!$H$77*'Plan mensual'!K88+parametros_recargas!$I$77*'Plan mensual'!K89+parametros_recargas!$J$77*'Plan mensual'!K90+parametros_recargas!$K$77*'Plan mensual'!K91+parametros_recargas!$L$77*'Plan mensual'!K92</f>
        <v>73.5527734606476</v>
      </c>
      <c r="J71" s="21" t="n">
        <f aca="false">parametros_recargas!$E$77*'Plan mensual'!L85+parametros_recargas!$F$77*'Plan mensual'!L86+parametros_recargas!$G$77*'Plan mensual'!L87+parametros_recargas!$H$77*'Plan mensual'!L88+parametros_recargas!$I$77*'Plan mensual'!L89+parametros_recargas!$J$77*'Plan mensual'!L90+parametros_recargas!$K$77*'Plan mensual'!L91+parametros_recargas!$L$77*'Plan mensual'!L92</f>
        <v>73.5527734606476</v>
      </c>
      <c r="K71" s="21" t="n">
        <f aca="false">parametros_recargas!$E$77*'Plan mensual'!M85+parametros_recargas!$F$77*'Plan mensual'!M86+parametros_recargas!$G$77*'Plan mensual'!M87+parametros_recargas!$H$77*'Plan mensual'!M88+parametros_recargas!$I$77*'Plan mensual'!M89+parametros_recargas!$J$77*'Plan mensual'!M90+parametros_recargas!$K$77*'Plan mensual'!M91+parametros_recargas!$L$77*'Plan mensual'!M92</f>
        <v>73.5527734606476</v>
      </c>
      <c r="L71" s="21" t="n">
        <f aca="false">parametros_recargas!$E$77*'Plan mensual'!N85+parametros_recargas!$F$77*'Plan mensual'!N86+parametros_recargas!$G$77*'Plan mensual'!N87+parametros_recargas!$H$77*'Plan mensual'!N88+parametros_recargas!$I$77*'Plan mensual'!N89+parametros_recargas!$J$77*'Plan mensual'!N90+parametros_recargas!$K$77*'Plan mensual'!N91+parametros_recargas!$L$77*'Plan mensual'!N92</f>
        <v>73.5527734606476</v>
      </c>
      <c r="M71" s="21" t="n">
        <f aca="false">parametros_recargas!$E$77*'Plan mensual'!O85+parametros_recargas!$F$77*'Plan mensual'!O86+parametros_recargas!$G$77*'Plan mensual'!O87+parametros_recargas!$H$77*'Plan mensual'!O88+parametros_recargas!$I$77*'Plan mensual'!O89+parametros_recargas!$J$77*'Plan mensual'!O90+parametros_recargas!$K$77*'Plan mensual'!O91+parametros_recargas!$L$77*'Plan mensual'!O92</f>
        <v>73.5527734606476</v>
      </c>
      <c r="N71" s="6" t="n">
        <f aca="false">SUM(B71:M71)</f>
        <v>882.633281527771</v>
      </c>
      <c r="O71" s="22" t="n">
        <f aca="false">MAX(B71:M71)</f>
        <v>73.5527734606476</v>
      </c>
      <c r="P71" s="12" t="n">
        <f aca="false">O71/parametros_recargas!$B$6</f>
        <v>0.490351823070984</v>
      </c>
    </row>
    <row r="72" customFormat="false" ht="15" hidden="false" customHeight="false" outlineLevel="0" collapsed="false">
      <c r="A72" s="8" t="str">
        <f aca="false">parametros_recargas!$B$78</f>
        <v>Recuperación de CO₂</v>
      </c>
      <c r="B72" s="21" t="n">
        <f aca="false">parametros_recargas!$E$78*'Plan mensual'!D85+parametros_recargas!$F$78*'Plan mensual'!D86+parametros_recargas!$G$78*'Plan mensual'!D87+parametros_recargas!$H$78*'Plan mensual'!D88+parametros_recargas!$I$78*'Plan mensual'!D89+parametros_recargas!$J$78*'Plan mensual'!D90+parametros_recargas!$K$78*'Plan mensual'!D91+parametros_recargas!$L$78*'Plan mensual'!D92</f>
        <v>32.219540818156</v>
      </c>
      <c r="C72" s="21" t="n">
        <f aca="false">parametros_recargas!$E$78*'Plan mensual'!E85+parametros_recargas!$F$78*'Plan mensual'!E86+parametros_recargas!$G$78*'Plan mensual'!E87+parametros_recargas!$H$78*'Plan mensual'!E88+parametros_recargas!$I$78*'Plan mensual'!E89+parametros_recargas!$J$78*'Plan mensual'!E90+parametros_recargas!$K$78*'Plan mensual'!E91+parametros_recargas!$L$78*'Plan mensual'!E92</f>
        <v>32.219540818156</v>
      </c>
      <c r="D72" s="21" t="n">
        <f aca="false">parametros_recargas!$E$78*'Plan mensual'!F85+parametros_recargas!$F$78*'Plan mensual'!F86+parametros_recargas!$G$78*'Plan mensual'!F87+parametros_recargas!$H$78*'Plan mensual'!F88+parametros_recargas!$I$78*'Plan mensual'!F89+parametros_recargas!$J$78*'Plan mensual'!F90+parametros_recargas!$K$78*'Plan mensual'!F91+parametros_recargas!$L$78*'Plan mensual'!F92</f>
        <v>32.219540818156</v>
      </c>
      <c r="E72" s="21" t="n">
        <f aca="false">parametros_recargas!$E$78*'Plan mensual'!G85+parametros_recargas!$F$78*'Plan mensual'!G86+parametros_recargas!$G$78*'Plan mensual'!G87+parametros_recargas!$H$78*'Plan mensual'!G88+parametros_recargas!$I$78*'Plan mensual'!G89+parametros_recargas!$J$78*'Plan mensual'!G90+parametros_recargas!$K$78*'Plan mensual'!G91+parametros_recargas!$L$78*'Plan mensual'!G92</f>
        <v>32.219540818156</v>
      </c>
      <c r="F72" s="21" t="n">
        <f aca="false">parametros_recargas!$E$78*'Plan mensual'!H85+parametros_recargas!$F$78*'Plan mensual'!H86+parametros_recargas!$G$78*'Plan mensual'!H87+parametros_recargas!$H$78*'Plan mensual'!H88+parametros_recargas!$I$78*'Plan mensual'!H89+parametros_recargas!$J$78*'Plan mensual'!H90+parametros_recargas!$K$78*'Plan mensual'!H91+parametros_recargas!$L$78*'Plan mensual'!H92</f>
        <v>32.219540818156</v>
      </c>
      <c r="G72" s="21" t="n">
        <f aca="false">parametros_recargas!$E$78*'Plan mensual'!I85+parametros_recargas!$F$78*'Plan mensual'!I86+parametros_recargas!$G$78*'Plan mensual'!I87+parametros_recargas!$H$78*'Plan mensual'!I88+parametros_recargas!$I$78*'Plan mensual'!I89+parametros_recargas!$J$78*'Plan mensual'!I90+parametros_recargas!$K$78*'Plan mensual'!I91+parametros_recargas!$L$78*'Plan mensual'!I92</f>
        <v>32.219540818156</v>
      </c>
      <c r="H72" s="21" t="n">
        <f aca="false">parametros_recargas!$E$78*'Plan mensual'!J85+parametros_recargas!$F$78*'Plan mensual'!J86+parametros_recargas!$G$78*'Plan mensual'!J87+parametros_recargas!$H$78*'Plan mensual'!J88+parametros_recargas!$I$78*'Plan mensual'!J89+parametros_recargas!$J$78*'Plan mensual'!J90+parametros_recargas!$K$78*'Plan mensual'!J91+parametros_recargas!$L$78*'Plan mensual'!J92</f>
        <v>32.219540818156</v>
      </c>
      <c r="I72" s="21" t="n">
        <f aca="false">parametros_recargas!$E$78*'Plan mensual'!K85+parametros_recargas!$F$78*'Plan mensual'!K86+parametros_recargas!$G$78*'Plan mensual'!K87+parametros_recargas!$H$78*'Plan mensual'!K88+parametros_recargas!$I$78*'Plan mensual'!K89+parametros_recargas!$J$78*'Plan mensual'!K90+parametros_recargas!$K$78*'Plan mensual'!K91+parametros_recargas!$L$78*'Plan mensual'!K92</f>
        <v>32.219540818156</v>
      </c>
      <c r="J72" s="21" t="n">
        <f aca="false">parametros_recargas!$E$78*'Plan mensual'!L85+parametros_recargas!$F$78*'Plan mensual'!L86+parametros_recargas!$G$78*'Plan mensual'!L87+parametros_recargas!$H$78*'Plan mensual'!L88+parametros_recargas!$I$78*'Plan mensual'!L89+parametros_recargas!$J$78*'Plan mensual'!L90+parametros_recargas!$K$78*'Plan mensual'!L91+parametros_recargas!$L$78*'Plan mensual'!L92</f>
        <v>32.219540818156</v>
      </c>
      <c r="K72" s="21" t="n">
        <f aca="false">parametros_recargas!$E$78*'Plan mensual'!M85+parametros_recargas!$F$78*'Plan mensual'!M86+parametros_recargas!$G$78*'Plan mensual'!M87+parametros_recargas!$H$78*'Plan mensual'!M88+parametros_recargas!$I$78*'Plan mensual'!M89+parametros_recargas!$J$78*'Plan mensual'!M90+parametros_recargas!$K$78*'Plan mensual'!M91+parametros_recargas!$L$78*'Plan mensual'!M92</f>
        <v>32.219540818156</v>
      </c>
      <c r="L72" s="21" t="n">
        <f aca="false">parametros_recargas!$E$78*'Plan mensual'!N85+parametros_recargas!$F$78*'Plan mensual'!N86+parametros_recargas!$G$78*'Plan mensual'!N87+parametros_recargas!$H$78*'Plan mensual'!N88+parametros_recargas!$I$78*'Plan mensual'!N89+parametros_recargas!$J$78*'Plan mensual'!N90+parametros_recargas!$K$78*'Plan mensual'!N91+parametros_recargas!$L$78*'Plan mensual'!N92</f>
        <v>32.219540818156</v>
      </c>
      <c r="M72" s="21" t="n">
        <f aca="false">parametros_recargas!$E$78*'Plan mensual'!O85+parametros_recargas!$F$78*'Plan mensual'!O86+parametros_recargas!$G$78*'Plan mensual'!O87+parametros_recargas!$H$78*'Plan mensual'!O88+parametros_recargas!$I$78*'Plan mensual'!O89+parametros_recargas!$J$78*'Plan mensual'!O90+parametros_recargas!$K$78*'Plan mensual'!O91+parametros_recargas!$L$78*'Plan mensual'!O92</f>
        <v>32.219540818156</v>
      </c>
      <c r="N72" s="6" t="n">
        <f aca="false">SUM(B72:M72)</f>
        <v>386.634489817872</v>
      </c>
      <c r="O72" s="22" t="n">
        <f aca="false">MAX(B72:M72)</f>
        <v>32.219540818156</v>
      </c>
      <c r="P72" s="12" t="n">
        <f aca="false">O72/parametros_recargas!$B$6</f>
        <v>0.214796938787707</v>
      </c>
    </row>
    <row r="73" customFormat="false" ht="15" hidden="false" customHeight="false" outlineLevel="0" collapsed="false">
      <c r="A73" s="8" t="str">
        <f aca="false">parametros_recargas!$B$79</f>
        <v>Recuperación de halogenado</v>
      </c>
      <c r="B73" s="21" t="n">
        <f aca="false">parametros_recargas!$E$79*'Plan mensual'!D85+parametros_recargas!$F$79*'Plan mensual'!D86+parametros_recargas!$G$79*'Plan mensual'!D87+parametros_recargas!$H$79*'Plan mensual'!D88+parametros_recargas!$I$79*'Plan mensual'!D89+parametros_recargas!$J$79*'Plan mensual'!D90+parametros_recargas!$K$79*'Plan mensual'!D91+parametros_recargas!$L$79*'Plan mensual'!D92</f>
        <v>1.4070950428832</v>
      </c>
      <c r="C73" s="21" t="n">
        <f aca="false">parametros_recargas!$E$79*'Plan mensual'!E85+parametros_recargas!$F$79*'Plan mensual'!E86+parametros_recargas!$G$79*'Plan mensual'!E87+parametros_recargas!$H$79*'Plan mensual'!E88+parametros_recargas!$I$79*'Plan mensual'!E89+parametros_recargas!$J$79*'Plan mensual'!E90+parametros_recargas!$K$79*'Plan mensual'!E91+parametros_recargas!$L$79*'Plan mensual'!E92</f>
        <v>1.4070950428832</v>
      </c>
      <c r="D73" s="21" t="n">
        <f aca="false">parametros_recargas!$E$79*'Plan mensual'!F85+parametros_recargas!$F$79*'Plan mensual'!F86+parametros_recargas!$G$79*'Plan mensual'!F87+parametros_recargas!$H$79*'Plan mensual'!F88+parametros_recargas!$I$79*'Plan mensual'!F89+parametros_recargas!$J$79*'Plan mensual'!F90+parametros_recargas!$K$79*'Plan mensual'!F91+parametros_recargas!$L$79*'Plan mensual'!F92</f>
        <v>1.4070950428832</v>
      </c>
      <c r="E73" s="21" t="n">
        <f aca="false">parametros_recargas!$E$79*'Plan mensual'!G85+parametros_recargas!$F$79*'Plan mensual'!G86+parametros_recargas!$G$79*'Plan mensual'!G87+parametros_recargas!$H$79*'Plan mensual'!G88+parametros_recargas!$I$79*'Plan mensual'!G89+parametros_recargas!$J$79*'Plan mensual'!G90+parametros_recargas!$K$79*'Plan mensual'!G91+parametros_recargas!$L$79*'Plan mensual'!G92</f>
        <v>1.4070950428832</v>
      </c>
      <c r="F73" s="21" t="n">
        <f aca="false">parametros_recargas!$E$79*'Plan mensual'!H85+parametros_recargas!$F$79*'Plan mensual'!H86+parametros_recargas!$G$79*'Plan mensual'!H87+parametros_recargas!$H$79*'Plan mensual'!H88+parametros_recargas!$I$79*'Plan mensual'!H89+parametros_recargas!$J$79*'Plan mensual'!H90+parametros_recargas!$K$79*'Plan mensual'!H91+parametros_recargas!$L$79*'Plan mensual'!H92</f>
        <v>1.4070950428832</v>
      </c>
      <c r="G73" s="21" t="n">
        <f aca="false">parametros_recargas!$E$79*'Plan mensual'!I85+parametros_recargas!$F$79*'Plan mensual'!I86+parametros_recargas!$G$79*'Plan mensual'!I87+parametros_recargas!$H$79*'Plan mensual'!I88+parametros_recargas!$I$79*'Plan mensual'!I89+parametros_recargas!$J$79*'Plan mensual'!I90+parametros_recargas!$K$79*'Plan mensual'!I91+parametros_recargas!$L$79*'Plan mensual'!I92</f>
        <v>1.4070950428832</v>
      </c>
      <c r="H73" s="21" t="n">
        <f aca="false">parametros_recargas!$E$79*'Plan mensual'!J85+parametros_recargas!$F$79*'Plan mensual'!J86+parametros_recargas!$G$79*'Plan mensual'!J87+parametros_recargas!$H$79*'Plan mensual'!J88+parametros_recargas!$I$79*'Plan mensual'!J89+parametros_recargas!$J$79*'Plan mensual'!J90+parametros_recargas!$K$79*'Plan mensual'!J91+parametros_recargas!$L$79*'Plan mensual'!J92</f>
        <v>1.4070950428832</v>
      </c>
      <c r="I73" s="21" t="n">
        <f aca="false">parametros_recargas!$E$79*'Plan mensual'!K85+parametros_recargas!$F$79*'Plan mensual'!K86+parametros_recargas!$G$79*'Plan mensual'!K87+parametros_recargas!$H$79*'Plan mensual'!K88+parametros_recargas!$I$79*'Plan mensual'!K89+parametros_recargas!$J$79*'Plan mensual'!K90+parametros_recargas!$K$79*'Plan mensual'!K91+parametros_recargas!$L$79*'Plan mensual'!K92</f>
        <v>1.4070950428832</v>
      </c>
      <c r="J73" s="21" t="n">
        <f aca="false">parametros_recargas!$E$79*'Plan mensual'!L85+parametros_recargas!$F$79*'Plan mensual'!L86+parametros_recargas!$G$79*'Plan mensual'!L87+parametros_recargas!$H$79*'Plan mensual'!L88+parametros_recargas!$I$79*'Plan mensual'!L89+parametros_recargas!$J$79*'Plan mensual'!L90+parametros_recargas!$K$79*'Plan mensual'!L91+parametros_recargas!$L$79*'Plan mensual'!L92</f>
        <v>1.4070950428832</v>
      </c>
      <c r="K73" s="21" t="n">
        <f aca="false">parametros_recargas!$E$79*'Plan mensual'!M85+parametros_recargas!$F$79*'Plan mensual'!M86+parametros_recargas!$G$79*'Plan mensual'!M87+parametros_recargas!$H$79*'Plan mensual'!M88+parametros_recargas!$I$79*'Plan mensual'!M89+parametros_recargas!$J$79*'Plan mensual'!M90+parametros_recargas!$K$79*'Plan mensual'!M91+parametros_recargas!$L$79*'Plan mensual'!M92</f>
        <v>1.4070950428832</v>
      </c>
      <c r="L73" s="21" t="n">
        <f aca="false">parametros_recargas!$E$79*'Plan mensual'!N85+parametros_recargas!$F$79*'Plan mensual'!N86+parametros_recargas!$G$79*'Plan mensual'!N87+parametros_recargas!$H$79*'Plan mensual'!N88+parametros_recargas!$I$79*'Plan mensual'!N89+parametros_recargas!$J$79*'Plan mensual'!N90+parametros_recargas!$K$79*'Plan mensual'!N91+parametros_recargas!$L$79*'Plan mensual'!N92</f>
        <v>1.4070950428832</v>
      </c>
      <c r="M73" s="21" t="n">
        <f aca="false">parametros_recargas!$E$79*'Plan mensual'!O85+parametros_recargas!$F$79*'Plan mensual'!O86+parametros_recargas!$G$79*'Plan mensual'!O87+parametros_recargas!$H$79*'Plan mensual'!O88+parametros_recargas!$I$79*'Plan mensual'!O89+parametros_recargas!$J$79*'Plan mensual'!O90+parametros_recargas!$K$79*'Plan mensual'!O91+parametros_recargas!$L$79*'Plan mensual'!O92</f>
        <v>1.4070950428832</v>
      </c>
      <c r="N73" s="6" t="n">
        <f aca="false">SUM(B73:M73)</f>
        <v>16.8851405145984</v>
      </c>
      <c r="O73" s="22" t="n">
        <f aca="false">MAX(B73:M73)</f>
        <v>1.4070950428832</v>
      </c>
      <c r="P73" s="12" t="n">
        <f aca="false">O73/parametros_recargas!$B$6</f>
        <v>0.00938063361922135</v>
      </c>
    </row>
    <row r="74" customFormat="false" ht="15" hidden="false" customHeight="false" outlineLevel="0" collapsed="false">
      <c r="A74" s="8" t="str">
        <f aca="false">parametros_recargas!$B$80</f>
        <v>Desarme y limpieza — recinto</v>
      </c>
      <c r="B74" s="21" t="n">
        <f aca="false">parametros_recargas!$E$80*'Plan mensual'!D85+parametros_recargas!$F$80*'Plan mensual'!D86+parametros_recargas!$G$80*'Plan mensual'!D87+parametros_recargas!$H$80*'Plan mensual'!D88+parametros_recargas!$I$80*'Plan mensual'!D89+parametros_recargas!$J$80*'Plan mensual'!D90+parametros_recargas!$K$80*'Plan mensual'!D91+parametros_recargas!$L$80*'Plan mensual'!D92</f>
        <v>1318.3883326835</v>
      </c>
      <c r="C74" s="21" t="n">
        <f aca="false">parametros_recargas!$E$80*'Plan mensual'!E85+parametros_recargas!$F$80*'Plan mensual'!E86+parametros_recargas!$G$80*'Plan mensual'!E87+parametros_recargas!$H$80*'Plan mensual'!E88+parametros_recargas!$I$80*'Plan mensual'!E89+parametros_recargas!$J$80*'Plan mensual'!E90+parametros_recargas!$K$80*'Plan mensual'!E91+parametros_recargas!$L$80*'Plan mensual'!E92</f>
        <v>1318.3883326835</v>
      </c>
      <c r="D74" s="21" t="n">
        <f aca="false">parametros_recargas!$E$80*'Plan mensual'!F85+parametros_recargas!$F$80*'Plan mensual'!F86+parametros_recargas!$G$80*'Plan mensual'!F87+parametros_recargas!$H$80*'Plan mensual'!F88+parametros_recargas!$I$80*'Plan mensual'!F89+parametros_recargas!$J$80*'Plan mensual'!F90+parametros_recargas!$K$80*'Plan mensual'!F91+parametros_recargas!$L$80*'Plan mensual'!F92</f>
        <v>1318.3883326835</v>
      </c>
      <c r="E74" s="21" t="n">
        <f aca="false">parametros_recargas!$E$80*'Plan mensual'!G85+parametros_recargas!$F$80*'Plan mensual'!G86+parametros_recargas!$G$80*'Plan mensual'!G87+parametros_recargas!$H$80*'Plan mensual'!G88+parametros_recargas!$I$80*'Plan mensual'!G89+parametros_recargas!$J$80*'Plan mensual'!G90+parametros_recargas!$K$80*'Plan mensual'!G91+parametros_recargas!$L$80*'Plan mensual'!G92</f>
        <v>1318.3883326835</v>
      </c>
      <c r="F74" s="21" t="n">
        <f aca="false">parametros_recargas!$E$80*'Plan mensual'!H85+parametros_recargas!$F$80*'Plan mensual'!H86+parametros_recargas!$G$80*'Plan mensual'!H87+parametros_recargas!$H$80*'Plan mensual'!H88+parametros_recargas!$I$80*'Plan mensual'!H89+parametros_recargas!$J$80*'Plan mensual'!H90+parametros_recargas!$K$80*'Plan mensual'!H91+parametros_recargas!$L$80*'Plan mensual'!H92</f>
        <v>1318.3883326835</v>
      </c>
      <c r="G74" s="21" t="n">
        <f aca="false">parametros_recargas!$E$80*'Plan mensual'!I85+parametros_recargas!$F$80*'Plan mensual'!I86+parametros_recargas!$G$80*'Plan mensual'!I87+parametros_recargas!$H$80*'Plan mensual'!I88+parametros_recargas!$I$80*'Plan mensual'!I89+parametros_recargas!$J$80*'Plan mensual'!I90+parametros_recargas!$K$80*'Plan mensual'!I91+parametros_recargas!$L$80*'Plan mensual'!I92</f>
        <v>1318.3883326835</v>
      </c>
      <c r="H74" s="21" t="n">
        <f aca="false">parametros_recargas!$E$80*'Plan mensual'!J85+parametros_recargas!$F$80*'Plan mensual'!J86+parametros_recargas!$G$80*'Plan mensual'!J87+parametros_recargas!$H$80*'Plan mensual'!J88+parametros_recargas!$I$80*'Plan mensual'!J89+parametros_recargas!$J$80*'Plan mensual'!J90+parametros_recargas!$K$80*'Plan mensual'!J91+parametros_recargas!$L$80*'Plan mensual'!J92</f>
        <v>1318.3883326835</v>
      </c>
      <c r="I74" s="21" t="n">
        <f aca="false">parametros_recargas!$E$80*'Plan mensual'!K85+parametros_recargas!$F$80*'Plan mensual'!K86+parametros_recargas!$G$80*'Plan mensual'!K87+parametros_recargas!$H$80*'Plan mensual'!K88+parametros_recargas!$I$80*'Plan mensual'!K89+parametros_recargas!$J$80*'Plan mensual'!K90+parametros_recargas!$K$80*'Plan mensual'!K91+parametros_recargas!$L$80*'Plan mensual'!K92</f>
        <v>1318.3883326835</v>
      </c>
      <c r="J74" s="21" t="n">
        <f aca="false">parametros_recargas!$E$80*'Plan mensual'!L85+parametros_recargas!$F$80*'Plan mensual'!L86+parametros_recargas!$G$80*'Plan mensual'!L87+parametros_recargas!$H$80*'Plan mensual'!L88+parametros_recargas!$I$80*'Plan mensual'!L89+parametros_recargas!$J$80*'Plan mensual'!L90+parametros_recargas!$K$80*'Plan mensual'!L91+parametros_recargas!$L$80*'Plan mensual'!L92</f>
        <v>1318.3883326835</v>
      </c>
      <c r="K74" s="21" t="n">
        <f aca="false">parametros_recargas!$E$80*'Plan mensual'!M85+parametros_recargas!$F$80*'Plan mensual'!M86+parametros_recargas!$G$80*'Plan mensual'!M87+parametros_recargas!$H$80*'Plan mensual'!M88+parametros_recargas!$I$80*'Plan mensual'!M89+parametros_recargas!$J$80*'Plan mensual'!M90+parametros_recargas!$K$80*'Plan mensual'!M91+parametros_recargas!$L$80*'Plan mensual'!M92</f>
        <v>1318.3883326835</v>
      </c>
      <c r="L74" s="21" t="n">
        <f aca="false">parametros_recargas!$E$80*'Plan mensual'!N85+parametros_recargas!$F$80*'Plan mensual'!N86+parametros_recargas!$G$80*'Plan mensual'!N87+parametros_recargas!$H$80*'Plan mensual'!N88+parametros_recargas!$I$80*'Plan mensual'!N89+parametros_recargas!$J$80*'Plan mensual'!N90+parametros_recargas!$K$80*'Plan mensual'!N91+parametros_recargas!$L$80*'Plan mensual'!N92</f>
        <v>1318.3883326835</v>
      </c>
      <c r="M74" s="21" t="n">
        <f aca="false">parametros_recargas!$E$80*'Plan mensual'!O85+parametros_recargas!$F$80*'Plan mensual'!O86+parametros_recargas!$G$80*'Plan mensual'!O87+parametros_recargas!$H$80*'Plan mensual'!O88+parametros_recargas!$I$80*'Plan mensual'!O89+parametros_recargas!$J$80*'Plan mensual'!O90+parametros_recargas!$K$80*'Plan mensual'!O91+parametros_recargas!$L$80*'Plan mensual'!O92</f>
        <v>1318.3883326835</v>
      </c>
      <c r="N74" s="6" t="n">
        <f aca="false">SUM(B74:M74)</f>
        <v>15820.659992202</v>
      </c>
      <c r="O74" s="22" t="n">
        <f aca="false">MAX(B74:M74)</f>
        <v>1318.3883326835</v>
      </c>
      <c r="P74" s="12" t="n">
        <f aca="false">O74/parametros_recargas!$B$6</f>
        <v>8.78925555122334</v>
      </c>
    </row>
    <row r="75" customFormat="false" ht="15" hidden="false" customHeight="false" outlineLevel="0" collapsed="false">
      <c r="A75" s="8" t="str">
        <f aca="false">parametros_recargas!$B$81</f>
        <v>Desarme e inspección interior — zona general</v>
      </c>
      <c r="B75" s="21" t="n">
        <f aca="false">parametros_recargas!$E$81*'Plan mensual'!D85+parametros_recargas!$F$81*'Plan mensual'!D86+parametros_recargas!$G$81*'Plan mensual'!D87+parametros_recargas!$H$81*'Plan mensual'!D88+parametros_recargas!$I$81*'Plan mensual'!D89+parametros_recargas!$J$81*'Plan mensual'!D90+parametros_recargas!$K$81*'Plan mensual'!D91+parametros_recargas!$L$81*'Plan mensual'!D92</f>
        <v>107.179409321687</v>
      </c>
      <c r="C75" s="21" t="n">
        <f aca="false">parametros_recargas!$E$81*'Plan mensual'!E85+parametros_recargas!$F$81*'Plan mensual'!E86+parametros_recargas!$G$81*'Plan mensual'!E87+parametros_recargas!$H$81*'Plan mensual'!E88+parametros_recargas!$I$81*'Plan mensual'!E89+parametros_recargas!$J$81*'Plan mensual'!E90+parametros_recargas!$K$81*'Plan mensual'!E91+parametros_recargas!$L$81*'Plan mensual'!E92</f>
        <v>107.179409321687</v>
      </c>
      <c r="D75" s="21" t="n">
        <f aca="false">parametros_recargas!$E$81*'Plan mensual'!F85+parametros_recargas!$F$81*'Plan mensual'!F86+parametros_recargas!$G$81*'Plan mensual'!F87+parametros_recargas!$H$81*'Plan mensual'!F88+parametros_recargas!$I$81*'Plan mensual'!F89+parametros_recargas!$J$81*'Plan mensual'!F90+parametros_recargas!$K$81*'Plan mensual'!F91+parametros_recargas!$L$81*'Plan mensual'!F92</f>
        <v>107.179409321687</v>
      </c>
      <c r="E75" s="21" t="n">
        <f aca="false">parametros_recargas!$E$81*'Plan mensual'!G85+parametros_recargas!$F$81*'Plan mensual'!G86+parametros_recargas!$G$81*'Plan mensual'!G87+parametros_recargas!$H$81*'Plan mensual'!G88+parametros_recargas!$I$81*'Plan mensual'!G89+parametros_recargas!$J$81*'Plan mensual'!G90+parametros_recargas!$K$81*'Plan mensual'!G91+parametros_recargas!$L$81*'Plan mensual'!G92</f>
        <v>107.179409321687</v>
      </c>
      <c r="F75" s="21" t="n">
        <f aca="false">parametros_recargas!$E$81*'Plan mensual'!H85+parametros_recargas!$F$81*'Plan mensual'!H86+parametros_recargas!$G$81*'Plan mensual'!H87+parametros_recargas!$H$81*'Plan mensual'!H88+parametros_recargas!$I$81*'Plan mensual'!H89+parametros_recargas!$J$81*'Plan mensual'!H90+parametros_recargas!$K$81*'Plan mensual'!H91+parametros_recargas!$L$81*'Plan mensual'!H92</f>
        <v>107.179409321687</v>
      </c>
      <c r="G75" s="21" t="n">
        <f aca="false">parametros_recargas!$E$81*'Plan mensual'!I85+parametros_recargas!$F$81*'Plan mensual'!I86+parametros_recargas!$G$81*'Plan mensual'!I87+parametros_recargas!$H$81*'Plan mensual'!I88+parametros_recargas!$I$81*'Plan mensual'!I89+parametros_recargas!$J$81*'Plan mensual'!I90+parametros_recargas!$K$81*'Plan mensual'!I91+parametros_recargas!$L$81*'Plan mensual'!I92</f>
        <v>107.179409321687</v>
      </c>
      <c r="H75" s="21" t="n">
        <f aca="false">parametros_recargas!$E$81*'Plan mensual'!J85+parametros_recargas!$F$81*'Plan mensual'!J86+parametros_recargas!$G$81*'Plan mensual'!J87+parametros_recargas!$H$81*'Plan mensual'!J88+parametros_recargas!$I$81*'Plan mensual'!J89+parametros_recargas!$J$81*'Plan mensual'!J90+parametros_recargas!$K$81*'Plan mensual'!J91+parametros_recargas!$L$81*'Plan mensual'!J92</f>
        <v>107.179409321687</v>
      </c>
      <c r="I75" s="21" t="n">
        <f aca="false">parametros_recargas!$E$81*'Plan mensual'!K85+parametros_recargas!$F$81*'Plan mensual'!K86+parametros_recargas!$G$81*'Plan mensual'!K87+parametros_recargas!$H$81*'Plan mensual'!K88+parametros_recargas!$I$81*'Plan mensual'!K89+parametros_recargas!$J$81*'Plan mensual'!K90+parametros_recargas!$K$81*'Plan mensual'!K91+parametros_recargas!$L$81*'Plan mensual'!K92</f>
        <v>107.179409321687</v>
      </c>
      <c r="J75" s="21" t="n">
        <f aca="false">parametros_recargas!$E$81*'Plan mensual'!L85+parametros_recargas!$F$81*'Plan mensual'!L86+parametros_recargas!$G$81*'Plan mensual'!L87+parametros_recargas!$H$81*'Plan mensual'!L88+parametros_recargas!$I$81*'Plan mensual'!L89+parametros_recargas!$J$81*'Plan mensual'!L90+parametros_recargas!$K$81*'Plan mensual'!L91+parametros_recargas!$L$81*'Plan mensual'!L92</f>
        <v>107.179409321687</v>
      </c>
      <c r="K75" s="21" t="n">
        <f aca="false">parametros_recargas!$E$81*'Plan mensual'!M85+parametros_recargas!$F$81*'Plan mensual'!M86+parametros_recargas!$G$81*'Plan mensual'!M87+parametros_recargas!$H$81*'Plan mensual'!M88+parametros_recargas!$I$81*'Plan mensual'!M89+parametros_recargas!$J$81*'Plan mensual'!M90+parametros_recargas!$K$81*'Plan mensual'!M91+parametros_recargas!$L$81*'Plan mensual'!M92</f>
        <v>107.179409321687</v>
      </c>
      <c r="L75" s="21" t="n">
        <f aca="false">parametros_recargas!$E$81*'Plan mensual'!N85+parametros_recargas!$F$81*'Plan mensual'!N86+parametros_recargas!$G$81*'Plan mensual'!N87+parametros_recargas!$H$81*'Plan mensual'!N88+parametros_recargas!$I$81*'Plan mensual'!N89+parametros_recargas!$J$81*'Plan mensual'!N90+parametros_recargas!$K$81*'Plan mensual'!N91+parametros_recargas!$L$81*'Plan mensual'!N92</f>
        <v>107.179409321687</v>
      </c>
      <c r="M75" s="21" t="n">
        <f aca="false">parametros_recargas!$E$81*'Plan mensual'!O85+parametros_recargas!$F$81*'Plan mensual'!O86+parametros_recargas!$G$81*'Plan mensual'!O87+parametros_recargas!$H$81*'Plan mensual'!O88+parametros_recargas!$I$81*'Plan mensual'!O89+parametros_recargas!$J$81*'Plan mensual'!O90+parametros_recargas!$K$81*'Plan mensual'!O91+parametros_recargas!$L$81*'Plan mensual'!O92</f>
        <v>107.179409321687</v>
      </c>
      <c r="N75" s="6" t="n">
        <f aca="false">SUM(B75:M75)</f>
        <v>1286.15291186024</v>
      </c>
      <c r="O75" s="22" t="n">
        <f aca="false">MAX(B75:M75)</f>
        <v>107.179409321687</v>
      </c>
      <c r="P75" s="12" t="n">
        <f aca="false">O75/parametros_recargas!$B$6</f>
        <v>0.714529395477912</v>
      </c>
    </row>
    <row r="76" customFormat="false" ht="15" hidden="false" customHeight="false" outlineLevel="0" collapsed="false">
      <c r="A76" s="8" t="str">
        <f aca="false">parametros_recargas!$B$82</f>
        <v>Laboratorio — Puffer y mufla</v>
      </c>
      <c r="B76" s="21" t="n">
        <f aca="false">parametros_recargas!$E$82*'Plan mensual'!D85+parametros_recargas!$F$82*'Plan mensual'!D86+parametros_recargas!$G$82*'Plan mensual'!D87+parametros_recargas!$H$82*'Plan mensual'!D88+parametros_recargas!$I$82*'Plan mensual'!D89+parametros_recargas!$J$82*'Plan mensual'!D90+parametros_recargas!$K$82*'Plan mensual'!D91+parametros_recargas!$L$82*'Plan mensual'!D92</f>
        <v>1.31616989521806</v>
      </c>
      <c r="C76" s="21" t="n">
        <f aca="false">parametros_recargas!$E$82*'Plan mensual'!E85+parametros_recargas!$F$82*'Plan mensual'!E86+parametros_recargas!$G$82*'Plan mensual'!E87+parametros_recargas!$H$82*'Plan mensual'!E88+parametros_recargas!$I$82*'Plan mensual'!E89+parametros_recargas!$J$82*'Plan mensual'!E90+parametros_recargas!$K$82*'Plan mensual'!E91+parametros_recargas!$L$82*'Plan mensual'!E92</f>
        <v>1.31616989521806</v>
      </c>
      <c r="D76" s="21" t="n">
        <f aca="false">parametros_recargas!$E$82*'Plan mensual'!F85+parametros_recargas!$F$82*'Plan mensual'!F86+parametros_recargas!$G$82*'Plan mensual'!F87+parametros_recargas!$H$82*'Plan mensual'!F88+parametros_recargas!$I$82*'Plan mensual'!F89+parametros_recargas!$J$82*'Plan mensual'!F90+parametros_recargas!$K$82*'Plan mensual'!F91+parametros_recargas!$L$82*'Plan mensual'!F92</f>
        <v>1.31616989521806</v>
      </c>
      <c r="E76" s="21" t="n">
        <f aca="false">parametros_recargas!$E$82*'Plan mensual'!G85+parametros_recargas!$F$82*'Plan mensual'!G86+parametros_recargas!$G$82*'Plan mensual'!G87+parametros_recargas!$H$82*'Plan mensual'!G88+parametros_recargas!$I$82*'Plan mensual'!G89+parametros_recargas!$J$82*'Plan mensual'!G90+parametros_recargas!$K$82*'Plan mensual'!G91+parametros_recargas!$L$82*'Plan mensual'!G92</f>
        <v>1.31616989521806</v>
      </c>
      <c r="F76" s="21" t="n">
        <f aca="false">parametros_recargas!$E$82*'Plan mensual'!H85+parametros_recargas!$F$82*'Plan mensual'!H86+parametros_recargas!$G$82*'Plan mensual'!H87+parametros_recargas!$H$82*'Plan mensual'!H88+parametros_recargas!$I$82*'Plan mensual'!H89+parametros_recargas!$J$82*'Plan mensual'!H90+parametros_recargas!$K$82*'Plan mensual'!H91+parametros_recargas!$L$82*'Plan mensual'!H92</f>
        <v>1.31616989521806</v>
      </c>
      <c r="G76" s="21" t="n">
        <f aca="false">parametros_recargas!$E$82*'Plan mensual'!I85+parametros_recargas!$F$82*'Plan mensual'!I86+parametros_recargas!$G$82*'Plan mensual'!I87+parametros_recargas!$H$82*'Plan mensual'!I88+parametros_recargas!$I$82*'Plan mensual'!I89+parametros_recargas!$J$82*'Plan mensual'!I90+parametros_recargas!$K$82*'Plan mensual'!I91+parametros_recargas!$L$82*'Plan mensual'!I92</f>
        <v>1.31616989521806</v>
      </c>
      <c r="H76" s="21" t="n">
        <f aca="false">parametros_recargas!$E$82*'Plan mensual'!J85+parametros_recargas!$F$82*'Plan mensual'!J86+parametros_recargas!$G$82*'Plan mensual'!J87+parametros_recargas!$H$82*'Plan mensual'!J88+parametros_recargas!$I$82*'Plan mensual'!J89+parametros_recargas!$J$82*'Plan mensual'!J90+parametros_recargas!$K$82*'Plan mensual'!J91+parametros_recargas!$L$82*'Plan mensual'!J92</f>
        <v>1.31616989521806</v>
      </c>
      <c r="I76" s="21" t="n">
        <f aca="false">parametros_recargas!$E$82*'Plan mensual'!K85+parametros_recargas!$F$82*'Plan mensual'!K86+parametros_recargas!$G$82*'Plan mensual'!K87+parametros_recargas!$H$82*'Plan mensual'!K88+parametros_recargas!$I$82*'Plan mensual'!K89+parametros_recargas!$J$82*'Plan mensual'!K90+parametros_recargas!$K$82*'Plan mensual'!K91+parametros_recargas!$L$82*'Plan mensual'!K92</f>
        <v>1.31616989521806</v>
      </c>
      <c r="J76" s="21" t="n">
        <f aca="false">parametros_recargas!$E$82*'Plan mensual'!L85+parametros_recargas!$F$82*'Plan mensual'!L86+parametros_recargas!$G$82*'Plan mensual'!L87+parametros_recargas!$H$82*'Plan mensual'!L88+parametros_recargas!$I$82*'Plan mensual'!L89+parametros_recargas!$J$82*'Plan mensual'!L90+parametros_recargas!$K$82*'Plan mensual'!L91+parametros_recargas!$L$82*'Plan mensual'!L92</f>
        <v>1.31616989521806</v>
      </c>
      <c r="K76" s="21" t="n">
        <f aca="false">parametros_recargas!$E$82*'Plan mensual'!M85+parametros_recargas!$F$82*'Plan mensual'!M86+parametros_recargas!$G$82*'Plan mensual'!M87+parametros_recargas!$H$82*'Plan mensual'!M88+parametros_recargas!$I$82*'Plan mensual'!M89+parametros_recargas!$J$82*'Plan mensual'!M90+parametros_recargas!$K$82*'Plan mensual'!M91+parametros_recargas!$L$82*'Plan mensual'!M92</f>
        <v>1.31616989521806</v>
      </c>
      <c r="L76" s="21" t="n">
        <f aca="false">parametros_recargas!$E$82*'Plan mensual'!N85+parametros_recargas!$F$82*'Plan mensual'!N86+parametros_recargas!$G$82*'Plan mensual'!N87+parametros_recargas!$H$82*'Plan mensual'!N88+parametros_recargas!$I$82*'Plan mensual'!N89+parametros_recargas!$J$82*'Plan mensual'!N90+parametros_recargas!$K$82*'Plan mensual'!N91+parametros_recargas!$L$82*'Plan mensual'!N92</f>
        <v>1.31616989521806</v>
      </c>
      <c r="M76" s="21" t="n">
        <f aca="false">parametros_recargas!$E$82*'Plan mensual'!O85+parametros_recargas!$F$82*'Plan mensual'!O86+parametros_recargas!$G$82*'Plan mensual'!O87+parametros_recargas!$H$82*'Plan mensual'!O88+parametros_recargas!$I$82*'Plan mensual'!O89+parametros_recargas!$J$82*'Plan mensual'!O90+parametros_recargas!$K$82*'Plan mensual'!O91+parametros_recargas!$L$82*'Plan mensual'!O92</f>
        <v>1.31616989521806</v>
      </c>
      <c r="N76" s="6" t="n">
        <f aca="false">SUM(B76:M76)</f>
        <v>15.7940387426167</v>
      </c>
      <c r="O76" s="22" t="n">
        <f aca="false">MAX(B76:M76)</f>
        <v>1.31616989521806</v>
      </c>
      <c r="P76" s="12" t="n">
        <f aca="false">O76/parametros_recargas!$B$6</f>
        <v>0.00877446596812041</v>
      </c>
    </row>
    <row r="77" customFormat="false" ht="15" hidden="false" customHeight="false" outlineLevel="0" collapsed="false">
      <c r="A77" s="8" t="str">
        <f aca="false">parametros_recargas!$B$83</f>
        <v>Prueba hidráulica</v>
      </c>
      <c r="B77" s="21" t="n">
        <f aca="false">parametros_recargas!$E$83*'Plan mensual'!D85+parametros_recargas!$F$83*'Plan mensual'!D86+parametros_recargas!$G$83*'Plan mensual'!D87+parametros_recargas!$H$83*'Plan mensual'!D88+parametros_recargas!$I$83*'Plan mensual'!D89+parametros_recargas!$J$83*'Plan mensual'!D90+parametros_recargas!$K$83*'Plan mensual'!D91+parametros_recargas!$L$83*'Plan mensual'!D92</f>
        <v>327.355361955855</v>
      </c>
      <c r="C77" s="21" t="n">
        <f aca="false">parametros_recargas!$E$83*'Plan mensual'!E85+parametros_recargas!$F$83*'Plan mensual'!E86+parametros_recargas!$G$83*'Plan mensual'!E87+parametros_recargas!$H$83*'Plan mensual'!E88+parametros_recargas!$I$83*'Plan mensual'!E89+parametros_recargas!$J$83*'Plan mensual'!E90+parametros_recargas!$K$83*'Plan mensual'!E91+parametros_recargas!$L$83*'Plan mensual'!E92</f>
        <v>327.355361955855</v>
      </c>
      <c r="D77" s="21" t="n">
        <f aca="false">parametros_recargas!$E$83*'Plan mensual'!F85+parametros_recargas!$F$83*'Plan mensual'!F86+parametros_recargas!$G$83*'Plan mensual'!F87+parametros_recargas!$H$83*'Plan mensual'!F88+parametros_recargas!$I$83*'Plan mensual'!F89+parametros_recargas!$J$83*'Plan mensual'!F90+parametros_recargas!$K$83*'Plan mensual'!F91+parametros_recargas!$L$83*'Plan mensual'!F92</f>
        <v>327.355361955855</v>
      </c>
      <c r="E77" s="21" t="n">
        <f aca="false">parametros_recargas!$E$83*'Plan mensual'!G85+parametros_recargas!$F$83*'Plan mensual'!G86+parametros_recargas!$G$83*'Plan mensual'!G87+parametros_recargas!$H$83*'Plan mensual'!G88+parametros_recargas!$I$83*'Plan mensual'!G89+parametros_recargas!$J$83*'Plan mensual'!G90+parametros_recargas!$K$83*'Plan mensual'!G91+parametros_recargas!$L$83*'Plan mensual'!G92</f>
        <v>327.355361955855</v>
      </c>
      <c r="F77" s="21" t="n">
        <f aca="false">parametros_recargas!$E$83*'Plan mensual'!H85+parametros_recargas!$F$83*'Plan mensual'!H86+parametros_recargas!$G$83*'Plan mensual'!H87+parametros_recargas!$H$83*'Plan mensual'!H88+parametros_recargas!$I$83*'Plan mensual'!H89+parametros_recargas!$J$83*'Plan mensual'!H90+parametros_recargas!$K$83*'Plan mensual'!H91+parametros_recargas!$L$83*'Plan mensual'!H92</f>
        <v>327.355361955855</v>
      </c>
      <c r="G77" s="21" t="n">
        <f aca="false">parametros_recargas!$E$83*'Plan mensual'!I85+parametros_recargas!$F$83*'Plan mensual'!I86+parametros_recargas!$G$83*'Plan mensual'!I87+parametros_recargas!$H$83*'Plan mensual'!I88+parametros_recargas!$I$83*'Plan mensual'!I89+parametros_recargas!$J$83*'Plan mensual'!I90+parametros_recargas!$K$83*'Plan mensual'!I91+parametros_recargas!$L$83*'Plan mensual'!I92</f>
        <v>327.355361955855</v>
      </c>
      <c r="H77" s="21" t="n">
        <f aca="false">parametros_recargas!$E$83*'Plan mensual'!J85+parametros_recargas!$F$83*'Plan mensual'!J86+parametros_recargas!$G$83*'Plan mensual'!J87+parametros_recargas!$H$83*'Plan mensual'!J88+parametros_recargas!$I$83*'Plan mensual'!J89+parametros_recargas!$J$83*'Plan mensual'!J90+parametros_recargas!$K$83*'Plan mensual'!J91+parametros_recargas!$L$83*'Plan mensual'!J92</f>
        <v>327.355361955855</v>
      </c>
      <c r="I77" s="21" t="n">
        <f aca="false">parametros_recargas!$E$83*'Plan mensual'!K85+parametros_recargas!$F$83*'Plan mensual'!K86+parametros_recargas!$G$83*'Plan mensual'!K87+parametros_recargas!$H$83*'Plan mensual'!K88+parametros_recargas!$I$83*'Plan mensual'!K89+parametros_recargas!$J$83*'Plan mensual'!K90+parametros_recargas!$K$83*'Plan mensual'!K91+parametros_recargas!$L$83*'Plan mensual'!K92</f>
        <v>327.355361955855</v>
      </c>
      <c r="J77" s="21" t="n">
        <f aca="false">parametros_recargas!$E$83*'Plan mensual'!L85+parametros_recargas!$F$83*'Plan mensual'!L86+parametros_recargas!$G$83*'Plan mensual'!L87+parametros_recargas!$H$83*'Plan mensual'!L88+parametros_recargas!$I$83*'Plan mensual'!L89+parametros_recargas!$J$83*'Plan mensual'!L90+parametros_recargas!$K$83*'Plan mensual'!L91+parametros_recargas!$L$83*'Plan mensual'!L92</f>
        <v>327.355361955855</v>
      </c>
      <c r="K77" s="21" t="n">
        <f aca="false">parametros_recargas!$E$83*'Plan mensual'!M85+parametros_recargas!$F$83*'Plan mensual'!M86+parametros_recargas!$G$83*'Plan mensual'!M87+parametros_recargas!$H$83*'Plan mensual'!M88+parametros_recargas!$I$83*'Plan mensual'!M89+parametros_recargas!$J$83*'Plan mensual'!M90+parametros_recargas!$K$83*'Plan mensual'!M91+parametros_recargas!$L$83*'Plan mensual'!M92</f>
        <v>327.355361955855</v>
      </c>
      <c r="L77" s="21" t="n">
        <f aca="false">parametros_recargas!$E$83*'Plan mensual'!N85+parametros_recargas!$F$83*'Plan mensual'!N86+parametros_recargas!$G$83*'Plan mensual'!N87+parametros_recargas!$H$83*'Plan mensual'!N88+parametros_recargas!$I$83*'Plan mensual'!N89+parametros_recargas!$J$83*'Plan mensual'!N90+parametros_recargas!$K$83*'Plan mensual'!N91+parametros_recargas!$L$83*'Plan mensual'!N92</f>
        <v>327.355361955855</v>
      </c>
      <c r="M77" s="21" t="n">
        <f aca="false">parametros_recargas!$E$83*'Plan mensual'!O85+parametros_recargas!$F$83*'Plan mensual'!O86+parametros_recargas!$G$83*'Plan mensual'!O87+parametros_recargas!$H$83*'Plan mensual'!O88+parametros_recargas!$I$83*'Plan mensual'!O89+parametros_recargas!$J$83*'Plan mensual'!O90+parametros_recargas!$K$83*'Plan mensual'!O91+parametros_recargas!$L$83*'Plan mensual'!O92</f>
        <v>327.355361955855</v>
      </c>
      <c r="N77" s="6" t="n">
        <f aca="false">SUM(B77:M77)</f>
        <v>3928.26434347026</v>
      </c>
      <c r="O77" s="22" t="n">
        <f aca="false">MAX(B77:M77)</f>
        <v>327.355361955855</v>
      </c>
      <c r="P77" s="12" t="n">
        <f aca="false">O77/parametros_recargas!$B$6</f>
        <v>2.1823690797057</v>
      </c>
    </row>
    <row r="78" customFormat="false" ht="15" hidden="false" customHeight="false" outlineLevel="0" collapsed="false">
      <c r="A78" s="8" t="str">
        <f aca="false">parametros_recargas!$B$84</f>
        <v>Secado</v>
      </c>
      <c r="B78" s="21" t="n">
        <f aca="false">parametros_recargas!$E$84*'Plan mensual'!D85+parametros_recargas!$F$84*'Plan mensual'!D86+parametros_recargas!$G$84*'Plan mensual'!D87+parametros_recargas!$H$84*'Plan mensual'!D88+parametros_recargas!$I$84*'Plan mensual'!D89+parametros_recargas!$J$84*'Plan mensual'!D90+parametros_recargas!$K$84*'Plan mensual'!D91+parametros_recargas!$L$84*'Plan mensual'!D92</f>
        <v>303.762858552367</v>
      </c>
      <c r="C78" s="21" t="n">
        <f aca="false">parametros_recargas!$E$84*'Plan mensual'!E85+parametros_recargas!$F$84*'Plan mensual'!E86+parametros_recargas!$G$84*'Plan mensual'!E87+parametros_recargas!$H$84*'Plan mensual'!E88+parametros_recargas!$I$84*'Plan mensual'!E89+parametros_recargas!$J$84*'Plan mensual'!E90+parametros_recargas!$K$84*'Plan mensual'!E91+parametros_recargas!$L$84*'Plan mensual'!E92</f>
        <v>303.762858552367</v>
      </c>
      <c r="D78" s="21" t="n">
        <f aca="false">parametros_recargas!$E$84*'Plan mensual'!F85+parametros_recargas!$F$84*'Plan mensual'!F86+parametros_recargas!$G$84*'Plan mensual'!F87+parametros_recargas!$H$84*'Plan mensual'!F88+parametros_recargas!$I$84*'Plan mensual'!F89+parametros_recargas!$J$84*'Plan mensual'!F90+parametros_recargas!$K$84*'Plan mensual'!F91+parametros_recargas!$L$84*'Plan mensual'!F92</f>
        <v>303.762858552367</v>
      </c>
      <c r="E78" s="21" t="n">
        <f aca="false">parametros_recargas!$E$84*'Plan mensual'!G85+parametros_recargas!$F$84*'Plan mensual'!G86+parametros_recargas!$G$84*'Plan mensual'!G87+parametros_recargas!$H$84*'Plan mensual'!G88+parametros_recargas!$I$84*'Plan mensual'!G89+parametros_recargas!$J$84*'Plan mensual'!G90+parametros_recargas!$K$84*'Plan mensual'!G91+parametros_recargas!$L$84*'Plan mensual'!G92</f>
        <v>303.762858552367</v>
      </c>
      <c r="F78" s="21" t="n">
        <f aca="false">parametros_recargas!$E$84*'Plan mensual'!H85+parametros_recargas!$F$84*'Plan mensual'!H86+parametros_recargas!$G$84*'Plan mensual'!H87+parametros_recargas!$H$84*'Plan mensual'!H88+parametros_recargas!$I$84*'Plan mensual'!H89+parametros_recargas!$J$84*'Plan mensual'!H90+parametros_recargas!$K$84*'Plan mensual'!H91+parametros_recargas!$L$84*'Plan mensual'!H92</f>
        <v>303.762858552367</v>
      </c>
      <c r="G78" s="21" t="n">
        <f aca="false">parametros_recargas!$E$84*'Plan mensual'!I85+parametros_recargas!$F$84*'Plan mensual'!I86+parametros_recargas!$G$84*'Plan mensual'!I87+parametros_recargas!$H$84*'Plan mensual'!I88+parametros_recargas!$I$84*'Plan mensual'!I89+parametros_recargas!$J$84*'Plan mensual'!I90+parametros_recargas!$K$84*'Plan mensual'!I91+parametros_recargas!$L$84*'Plan mensual'!I92</f>
        <v>303.762858552367</v>
      </c>
      <c r="H78" s="21" t="n">
        <f aca="false">parametros_recargas!$E$84*'Plan mensual'!J85+parametros_recargas!$F$84*'Plan mensual'!J86+parametros_recargas!$G$84*'Plan mensual'!J87+parametros_recargas!$H$84*'Plan mensual'!J88+parametros_recargas!$I$84*'Plan mensual'!J89+parametros_recargas!$J$84*'Plan mensual'!J90+parametros_recargas!$K$84*'Plan mensual'!J91+parametros_recargas!$L$84*'Plan mensual'!J92</f>
        <v>303.762858552367</v>
      </c>
      <c r="I78" s="21" t="n">
        <f aca="false">parametros_recargas!$E$84*'Plan mensual'!K85+parametros_recargas!$F$84*'Plan mensual'!K86+parametros_recargas!$G$84*'Plan mensual'!K87+parametros_recargas!$H$84*'Plan mensual'!K88+parametros_recargas!$I$84*'Plan mensual'!K89+parametros_recargas!$J$84*'Plan mensual'!K90+parametros_recargas!$K$84*'Plan mensual'!K91+parametros_recargas!$L$84*'Plan mensual'!K92</f>
        <v>303.762858552367</v>
      </c>
      <c r="J78" s="21" t="n">
        <f aca="false">parametros_recargas!$E$84*'Plan mensual'!L85+parametros_recargas!$F$84*'Plan mensual'!L86+parametros_recargas!$G$84*'Plan mensual'!L87+parametros_recargas!$H$84*'Plan mensual'!L88+parametros_recargas!$I$84*'Plan mensual'!L89+parametros_recargas!$J$84*'Plan mensual'!L90+parametros_recargas!$K$84*'Plan mensual'!L91+parametros_recargas!$L$84*'Plan mensual'!L92</f>
        <v>303.762858552367</v>
      </c>
      <c r="K78" s="21" t="n">
        <f aca="false">parametros_recargas!$E$84*'Plan mensual'!M85+parametros_recargas!$F$84*'Plan mensual'!M86+parametros_recargas!$G$84*'Plan mensual'!M87+parametros_recargas!$H$84*'Plan mensual'!M88+parametros_recargas!$I$84*'Plan mensual'!M89+parametros_recargas!$J$84*'Plan mensual'!M90+parametros_recargas!$K$84*'Plan mensual'!M91+parametros_recargas!$L$84*'Plan mensual'!M92</f>
        <v>303.762858552367</v>
      </c>
      <c r="L78" s="21" t="n">
        <f aca="false">parametros_recargas!$E$84*'Plan mensual'!N85+parametros_recargas!$F$84*'Plan mensual'!N86+parametros_recargas!$G$84*'Plan mensual'!N87+parametros_recargas!$H$84*'Plan mensual'!N88+parametros_recargas!$I$84*'Plan mensual'!N89+parametros_recargas!$J$84*'Plan mensual'!N90+parametros_recargas!$K$84*'Plan mensual'!N91+parametros_recargas!$L$84*'Plan mensual'!N92</f>
        <v>303.762858552367</v>
      </c>
      <c r="M78" s="21" t="n">
        <f aca="false">parametros_recargas!$E$84*'Plan mensual'!O85+parametros_recargas!$F$84*'Plan mensual'!O86+parametros_recargas!$G$84*'Plan mensual'!O87+parametros_recargas!$H$84*'Plan mensual'!O88+parametros_recargas!$I$84*'Plan mensual'!O89+parametros_recargas!$J$84*'Plan mensual'!O90+parametros_recargas!$K$84*'Plan mensual'!O91+parametros_recargas!$L$84*'Plan mensual'!O92</f>
        <v>303.762858552367</v>
      </c>
      <c r="N78" s="6" t="n">
        <f aca="false">SUM(B78:M78)</f>
        <v>3645.1543026284</v>
      </c>
      <c r="O78" s="22" t="n">
        <f aca="false">MAX(B78:M78)</f>
        <v>303.762858552367</v>
      </c>
      <c r="P78" s="12" t="n">
        <f aca="false">O78/parametros_recargas!$B$6</f>
        <v>2.02508572368244</v>
      </c>
    </row>
    <row r="79" customFormat="false" ht="15" hidden="false" customHeight="false" outlineLevel="0" collapsed="false">
      <c r="A79" s="8" t="str">
        <f aca="false">parametros_recargas!$B$85</f>
        <v>Inspección interior con videoscopio</v>
      </c>
      <c r="B79" s="21" t="n">
        <f aca="false">parametros_recargas!$E$85*'Plan mensual'!D85+parametros_recargas!$F$85*'Plan mensual'!D86+parametros_recargas!$G$85*'Plan mensual'!D87+parametros_recargas!$H$85*'Plan mensual'!D88+parametros_recargas!$I$85*'Plan mensual'!D89+parametros_recargas!$J$85*'Plan mensual'!D90+parametros_recargas!$K$85*'Plan mensual'!D91+parametros_recargas!$L$85*'Plan mensual'!D92</f>
        <v>303.762858552367</v>
      </c>
      <c r="C79" s="21" t="n">
        <f aca="false">parametros_recargas!$E$85*'Plan mensual'!E85+parametros_recargas!$F$85*'Plan mensual'!E86+parametros_recargas!$G$85*'Plan mensual'!E87+parametros_recargas!$H$85*'Plan mensual'!E88+parametros_recargas!$I$85*'Plan mensual'!E89+parametros_recargas!$J$85*'Plan mensual'!E90+parametros_recargas!$K$85*'Plan mensual'!E91+parametros_recargas!$L$85*'Plan mensual'!E92</f>
        <v>303.762858552367</v>
      </c>
      <c r="D79" s="21" t="n">
        <f aca="false">parametros_recargas!$E$85*'Plan mensual'!F85+parametros_recargas!$F$85*'Plan mensual'!F86+parametros_recargas!$G$85*'Plan mensual'!F87+parametros_recargas!$H$85*'Plan mensual'!F88+parametros_recargas!$I$85*'Plan mensual'!F89+parametros_recargas!$J$85*'Plan mensual'!F90+parametros_recargas!$K$85*'Plan mensual'!F91+parametros_recargas!$L$85*'Plan mensual'!F92</f>
        <v>303.762858552367</v>
      </c>
      <c r="E79" s="21" t="n">
        <f aca="false">parametros_recargas!$E$85*'Plan mensual'!G85+parametros_recargas!$F$85*'Plan mensual'!G86+parametros_recargas!$G$85*'Plan mensual'!G87+parametros_recargas!$H$85*'Plan mensual'!G88+parametros_recargas!$I$85*'Plan mensual'!G89+parametros_recargas!$J$85*'Plan mensual'!G90+parametros_recargas!$K$85*'Plan mensual'!G91+parametros_recargas!$L$85*'Plan mensual'!G92</f>
        <v>303.762858552367</v>
      </c>
      <c r="F79" s="21" t="n">
        <f aca="false">parametros_recargas!$E$85*'Plan mensual'!H85+parametros_recargas!$F$85*'Plan mensual'!H86+parametros_recargas!$G$85*'Plan mensual'!H87+parametros_recargas!$H$85*'Plan mensual'!H88+parametros_recargas!$I$85*'Plan mensual'!H89+parametros_recargas!$J$85*'Plan mensual'!H90+parametros_recargas!$K$85*'Plan mensual'!H91+parametros_recargas!$L$85*'Plan mensual'!H92</f>
        <v>303.762858552367</v>
      </c>
      <c r="G79" s="21" t="n">
        <f aca="false">parametros_recargas!$E$85*'Plan mensual'!I85+parametros_recargas!$F$85*'Plan mensual'!I86+parametros_recargas!$G$85*'Plan mensual'!I87+parametros_recargas!$H$85*'Plan mensual'!I88+parametros_recargas!$I$85*'Plan mensual'!I89+parametros_recargas!$J$85*'Plan mensual'!I90+parametros_recargas!$K$85*'Plan mensual'!I91+parametros_recargas!$L$85*'Plan mensual'!I92</f>
        <v>303.762858552367</v>
      </c>
      <c r="H79" s="21" t="n">
        <f aca="false">parametros_recargas!$E$85*'Plan mensual'!J85+parametros_recargas!$F$85*'Plan mensual'!J86+parametros_recargas!$G$85*'Plan mensual'!J87+parametros_recargas!$H$85*'Plan mensual'!J88+parametros_recargas!$I$85*'Plan mensual'!J89+parametros_recargas!$J$85*'Plan mensual'!J90+parametros_recargas!$K$85*'Plan mensual'!J91+parametros_recargas!$L$85*'Plan mensual'!J92</f>
        <v>303.762858552367</v>
      </c>
      <c r="I79" s="21" t="n">
        <f aca="false">parametros_recargas!$E$85*'Plan mensual'!K85+parametros_recargas!$F$85*'Plan mensual'!K86+parametros_recargas!$G$85*'Plan mensual'!K87+parametros_recargas!$H$85*'Plan mensual'!K88+parametros_recargas!$I$85*'Plan mensual'!K89+parametros_recargas!$J$85*'Plan mensual'!K90+parametros_recargas!$K$85*'Plan mensual'!K91+parametros_recargas!$L$85*'Plan mensual'!K92</f>
        <v>303.762858552367</v>
      </c>
      <c r="J79" s="21" t="n">
        <f aca="false">parametros_recargas!$E$85*'Plan mensual'!L85+parametros_recargas!$F$85*'Plan mensual'!L86+parametros_recargas!$G$85*'Plan mensual'!L87+parametros_recargas!$H$85*'Plan mensual'!L88+parametros_recargas!$I$85*'Plan mensual'!L89+parametros_recargas!$J$85*'Plan mensual'!L90+parametros_recargas!$K$85*'Plan mensual'!L91+parametros_recargas!$L$85*'Plan mensual'!L92</f>
        <v>303.762858552367</v>
      </c>
      <c r="K79" s="21" t="n">
        <f aca="false">parametros_recargas!$E$85*'Plan mensual'!M85+parametros_recargas!$F$85*'Plan mensual'!M86+parametros_recargas!$G$85*'Plan mensual'!M87+parametros_recargas!$H$85*'Plan mensual'!M88+parametros_recargas!$I$85*'Plan mensual'!M89+parametros_recargas!$J$85*'Plan mensual'!M90+parametros_recargas!$K$85*'Plan mensual'!M91+parametros_recargas!$L$85*'Plan mensual'!M92</f>
        <v>303.762858552367</v>
      </c>
      <c r="L79" s="21" t="n">
        <f aca="false">parametros_recargas!$E$85*'Plan mensual'!N85+parametros_recargas!$F$85*'Plan mensual'!N86+parametros_recargas!$G$85*'Plan mensual'!N87+parametros_recargas!$H$85*'Plan mensual'!N88+parametros_recargas!$I$85*'Plan mensual'!N89+parametros_recargas!$J$85*'Plan mensual'!N90+parametros_recargas!$K$85*'Plan mensual'!N91+parametros_recargas!$L$85*'Plan mensual'!N92</f>
        <v>303.762858552367</v>
      </c>
      <c r="M79" s="21" t="n">
        <f aca="false">parametros_recargas!$E$85*'Plan mensual'!O85+parametros_recargas!$F$85*'Plan mensual'!O86+parametros_recargas!$G$85*'Plan mensual'!O87+parametros_recargas!$H$85*'Plan mensual'!O88+parametros_recargas!$I$85*'Plan mensual'!O89+parametros_recargas!$J$85*'Plan mensual'!O90+parametros_recargas!$K$85*'Plan mensual'!O91+parametros_recargas!$L$85*'Plan mensual'!O92</f>
        <v>303.762858552367</v>
      </c>
      <c r="N79" s="6" t="n">
        <f aca="false">SUM(B79:M79)</f>
        <v>3645.1543026284</v>
      </c>
      <c r="O79" s="22" t="n">
        <f aca="false">MAX(B79:M79)</f>
        <v>303.762858552367</v>
      </c>
      <c r="P79" s="12" t="n">
        <f aca="false">O79/parametros_recargas!$B$6</f>
        <v>2.02508572368244</v>
      </c>
    </row>
    <row r="80" customFormat="false" ht="15" hidden="false" customHeight="false" outlineLevel="0" collapsed="false">
      <c r="A80" s="8" t="str">
        <f aca="false">parametros_recargas!$B$86</f>
        <v>Pintura</v>
      </c>
      <c r="B80" s="21" t="n">
        <f aca="false">parametros_recargas!$E$86*'Plan mensual'!D85+parametros_recargas!$F$86*'Plan mensual'!D86+parametros_recargas!$G$86*'Plan mensual'!D87+parametros_recargas!$H$86*'Plan mensual'!D88+parametros_recargas!$I$86*'Plan mensual'!D89+parametros_recargas!$J$86*'Plan mensual'!D90+parametros_recargas!$K$86*'Plan mensual'!D91+parametros_recargas!$L$86*'Plan mensual'!D92</f>
        <v>152.644764958831</v>
      </c>
      <c r="C80" s="21" t="n">
        <f aca="false">parametros_recargas!$E$86*'Plan mensual'!E85+parametros_recargas!$F$86*'Plan mensual'!E86+parametros_recargas!$G$86*'Plan mensual'!E87+parametros_recargas!$H$86*'Plan mensual'!E88+parametros_recargas!$I$86*'Plan mensual'!E89+parametros_recargas!$J$86*'Plan mensual'!E90+parametros_recargas!$K$86*'Plan mensual'!E91+parametros_recargas!$L$86*'Plan mensual'!E92</f>
        <v>152.644764958831</v>
      </c>
      <c r="D80" s="21" t="n">
        <f aca="false">parametros_recargas!$E$86*'Plan mensual'!F85+parametros_recargas!$F$86*'Plan mensual'!F86+parametros_recargas!$G$86*'Plan mensual'!F87+parametros_recargas!$H$86*'Plan mensual'!F88+parametros_recargas!$I$86*'Plan mensual'!F89+parametros_recargas!$J$86*'Plan mensual'!F90+parametros_recargas!$K$86*'Plan mensual'!F91+parametros_recargas!$L$86*'Plan mensual'!F92</f>
        <v>152.644764958831</v>
      </c>
      <c r="E80" s="21" t="n">
        <f aca="false">parametros_recargas!$E$86*'Plan mensual'!G85+parametros_recargas!$F$86*'Plan mensual'!G86+parametros_recargas!$G$86*'Plan mensual'!G87+parametros_recargas!$H$86*'Plan mensual'!G88+parametros_recargas!$I$86*'Plan mensual'!G89+parametros_recargas!$J$86*'Plan mensual'!G90+parametros_recargas!$K$86*'Plan mensual'!G91+parametros_recargas!$L$86*'Plan mensual'!G92</f>
        <v>152.644764958831</v>
      </c>
      <c r="F80" s="21" t="n">
        <f aca="false">parametros_recargas!$E$86*'Plan mensual'!H85+parametros_recargas!$F$86*'Plan mensual'!H86+parametros_recargas!$G$86*'Plan mensual'!H87+parametros_recargas!$H$86*'Plan mensual'!H88+parametros_recargas!$I$86*'Plan mensual'!H89+parametros_recargas!$J$86*'Plan mensual'!H90+parametros_recargas!$K$86*'Plan mensual'!H91+parametros_recargas!$L$86*'Plan mensual'!H92</f>
        <v>152.644764958831</v>
      </c>
      <c r="G80" s="21" t="n">
        <f aca="false">parametros_recargas!$E$86*'Plan mensual'!I85+parametros_recargas!$F$86*'Plan mensual'!I86+parametros_recargas!$G$86*'Plan mensual'!I87+parametros_recargas!$H$86*'Plan mensual'!I88+parametros_recargas!$I$86*'Plan mensual'!I89+parametros_recargas!$J$86*'Plan mensual'!I90+parametros_recargas!$K$86*'Plan mensual'!I91+parametros_recargas!$L$86*'Plan mensual'!I92</f>
        <v>152.644764958831</v>
      </c>
      <c r="H80" s="21" t="n">
        <f aca="false">parametros_recargas!$E$86*'Plan mensual'!J85+parametros_recargas!$F$86*'Plan mensual'!J86+parametros_recargas!$G$86*'Plan mensual'!J87+parametros_recargas!$H$86*'Plan mensual'!J88+parametros_recargas!$I$86*'Plan mensual'!J89+parametros_recargas!$J$86*'Plan mensual'!J90+parametros_recargas!$K$86*'Plan mensual'!J91+parametros_recargas!$L$86*'Plan mensual'!J92</f>
        <v>152.644764958831</v>
      </c>
      <c r="I80" s="21" t="n">
        <f aca="false">parametros_recargas!$E$86*'Plan mensual'!K85+parametros_recargas!$F$86*'Plan mensual'!K86+parametros_recargas!$G$86*'Plan mensual'!K87+parametros_recargas!$H$86*'Plan mensual'!K88+parametros_recargas!$I$86*'Plan mensual'!K89+parametros_recargas!$J$86*'Plan mensual'!K90+parametros_recargas!$K$86*'Plan mensual'!K91+parametros_recargas!$L$86*'Plan mensual'!K92</f>
        <v>152.644764958831</v>
      </c>
      <c r="J80" s="21" t="n">
        <f aca="false">parametros_recargas!$E$86*'Plan mensual'!L85+parametros_recargas!$F$86*'Plan mensual'!L86+parametros_recargas!$G$86*'Plan mensual'!L87+parametros_recargas!$H$86*'Plan mensual'!L88+parametros_recargas!$I$86*'Plan mensual'!L89+parametros_recargas!$J$86*'Plan mensual'!L90+parametros_recargas!$K$86*'Plan mensual'!L91+parametros_recargas!$L$86*'Plan mensual'!L92</f>
        <v>152.644764958831</v>
      </c>
      <c r="K80" s="21" t="n">
        <f aca="false">parametros_recargas!$E$86*'Plan mensual'!M85+parametros_recargas!$F$86*'Plan mensual'!M86+parametros_recargas!$G$86*'Plan mensual'!M87+parametros_recargas!$H$86*'Plan mensual'!M88+parametros_recargas!$I$86*'Plan mensual'!M89+parametros_recargas!$J$86*'Plan mensual'!M90+parametros_recargas!$K$86*'Plan mensual'!M91+parametros_recargas!$L$86*'Plan mensual'!M92</f>
        <v>152.644764958831</v>
      </c>
      <c r="L80" s="21" t="n">
        <f aca="false">parametros_recargas!$E$86*'Plan mensual'!N85+parametros_recargas!$F$86*'Plan mensual'!N86+parametros_recargas!$G$86*'Plan mensual'!N87+parametros_recargas!$H$86*'Plan mensual'!N88+parametros_recargas!$I$86*'Plan mensual'!N89+parametros_recargas!$J$86*'Plan mensual'!N90+parametros_recargas!$K$86*'Plan mensual'!N91+parametros_recargas!$L$86*'Plan mensual'!N92</f>
        <v>152.644764958831</v>
      </c>
      <c r="M80" s="21" t="n">
        <f aca="false">parametros_recargas!$E$86*'Plan mensual'!O85+parametros_recargas!$F$86*'Plan mensual'!O86+parametros_recargas!$G$86*'Plan mensual'!O87+parametros_recargas!$H$86*'Plan mensual'!O88+parametros_recargas!$I$86*'Plan mensual'!O89+parametros_recargas!$J$86*'Plan mensual'!O90+parametros_recargas!$K$86*'Plan mensual'!O91+parametros_recargas!$L$86*'Plan mensual'!O92</f>
        <v>152.644764958831</v>
      </c>
      <c r="N80" s="6" t="n">
        <f aca="false">SUM(B80:M80)</f>
        <v>1831.73717950597</v>
      </c>
      <c r="O80" s="22" t="n">
        <f aca="false">MAX(B80:M80)</f>
        <v>152.644764958831</v>
      </c>
      <c r="P80" s="12" t="n">
        <f aca="false">O80/parametros_recargas!$B$6</f>
        <v>1.0176317663922</v>
      </c>
    </row>
    <row r="81" customFormat="false" ht="15" hidden="false" customHeight="false" outlineLevel="0" collapsed="false">
      <c r="A81" s="8" t="str">
        <f aca="false">parametros_recargas!$B$87</f>
        <v>Carga de polvo ABC</v>
      </c>
      <c r="B81" s="21" t="n">
        <f aca="false">parametros_recargas!$E$87*'Plan mensual'!D85+parametros_recargas!$F$87*'Plan mensual'!D86+parametros_recargas!$G$87*'Plan mensual'!D87+parametros_recargas!$H$87*'Plan mensual'!D88+parametros_recargas!$I$87*'Plan mensual'!D89+parametros_recargas!$J$87*'Plan mensual'!D90+parametros_recargas!$K$87*'Plan mensual'!D91+parametros_recargas!$L$87*'Plan mensual'!D92</f>
        <v>1313.95145775262</v>
      </c>
      <c r="C81" s="21" t="n">
        <f aca="false">parametros_recargas!$E$87*'Plan mensual'!E85+parametros_recargas!$F$87*'Plan mensual'!E86+parametros_recargas!$G$87*'Plan mensual'!E87+parametros_recargas!$H$87*'Plan mensual'!E88+parametros_recargas!$I$87*'Plan mensual'!E89+parametros_recargas!$J$87*'Plan mensual'!E90+parametros_recargas!$K$87*'Plan mensual'!E91+parametros_recargas!$L$87*'Plan mensual'!E92</f>
        <v>1313.95145775262</v>
      </c>
      <c r="D81" s="21" t="n">
        <f aca="false">parametros_recargas!$E$87*'Plan mensual'!F85+parametros_recargas!$F$87*'Plan mensual'!F86+parametros_recargas!$G$87*'Plan mensual'!F87+parametros_recargas!$H$87*'Plan mensual'!F88+parametros_recargas!$I$87*'Plan mensual'!F89+parametros_recargas!$J$87*'Plan mensual'!F90+parametros_recargas!$K$87*'Plan mensual'!F91+parametros_recargas!$L$87*'Plan mensual'!F92</f>
        <v>1313.95145775262</v>
      </c>
      <c r="E81" s="21" t="n">
        <f aca="false">parametros_recargas!$E$87*'Plan mensual'!G85+parametros_recargas!$F$87*'Plan mensual'!G86+parametros_recargas!$G$87*'Plan mensual'!G87+parametros_recargas!$H$87*'Plan mensual'!G88+parametros_recargas!$I$87*'Plan mensual'!G89+parametros_recargas!$J$87*'Plan mensual'!G90+parametros_recargas!$K$87*'Plan mensual'!G91+parametros_recargas!$L$87*'Plan mensual'!G92</f>
        <v>1313.95145775262</v>
      </c>
      <c r="F81" s="21" t="n">
        <f aca="false">parametros_recargas!$E$87*'Plan mensual'!H85+parametros_recargas!$F$87*'Plan mensual'!H86+parametros_recargas!$G$87*'Plan mensual'!H87+parametros_recargas!$H$87*'Plan mensual'!H88+parametros_recargas!$I$87*'Plan mensual'!H89+parametros_recargas!$J$87*'Plan mensual'!H90+parametros_recargas!$K$87*'Plan mensual'!H91+parametros_recargas!$L$87*'Plan mensual'!H92</f>
        <v>1313.95145775262</v>
      </c>
      <c r="G81" s="21" t="n">
        <f aca="false">parametros_recargas!$E$87*'Plan mensual'!I85+parametros_recargas!$F$87*'Plan mensual'!I86+parametros_recargas!$G$87*'Plan mensual'!I87+parametros_recargas!$H$87*'Plan mensual'!I88+parametros_recargas!$I$87*'Plan mensual'!I89+parametros_recargas!$J$87*'Plan mensual'!I90+parametros_recargas!$K$87*'Plan mensual'!I91+parametros_recargas!$L$87*'Plan mensual'!I92</f>
        <v>1313.95145775262</v>
      </c>
      <c r="H81" s="21" t="n">
        <f aca="false">parametros_recargas!$E$87*'Plan mensual'!J85+parametros_recargas!$F$87*'Plan mensual'!J86+parametros_recargas!$G$87*'Plan mensual'!J87+parametros_recargas!$H$87*'Plan mensual'!J88+parametros_recargas!$I$87*'Plan mensual'!J89+parametros_recargas!$J$87*'Plan mensual'!J90+parametros_recargas!$K$87*'Plan mensual'!J91+parametros_recargas!$L$87*'Plan mensual'!J92</f>
        <v>1313.95145775262</v>
      </c>
      <c r="I81" s="21" t="n">
        <f aca="false">parametros_recargas!$E$87*'Plan mensual'!K85+parametros_recargas!$F$87*'Plan mensual'!K86+parametros_recargas!$G$87*'Plan mensual'!K87+parametros_recargas!$H$87*'Plan mensual'!K88+parametros_recargas!$I$87*'Plan mensual'!K89+parametros_recargas!$J$87*'Plan mensual'!K90+parametros_recargas!$K$87*'Plan mensual'!K91+parametros_recargas!$L$87*'Plan mensual'!K92</f>
        <v>1313.95145775262</v>
      </c>
      <c r="J81" s="21" t="n">
        <f aca="false">parametros_recargas!$E$87*'Plan mensual'!L85+parametros_recargas!$F$87*'Plan mensual'!L86+parametros_recargas!$G$87*'Plan mensual'!L87+parametros_recargas!$H$87*'Plan mensual'!L88+parametros_recargas!$I$87*'Plan mensual'!L89+parametros_recargas!$J$87*'Plan mensual'!L90+parametros_recargas!$K$87*'Plan mensual'!L91+parametros_recargas!$L$87*'Plan mensual'!L92</f>
        <v>1313.95145775262</v>
      </c>
      <c r="K81" s="21" t="n">
        <f aca="false">parametros_recargas!$E$87*'Plan mensual'!M85+parametros_recargas!$F$87*'Plan mensual'!M86+parametros_recargas!$G$87*'Plan mensual'!M87+parametros_recargas!$H$87*'Plan mensual'!M88+parametros_recargas!$I$87*'Plan mensual'!M89+parametros_recargas!$J$87*'Plan mensual'!M90+parametros_recargas!$K$87*'Plan mensual'!M91+parametros_recargas!$L$87*'Plan mensual'!M92</f>
        <v>1313.95145775262</v>
      </c>
      <c r="L81" s="21" t="n">
        <f aca="false">parametros_recargas!$E$87*'Plan mensual'!N85+parametros_recargas!$F$87*'Plan mensual'!N86+parametros_recargas!$G$87*'Plan mensual'!N87+parametros_recargas!$H$87*'Plan mensual'!N88+parametros_recargas!$I$87*'Plan mensual'!N89+parametros_recargas!$J$87*'Plan mensual'!N90+parametros_recargas!$K$87*'Plan mensual'!N91+parametros_recargas!$L$87*'Plan mensual'!N92</f>
        <v>1313.95145775262</v>
      </c>
      <c r="M81" s="21" t="n">
        <f aca="false">parametros_recargas!$E$87*'Plan mensual'!O85+parametros_recargas!$F$87*'Plan mensual'!O86+parametros_recargas!$G$87*'Plan mensual'!O87+parametros_recargas!$H$87*'Plan mensual'!O88+parametros_recargas!$I$87*'Plan mensual'!O89+parametros_recargas!$J$87*'Plan mensual'!O90+parametros_recargas!$K$87*'Plan mensual'!O91+parametros_recargas!$L$87*'Plan mensual'!O92</f>
        <v>1313.95145775262</v>
      </c>
      <c r="N81" s="6" t="n">
        <f aca="false">SUM(B81:M81)</f>
        <v>15767.4174930315</v>
      </c>
      <c r="O81" s="22" t="n">
        <f aca="false">MAX(B81:M81)</f>
        <v>1313.95145775262</v>
      </c>
      <c r="P81" s="12" t="n">
        <f aca="false">O81/parametros_recargas!$B$6</f>
        <v>8.75967638501749</v>
      </c>
    </row>
    <row r="82" customFormat="false" ht="15" hidden="false" customHeight="false" outlineLevel="0" collapsed="false">
      <c r="A82" s="8" t="str">
        <f aca="false">parametros_recargas!$B$88</f>
        <v>Carga de polvo BC</v>
      </c>
      <c r="B82" s="21" t="n">
        <f aca="false">parametros_recargas!$E$88*'Plan mensual'!D85+parametros_recargas!$F$88*'Plan mensual'!D86+parametros_recargas!$G$88*'Plan mensual'!D87+parametros_recargas!$H$88*'Plan mensual'!D88+parametros_recargas!$I$88*'Plan mensual'!D89+parametros_recargas!$J$88*'Plan mensual'!D90+parametros_recargas!$K$88*'Plan mensual'!D91+parametros_recargas!$L$88*'Plan mensual'!D92</f>
        <v>2.21843746543893</v>
      </c>
      <c r="C82" s="21" t="n">
        <f aca="false">parametros_recargas!$E$88*'Plan mensual'!E85+parametros_recargas!$F$88*'Plan mensual'!E86+parametros_recargas!$G$88*'Plan mensual'!E87+parametros_recargas!$H$88*'Plan mensual'!E88+parametros_recargas!$I$88*'Plan mensual'!E89+parametros_recargas!$J$88*'Plan mensual'!E90+parametros_recargas!$K$88*'Plan mensual'!E91+parametros_recargas!$L$88*'Plan mensual'!E92</f>
        <v>2.21843746543893</v>
      </c>
      <c r="D82" s="21" t="n">
        <f aca="false">parametros_recargas!$E$88*'Plan mensual'!F85+parametros_recargas!$F$88*'Plan mensual'!F86+parametros_recargas!$G$88*'Plan mensual'!F87+parametros_recargas!$H$88*'Plan mensual'!F88+parametros_recargas!$I$88*'Plan mensual'!F89+parametros_recargas!$J$88*'Plan mensual'!F90+parametros_recargas!$K$88*'Plan mensual'!F91+parametros_recargas!$L$88*'Plan mensual'!F92</f>
        <v>2.21843746543893</v>
      </c>
      <c r="E82" s="21" t="n">
        <f aca="false">parametros_recargas!$E$88*'Plan mensual'!G85+parametros_recargas!$F$88*'Plan mensual'!G86+parametros_recargas!$G$88*'Plan mensual'!G87+parametros_recargas!$H$88*'Plan mensual'!G88+parametros_recargas!$I$88*'Plan mensual'!G89+parametros_recargas!$J$88*'Plan mensual'!G90+parametros_recargas!$K$88*'Plan mensual'!G91+parametros_recargas!$L$88*'Plan mensual'!G92</f>
        <v>2.21843746543893</v>
      </c>
      <c r="F82" s="21" t="n">
        <f aca="false">parametros_recargas!$E$88*'Plan mensual'!H85+parametros_recargas!$F$88*'Plan mensual'!H86+parametros_recargas!$G$88*'Plan mensual'!H87+parametros_recargas!$H$88*'Plan mensual'!H88+parametros_recargas!$I$88*'Plan mensual'!H89+parametros_recargas!$J$88*'Plan mensual'!H90+parametros_recargas!$K$88*'Plan mensual'!H91+parametros_recargas!$L$88*'Plan mensual'!H92</f>
        <v>2.21843746543893</v>
      </c>
      <c r="G82" s="21" t="n">
        <f aca="false">parametros_recargas!$E$88*'Plan mensual'!I85+parametros_recargas!$F$88*'Plan mensual'!I86+parametros_recargas!$G$88*'Plan mensual'!I87+parametros_recargas!$H$88*'Plan mensual'!I88+parametros_recargas!$I$88*'Plan mensual'!I89+parametros_recargas!$J$88*'Plan mensual'!I90+parametros_recargas!$K$88*'Plan mensual'!I91+parametros_recargas!$L$88*'Plan mensual'!I92</f>
        <v>2.21843746543893</v>
      </c>
      <c r="H82" s="21" t="n">
        <f aca="false">parametros_recargas!$E$88*'Plan mensual'!J85+parametros_recargas!$F$88*'Plan mensual'!J86+parametros_recargas!$G$88*'Plan mensual'!J87+parametros_recargas!$H$88*'Plan mensual'!J88+parametros_recargas!$I$88*'Plan mensual'!J89+parametros_recargas!$J$88*'Plan mensual'!J90+parametros_recargas!$K$88*'Plan mensual'!J91+parametros_recargas!$L$88*'Plan mensual'!J92</f>
        <v>2.21843746543893</v>
      </c>
      <c r="I82" s="21" t="n">
        <f aca="false">parametros_recargas!$E$88*'Plan mensual'!K85+parametros_recargas!$F$88*'Plan mensual'!K86+parametros_recargas!$G$88*'Plan mensual'!K87+parametros_recargas!$H$88*'Plan mensual'!K88+parametros_recargas!$I$88*'Plan mensual'!K89+parametros_recargas!$J$88*'Plan mensual'!K90+parametros_recargas!$K$88*'Plan mensual'!K91+parametros_recargas!$L$88*'Plan mensual'!K92</f>
        <v>2.21843746543893</v>
      </c>
      <c r="J82" s="21" t="n">
        <f aca="false">parametros_recargas!$E$88*'Plan mensual'!L85+parametros_recargas!$F$88*'Plan mensual'!L86+parametros_recargas!$G$88*'Plan mensual'!L87+parametros_recargas!$H$88*'Plan mensual'!L88+parametros_recargas!$I$88*'Plan mensual'!L89+parametros_recargas!$J$88*'Plan mensual'!L90+parametros_recargas!$K$88*'Plan mensual'!L91+parametros_recargas!$L$88*'Plan mensual'!L92</f>
        <v>2.21843746543893</v>
      </c>
      <c r="K82" s="21" t="n">
        <f aca="false">parametros_recargas!$E$88*'Plan mensual'!M85+parametros_recargas!$F$88*'Plan mensual'!M86+parametros_recargas!$G$88*'Plan mensual'!M87+parametros_recargas!$H$88*'Plan mensual'!M88+parametros_recargas!$I$88*'Plan mensual'!M89+parametros_recargas!$J$88*'Plan mensual'!M90+parametros_recargas!$K$88*'Plan mensual'!M91+parametros_recargas!$L$88*'Plan mensual'!M92</f>
        <v>2.21843746543893</v>
      </c>
      <c r="L82" s="21" t="n">
        <f aca="false">parametros_recargas!$E$88*'Plan mensual'!N85+parametros_recargas!$F$88*'Plan mensual'!N86+parametros_recargas!$G$88*'Plan mensual'!N87+parametros_recargas!$H$88*'Plan mensual'!N88+parametros_recargas!$I$88*'Plan mensual'!N89+parametros_recargas!$J$88*'Plan mensual'!N90+parametros_recargas!$K$88*'Plan mensual'!N91+parametros_recargas!$L$88*'Plan mensual'!N92</f>
        <v>2.21843746543893</v>
      </c>
      <c r="M82" s="21" t="n">
        <f aca="false">parametros_recargas!$E$88*'Plan mensual'!O85+parametros_recargas!$F$88*'Plan mensual'!O86+parametros_recargas!$G$88*'Plan mensual'!O87+parametros_recargas!$H$88*'Plan mensual'!O88+parametros_recargas!$I$88*'Plan mensual'!O89+parametros_recargas!$J$88*'Plan mensual'!O90+parametros_recargas!$K$88*'Plan mensual'!O91+parametros_recargas!$L$88*'Plan mensual'!O92</f>
        <v>2.21843746543893</v>
      </c>
      <c r="N82" s="6" t="n">
        <f aca="false">SUM(B82:M82)</f>
        <v>26.6212495852672</v>
      </c>
      <c r="O82" s="22" t="n">
        <f aca="false">MAX(B82:M82)</f>
        <v>2.21843746543893</v>
      </c>
      <c r="P82" s="12" t="n">
        <f aca="false">O82/parametros_recargas!$B$6</f>
        <v>0.0147895831029262</v>
      </c>
    </row>
    <row r="83" customFormat="false" ht="15" hidden="false" customHeight="false" outlineLevel="0" collapsed="false">
      <c r="A83" s="8" t="str">
        <f aca="false">parametros_recargas!$B$89</f>
        <v>Descarga y carga Clase D</v>
      </c>
      <c r="B83" s="21" t="n">
        <f aca="false">parametros_recargas!$E$89*'Plan mensual'!D85+parametros_recargas!$F$89*'Plan mensual'!D86+parametros_recargas!$G$89*'Plan mensual'!D87+parametros_recargas!$H$89*'Plan mensual'!D88+parametros_recargas!$I$89*'Plan mensual'!D89+parametros_recargas!$J$89*'Plan mensual'!D90+parametros_recargas!$K$89*'Plan mensual'!D91+parametros_recargas!$L$89*'Plan mensual'!D92</f>
        <v>2.21843746543893</v>
      </c>
      <c r="C83" s="21" t="n">
        <f aca="false">parametros_recargas!$E$89*'Plan mensual'!E85+parametros_recargas!$F$89*'Plan mensual'!E86+parametros_recargas!$G$89*'Plan mensual'!E87+parametros_recargas!$H$89*'Plan mensual'!E88+parametros_recargas!$I$89*'Plan mensual'!E89+parametros_recargas!$J$89*'Plan mensual'!E90+parametros_recargas!$K$89*'Plan mensual'!E91+parametros_recargas!$L$89*'Plan mensual'!E92</f>
        <v>2.21843746543893</v>
      </c>
      <c r="D83" s="21" t="n">
        <f aca="false">parametros_recargas!$E$89*'Plan mensual'!F85+parametros_recargas!$F$89*'Plan mensual'!F86+parametros_recargas!$G$89*'Plan mensual'!F87+parametros_recargas!$H$89*'Plan mensual'!F88+parametros_recargas!$I$89*'Plan mensual'!F89+parametros_recargas!$J$89*'Plan mensual'!F90+parametros_recargas!$K$89*'Plan mensual'!F91+parametros_recargas!$L$89*'Plan mensual'!F92</f>
        <v>2.21843746543893</v>
      </c>
      <c r="E83" s="21" t="n">
        <f aca="false">parametros_recargas!$E$89*'Plan mensual'!G85+parametros_recargas!$F$89*'Plan mensual'!G86+parametros_recargas!$G$89*'Plan mensual'!G87+parametros_recargas!$H$89*'Plan mensual'!G88+parametros_recargas!$I$89*'Plan mensual'!G89+parametros_recargas!$J$89*'Plan mensual'!G90+parametros_recargas!$K$89*'Plan mensual'!G91+parametros_recargas!$L$89*'Plan mensual'!G92</f>
        <v>2.21843746543893</v>
      </c>
      <c r="F83" s="21" t="n">
        <f aca="false">parametros_recargas!$E$89*'Plan mensual'!H85+parametros_recargas!$F$89*'Plan mensual'!H86+parametros_recargas!$G$89*'Plan mensual'!H87+parametros_recargas!$H$89*'Plan mensual'!H88+parametros_recargas!$I$89*'Plan mensual'!H89+parametros_recargas!$J$89*'Plan mensual'!H90+parametros_recargas!$K$89*'Plan mensual'!H91+parametros_recargas!$L$89*'Plan mensual'!H92</f>
        <v>2.21843746543893</v>
      </c>
      <c r="G83" s="21" t="n">
        <f aca="false">parametros_recargas!$E$89*'Plan mensual'!I85+parametros_recargas!$F$89*'Plan mensual'!I86+parametros_recargas!$G$89*'Plan mensual'!I87+parametros_recargas!$H$89*'Plan mensual'!I88+parametros_recargas!$I$89*'Plan mensual'!I89+parametros_recargas!$J$89*'Plan mensual'!I90+parametros_recargas!$K$89*'Plan mensual'!I91+parametros_recargas!$L$89*'Plan mensual'!I92</f>
        <v>2.21843746543893</v>
      </c>
      <c r="H83" s="21" t="n">
        <f aca="false">parametros_recargas!$E$89*'Plan mensual'!J85+parametros_recargas!$F$89*'Plan mensual'!J86+parametros_recargas!$G$89*'Plan mensual'!J87+parametros_recargas!$H$89*'Plan mensual'!J88+parametros_recargas!$I$89*'Plan mensual'!J89+parametros_recargas!$J$89*'Plan mensual'!J90+parametros_recargas!$K$89*'Plan mensual'!J91+parametros_recargas!$L$89*'Plan mensual'!J92</f>
        <v>2.21843746543893</v>
      </c>
      <c r="I83" s="21" t="n">
        <f aca="false">parametros_recargas!$E$89*'Plan mensual'!K85+parametros_recargas!$F$89*'Plan mensual'!K86+parametros_recargas!$G$89*'Plan mensual'!K87+parametros_recargas!$H$89*'Plan mensual'!K88+parametros_recargas!$I$89*'Plan mensual'!K89+parametros_recargas!$J$89*'Plan mensual'!K90+parametros_recargas!$K$89*'Plan mensual'!K91+parametros_recargas!$L$89*'Plan mensual'!K92</f>
        <v>2.21843746543893</v>
      </c>
      <c r="J83" s="21" t="n">
        <f aca="false">parametros_recargas!$E$89*'Plan mensual'!L85+parametros_recargas!$F$89*'Plan mensual'!L86+parametros_recargas!$G$89*'Plan mensual'!L87+parametros_recargas!$H$89*'Plan mensual'!L88+parametros_recargas!$I$89*'Plan mensual'!L89+parametros_recargas!$J$89*'Plan mensual'!L90+parametros_recargas!$K$89*'Plan mensual'!L91+parametros_recargas!$L$89*'Plan mensual'!L92</f>
        <v>2.21843746543893</v>
      </c>
      <c r="K83" s="21" t="n">
        <f aca="false">parametros_recargas!$E$89*'Plan mensual'!M85+parametros_recargas!$F$89*'Plan mensual'!M86+parametros_recargas!$G$89*'Plan mensual'!M87+parametros_recargas!$H$89*'Plan mensual'!M88+parametros_recargas!$I$89*'Plan mensual'!M89+parametros_recargas!$J$89*'Plan mensual'!M90+parametros_recargas!$K$89*'Plan mensual'!M91+parametros_recargas!$L$89*'Plan mensual'!M92</f>
        <v>2.21843746543893</v>
      </c>
      <c r="L83" s="21" t="n">
        <f aca="false">parametros_recargas!$E$89*'Plan mensual'!N85+parametros_recargas!$F$89*'Plan mensual'!N86+parametros_recargas!$G$89*'Plan mensual'!N87+parametros_recargas!$H$89*'Plan mensual'!N88+parametros_recargas!$I$89*'Plan mensual'!N89+parametros_recargas!$J$89*'Plan mensual'!N90+parametros_recargas!$K$89*'Plan mensual'!N91+parametros_recargas!$L$89*'Plan mensual'!N92</f>
        <v>2.21843746543893</v>
      </c>
      <c r="M83" s="21" t="n">
        <f aca="false">parametros_recargas!$E$89*'Plan mensual'!O85+parametros_recargas!$F$89*'Plan mensual'!O86+parametros_recargas!$G$89*'Plan mensual'!O87+parametros_recargas!$H$89*'Plan mensual'!O88+parametros_recargas!$I$89*'Plan mensual'!O89+parametros_recargas!$J$89*'Plan mensual'!O90+parametros_recargas!$K$89*'Plan mensual'!O91+parametros_recargas!$L$89*'Plan mensual'!O92</f>
        <v>2.21843746543893</v>
      </c>
      <c r="N83" s="6" t="n">
        <f aca="false">SUM(B83:M83)</f>
        <v>26.6212495852672</v>
      </c>
      <c r="O83" s="22" t="n">
        <f aca="false">MAX(B83:M83)</f>
        <v>2.21843746543893</v>
      </c>
      <c r="P83" s="12" t="n">
        <f aca="false">O83/parametros_recargas!$B$6</f>
        <v>0.0147895831029262</v>
      </c>
    </row>
    <row r="84" customFormat="false" ht="15" hidden="false" customHeight="false" outlineLevel="0" collapsed="false">
      <c r="A84" s="8" t="str">
        <f aca="false">parametros_recargas!$B$90</f>
        <v>Carga de agua / AFFF / sales K</v>
      </c>
      <c r="B84" s="21" t="n">
        <f aca="false">parametros_recargas!$E$90*'Plan mensual'!D85+parametros_recargas!$F$90*'Plan mensual'!D86+parametros_recargas!$G$90*'Plan mensual'!D87+parametros_recargas!$H$90*'Plan mensual'!D88+parametros_recargas!$I$90*'Plan mensual'!D89+parametros_recargas!$J$90*'Plan mensual'!D90+parametros_recargas!$K$90*'Plan mensual'!D91+parametros_recargas!$L$90*'Plan mensual'!D92</f>
        <v>73.5527734606476</v>
      </c>
      <c r="C84" s="21" t="n">
        <f aca="false">parametros_recargas!$E$90*'Plan mensual'!E85+parametros_recargas!$F$90*'Plan mensual'!E86+parametros_recargas!$G$90*'Plan mensual'!E87+parametros_recargas!$H$90*'Plan mensual'!E88+parametros_recargas!$I$90*'Plan mensual'!E89+parametros_recargas!$J$90*'Plan mensual'!E90+parametros_recargas!$K$90*'Plan mensual'!E91+parametros_recargas!$L$90*'Plan mensual'!E92</f>
        <v>73.5527734606476</v>
      </c>
      <c r="D84" s="21" t="n">
        <f aca="false">parametros_recargas!$E$90*'Plan mensual'!F85+parametros_recargas!$F$90*'Plan mensual'!F86+parametros_recargas!$G$90*'Plan mensual'!F87+parametros_recargas!$H$90*'Plan mensual'!F88+parametros_recargas!$I$90*'Plan mensual'!F89+parametros_recargas!$J$90*'Plan mensual'!F90+parametros_recargas!$K$90*'Plan mensual'!F91+parametros_recargas!$L$90*'Plan mensual'!F92</f>
        <v>73.5527734606476</v>
      </c>
      <c r="E84" s="21" t="n">
        <f aca="false">parametros_recargas!$E$90*'Plan mensual'!G85+parametros_recargas!$F$90*'Plan mensual'!G86+parametros_recargas!$G$90*'Plan mensual'!G87+parametros_recargas!$H$90*'Plan mensual'!G88+parametros_recargas!$I$90*'Plan mensual'!G89+parametros_recargas!$J$90*'Plan mensual'!G90+parametros_recargas!$K$90*'Plan mensual'!G91+parametros_recargas!$L$90*'Plan mensual'!G92</f>
        <v>73.5527734606476</v>
      </c>
      <c r="F84" s="21" t="n">
        <f aca="false">parametros_recargas!$E$90*'Plan mensual'!H85+parametros_recargas!$F$90*'Plan mensual'!H86+parametros_recargas!$G$90*'Plan mensual'!H87+parametros_recargas!$H$90*'Plan mensual'!H88+parametros_recargas!$I$90*'Plan mensual'!H89+parametros_recargas!$J$90*'Plan mensual'!H90+parametros_recargas!$K$90*'Plan mensual'!H91+parametros_recargas!$L$90*'Plan mensual'!H92</f>
        <v>73.5527734606476</v>
      </c>
      <c r="G84" s="21" t="n">
        <f aca="false">parametros_recargas!$E$90*'Plan mensual'!I85+parametros_recargas!$F$90*'Plan mensual'!I86+parametros_recargas!$G$90*'Plan mensual'!I87+parametros_recargas!$H$90*'Plan mensual'!I88+parametros_recargas!$I$90*'Plan mensual'!I89+parametros_recargas!$J$90*'Plan mensual'!I90+parametros_recargas!$K$90*'Plan mensual'!I91+parametros_recargas!$L$90*'Plan mensual'!I92</f>
        <v>73.5527734606476</v>
      </c>
      <c r="H84" s="21" t="n">
        <f aca="false">parametros_recargas!$E$90*'Plan mensual'!J85+parametros_recargas!$F$90*'Plan mensual'!J86+parametros_recargas!$G$90*'Plan mensual'!J87+parametros_recargas!$H$90*'Plan mensual'!J88+parametros_recargas!$I$90*'Plan mensual'!J89+parametros_recargas!$J$90*'Plan mensual'!J90+parametros_recargas!$K$90*'Plan mensual'!J91+parametros_recargas!$L$90*'Plan mensual'!J92</f>
        <v>73.5527734606476</v>
      </c>
      <c r="I84" s="21" t="n">
        <f aca="false">parametros_recargas!$E$90*'Plan mensual'!K85+parametros_recargas!$F$90*'Plan mensual'!K86+parametros_recargas!$G$90*'Plan mensual'!K87+parametros_recargas!$H$90*'Plan mensual'!K88+parametros_recargas!$I$90*'Plan mensual'!K89+parametros_recargas!$J$90*'Plan mensual'!K90+parametros_recargas!$K$90*'Plan mensual'!K91+parametros_recargas!$L$90*'Plan mensual'!K92</f>
        <v>73.5527734606476</v>
      </c>
      <c r="J84" s="21" t="n">
        <f aca="false">parametros_recargas!$E$90*'Plan mensual'!L85+parametros_recargas!$F$90*'Plan mensual'!L86+parametros_recargas!$G$90*'Plan mensual'!L87+parametros_recargas!$H$90*'Plan mensual'!L88+parametros_recargas!$I$90*'Plan mensual'!L89+parametros_recargas!$J$90*'Plan mensual'!L90+parametros_recargas!$K$90*'Plan mensual'!L91+parametros_recargas!$L$90*'Plan mensual'!L92</f>
        <v>73.5527734606476</v>
      </c>
      <c r="K84" s="21" t="n">
        <f aca="false">parametros_recargas!$E$90*'Plan mensual'!M85+parametros_recargas!$F$90*'Plan mensual'!M86+parametros_recargas!$G$90*'Plan mensual'!M87+parametros_recargas!$H$90*'Plan mensual'!M88+parametros_recargas!$I$90*'Plan mensual'!M89+parametros_recargas!$J$90*'Plan mensual'!M90+parametros_recargas!$K$90*'Plan mensual'!M91+parametros_recargas!$L$90*'Plan mensual'!M92</f>
        <v>73.5527734606476</v>
      </c>
      <c r="L84" s="21" t="n">
        <f aca="false">parametros_recargas!$E$90*'Plan mensual'!N85+parametros_recargas!$F$90*'Plan mensual'!N86+parametros_recargas!$G$90*'Plan mensual'!N87+parametros_recargas!$H$90*'Plan mensual'!N88+parametros_recargas!$I$90*'Plan mensual'!N89+parametros_recargas!$J$90*'Plan mensual'!N90+parametros_recargas!$K$90*'Plan mensual'!N91+parametros_recargas!$L$90*'Plan mensual'!N92</f>
        <v>73.5527734606476</v>
      </c>
      <c r="M84" s="21" t="n">
        <f aca="false">parametros_recargas!$E$90*'Plan mensual'!O85+parametros_recargas!$F$90*'Plan mensual'!O86+parametros_recargas!$G$90*'Plan mensual'!O87+parametros_recargas!$H$90*'Plan mensual'!O88+parametros_recargas!$I$90*'Plan mensual'!O89+parametros_recargas!$J$90*'Plan mensual'!O90+parametros_recargas!$K$90*'Plan mensual'!O91+parametros_recargas!$L$90*'Plan mensual'!O92</f>
        <v>73.5527734606476</v>
      </c>
      <c r="N84" s="6" t="n">
        <f aca="false">SUM(B84:M84)</f>
        <v>882.633281527771</v>
      </c>
      <c r="O84" s="22" t="n">
        <f aca="false">MAX(B84:M84)</f>
        <v>73.5527734606476</v>
      </c>
      <c r="P84" s="12" t="n">
        <f aca="false">O84/parametros_recargas!$B$6</f>
        <v>0.490351823070984</v>
      </c>
    </row>
    <row r="85" customFormat="false" ht="15" hidden="false" customHeight="false" outlineLevel="0" collapsed="false">
      <c r="A85" s="8" t="str">
        <f aca="false">parametros_recargas!$B$91</f>
        <v>Carga de CO₂</v>
      </c>
      <c r="B85" s="21" t="n">
        <f aca="false">parametros_recargas!$E$91*'Plan mensual'!D85+parametros_recargas!$F$91*'Plan mensual'!D86+parametros_recargas!$G$91*'Plan mensual'!D87+parametros_recargas!$H$91*'Plan mensual'!D88+parametros_recargas!$I$91*'Plan mensual'!D89+parametros_recargas!$J$91*'Plan mensual'!D90+parametros_recargas!$K$91*'Plan mensual'!D91+parametros_recargas!$L$91*'Plan mensual'!D92</f>
        <v>38.6634489817873</v>
      </c>
      <c r="C85" s="21" t="n">
        <f aca="false">parametros_recargas!$E$91*'Plan mensual'!E85+parametros_recargas!$F$91*'Plan mensual'!E86+parametros_recargas!$G$91*'Plan mensual'!E87+parametros_recargas!$H$91*'Plan mensual'!E88+parametros_recargas!$I$91*'Plan mensual'!E89+parametros_recargas!$J$91*'Plan mensual'!E90+parametros_recargas!$K$91*'Plan mensual'!E91+parametros_recargas!$L$91*'Plan mensual'!E92</f>
        <v>38.6634489817873</v>
      </c>
      <c r="D85" s="21" t="n">
        <f aca="false">parametros_recargas!$E$91*'Plan mensual'!F85+parametros_recargas!$F$91*'Plan mensual'!F86+parametros_recargas!$G$91*'Plan mensual'!F87+parametros_recargas!$H$91*'Plan mensual'!F88+parametros_recargas!$I$91*'Plan mensual'!F89+parametros_recargas!$J$91*'Plan mensual'!F90+parametros_recargas!$K$91*'Plan mensual'!F91+parametros_recargas!$L$91*'Plan mensual'!F92</f>
        <v>38.6634489817873</v>
      </c>
      <c r="E85" s="21" t="n">
        <f aca="false">parametros_recargas!$E$91*'Plan mensual'!G85+parametros_recargas!$F$91*'Plan mensual'!G86+parametros_recargas!$G$91*'Plan mensual'!G87+parametros_recargas!$H$91*'Plan mensual'!G88+parametros_recargas!$I$91*'Plan mensual'!G89+parametros_recargas!$J$91*'Plan mensual'!G90+parametros_recargas!$K$91*'Plan mensual'!G91+parametros_recargas!$L$91*'Plan mensual'!G92</f>
        <v>38.6634489817873</v>
      </c>
      <c r="F85" s="21" t="n">
        <f aca="false">parametros_recargas!$E$91*'Plan mensual'!H85+parametros_recargas!$F$91*'Plan mensual'!H86+parametros_recargas!$G$91*'Plan mensual'!H87+parametros_recargas!$H$91*'Plan mensual'!H88+parametros_recargas!$I$91*'Plan mensual'!H89+parametros_recargas!$J$91*'Plan mensual'!H90+parametros_recargas!$K$91*'Plan mensual'!H91+parametros_recargas!$L$91*'Plan mensual'!H92</f>
        <v>38.6634489817873</v>
      </c>
      <c r="G85" s="21" t="n">
        <f aca="false">parametros_recargas!$E$91*'Plan mensual'!I85+parametros_recargas!$F$91*'Plan mensual'!I86+parametros_recargas!$G$91*'Plan mensual'!I87+parametros_recargas!$H$91*'Plan mensual'!I88+parametros_recargas!$I$91*'Plan mensual'!I89+parametros_recargas!$J$91*'Plan mensual'!I90+parametros_recargas!$K$91*'Plan mensual'!I91+parametros_recargas!$L$91*'Plan mensual'!I92</f>
        <v>38.6634489817873</v>
      </c>
      <c r="H85" s="21" t="n">
        <f aca="false">parametros_recargas!$E$91*'Plan mensual'!J85+parametros_recargas!$F$91*'Plan mensual'!J86+parametros_recargas!$G$91*'Plan mensual'!J87+parametros_recargas!$H$91*'Plan mensual'!J88+parametros_recargas!$I$91*'Plan mensual'!J89+parametros_recargas!$J$91*'Plan mensual'!J90+parametros_recargas!$K$91*'Plan mensual'!J91+parametros_recargas!$L$91*'Plan mensual'!J92</f>
        <v>38.6634489817873</v>
      </c>
      <c r="I85" s="21" t="n">
        <f aca="false">parametros_recargas!$E$91*'Plan mensual'!K85+parametros_recargas!$F$91*'Plan mensual'!K86+parametros_recargas!$G$91*'Plan mensual'!K87+parametros_recargas!$H$91*'Plan mensual'!K88+parametros_recargas!$I$91*'Plan mensual'!K89+parametros_recargas!$J$91*'Plan mensual'!K90+parametros_recargas!$K$91*'Plan mensual'!K91+parametros_recargas!$L$91*'Plan mensual'!K92</f>
        <v>38.6634489817873</v>
      </c>
      <c r="J85" s="21" t="n">
        <f aca="false">parametros_recargas!$E$91*'Plan mensual'!L85+parametros_recargas!$F$91*'Plan mensual'!L86+parametros_recargas!$G$91*'Plan mensual'!L87+parametros_recargas!$H$91*'Plan mensual'!L88+parametros_recargas!$I$91*'Plan mensual'!L89+parametros_recargas!$J$91*'Plan mensual'!L90+parametros_recargas!$K$91*'Plan mensual'!L91+parametros_recargas!$L$91*'Plan mensual'!L92</f>
        <v>38.6634489817873</v>
      </c>
      <c r="K85" s="21" t="n">
        <f aca="false">parametros_recargas!$E$91*'Plan mensual'!M85+parametros_recargas!$F$91*'Plan mensual'!M86+parametros_recargas!$G$91*'Plan mensual'!M87+parametros_recargas!$H$91*'Plan mensual'!M88+parametros_recargas!$I$91*'Plan mensual'!M89+parametros_recargas!$J$91*'Plan mensual'!M90+parametros_recargas!$K$91*'Plan mensual'!M91+parametros_recargas!$L$91*'Plan mensual'!M92</f>
        <v>38.6634489817873</v>
      </c>
      <c r="L85" s="21" t="n">
        <f aca="false">parametros_recargas!$E$91*'Plan mensual'!N85+parametros_recargas!$F$91*'Plan mensual'!N86+parametros_recargas!$G$91*'Plan mensual'!N87+parametros_recargas!$H$91*'Plan mensual'!N88+parametros_recargas!$I$91*'Plan mensual'!N89+parametros_recargas!$J$91*'Plan mensual'!N90+parametros_recargas!$K$91*'Plan mensual'!N91+parametros_recargas!$L$91*'Plan mensual'!N92</f>
        <v>38.6634489817873</v>
      </c>
      <c r="M85" s="21" t="n">
        <f aca="false">parametros_recargas!$E$91*'Plan mensual'!O85+parametros_recargas!$F$91*'Plan mensual'!O86+parametros_recargas!$G$91*'Plan mensual'!O87+parametros_recargas!$H$91*'Plan mensual'!O88+parametros_recargas!$I$91*'Plan mensual'!O89+parametros_recargas!$J$91*'Plan mensual'!O90+parametros_recargas!$K$91*'Plan mensual'!O91+parametros_recargas!$L$91*'Plan mensual'!O92</f>
        <v>38.6634489817873</v>
      </c>
      <c r="N85" s="6" t="n">
        <f aca="false">SUM(B85:M85)</f>
        <v>463.961387781447</v>
      </c>
      <c r="O85" s="22" t="n">
        <f aca="false">MAX(B85:M85)</f>
        <v>38.6634489817873</v>
      </c>
      <c r="P85" s="12" t="n">
        <f aca="false">O85/parametros_recargas!$B$6</f>
        <v>0.257756326545248</v>
      </c>
    </row>
    <row r="86" customFormat="false" ht="15" hidden="false" customHeight="false" outlineLevel="0" collapsed="false">
      <c r="A86" s="8" t="str">
        <f aca="false">parametros_recargas!$B$92</f>
        <v>Ensamblaje y marbete — recinto</v>
      </c>
      <c r="B86" s="21" t="n">
        <f aca="false">parametros_recargas!$E$92*'Plan mensual'!D85+parametros_recargas!$F$92*'Plan mensual'!D86+parametros_recargas!$G$92*'Plan mensual'!D87+parametros_recargas!$H$92*'Plan mensual'!D88+parametros_recargas!$I$92*'Plan mensual'!D89+parametros_recargas!$J$92*'Plan mensual'!D90+parametros_recargas!$K$92*'Plan mensual'!D91+parametros_recargas!$L$92*'Plan mensual'!D92</f>
        <v>1318.3883326835</v>
      </c>
      <c r="C86" s="21" t="n">
        <f aca="false">parametros_recargas!$E$92*'Plan mensual'!E85+parametros_recargas!$F$92*'Plan mensual'!E86+parametros_recargas!$G$92*'Plan mensual'!E87+parametros_recargas!$H$92*'Plan mensual'!E88+parametros_recargas!$I$92*'Plan mensual'!E89+parametros_recargas!$J$92*'Plan mensual'!E90+parametros_recargas!$K$92*'Plan mensual'!E91+parametros_recargas!$L$92*'Plan mensual'!E92</f>
        <v>1318.3883326835</v>
      </c>
      <c r="D86" s="21" t="n">
        <f aca="false">parametros_recargas!$E$92*'Plan mensual'!F85+parametros_recargas!$F$92*'Plan mensual'!F86+parametros_recargas!$G$92*'Plan mensual'!F87+parametros_recargas!$H$92*'Plan mensual'!F88+parametros_recargas!$I$92*'Plan mensual'!F89+parametros_recargas!$J$92*'Plan mensual'!F90+parametros_recargas!$K$92*'Plan mensual'!F91+parametros_recargas!$L$92*'Plan mensual'!F92</f>
        <v>1318.3883326835</v>
      </c>
      <c r="E86" s="21" t="n">
        <f aca="false">parametros_recargas!$E$92*'Plan mensual'!G85+parametros_recargas!$F$92*'Plan mensual'!G86+parametros_recargas!$G$92*'Plan mensual'!G87+parametros_recargas!$H$92*'Plan mensual'!G88+parametros_recargas!$I$92*'Plan mensual'!G89+parametros_recargas!$J$92*'Plan mensual'!G90+parametros_recargas!$K$92*'Plan mensual'!G91+parametros_recargas!$L$92*'Plan mensual'!G92</f>
        <v>1318.3883326835</v>
      </c>
      <c r="F86" s="21" t="n">
        <f aca="false">parametros_recargas!$E$92*'Plan mensual'!H85+parametros_recargas!$F$92*'Plan mensual'!H86+parametros_recargas!$G$92*'Plan mensual'!H87+parametros_recargas!$H$92*'Plan mensual'!H88+parametros_recargas!$I$92*'Plan mensual'!H89+parametros_recargas!$J$92*'Plan mensual'!H90+parametros_recargas!$K$92*'Plan mensual'!H91+parametros_recargas!$L$92*'Plan mensual'!H92</f>
        <v>1318.3883326835</v>
      </c>
      <c r="G86" s="21" t="n">
        <f aca="false">parametros_recargas!$E$92*'Plan mensual'!I85+parametros_recargas!$F$92*'Plan mensual'!I86+parametros_recargas!$G$92*'Plan mensual'!I87+parametros_recargas!$H$92*'Plan mensual'!I88+parametros_recargas!$I$92*'Plan mensual'!I89+parametros_recargas!$J$92*'Plan mensual'!I90+parametros_recargas!$K$92*'Plan mensual'!I91+parametros_recargas!$L$92*'Plan mensual'!I92</f>
        <v>1318.3883326835</v>
      </c>
      <c r="H86" s="21" t="n">
        <f aca="false">parametros_recargas!$E$92*'Plan mensual'!J85+parametros_recargas!$F$92*'Plan mensual'!J86+parametros_recargas!$G$92*'Plan mensual'!J87+parametros_recargas!$H$92*'Plan mensual'!J88+parametros_recargas!$I$92*'Plan mensual'!J89+parametros_recargas!$J$92*'Plan mensual'!J90+parametros_recargas!$K$92*'Plan mensual'!J91+parametros_recargas!$L$92*'Plan mensual'!J92</f>
        <v>1318.3883326835</v>
      </c>
      <c r="I86" s="21" t="n">
        <f aca="false">parametros_recargas!$E$92*'Plan mensual'!K85+parametros_recargas!$F$92*'Plan mensual'!K86+parametros_recargas!$G$92*'Plan mensual'!K87+parametros_recargas!$H$92*'Plan mensual'!K88+parametros_recargas!$I$92*'Plan mensual'!K89+parametros_recargas!$J$92*'Plan mensual'!K90+parametros_recargas!$K$92*'Plan mensual'!K91+parametros_recargas!$L$92*'Plan mensual'!K92</f>
        <v>1318.3883326835</v>
      </c>
      <c r="J86" s="21" t="n">
        <f aca="false">parametros_recargas!$E$92*'Plan mensual'!L85+parametros_recargas!$F$92*'Plan mensual'!L86+parametros_recargas!$G$92*'Plan mensual'!L87+parametros_recargas!$H$92*'Plan mensual'!L88+parametros_recargas!$I$92*'Plan mensual'!L89+parametros_recargas!$J$92*'Plan mensual'!L90+parametros_recargas!$K$92*'Plan mensual'!L91+parametros_recargas!$L$92*'Plan mensual'!L92</f>
        <v>1318.3883326835</v>
      </c>
      <c r="K86" s="21" t="n">
        <f aca="false">parametros_recargas!$E$92*'Plan mensual'!M85+parametros_recargas!$F$92*'Plan mensual'!M86+parametros_recargas!$G$92*'Plan mensual'!M87+parametros_recargas!$H$92*'Plan mensual'!M88+parametros_recargas!$I$92*'Plan mensual'!M89+parametros_recargas!$J$92*'Plan mensual'!M90+parametros_recargas!$K$92*'Plan mensual'!M91+parametros_recargas!$L$92*'Plan mensual'!M92</f>
        <v>1318.3883326835</v>
      </c>
      <c r="L86" s="21" t="n">
        <f aca="false">parametros_recargas!$E$92*'Plan mensual'!N85+parametros_recargas!$F$92*'Plan mensual'!N86+parametros_recargas!$G$92*'Plan mensual'!N87+parametros_recargas!$H$92*'Plan mensual'!N88+parametros_recargas!$I$92*'Plan mensual'!N89+parametros_recargas!$J$92*'Plan mensual'!N90+parametros_recargas!$K$92*'Plan mensual'!N91+parametros_recargas!$L$92*'Plan mensual'!N92</f>
        <v>1318.3883326835</v>
      </c>
      <c r="M86" s="21" t="n">
        <f aca="false">parametros_recargas!$E$92*'Plan mensual'!O85+parametros_recargas!$F$92*'Plan mensual'!O86+parametros_recargas!$G$92*'Plan mensual'!O87+parametros_recargas!$H$92*'Plan mensual'!O88+parametros_recargas!$I$92*'Plan mensual'!O89+parametros_recargas!$J$92*'Plan mensual'!O90+parametros_recargas!$K$92*'Plan mensual'!O91+parametros_recargas!$L$92*'Plan mensual'!O92</f>
        <v>1318.3883326835</v>
      </c>
      <c r="N86" s="6" t="n">
        <f aca="false">SUM(B86:M86)</f>
        <v>15820.659992202</v>
      </c>
      <c r="O86" s="22" t="n">
        <f aca="false">MAX(B86:M86)</f>
        <v>1318.3883326835</v>
      </c>
      <c r="P86" s="12" t="n">
        <f aca="false">O86/parametros_recargas!$B$6</f>
        <v>8.78925555122334</v>
      </c>
    </row>
    <row r="87" customFormat="false" ht="15" hidden="false" customHeight="false" outlineLevel="0" collapsed="false">
      <c r="A87" s="8" t="str">
        <f aca="false">parametros_recargas!$B$93</f>
        <v>Presurización — recinto</v>
      </c>
      <c r="B87" s="21" t="n">
        <f aca="false">parametros_recargas!$E$93*'Plan mensual'!D85+parametros_recargas!$F$93*'Plan mensual'!D86+parametros_recargas!$G$93*'Plan mensual'!D87+parametros_recargas!$H$93*'Plan mensual'!D88+parametros_recargas!$I$93*'Plan mensual'!D89+parametros_recargas!$J$93*'Plan mensual'!D90+parametros_recargas!$K$93*'Plan mensual'!D91+parametros_recargas!$L$93*'Plan mensual'!D92</f>
        <v>1318.3883326835</v>
      </c>
      <c r="C87" s="21" t="n">
        <f aca="false">parametros_recargas!$E$93*'Plan mensual'!E85+parametros_recargas!$F$93*'Plan mensual'!E86+parametros_recargas!$G$93*'Plan mensual'!E87+parametros_recargas!$H$93*'Plan mensual'!E88+parametros_recargas!$I$93*'Plan mensual'!E89+parametros_recargas!$J$93*'Plan mensual'!E90+parametros_recargas!$K$93*'Plan mensual'!E91+parametros_recargas!$L$93*'Plan mensual'!E92</f>
        <v>1318.3883326835</v>
      </c>
      <c r="D87" s="21" t="n">
        <f aca="false">parametros_recargas!$E$93*'Plan mensual'!F85+parametros_recargas!$F$93*'Plan mensual'!F86+parametros_recargas!$G$93*'Plan mensual'!F87+parametros_recargas!$H$93*'Plan mensual'!F88+parametros_recargas!$I$93*'Plan mensual'!F89+parametros_recargas!$J$93*'Plan mensual'!F90+parametros_recargas!$K$93*'Plan mensual'!F91+parametros_recargas!$L$93*'Plan mensual'!F92</f>
        <v>1318.3883326835</v>
      </c>
      <c r="E87" s="21" t="n">
        <f aca="false">parametros_recargas!$E$93*'Plan mensual'!G85+parametros_recargas!$F$93*'Plan mensual'!G86+parametros_recargas!$G$93*'Plan mensual'!G87+parametros_recargas!$H$93*'Plan mensual'!G88+parametros_recargas!$I$93*'Plan mensual'!G89+parametros_recargas!$J$93*'Plan mensual'!G90+parametros_recargas!$K$93*'Plan mensual'!G91+parametros_recargas!$L$93*'Plan mensual'!G92</f>
        <v>1318.3883326835</v>
      </c>
      <c r="F87" s="21" t="n">
        <f aca="false">parametros_recargas!$E$93*'Plan mensual'!H85+parametros_recargas!$F$93*'Plan mensual'!H86+parametros_recargas!$G$93*'Plan mensual'!H87+parametros_recargas!$H$93*'Plan mensual'!H88+parametros_recargas!$I$93*'Plan mensual'!H89+parametros_recargas!$J$93*'Plan mensual'!H90+parametros_recargas!$K$93*'Plan mensual'!H91+parametros_recargas!$L$93*'Plan mensual'!H92</f>
        <v>1318.3883326835</v>
      </c>
      <c r="G87" s="21" t="n">
        <f aca="false">parametros_recargas!$E$93*'Plan mensual'!I85+parametros_recargas!$F$93*'Plan mensual'!I86+parametros_recargas!$G$93*'Plan mensual'!I87+parametros_recargas!$H$93*'Plan mensual'!I88+parametros_recargas!$I$93*'Plan mensual'!I89+parametros_recargas!$J$93*'Plan mensual'!I90+parametros_recargas!$K$93*'Plan mensual'!I91+parametros_recargas!$L$93*'Plan mensual'!I92</f>
        <v>1318.3883326835</v>
      </c>
      <c r="H87" s="21" t="n">
        <f aca="false">parametros_recargas!$E$93*'Plan mensual'!J85+parametros_recargas!$F$93*'Plan mensual'!J86+parametros_recargas!$G$93*'Plan mensual'!J87+parametros_recargas!$H$93*'Plan mensual'!J88+parametros_recargas!$I$93*'Plan mensual'!J89+parametros_recargas!$J$93*'Plan mensual'!J90+parametros_recargas!$K$93*'Plan mensual'!J91+parametros_recargas!$L$93*'Plan mensual'!J92</f>
        <v>1318.3883326835</v>
      </c>
      <c r="I87" s="21" t="n">
        <f aca="false">parametros_recargas!$E$93*'Plan mensual'!K85+parametros_recargas!$F$93*'Plan mensual'!K86+parametros_recargas!$G$93*'Plan mensual'!K87+parametros_recargas!$H$93*'Plan mensual'!K88+parametros_recargas!$I$93*'Plan mensual'!K89+parametros_recargas!$J$93*'Plan mensual'!K90+parametros_recargas!$K$93*'Plan mensual'!K91+parametros_recargas!$L$93*'Plan mensual'!K92</f>
        <v>1318.3883326835</v>
      </c>
      <c r="J87" s="21" t="n">
        <f aca="false">parametros_recargas!$E$93*'Plan mensual'!L85+parametros_recargas!$F$93*'Plan mensual'!L86+parametros_recargas!$G$93*'Plan mensual'!L87+parametros_recargas!$H$93*'Plan mensual'!L88+parametros_recargas!$I$93*'Plan mensual'!L89+parametros_recargas!$J$93*'Plan mensual'!L90+parametros_recargas!$K$93*'Plan mensual'!L91+parametros_recargas!$L$93*'Plan mensual'!L92</f>
        <v>1318.3883326835</v>
      </c>
      <c r="K87" s="21" t="n">
        <f aca="false">parametros_recargas!$E$93*'Plan mensual'!M85+parametros_recargas!$F$93*'Plan mensual'!M86+parametros_recargas!$G$93*'Plan mensual'!M87+parametros_recargas!$H$93*'Plan mensual'!M88+parametros_recargas!$I$93*'Plan mensual'!M89+parametros_recargas!$J$93*'Plan mensual'!M90+parametros_recargas!$K$93*'Plan mensual'!M91+parametros_recargas!$L$93*'Plan mensual'!M92</f>
        <v>1318.3883326835</v>
      </c>
      <c r="L87" s="21" t="n">
        <f aca="false">parametros_recargas!$E$93*'Plan mensual'!N85+parametros_recargas!$F$93*'Plan mensual'!N86+parametros_recargas!$G$93*'Plan mensual'!N87+parametros_recargas!$H$93*'Plan mensual'!N88+parametros_recargas!$I$93*'Plan mensual'!N89+parametros_recargas!$J$93*'Plan mensual'!N90+parametros_recargas!$K$93*'Plan mensual'!N91+parametros_recargas!$L$93*'Plan mensual'!N92</f>
        <v>1318.3883326835</v>
      </c>
      <c r="M87" s="21" t="n">
        <f aca="false">parametros_recargas!$E$93*'Plan mensual'!O85+parametros_recargas!$F$93*'Plan mensual'!O86+parametros_recargas!$G$93*'Plan mensual'!O87+parametros_recargas!$H$93*'Plan mensual'!O88+parametros_recargas!$I$93*'Plan mensual'!O89+parametros_recargas!$J$93*'Plan mensual'!O90+parametros_recargas!$K$93*'Plan mensual'!O91+parametros_recargas!$L$93*'Plan mensual'!O92</f>
        <v>1318.3883326835</v>
      </c>
      <c r="N87" s="6" t="n">
        <f aca="false">SUM(B87:M87)</f>
        <v>15820.659992202</v>
      </c>
      <c r="O87" s="22" t="n">
        <f aca="false">MAX(B87:M87)</f>
        <v>1318.3883326835</v>
      </c>
      <c r="P87" s="12" t="n">
        <f aca="false">O87/parametros_recargas!$B$6</f>
        <v>8.78925555122334</v>
      </c>
    </row>
    <row r="88" customFormat="false" ht="15" hidden="false" customHeight="false" outlineLevel="0" collapsed="false">
      <c r="A88" s="8" t="str">
        <f aca="false">parametros_recargas!$B$94</f>
        <v>Ensamblaje y presurización — zona general</v>
      </c>
      <c r="B88" s="21" t="n">
        <f aca="false">parametros_recargas!$E$94*'Plan mensual'!D85+parametros_recargas!$F$94*'Plan mensual'!D86+parametros_recargas!$G$94*'Plan mensual'!D87+parametros_recargas!$H$94*'Plan mensual'!D88+parametros_recargas!$I$94*'Plan mensual'!D89+parametros_recargas!$J$94*'Plan mensual'!D90+parametros_recargas!$K$94*'Plan mensual'!D91+parametros_recargas!$L$94*'Plan mensual'!D92</f>
        <v>107.179409321687</v>
      </c>
      <c r="C88" s="21" t="n">
        <f aca="false">parametros_recargas!$E$94*'Plan mensual'!E85+parametros_recargas!$F$94*'Plan mensual'!E86+parametros_recargas!$G$94*'Plan mensual'!E87+parametros_recargas!$H$94*'Plan mensual'!E88+parametros_recargas!$I$94*'Plan mensual'!E89+parametros_recargas!$J$94*'Plan mensual'!E90+parametros_recargas!$K$94*'Plan mensual'!E91+parametros_recargas!$L$94*'Plan mensual'!E92</f>
        <v>107.179409321687</v>
      </c>
      <c r="D88" s="21" t="n">
        <f aca="false">parametros_recargas!$E$94*'Plan mensual'!F85+parametros_recargas!$F$94*'Plan mensual'!F86+parametros_recargas!$G$94*'Plan mensual'!F87+parametros_recargas!$H$94*'Plan mensual'!F88+parametros_recargas!$I$94*'Plan mensual'!F89+parametros_recargas!$J$94*'Plan mensual'!F90+parametros_recargas!$K$94*'Plan mensual'!F91+parametros_recargas!$L$94*'Plan mensual'!F92</f>
        <v>107.179409321687</v>
      </c>
      <c r="E88" s="21" t="n">
        <f aca="false">parametros_recargas!$E$94*'Plan mensual'!G85+parametros_recargas!$F$94*'Plan mensual'!G86+parametros_recargas!$G$94*'Plan mensual'!G87+parametros_recargas!$H$94*'Plan mensual'!G88+parametros_recargas!$I$94*'Plan mensual'!G89+parametros_recargas!$J$94*'Plan mensual'!G90+parametros_recargas!$K$94*'Plan mensual'!G91+parametros_recargas!$L$94*'Plan mensual'!G92</f>
        <v>107.179409321687</v>
      </c>
      <c r="F88" s="21" t="n">
        <f aca="false">parametros_recargas!$E$94*'Plan mensual'!H85+parametros_recargas!$F$94*'Plan mensual'!H86+parametros_recargas!$G$94*'Plan mensual'!H87+parametros_recargas!$H$94*'Plan mensual'!H88+parametros_recargas!$I$94*'Plan mensual'!H89+parametros_recargas!$J$94*'Plan mensual'!H90+parametros_recargas!$K$94*'Plan mensual'!H91+parametros_recargas!$L$94*'Plan mensual'!H92</f>
        <v>107.179409321687</v>
      </c>
      <c r="G88" s="21" t="n">
        <f aca="false">parametros_recargas!$E$94*'Plan mensual'!I85+parametros_recargas!$F$94*'Plan mensual'!I86+parametros_recargas!$G$94*'Plan mensual'!I87+parametros_recargas!$H$94*'Plan mensual'!I88+parametros_recargas!$I$94*'Plan mensual'!I89+parametros_recargas!$J$94*'Plan mensual'!I90+parametros_recargas!$K$94*'Plan mensual'!I91+parametros_recargas!$L$94*'Plan mensual'!I92</f>
        <v>107.179409321687</v>
      </c>
      <c r="H88" s="21" t="n">
        <f aca="false">parametros_recargas!$E$94*'Plan mensual'!J85+parametros_recargas!$F$94*'Plan mensual'!J86+parametros_recargas!$G$94*'Plan mensual'!J87+parametros_recargas!$H$94*'Plan mensual'!J88+parametros_recargas!$I$94*'Plan mensual'!J89+parametros_recargas!$J$94*'Plan mensual'!J90+parametros_recargas!$K$94*'Plan mensual'!J91+parametros_recargas!$L$94*'Plan mensual'!J92</f>
        <v>107.179409321687</v>
      </c>
      <c r="I88" s="21" t="n">
        <f aca="false">parametros_recargas!$E$94*'Plan mensual'!K85+parametros_recargas!$F$94*'Plan mensual'!K86+parametros_recargas!$G$94*'Plan mensual'!K87+parametros_recargas!$H$94*'Plan mensual'!K88+parametros_recargas!$I$94*'Plan mensual'!K89+parametros_recargas!$J$94*'Plan mensual'!K90+parametros_recargas!$K$94*'Plan mensual'!K91+parametros_recargas!$L$94*'Plan mensual'!K92</f>
        <v>107.179409321687</v>
      </c>
      <c r="J88" s="21" t="n">
        <f aca="false">parametros_recargas!$E$94*'Plan mensual'!L85+parametros_recargas!$F$94*'Plan mensual'!L86+parametros_recargas!$G$94*'Plan mensual'!L87+parametros_recargas!$H$94*'Plan mensual'!L88+parametros_recargas!$I$94*'Plan mensual'!L89+parametros_recargas!$J$94*'Plan mensual'!L90+parametros_recargas!$K$94*'Plan mensual'!L91+parametros_recargas!$L$94*'Plan mensual'!L92</f>
        <v>107.179409321687</v>
      </c>
      <c r="K88" s="21" t="n">
        <f aca="false">parametros_recargas!$E$94*'Plan mensual'!M85+parametros_recargas!$F$94*'Plan mensual'!M86+parametros_recargas!$G$94*'Plan mensual'!M87+parametros_recargas!$H$94*'Plan mensual'!M88+parametros_recargas!$I$94*'Plan mensual'!M89+parametros_recargas!$J$94*'Plan mensual'!M90+parametros_recargas!$K$94*'Plan mensual'!M91+parametros_recargas!$L$94*'Plan mensual'!M92</f>
        <v>107.179409321687</v>
      </c>
      <c r="L88" s="21" t="n">
        <f aca="false">parametros_recargas!$E$94*'Plan mensual'!N85+parametros_recargas!$F$94*'Plan mensual'!N86+parametros_recargas!$G$94*'Plan mensual'!N87+parametros_recargas!$H$94*'Plan mensual'!N88+parametros_recargas!$I$94*'Plan mensual'!N89+parametros_recargas!$J$94*'Plan mensual'!N90+parametros_recargas!$K$94*'Plan mensual'!N91+parametros_recargas!$L$94*'Plan mensual'!N92</f>
        <v>107.179409321687</v>
      </c>
      <c r="M88" s="21" t="n">
        <f aca="false">parametros_recargas!$E$94*'Plan mensual'!O85+parametros_recargas!$F$94*'Plan mensual'!O86+parametros_recargas!$G$94*'Plan mensual'!O87+parametros_recargas!$H$94*'Plan mensual'!O88+parametros_recargas!$I$94*'Plan mensual'!O89+parametros_recargas!$J$94*'Plan mensual'!O90+parametros_recargas!$K$94*'Plan mensual'!O91+parametros_recargas!$L$94*'Plan mensual'!O92</f>
        <v>107.179409321687</v>
      </c>
      <c r="N88" s="6" t="n">
        <f aca="false">SUM(B88:M88)</f>
        <v>1286.15291186024</v>
      </c>
      <c r="O88" s="22" t="n">
        <f aca="false">MAX(B88:M88)</f>
        <v>107.179409321687</v>
      </c>
      <c r="P88" s="12" t="n">
        <f aca="false">O88/parametros_recargas!$B$6</f>
        <v>0.714529395477912</v>
      </c>
    </row>
    <row r="89" customFormat="false" ht="15" hidden="false" customHeight="false" outlineLevel="0" collapsed="false">
      <c r="A89" s="8" t="str">
        <f aca="false">parametros_recargas!$B$95</f>
        <v>Carga y presurización de halogenado</v>
      </c>
      <c r="B89" s="21" t="n">
        <f aca="false">parametros_recargas!$E$95*'Plan mensual'!D85+parametros_recargas!$F$95*'Plan mensual'!D86+parametros_recargas!$G$95*'Plan mensual'!D87+parametros_recargas!$H$95*'Plan mensual'!D88+parametros_recargas!$I$95*'Plan mensual'!D89+parametros_recargas!$J$95*'Plan mensual'!D90+parametros_recargas!$K$95*'Plan mensual'!D91+parametros_recargas!$L$95*'Plan mensual'!D92</f>
        <v>1.4070950428832</v>
      </c>
      <c r="C89" s="21" t="n">
        <f aca="false">parametros_recargas!$E$95*'Plan mensual'!E85+parametros_recargas!$F$95*'Plan mensual'!E86+parametros_recargas!$G$95*'Plan mensual'!E87+parametros_recargas!$H$95*'Plan mensual'!E88+parametros_recargas!$I$95*'Plan mensual'!E89+parametros_recargas!$J$95*'Plan mensual'!E90+parametros_recargas!$K$95*'Plan mensual'!E91+parametros_recargas!$L$95*'Plan mensual'!E92</f>
        <v>1.4070950428832</v>
      </c>
      <c r="D89" s="21" t="n">
        <f aca="false">parametros_recargas!$E$95*'Plan mensual'!F85+parametros_recargas!$F$95*'Plan mensual'!F86+parametros_recargas!$G$95*'Plan mensual'!F87+parametros_recargas!$H$95*'Plan mensual'!F88+parametros_recargas!$I$95*'Plan mensual'!F89+parametros_recargas!$J$95*'Plan mensual'!F90+parametros_recargas!$K$95*'Plan mensual'!F91+parametros_recargas!$L$95*'Plan mensual'!F92</f>
        <v>1.4070950428832</v>
      </c>
      <c r="E89" s="21" t="n">
        <f aca="false">parametros_recargas!$E$95*'Plan mensual'!G85+parametros_recargas!$F$95*'Plan mensual'!G86+parametros_recargas!$G$95*'Plan mensual'!G87+parametros_recargas!$H$95*'Plan mensual'!G88+parametros_recargas!$I$95*'Plan mensual'!G89+parametros_recargas!$J$95*'Plan mensual'!G90+parametros_recargas!$K$95*'Plan mensual'!G91+parametros_recargas!$L$95*'Plan mensual'!G92</f>
        <v>1.4070950428832</v>
      </c>
      <c r="F89" s="21" t="n">
        <f aca="false">parametros_recargas!$E$95*'Plan mensual'!H85+parametros_recargas!$F$95*'Plan mensual'!H86+parametros_recargas!$G$95*'Plan mensual'!H87+parametros_recargas!$H$95*'Plan mensual'!H88+parametros_recargas!$I$95*'Plan mensual'!H89+parametros_recargas!$J$95*'Plan mensual'!H90+parametros_recargas!$K$95*'Plan mensual'!H91+parametros_recargas!$L$95*'Plan mensual'!H92</f>
        <v>1.4070950428832</v>
      </c>
      <c r="G89" s="21" t="n">
        <f aca="false">parametros_recargas!$E$95*'Plan mensual'!I85+parametros_recargas!$F$95*'Plan mensual'!I86+parametros_recargas!$G$95*'Plan mensual'!I87+parametros_recargas!$H$95*'Plan mensual'!I88+parametros_recargas!$I$95*'Plan mensual'!I89+parametros_recargas!$J$95*'Plan mensual'!I90+parametros_recargas!$K$95*'Plan mensual'!I91+parametros_recargas!$L$95*'Plan mensual'!I92</f>
        <v>1.4070950428832</v>
      </c>
      <c r="H89" s="21" t="n">
        <f aca="false">parametros_recargas!$E$95*'Plan mensual'!J85+parametros_recargas!$F$95*'Plan mensual'!J86+parametros_recargas!$G$95*'Plan mensual'!J87+parametros_recargas!$H$95*'Plan mensual'!J88+parametros_recargas!$I$95*'Plan mensual'!J89+parametros_recargas!$J$95*'Plan mensual'!J90+parametros_recargas!$K$95*'Plan mensual'!J91+parametros_recargas!$L$95*'Plan mensual'!J92</f>
        <v>1.4070950428832</v>
      </c>
      <c r="I89" s="21" t="n">
        <f aca="false">parametros_recargas!$E$95*'Plan mensual'!K85+parametros_recargas!$F$95*'Plan mensual'!K86+parametros_recargas!$G$95*'Plan mensual'!K87+parametros_recargas!$H$95*'Plan mensual'!K88+parametros_recargas!$I$95*'Plan mensual'!K89+parametros_recargas!$J$95*'Plan mensual'!K90+parametros_recargas!$K$95*'Plan mensual'!K91+parametros_recargas!$L$95*'Plan mensual'!K92</f>
        <v>1.4070950428832</v>
      </c>
      <c r="J89" s="21" t="n">
        <f aca="false">parametros_recargas!$E$95*'Plan mensual'!L85+parametros_recargas!$F$95*'Plan mensual'!L86+parametros_recargas!$G$95*'Plan mensual'!L87+parametros_recargas!$H$95*'Plan mensual'!L88+parametros_recargas!$I$95*'Plan mensual'!L89+parametros_recargas!$J$95*'Plan mensual'!L90+parametros_recargas!$K$95*'Plan mensual'!L91+parametros_recargas!$L$95*'Plan mensual'!L92</f>
        <v>1.4070950428832</v>
      </c>
      <c r="K89" s="21" t="n">
        <f aca="false">parametros_recargas!$E$95*'Plan mensual'!M85+parametros_recargas!$F$95*'Plan mensual'!M86+parametros_recargas!$G$95*'Plan mensual'!M87+parametros_recargas!$H$95*'Plan mensual'!M88+parametros_recargas!$I$95*'Plan mensual'!M89+parametros_recargas!$J$95*'Plan mensual'!M90+parametros_recargas!$K$95*'Plan mensual'!M91+parametros_recargas!$L$95*'Plan mensual'!M92</f>
        <v>1.4070950428832</v>
      </c>
      <c r="L89" s="21" t="n">
        <f aca="false">parametros_recargas!$E$95*'Plan mensual'!N85+parametros_recargas!$F$95*'Plan mensual'!N86+parametros_recargas!$G$95*'Plan mensual'!N87+parametros_recargas!$H$95*'Plan mensual'!N88+parametros_recargas!$I$95*'Plan mensual'!N89+parametros_recargas!$J$95*'Plan mensual'!N90+parametros_recargas!$K$95*'Plan mensual'!N91+parametros_recargas!$L$95*'Plan mensual'!N92</f>
        <v>1.4070950428832</v>
      </c>
      <c r="M89" s="21" t="n">
        <f aca="false">parametros_recargas!$E$95*'Plan mensual'!O85+parametros_recargas!$F$95*'Plan mensual'!O86+parametros_recargas!$G$95*'Plan mensual'!O87+parametros_recargas!$H$95*'Plan mensual'!O88+parametros_recargas!$I$95*'Plan mensual'!O89+parametros_recargas!$J$95*'Plan mensual'!O90+parametros_recargas!$K$95*'Plan mensual'!O91+parametros_recargas!$L$95*'Plan mensual'!O92</f>
        <v>1.4070950428832</v>
      </c>
      <c r="N89" s="6" t="n">
        <f aca="false">SUM(B89:M89)</f>
        <v>16.8851405145984</v>
      </c>
      <c r="O89" s="22" t="n">
        <f aca="false">MAX(B89:M89)</f>
        <v>1.4070950428832</v>
      </c>
      <c r="P89" s="12" t="n">
        <f aca="false">O89/parametros_recargas!$B$6</f>
        <v>0.00938063361922135</v>
      </c>
    </row>
    <row r="90" customFormat="false" ht="15" hidden="false" customHeight="false" outlineLevel="0" collapsed="false">
      <c r="A90" s="8" t="str">
        <f aca="false">parametros_recargas!$B$96</f>
        <v>Control de peso (CO₂ y halogenados sin recarga)</v>
      </c>
      <c r="B90" s="21" t="n">
        <f aca="false">parametros_recargas!$E$96*'Plan mensual'!D85+parametros_recargas!$F$96*'Plan mensual'!D86+parametros_recargas!$G$96*'Plan mensual'!D87+parametros_recargas!$H$96*'Plan mensual'!D88+parametros_recargas!$I$96*'Plan mensual'!D89+parametros_recargas!$J$96*'Plan mensual'!D90+parametros_recargas!$K$96*'Plan mensual'!D91+parametros_recargas!$L$96*'Plan mensual'!D92</f>
        <v>94.4359994194865</v>
      </c>
      <c r="C90" s="21" t="n">
        <f aca="false">parametros_recargas!$E$96*'Plan mensual'!E85+parametros_recargas!$F$96*'Plan mensual'!E86+parametros_recargas!$G$96*'Plan mensual'!E87+parametros_recargas!$H$96*'Plan mensual'!E88+parametros_recargas!$I$96*'Plan mensual'!E89+parametros_recargas!$J$96*'Plan mensual'!E90+parametros_recargas!$K$96*'Plan mensual'!E91+parametros_recargas!$L$96*'Plan mensual'!E92</f>
        <v>94.4359994194865</v>
      </c>
      <c r="D90" s="21" t="n">
        <f aca="false">parametros_recargas!$E$96*'Plan mensual'!F85+parametros_recargas!$F$96*'Plan mensual'!F86+parametros_recargas!$G$96*'Plan mensual'!F87+parametros_recargas!$H$96*'Plan mensual'!F88+parametros_recargas!$I$96*'Plan mensual'!F89+parametros_recargas!$J$96*'Plan mensual'!F90+parametros_recargas!$K$96*'Plan mensual'!F91+parametros_recargas!$L$96*'Plan mensual'!F92</f>
        <v>94.4359994194865</v>
      </c>
      <c r="E90" s="21" t="n">
        <f aca="false">parametros_recargas!$E$96*'Plan mensual'!G85+parametros_recargas!$F$96*'Plan mensual'!G86+parametros_recargas!$G$96*'Plan mensual'!G87+parametros_recargas!$H$96*'Plan mensual'!G88+parametros_recargas!$I$96*'Plan mensual'!G89+parametros_recargas!$J$96*'Plan mensual'!G90+parametros_recargas!$K$96*'Plan mensual'!G91+parametros_recargas!$L$96*'Plan mensual'!G92</f>
        <v>94.4359994194865</v>
      </c>
      <c r="F90" s="21" t="n">
        <f aca="false">parametros_recargas!$E$96*'Plan mensual'!H85+parametros_recargas!$F$96*'Plan mensual'!H86+parametros_recargas!$G$96*'Plan mensual'!H87+parametros_recargas!$H$96*'Plan mensual'!H88+parametros_recargas!$I$96*'Plan mensual'!H89+parametros_recargas!$J$96*'Plan mensual'!H90+parametros_recargas!$K$96*'Plan mensual'!H91+parametros_recargas!$L$96*'Plan mensual'!H92</f>
        <v>94.4359994194865</v>
      </c>
      <c r="G90" s="21" t="n">
        <f aca="false">parametros_recargas!$E$96*'Plan mensual'!I85+parametros_recargas!$F$96*'Plan mensual'!I86+parametros_recargas!$G$96*'Plan mensual'!I87+parametros_recargas!$H$96*'Plan mensual'!I88+parametros_recargas!$I$96*'Plan mensual'!I89+parametros_recargas!$J$96*'Plan mensual'!I90+parametros_recargas!$K$96*'Plan mensual'!I91+parametros_recargas!$L$96*'Plan mensual'!I92</f>
        <v>94.4359994194865</v>
      </c>
      <c r="H90" s="21" t="n">
        <f aca="false">parametros_recargas!$E$96*'Plan mensual'!J85+parametros_recargas!$F$96*'Plan mensual'!J86+parametros_recargas!$G$96*'Plan mensual'!J87+parametros_recargas!$H$96*'Plan mensual'!J88+parametros_recargas!$I$96*'Plan mensual'!J89+parametros_recargas!$J$96*'Plan mensual'!J90+parametros_recargas!$K$96*'Plan mensual'!J91+parametros_recargas!$L$96*'Plan mensual'!J92</f>
        <v>94.4359994194865</v>
      </c>
      <c r="I90" s="21" t="n">
        <f aca="false">parametros_recargas!$E$96*'Plan mensual'!K85+parametros_recargas!$F$96*'Plan mensual'!K86+parametros_recargas!$G$96*'Plan mensual'!K87+parametros_recargas!$H$96*'Plan mensual'!K88+parametros_recargas!$I$96*'Plan mensual'!K89+parametros_recargas!$J$96*'Plan mensual'!K90+parametros_recargas!$K$96*'Plan mensual'!K91+parametros_recargas!$L$96*'Plan mensual'!K92</f>
        <v>94.4359994194865</v>
      </c>
      <c r="J90" s="21" t="n">
        <f aca="false">parametros_recargas!$E$96*'Plan mensual'!L85+parametros_recargas!$F$96*'Plan mensual'!L86+parametros_recargas!$G$96*'Plan mensual'!L87+parametros_recargas!$H$96*'Plan mensual'!L88+parametros_recargas!$I$96*'Plan mensual'!L89+parametros_recargas!$J$96*'Plan mensual'!L90+parametros_recargas!$K$96*'Plan mensual'!L91+parametros_recargas!$L$96*'Plan mensual'!L92</f>
        <v>94.4359994194865</v>
      </c>
      <c r="K90" s="21" t="n">
        <f aca="false">parametros_recargas!$E$96*'Plan mensual'!M85+parametros_recargas!$F$96*'Plan mensual'!M86+parametros_recargas!$G$96*'Plan mensual'!M87+parametros_recargas!$H$96*'Plan mensual'!M88+parametros_recargas!$I$96*'Plan mensual'!M89+parametros_recargas!$J$96*'Plan mensual'!M90+parametros_recargas!$K$96*'Plan mensual'!M91+parametros_recargas!$L$96*'Plan mensual'!M92</f>
        <v>94.4359994194865</v>
      </c>
      <c r="L90" s="21" t="n">
        <f aca="false">parametros_recargas!$E$96*'Plan mensual'!N85+parametros_recargas!$F$96*'Plan mensual'!N86+parametros_recargas!$G$96*'Plan mensual'!N87+parametros_recargas!$H$96*'Plan mensual'!N88+parametros_recargas!$I$96*'Plan mensual'!N89+parametros_recargas!$J$96*'Plan mensual'!N90+parametros_recargas!$K$96*'Plan mensual'!N91+parametros_recargas!$L$96*'Plan mensual'!N92</f>
        <v>94.4359994194865</v>
      </c>
      <c r="M90" s="21" t="n">
        <f aca="false">parametros_recargas!$E$96*'Plan mensual'!O85+parametros_recargas!$F$96*'Plan mensual'!O86+parametros_recargas!$G$96*'Plan mensual'!O87+parametros_recargas!$H$96*'Plan mensual'!O88+parametros_recargas!$I$96*'Plan mensual'!O89+parametros_recargas!$J$96*'Plan mensual'!O90+parametros_recargas!$K$96*'Plan mensual'!O91+parametros_recargas!$L$96*'Plan mensual'!O92</f>
        <v>94.4359994194865</v>
      </c>
      <c r="N90" s="6" t="n">
        <f aca="false">SUM(B90:M90)</f>
        <v>1133.23199303384</v>
      </c>
      <c r="O90" s="22" t="n">
        <f aca="false">MAX(B90:M90)</f>
        <v>94.4359994194865</v>
      </c>
      <c r="P90" s="12" t="n">
        <f aca="false">O90/parametros_recargas!$B$6</f>
        <v>0.629573329463244</v>
      </c>
    </row>
    <row r="91" customFormat="false" ht="15" hidden="false" customHeight="false" outlineLevel="0" collapsed="false">
      <c r="A91" s="8" t="str">
        <f aca="false">parametros_recargas!$B$97</f>
        <v>Ensayo de pérdidas</v>
      </c>
      <c r="B91" s="21" t="n">
        <f aca="false">parametros_recargas!$E$97*'Plan mensual'!D85+parametros_recargas!$F$97*'Plan mensual'!D86+parametros_recargas!$G$97*'Plan mensual'!D87+parametros_recargas!$H$97*'Plan mensual'!D88+parametros_recargas!$I$97*'Plan mensual'!D89+parametros_recargas!$J$97*'Plan mensual'!D90+parametros_recargas!$K$97*'Plan mensual'!D91+parametros_recargas!$L$97*'Plan mensual'!D92</f>
        <v>1526.44764958831</v>
      </c>
      <c r="C91" s="21" t="n">
        <f aca="false">parametros_recargas!$E$97*'Plan mensual'!E85+parametros_recargas!$F$97*'Plan mensual'!E86+parametros_recargas!$G$97*'Plan mensual'!E87+parametros_recargas!$H$97*'Plan mensual'!E88+parametros_recargas!$I$97*'Plan mensual'!E89+parametros_recargas!$J$97*'Plan mensual'!E90+parametros_recargas!$K$97*'Plan mensual'!E91+parametros_recargas!$L$97*'Plan mensual'!E92</f>
        <v>1526.44764958831</v>
      </c>
      <c r="D91" s="21" t="n">
        <f aca="false">parametros_recargas!$E$97*'Plan mensual'!F85+parametros_recargas!$F$97*'Plan mensual'!F86+parametros_recargas!$G$97*'Plan mensual'!F87+parametros_recargas!$H$97*'Plan mensual'!F88+parametros_recargas!$I$97*'Plan mensual'!F89+parametros_recargas!$J$97*'Plan mensual'!F90+parametros_recargas!$K$97*'Plan mensual'!F91+parametros_recargas!$L$97*'Plan mensual'!F92</f>
        <v>1526.44764958831</v>
      </c>
      <c r="E91" s="21" t="n">
        <f aca="false">parametros_recargas!$E$97*'Plan mensual'!G85+parametros_recargas!$F$97*'Plan mensual'!G86+parametros_recargas!$G$97*'Plan mensual'!G87+parametros_recargas!$H$97*'Plan mensual'!G88+parametros_recargas!$I$97*'Plan mensual'!G89+parametros_recargas!$J$97*'Plan mensual'!G90+parametros_recargas!$K$97*'Plan mensual'!G91+parametros_recargas!$L$97*'Plan mensual'!G92</f>
        <v>1526.44764958831</v>
      </c>
      <c r="F91" s="21" t="n">
        <f aca="false">parametros_recargas!$E$97*'Plan mensual'!H85+parametros_recargas!$F$97*'Plan mensual'!H86+parametros_recargas!$G$97*'Plan mensual'!H87+parametros_recargas!$H$97*'Plan mensual'!H88+parametros_recargas!$I$97*'Plan mensual'!H89+parametros_recargas!$J$97*'Plan mensual'!H90+parametros_recargas!$K$97*'Plan mensual'!H91+parametros_recargas!$L$97*'Plan mensual'!H92</f>
        <v>1526.44764958831</v>
      </c>
      <c r="G91" s="21" t="n">
        <f aca="false">parametros_recargas!$E$97*'Plan mensual'!I85+parametros_recargas!$F$97*'Plan mensual'!I86+parametros_recargas!$G$97*'Plan mensual'!I87+parametros_recargas!$H$97*'Plan mensual'!I88+parametros_recargas!$I$97*'Plan mensual'!I89+parametros_recargas!$J$97*'Plan mensual'!I90+parametros_recargas!$K$97*'Plan mensual'!I91+parametros_recargas!$L$97*'Plan mensual'!I92</f>
        <v>1526.44764958831</v>
      </c>
      <c r="H91" s="21" t="n">
        <f aca="false">parametros_recargas!$E$97*'Plan mensual'!J85+parametros_recargas!$F$97*'Plan mensual'!J86+parametros_recargas!$G$97*'Plan mensual'!J87+parametros_recargas!$H$97*'Plan mensual'!J88+parametros_recargas!$I$97*'Plan mensual'!J89+parametros_recargas!$J$97*'Plan mensual'!J90+parametros_recargas!$K$97*'Plan mensual'!J91+parametros_recargas!$L$97*'Plan mensual'!J92</f>
        <v>1526.44764958831</v>
      </c>
      <c r="I91" s="21" t="n">
        <f aca="false">parametros_recargas!$E$97*'Plan mensual'!K85+parametros_recargas!$F$97*'Plan mensual'!K86+parametros_recargas!$G$97*'Plan mensual'!K87+parametros_recargas!$H$97*'Plan mensual'!K88+parametros_recargas!$I$97*'Plan mensual'!K89+parametros_recargas!$J$97*'Plan mensual'!K90+parametros_recargas!$K$97*'Plan mensual'!K91+parametros_recargas!$L$97*'Plan mensual'!K92</f>
        <v>1526.44764958831</v>
      </c>
      <c r="J91" s="21" t="n">
        <f aca="false">parametros_recargas!$E$97*'Plan mensual'!L85+parametros_recargas!$F$97*'Plan mensual'!L86+parametros_recargas!$G$97*'Plan mensual'!L87+parametros_recargas!$H$97*'Plan mensual'!L88+parametros_recargas!$I$97*'Plan mensual'!L89+parametros_recargas!$J$97*'Plan mensual'!L90+parametros_recargas!$K$97*'Plan mensual'!L91+parametros_recargas!$L$97*'Plan mensual'!L92</f>
        <v>1526.44764958831</v>
      </c>
      <c r="K91" s="21" t="n">
        <f aca="false">parametros_recargas!$E$97*'Plan mensual'!M85+parametros_recargas!$F$97*'Plan mensual'!M86+parametros_recargas!$G$97*'Plan mensual'!M87+parametros_recargas!$H$97*'Plan mensual'!M88+parametros_recargas!$I$97*'Plan mensual'!M89+parametros_recargas!$J$97*'Plan mensual'!M90+parametros_recargas!$K$97*'Plan mensual'!M91+parametros_recargas!$L$97*'Plan mensual'!M92</f>
        <v>1526.44764958831</v>
      </c>
      <c r="L91" s="21" t="n">
        <f aca="false">parametros_recargas!$E$97*'Plan mensual'!N85+parametros_recargas!$F$97*'Plan mensual'!N86+parametros_recargas!$G$97*'Plan mensual'!N87+parametros_recargas!$H$97*'Plan mensual'!N88+parametros_recargas!$I$97*'Plan mensual'!N89+parametros_recargas!$J$97*'Plan mensual'!N90+parametros_recargas!$K$97*'Plan mensual'!N91+parametros_recargas!$L$97*'Plan mensual'!N92</f>
        <v>1526.44764958831</v>
      </c>
      <c r="M91" s="21" t="n">
        <f aca="false">parametros_recargas!$E$97*'Plan mensual'!O85+parametros_recargas!$F$97*'Plan mensual'!O86+parametros_recargas!$G$97*'Plan mensual'!O87+parametros_recargas!$H$97*'Plan mensual'!O88+parametros_recargas!$I$97*'Plan mensual'!O89+parametros_recargas!$J$97*'Plan mensual'!O90+parametros_recargas!$K$97*'Plan mensual'!O91+parametros_recargas!$L$97*'Plan mensual'!O92</f>
        <v>1526.44764958831</v>
      </c>
      <c r="N91" s="6" t="n">
        <f aca="false">SUM(B91:M91)</f>
        <v>18317.3717950597</v>
      </c>
      <c r="O91" s="22" t="n">
        <f aca="false">MAX(B91:M91)</f>
        <v>1526.44764958831</v>
      </c>
      <c r="P91" s="12" t="n">
        <f aca="false">O91/parametros_recargas!$B$6</f>
        <v>10.176317663922</v>
      </c>
    </row>
    <row r="92" customFormat="false" ht="15" hidden="false" customHeight="false" outlineLevel="0" collapsed="false">
      <c r="A92" s="8" t="str">
        <f aca="false">parametros_recargas!$B$98</f>
        <v>Precinto, etiqueta y despacho</v>
      </c>
      <c r="B92" s="21" t="n">
        <f aca="false">parametros_recargas!$E$98*'Plan mensual'!D85+parametros_recargas!$F$98*'Plan mensual'!D86+parametros_recargas!$G$98*'Plan mensual'!D87+parametros_recargas!$H$98*'Plan mensual'!D88+parametros_recargas!$I$98*'Plan mensual'!D89+parametros_recargas!$J$98*'Plan mensual'!D90+parametros_recargas!$K$98*'Plan mensual'!D91+parametros_recargas!$L$98*'Plan mensual'!D92</f>
        <v>1526.44764958831</v>
      </c>
      <c r="C92" s="21" t="n">
        <f aca="false">parametros_recargas!$E$98*'Plan mensual'!E85+parametros_recargas!$F$98*'Plan mensual'!E86+parametros_recargas!$G$98*'Plan mensual'!E87+parametros_recargas!$H$98*'Plan mensual'!E88+parametros_recargas!$I$98*'Plan mensual'!E89+parametros_recargas!$J$98*'Plan mensual'!E90+parametros_recargas!$K$98*'Plan mensual'!E91+parametros_recargas!$L$98*'Plan mensual'!E92</f>
        <v>1526.44764958831</v>
      </c>
      <c r="D92" s="21" t="n">
        <f aca="false">parametros_recargas!$E$98*'Plan mensual'!F85+parametros_recargas!$F$98*'Plan mensual'!F86+parametros_recargas!$G$98*'Plan mensual'!F87+parametros_recargas!$H$98*'Plan mensual'!F88+parametros_recargas!$I$98*'Plan mensual'!F89+parametros_recargas!$J$98*'Plan mensual'!F90+parametros_recargas!$K$98*'Plan mensual'!F91+parametros_recargas!$L$98*'Plan mensual'!F92</f>
        <v>1526.44764958831</v>
      </c>
      <c r="E92" s="21" t="n">
        <f aca="false">parametros_recargas!$E$98*'Plan mensual'!G85+parametros_recargas!$F$98*'Plan mensual'!G86+parametros_recargas!$G$98*'Plan mensual'!G87+parametros_recargas!$H$98*'Plan mensual'!G88+parametros_recargas!$I$98*'Plan mensual'!G89+parametros_recargas!$J$98*'Plan mensual'!G90+parametros_recargas!$K$98*'Plan mensual'!G91+parametros_recargas!$L$98*'Plan mensual'!G92</f>
        <v>1526.44764958831</v>
      </c>
      <c r="F92" s="21" t="n">
        <f aca="false">parametros_recargas!$E$98*'Plan mensual'!H85+parametros_recargas!$F$98*'Plan mensual'!H86+parametros_recargas!$G$98*'Plan mensual'!H87+parametros_recargas!$H$98*'Plan mensual'!H88+parametros_recargas!$I$98*'Plan mensual'!H89+parametros_recargas!$J$98*'Plan mensual'!H90+parametros_recargas!$K$98*'Plan mensual'!H91+parametros_recargas!$L$98*'Plan mensual'!H92</f>
        <v>1526.44764958831</v>
      </c>
      <c r="G92" s="21" t="n">
        <f aca="false">parametros_recargas!$E$98*'Plan mensual'!I85+parametros_recargas!$F$98*'Plan mensual'!I86+parametros_recargas!$G$98*'Plan mensual'!I87+parametros_recargas!$H$98*'Plan mensual'!I88+parametros_recargas!$I$98*'Plan mensual'!I89+parametros_recargas!$J$98*'Plan mensual'!I90+parametros_recargas!$K$98*'Plan mensual'!I91+parametros_recargas!$L$98*'Plan mensual'!I92</f>
        <v>1526.44764958831</v>
      </c>
      <c r="H92" s="21" t="n">
        <f aca="false">parametros_recargas!$E$98*'Plan mensual'!J85+parametros_recargas!$F$98*'Plan mensual'!J86+parametros_recargas!$G$98*'Plan mensual'!J87+parametros_recargas!$H$98*'Plan mensual'!J88+parametros_recargas!$I$98*'Plan mensual'!J89+parametros_recargas!$J$98*'Plan mensual'!J90+parametros_recargas!$K$98*'Plan mensual'!J91+parametros_recargas!$L$98*'Plan mensual'!J92</f>
        <v>1526.44764958831</v>
      </c>
      <c r="I92" s="21" t="n">
        <f aca="false">parametros_recargas!$E$98*'Plan mensual'!K85+parametros_recargas!$F$98*'Plan mensual'!K86+parametros_recargas!$G$98*'Plan mensual'!K87+parametros_recargas!$H$98*'Plan mensual'!K88+parametros_recargas!$I$98*'Plan mensual'!K89+parametros_recargas!$J$98*'Plan mensual'!K90+parametros_recargas!$K$98*'Plan mensual'!K91+parametros_recargas!$L$98*'Plan mensual'!K92</f>
        <v>1526.44764958831</v>
      </c>
      <c r="J92" s="21" t="n">
        <f aca="false">parametros_recargas!$E$98*'Plan mensual'!L85+parametros_recargas!$F$98*'Plan mensual'!L86+parametros_recargas!$G$98*'Plan mensual'!L87+parametros_recargas!$H$98*'Plan mensual'!L88+parametros_recargas!$I$98*'Plan mensual'!L89+parametros_recargas!$J$98*'Plan mensual'!L90+parametros_recargas!$K$98*'Plan mensual'!L91+parametros_recargas!$L$98*'Plan mensual'!L92</f>
        <v>1526.44764958831</v>
      </c>
      <c r="K92" s="21" t="n">
        <f aca="false">parametros_recargas!$E$98*'Plan mensual'!M85+parametros_recargas!$F$98*'Plan mensual'!M86+parametros_recargas!$G$98*'Plan mensual'!M87+parametros_recargas!$H$98*'Plan mensual'!M88+parametros_recargas!$I$98*'Plan mensual'!M89+parametros_recargas!$J$98*'Plan mensual'!M90+parametros_recargas!$K$98*'Plan mensual'!M91+parametros_recargas!$L$98*'Plan mensual'!M92</f>
        <v>1526.44764958831</v>
      </c>
      <c r="L92" s="21" t="n">
        <f aca="false">parametros_recargas!$E$98*'Plan mensual'!N85+parametros_recargas!$F$98*'Plan mensual'!N86+parametros_recargas!$G$98*'Plan mensual'!N87+parametros_recargas!$H$98*'Plan mensual'!N88+parametros_recargas!$I$98*'Plan mensual'!N89+parametros_recargas!$J$98*'Plan mensual'!N90+parametros_recargas!$K$98*'Plan mensual'!N91+parametros_recargas!$L$98*'Plan mensual'!N92</f>
        <v>1526.44764958831</v>
      </c>
      <c r="M92" s="21" t="n">
        <f aca="false">parametros_recargas!$E$98*'Plan mensual'!O85+parametros_recargas!$F$98*'Plan mensual'!O86+parametros_recargas!$G$98*'Plan mensual'!O87+parametros_recargas!$H$98*'Plan mensual'!O88+parametros_recargas!$I$98*'Plan mensual'!O89+parametros_recargas!$J$98*'Plan mensual'!O90+parametros_recargas!$K$98*'Plan mensual'!O91+parametros_recargas!$L$98*'Plan mensual'!O92</f>
        <v>1526.44764958831</v>
      </c>
      <c r="N92" s="6" t="n">
        <f aca="false">SUM(B92:M92)</f>
        <v>18317.3717950597</v>
      </c>
      <c r="O92" s="22" t="n">
        <f aca="false">MAX(B92:M92)</f>
        <v>1526.44764958831</v>
      </c>
      <c r="P92" s="12" t="n">
        <f aca="false">O92/parametros_recargas!$B$6</f>
        <v>10.176317663922</v>
      </c>
    </row>
    <row r="93" customFormat="false" ht="15" hidden="false" customHeight="false" outlineLevel="0" collapsed="false">
      <c r="A93" s="8" t="str">
        <f aca="false">parametros_recargas!$B$99</f>
        <v>Inutilización y disposición final</v>
      </c>
      <c r="B93" s="21" t="n">
        <f aca="false">parametros_recargas!$E$99*'Plan mensual'!D85+parametros_recargas!$F$99*'Plan mensual'!D86+parametros_recargas!$G$99*'Plan mensual'!D87+parametros_recargas!$H$99*'Plan mensual'!D88+parametros_recargas!$I$99*'Plan mensual'!D89+parametros_recargas!$J$99*'Plan mensual'!D90+parametros_recargas!$K$99*'Plan mensual'!D91+parametros_recargas!$L$99*'Plan mensual'!D92</f>
        <v>119.967842579187</v>
      </c>
      <c r="C93" s="21" t="n">
        <f aca="false">parametros_recargas!$E$99*'Plan mensual'!E85+parametros_recargas!$F$99*'Plan mensual'!E86+parametros_recargas!$G$99*'Plan mensual'!E87+parametros_recargas!$H$99*'Plan mensual'!E88+parametros_recargas!$I$99*'Plan mensual'!E89+parametros_recargas!$J$99*'Plan mensual'!E90+parametros_recargas!$K$99*'Plan mensual'!E91+parametros_recargas!$L$99*'Plan mensual'!E92</f>
        <v>119.967842579187</v>
      </c>
      <c r="D93" s="21" t="n">
        <f aca="false">parametros_recargas!$E$99*'Plan mensual'!F85+parametros_recargas!$F$99*'Plan mensual'!F86+parametros_recargas!$G$99*'Plan mensual'!F87+parametros_recargas!$H$99*'Plan mensual'!F88+parametros_recargas!$I$99*'Plan mensual'!F89+parametros_recargas!$J$99*'Plan mensual'!F90+parametros_recargas!$K$99*'Plan mensual'!F91+parametros_recargas!$L$99*'Plan mensual'!F92</f>
        <v>119.967842579187</v>
      </c>
      <c r="E93" s="21" t="n">
        <f aca="false">parametros_recargas!$E$99*'Plan mensual'!G85+parametros_recargas!$F$99*'Plan mensual'!G86+parametros_recargas!$G$99*'Plan mensual'!G87+parametros_recargas!$H$99*'Plan mensual'!G88+parametros_recargas!$I$99*'Plan mensual'!G89+parametros_recargas!$J$99*'Plan mensual'!G90+parametros_recargas!$K$99*'Plan mensual'!G91+parametros_recargas!$L$99*'Plan mensual'!G92</f>
        <v>119.967842579187</v>
      </c>
      <c r="F93" s="21" t="n">
        <f aca="false">parametros_recargas!$E$99*'Plan mensual'!H85+parametros_recargas!$F$99*'Plan mensual'!H86+parametros_recargas!$G$99*'Plan mensual'!H87+parametros_recargas!$H$99*'Plan mensual'!H88+parametros_recargas!$I$99*'Plan mensual'!H89+parametros_recargas!$J$99*'Plan mensual'!H90+parametros_recargas!$K$99*'Plan mensual'!H91+parametros_recargas!$L$99*'Plan mensual'!H92</f>
        <v>119.967842579187</v>
      </c>
      <c r="G93" s="21" t="n">
        <f aca="false">parametros_recargas!$E$99*'Plan mensual'!I85+parametros_recargas!$F$99*'Plan mensual'!I86+parametros_recargas!$G$99*'Plan mensual'!I87+parametros_recargas!$H$99*'Plan mensual'!I88+parametros_recargas!$I$99*'Plan mensual'!I89+parametros_recargas!$J$99*'Plan mensual'!I90+parametros_recargas!$K$99*'Plan mensual'!I91+parametros_recargas!$L$99*'Plan mensual'!I92</f>
        <v>119.967842579187</v>
      </c>
      <c r="H93" s="21" t="n">
        <f aca="false">parametros_recargas!$E$99*'Plan mensual'!J85+parametros_recargas!$F$99*'Plan mensual'!J86+parametros_recargas!$G$99*'Plan mensual'!J87+parametros_recargas!$H$99*'Plan mensual'!J88+parametros_recargas!$I$99*'Plan mensual'!J89+parametros_recargas!$J$99*'Plan mensual'!J90+parametros_recargas!$K$99*'Plan mensual'!J91+parametros_recargas!$L$99*'Plan mensual'!J92</f>
        <v>119.967842579187</v>
      </c>
      <c r="I93" s="21" t="n">
        <f aca="false">parametros_recargas!$E$99*'Plan mensual'!K85+parametros_recargas!$F$99*'Plan mensual'!K86+parametros_recargas!$G$99*'Plan mensual'!K87+parametros_recargas!$H$99*'Plan mensual'!K88+parametros_recargas!$I$99*'Plan mensual'!K89+parametros_recargas!$J$99*'Plan mensual'!K90+parametros_recargas!$K$99*'Plan mensual'!K91+parametros_recargas!$L$99*'Plan mensual'!K92</f>
        <v>119.967842579187</v>
      </c>
      <c r="J93" s="21" t="n">
        <f aca="false">parametros_recargas!$E$99*'Plan mensual'!L85+parametros_recargas!$F$99*'Plan mensual'!L86+parametros_recargas!$G$99*'Plan mensual'!L87+parametros_recargas!$H$99*'Plan mensual'!L88+parametros_recargas!$I$99*'Plan mensual'!L89+parametros_recargas!$J$99*'Plan mensual'!L90+parametros_recargas!$K$99*'Plan mensual'!L91+parametros_recargas!$L$99*'Plan mensual'!L92</f>
        <v>119.967842579187</v>
      </c>
      <c r="K93" s="21" t="n">
        <f aca="false">parametros_recargas!$E$99*'Plan mensual'!M85+parametros_recargas!$F$99*'Plan mensual'!M86+parametros_recargas!$G$99*'Plan mensual'!M87+parametros_recargas!$H$99*'Plan mensual'!M88+parametros_recargas!$I$99*'Plan mensual'!M89+parametros_recargas!$J$99*'Plan mensual'!M90+parametros_recargas!$K$99*'Plan mensual'!M91+parametros_recargas!$L$99*'Plan mensual'!M92</f>
        <v>119.967842579187</v>
      </c>
      <c r="L93" s="21" t="n">
        <f aca="false">parametros_recargas!$E$99*'Plan mensual'!N85+parametros_recargas!$F$99*'Plan mensual'!N86+parametros_recargas!$G$99*'Plan mensual'!N87+parametros_recargas!$H$99*'Plan mensual'!N88+parametros_recargas!$I$99*'Plan mensual'!N89+parametros_recargas!$J$99*'Plan mensual'!N90+parametros_recargas!$K$99*'Plan mensual'!N91+parametros_recargas!$L$99*'Plan mensual'!N92</f>
        <v>119.967842579187</v>
      </c>
      <c r="M93" s="21" t="n">
        <f aca="false">parametros_recargas!$E$99*'Plan mensual'!O85+parametros_recargas!$F$99*'Plan mensual'!O86+parametros_recargas!$G$99*'Plan mensual'!O87+parametros_recargas!$H$99*'Plan mensual'!O88+parametros_recargas!$I$99*'Plan mensual'!O89+parametros_recargas!$J$99*'Plan mensual'!O90+parametros_recargas!$K$99*'Plan mensual'!O91+parametros_recargas!$L$99*'Plan mensual'!O92</f>
        <v>119.967842579187</v>
      </c>
      <c r="N93" s="6" t="n">
        <f aca="false">SUM(B93:M93)</f>
        <v>1439.61411095025</v>
      </c>
      <c r="O93" s="22" t="n">
        <f aca="false">MAX(B93:M93)</f>
        <v>119.967842579187</v>
      </c>
      <c r="P93" s="12" t="n">
        <f aca="false">O93/parametros_recargas!$B$6</f>
        <v>0.799785617194582</v>
      </c>
    </row>
    <row r="94" customFormat="false" ht="15" hidden="false" customHeight="false" outlineLevel="0" collapsed="false">
      <c r="A94" s="8" t="str">
        <f aca="false">parametros_recargas!$B$100</f>
        <v>PH de mangueras (CO₂ y rodantes)</v>
      </c>
      <c r="B94" s="21" t="n">
        <f aca="false">'Plan mensual'!D93</f>
        <v>55.6134036120026</v>
      </c>
      <c r="C94" s="21" t="n">
        <f aca="false">'Plan mensual'!E93</f>
        <v>55.6134036120026</v>
      </c>
      <c r="D94" s="21" t="n">
        <f aca="false">'Plan mensual'!F93</f>
        <v>55.6134036120026</v>
      </c>
      <c r="E94" s="21" t="n">
        <f aca="false">'Plan mensual'!G93</f>
        <v>55.6134036120026</v>
      </c>
      <c r="F94" s="21" t="n">
        <f aca="false">'Plan mensual'!H93</f>
        <v>55.6134036120026</v>
      </c>
      <c r="G94" s="21" t="n">
        <f aca="false">'Plan mensual'!I93</f>
        <v>55.6134036120026</v>
      </c>
      <c r="H94" s="21" t="n">
        <f aca="false">'Plan mensual'!J93</f>
        <v>55.6134036120026</v>
      </c>
      <c r="I94" s="21" t="n">
        <f aca="false">'Plan mensual'!K93</f>
        <v>55.6134036120026</v>
      </c>
      <c r="J94" s="21" t="n">
        <f aca="false">'Plan mensual'!L93</f>
        <v>55.6134036120026</v>
      </c>
      <c r="K94" s="21" t="n">
        <f aca="false">'Plan mensual'!M93</f>
        <v>55.6134036120026</v>
      </c>
      <c r="L94" s="21" t="n">
        <f aca="false">'Plan mensual'!N93</f>
        <v>55.6134036120026</v>
      </c>
      <c r="M94" s="21" t="n">
        <f aca="false">'Plan mensual'!O93</f>
        <v>55.6134036120026</v>
      </c>
      <c r="N94" s="6" t="n">
        <f aca="false">SUM(B94:M94)</f>
        <v>667.360843344032</v>
      </c>
      <c r="O94" s="22" t="n">
        <f aca="false">MAX(B94:M94)</f>
        <v>55.6134036120026</v>
      </c>
      <c r="P94" s="12" t="n">
        <f aca="false">O94/parametros_recargas!$B$6</f>
        <v>0.370756024080018</v>
      </c>
    </row>
    <row r="97" customFormat="false" ht="23.85" hidden="false" customHeight="false" outlineLevel="0" collapsed="false">
      <c r="A97" s="2" t="s">
        <v>315</v>
      </c>
      <c r="B97" s="2" t="s">
        <v>130</v>
      </c>
      <c r="C97" s="2" t="s">
        <v>131</v>
      </c>
      <c r="D97" s="2" t="s">
        <v>132</v>
      </c>
      <c r="E97" s="2" t="s">
        <v>133</v>
      </c>
      <c r="F97" s="2" t="s">
        <v>134</v>
      </c>
      <c r="G97" s="2" t="s">
        <v>135</v>
      </c>
      <c r="H97" s="2" t="s">
        <v>136</v>
      </c>
      <c r="I97" s="2" t="s">
        <v>137</v>
      </c>
      <c r="J97" s="2" t="s">
        <v>138</v>
      </c>
      <c r="K97" s="2" t="s">
        <v>139</v>
      </c>
      <c r="L97" s="2" t="s">
        <v>140</v>
      </c>
      <c r="M97" s="2" t="s">
        <v>141</v>
      </c>
      <c r="N97" s="2" t="s">
        <v>310</v>
      </c>
      <c r="O97" s="2" t="s">
        <v>311</v>
      </c>
      <c r="P97" s="2" t="s">
        <v>312</v>
      </c>
    </row>
    <row r="98" customFormat="false" ht="15" hidden="false" customHeight="false" outlineLevel="0" collapsed="false">
      <c r="A98" s="8" t="str">
        <f aca="false">parametros_recargas!$B$72</f>
        <v>Recepción y registro</v>
      </c>
      <c r="B98" s="21" t="n">
        <f aca="false">parametros_recargas!$E$72*'Plan mensual'!D117+parametros_recargas!$F$72*'Plan mensual'!D118+parametros_recargas!$G$72*'Plan mensual'!D119+parametros_recargas!$H$72*'Plan mensual'!D120+parametros_recargas!$I$72*'Plan mensual'!D121+parametros_recargas!$J$72*'Plan mensual'!D122+parametros_recargas!$K$72*'Plan mensual'!D123+parametros_recargas!$L$72*'Plan mensual'!D124</f>
        <v>2828.65948301437</v>
      </c>
      <c r="C98" s="21" t="n">
        <f aca="false">parametros_recargas!$E$72*'Plan mensual'!E117+parametros_recargas!$F$72*'Plan mensual'!E118+parametros_recargas!$G$72*'Plan mensual'!E119+parametros_recargas!$H$72*'Plan mensual'!E120+parametros_recargas!$I$72*'Plan mensual'!E121+parametros_recargas!$J$72*'Plan mensual'!E122+parametros_recargas!$K$72*'Plan mensual'!E123+parametros_recargas!$L$72*'Plan mensual'!E124</f>
        <v>2828.65948301437</v>
      </c>
      <c r="D98" s="21" t="n">
        <f aca="false">parametros_recargas!$E$72*'Plan mensual'!F117+parametros_recargas!$F$72*'Plan mensual'!F118+parametros_recargas!$G$72*'Plan mensual'!F119+parametros_recargas!$H$72*'Plan mensual'!F120+parametros_recargas!$I$72*'Plan mensual'!F121+parametros_recargas!$J$72*'Plan mensual'!F122+parametros_recargas!$K$72*'Plan mensual'!F123+parametros_recargas!$L$72*'Plan mensual'!F124</f>
        <v>2828.65948301437</v>
      </c>
      <c r="E98" s="21" t="n">
        <f aca="false">parametros_recargas!$E$72*'Plan mensual'!G117+parametros_recargas!$F$72*'Plan mensual'!G118+parametros_recargas!$G$72*'Plan mensual'!G119+parametros_recargas!$H$72*'Plan mensual'!G120+parametros_recargas!$I$72*'Plan mensual'!G121+parametros_recargas!$J$72*'Plan mensual'!G122+parametros_recargas!$K$72*'Plan mensual'!G123+parametros_recargas!$L$72*'Plan mensual'!G124</f>
        <v>2828.65948301437</v>
      </c>
      <c r="F98" s="21" t="n">
        <f aca="false">parametros_recargas!$E$72*'Plan mensual'!H117+parametros_recargas!$F$72*'Plan mensual'!H118+parametros_recargas!$G$72*'Plan mensual'!H119+parametros_recargas!$H$72*'Plan mensual'!H120+parametros_recargas!$I$72*'Plan mensual'!H121+parametros_recargas!$J$72*'Plan mensual'!H122+parametros_recargas!$K$72*'Plan mensual'!H123+parametros_recargas!$L$72*'Plan mensual'!H124</f>
        <v>2828.65948301437</v>
      </c>
      <c r="G98" s="21" t="n">
        <f aca="false">parametros_recargas!$E$72*'Plan mensual'!I117+parametros_recargas!$F$72*'Plan mensual'!I118+parametros_recargas!$G$72*'Plan mensual'!I119+parametros_recargas!$H$72*'Plan mensual'!I120+parametros_recargas!$I$72*'Plan mensual'!I121+parametros_recargas!$J$72*'Plan mensual'!I122+parametros_recargas!$K$72*'Plan mensual'!I123+parametros_recargas!$L$72*'Plan mensual'!I124</f>
        <v>2828.65948301437</v>
      </c>
      <c r="H98" s="21" t="n">
        <f aca="false">parametros_recargas!$E$72*'Plan mensual'!J117+parametros_recargas!$F$72*'Plan mensual'!J118+parametros_recargas!$G$72*'Plan mensual'!J119+parametros_recargas!$H$72*'Plan mensual'!J120+parametros_recargas!$I$72*'Plan mensual'!J121+parametros_recargas!$J$72*'Plan mensual'!J122+parametros_recargas!$K$72*'Plan mensual'!J123+parametros_recargas!$L$72*'Plan mensual'!J124</f>
        <v>2828.65948301437</v>
      </c>
      <c r="I98" s="21" t="n">
        <f aca="false">parametros_recargas!$E$72*'Plan mensual'!K117+parametros_recargas!$F$72*'Plan mensual'!K118+parametros_recargas!$G$72*'Plan mensual'!K119+parametros_recargas!$H$72*'Plan mensual'!K120+parametros_recargas!$I$72*'Plan mensual'!K121+parametros_recargas!$J$72*'Plan mensual'!K122+parametros_recargas!$K$72*'Plan mensual'!K123+parametros_recargas!$L$72*'Plan mensual'!K124</f>
        <v>2828.65948301437</v>
      </c>
      <c r="J98" s="21" t="n">
        <f aca="false">parametros_recargas!$E$72*'Plan mensual'!L117+parametros_recargas!$F$72*'Plan mensual'!L118+parametros_recargas!$G$72*'Plan mensual'!L119+parametros_recargas!$H$72*'Plan mensual'!L120+parametros_recargas!$I$72*'Plan mensual'!L121+parametros_recargas!$J$72*'Plan mensual'!L122+parametros_recargas!$K$72*'Plan mensual'!L123+parametros_recargas!$L$72*'Plan mensual'!L124</f>
        <v>2828.65948301437</v>
      </c>
      <c r="K98" s="21" t="n">
        <f aca="false">parametros_recargas!$E$72*'Plan mensual'!M117+parametros_recargas!$F$72*'Plan mensual'!M118+parametros_recargas!$G$72*'Plan mensual'!M119+parametros_recargas!$H$72*'Plan mensual'!M120+parametros_recargas!$I$72*'Plan mensual'!M121+parametros_recargas!$J$72*'Plan mensual'!M122+parametros_recargas!$K$72*'Plan mensual'!M123+parametros_recargas!$L$72*'Plan mensual'!M124</f>
        <v>2828.65948301437</v>
      </c>
      <c r="L98" s="21" t="n">
        <f aca="false">parametros_recargas!$E$72*'Plan mensual'!N117+parametros_recargas!$F$72*'Plan mensual'!N118+parametros_recargas!$G$72*'Plan mensual'!N119+parametros_recargas!$H$72*'Plan mensual'!N120+parametros_recargas!$I$72*'Plan mensual'!N121+parametros_recargas!$J$72*'Plan mensual'!N122+parametros_recargas!$K$72*'Plan mensual'!N123+parametros_recargas!$L$72*'Plan mensual'!N124</f>
        <v>2828.65948301437</v>
      </c>
      <c r="M98" s="21" t="n">
        <f aca="false">parametros_recargas!$E$72*'Plan mensual'!O117+parametros_recargas!$F$72*'Plan mensual'!O118+parametros_recargas!$G$72*'Plan mensual'!O119+parametros_recargas!$H$72*'Plan mensual'!O120+parametros_recargas!$I$72*'Plan mensual'!O121+parametros_recargas!$J$72*'Plan mensual'!O122+parametros_recargas!$K$72*'Plan mensual'!O123+parametros_recargas!$L$72*'Plan mensual'!O124</f>
        <v>2828.65948301437</v>
      </c>
      <c r="N98" s="6" t="n">
        <f aca="false">SUM(B98:M98)</f>
        <v>33943.9137961725</v>
      </c>
      <c r="O98" s="22" t="n">
        <f aca="false">MAX(B98:M98)</f>
        <v>2828.65948301437</v>
      </c>
      <c r="P98" s="12" t="n">
        <f aca="false">O98/parametros_recargas!$B$6</f>
        <v>18.8577298867625</v>
      </c>
    </row>
    <row r="99" customFormat="false" ht="15" hidden="false" customHeight="false" outlineLevel="0" collapsed="false">
      <c r="A99" s="8" t="str">
        <f aca="false">parametros_recargas!$B$73</f>
        <v>Inspección visual</v>
      </c>
      <c r="B99" s="21" t="n">
        <f aca="false">parametros_recargas!$E$73*'Plan mensual'!D117+parametros_recargas!$F$73*'Plan mensual'!D118+parametros_recargas!$G$73*'Plan mensual'!D119+parametros_recargas!$H$73*'Plan mensual'!D120+parametros_recargas!$I$73*'Plan mensual'!D121+parametros_recargas!$J$73*'Plan mensual'!D122+parametros_recargas!$K$73*'Plan mensual'!D123+parametros_recargas!$L$73*'Plan mensual'!D124</f>
        <v>2828.65948301437</v>
      </c>
      <c r="C99" s="21" t="n">
        <f aca="false">parametros_recargas!$E$73*'Plan mensual'!E117+parametros_recargas!$F$73*'Plan mensual'!E118+parametros_recargas!$G$73*'Plan mensual'!E119+parametros_recargas!$H$73*'Plan mensual'!E120+parametros_recargas!$I$73*'Plan mensual'!E121+parametros_recargas!$J$73*'Plan mensual'!E122+parametros_recargas!$K$73*'Plan mensual'!E123+parametros_recargas!$L$73*'Plan mensual'!E124</f>
        <v>2828.65948301437</v>
      </c>
      <c r="D99" s="21" t="n">
        <f aca="false">parametros_recargas!$E$73*'Plan mensual'!F117+parametros_recargas!$F$73*'Plan mensual'!F118+parametros_recargas!$G$73*'Plan mensual'!F119+parametros_recargas!$H$73*'Plan mensual'!F120+parametros_recargas!$I$73*'Plan mensual'!F121+parametros_recargas!$J$73*'Plan mensual'!F122+parametros_recargas!$K$73*'Plan mensual'!F123+parametros_recargas!$L$73*'Plan mensual'!F124</f>
        <v>2828.65948301437</v>
      </c>
      <c r="E99" s="21" t="n">
        <f aca="false">parametros_recargas!$E$73*'Plan mensual'!G117+parametros_recargas!$F$73*'Plan mensual'!G118+parametros_recargas!$G$73*'Plan mensual'!G119+parametros_recargas!$H$73*'Plan mensual'!G120+parametros_recargas!$I$73*'Plan mensual'!G121+parametros_recargas!$J$73*'Plan mensual'!G122+parametros_recargas!$K$73*'Plan mensual'!G123+parametros_recargas!$L$73*'Plan mensual'!G124</f>
        <v>2828.65948301437</v>
      </c>
      <c r="F99" s="21" t="n">
        <f aca="false">parametros_recargas!$E$73*'Plan mensual'!H117+parametros_recargas!$F$73*'Plan mensual'!H118+parametros_recargas!$G$73*'Plan mensual'!H119+parametros_recargas!$H$73*'Plan mensual'!H120+parametros_recargas!$I$73*'Plan mensual'!H121+parametros_recargas!$J$73*'Plan mensual'!H122+parametros_recargas!$K$73*'Plan mensual'!H123+parametros_recargas!$L$73*'Plan mensual'!H124</f>
        <v>2828.65948301437</v>
      </c>
      <c r="G99" s="21" t="n">
        <f aca="false">parametros_recargas!$E$73*'Plan mensual'!I117+parametros_recargas!$F$73*'Plan mensual'!I118+parametros_recargas!$G$73*'Plan mensual'!I119+parametros_recargas!$H$73*'Plan mensual'!I120+parametros_recargas!$I$73*'Plan mensual'!I121+parametros_recargas!$J$73*'Plan mensual'!I122+parametros_recargas!$K$73*'Plan mensual'!I123+parametros_recargas!$L$73*'Plan mensual'!I124</f>
        <v>2828.65948301437</v>
      </c>
      <c r="H99" s="21" t="n">
        <f aca="false">parametros_recargas!$E$73*'Plan mensual'!J117+parametros_recargas!$F$73*'Plan mensual'!J118+parametros_recargas!$G$73*'Plan mensual'!J119+parametros_recargas!$H$73*'Plan mensual'!J120+parametros_recargas!$I$73*'Plan mensual'!J121+parametros_recargas!$J$73*'Plan mensual'!J122+parametros_recargas!$K$73*'Plan mensual'!J123+parametros_recargas!$L$73*'Plan mensual'!J124</f>
        <v>2828.65948301437</v>
      </c>
      <c r="I99" s="21" t="n">
        <f aca="false">parametros_recargas!$E$73*'Plan mensual'!K117+parametros_recargas!$F$73*'Plan mensual'!K118+parametros_recargas!$G$73*'Plan mensual'!K119+parametros_recargas!$H$73*'Plan mensual'!K120+parametros_recargas!$I$73*'Plan mensual'!K121+parametros_recargas!$J$73*'Plan mensual'!K122+parametros_recargas!$K$73*'Plan mensual'!K123+parametros_recargas!$L$73*'Plan mensual'!K124</f>
        <v>2828.65948301437</v>
      </c>
      <c r="J99" s="21" t="n">
        <f aca="false">parametros_recargas!$E$73*'Plan mensual'!L117+parametros_recargas!$F$73*'Plan mensual'!L118+parametros_recargas!$G$73*'Plan mensual'!L119+parametros_recargas!$H$73*'Plan mensual'!L120+parametros_recargas!$I$73*'Plan mensual'!L121+parametros_recargas!$J$73*'Plan mensual'!L122+parametros_recargas!$K$73*'Plan mensual'!L123+parametros_recargas!$L$73*'Plan mensual'!L124</f>
        <v>2828.65948301437</v>
      </c>
      <c r="K99" s="21" t="n">
        <f aca="false">parametros_recargas!$E$73*'Plan mensual'!M117+parametros_recargas!$F$73*'Plan mensual'!M118+parametros_recargas!$G$73*'Plan mensual'!M119+parametros_recargas!$H$73*'Plan mensual'!M120+parametros_recargas!$I$73*'Plan mensual'!M121+parametros_recargas!$J$73*'Plan mensual'!M122+parametros_recargas!$K$73*'Plan mensual'!M123+parametros_recargas!$L$73*'Plan mensual'!M124</f>
        <v>2828.65948301437</v>
      </c>
      <c r="L99" s="21" t="n">
        <f aca="false">parametros_recargas!$E$73*'Plan mensual'!N117+parametros_recargas!$F$73*'Plan mensual'!N118+parametros_recargas!$G$73*'Plan mensual'!N119+parametros_recargas!$H$73*'Plan mensual'!N120+parametros_recargas!$I$73*'Plan mensual'!N121+parametros_recargas!$J$73*'Plan mensual'!N122+parametros_recargas!$K$73*'Plan mensual'!N123+parametros_recargas!$L$73*'Plan mensual'!N124</f>
        <v>2828.65948301437</v>
      </c>
      <c r="M99" s="21" t="n">
        <f aca="false">parametros_recargas!$E$73*'Plan mensual'!O117+parametros_recargas!$F$73*'Plan mensual'!O118+parametros_recargas!$G$73*'Plan mensual'!O119+parametros_recargas!$H$73*'Plan mensual'!O120+parametros_recargas!$I$73*'Plan mensual'!O121+parametros_recargas!$J$73*'Plan mensual'!O122+parametros_recargas!$K$73*'Plan mensual'!O123+parametros_recargas!$L$73*'Plan mensual'!O124</f>
        <v>2828.65948301437</v>
      </c>
      <c r="N99" s="6" t="n">
        <f aca="false">SUM(B99:M99)</f>
        <v>33943.9137961725</v>
      </c>
      <c r="O99" s="22" t="n">
        <f aca="false">MAX(B99:M99)</f>
        <v>2828.65948301437</v>
      </c>
      <c r="P99" s="12" t="n">
        <f aca="false">O99/parametros_recargas!$B$6</f>
        <v>18.8577298867625</v>
      </c>
    </row>
    <row r="100" customFormat="false" ht="15" hidden="false" customHeight="false" outlineLevel="0" collapsed="false">
      <c r="A100" s="8" t="str">
        <f aca="false">parametros_recargas!$B$74</f>
        <v>Descarga ABC — ruta recuperable</v>
      </c>
      <c r="B100" s="21" t="n">
        <f aca="false">parametros_recargas!$E$74*'Plan mensual'!D117+parametros_recargas!$F$74*'Plan mensual'!D118+parametros_recargas!$G$74*'Plan mensual'!D119+parametros_recargas!$H$74*'Plan mensual'!D120+parametros_recargas!$I$74*'Plan mensual'!D121+parametros_recargas!$J$74*'Plan mensual'!D122+parametros_recargas!$K$74*'Plan mensual'!D123+parametros_recargas!$L$74*'Plan mensual'!D124</f>
        <v>2070.44094976252</v>
      </c>
      <c r="C100" s="21" t="n">
        <f aca="false">parametros_recargas!$E$74*'Plan mensual'!E117+parametros_recargas!$F$74*'Plan mensual'!E118+parametros_recargas!$G$74*'Plan mensual'!E119+parametros_recargas!$H$74*'Plan mensual'!E120+parametros_recargas!$I$74*'Plan mensual'!E121+parametros_recargas!$J$74*'Plan mensual'!E122+parametros_recargas!$K$74*'Plan mensual'!E123+parametros_recargas!$L$74*'Plan mensual'!E124</f>
        <v>2070.44094976252</v>
      </c>
      <c r="D100" s="21" t="n">
        <f aca="false">parametros_recargas!$E$74*'Plan mensual'!F117+parametros_recargas!$F$74*'Plan mensual'!F118+parametros_recargas!$G$74*'Plan mensual'!F119+parametros_recargas!$H$74*'Plan mensual'!F120+parametros_recargas!$I$74*'Plan mensual'!F121+parametros_recargas!$J$74*'Plan mensual'!F122+parametros_recargas!$K$74*'Plan mensual'!F123+parametros_recargas!$L$74*'Plan mensual'!F124</f>
        <v>2070.44094976252</v>
      </c>
      <c r="E100" s="21" t="n">
        <f aca="false">parametros_recargas!$E$74*'Plan mensual'!G117+parametros_recargas!$F$74*'Plan mensual'!G118+parametros_recargas!$G$74*'Plan mensual'!G119+parametros_recargas!$H$74*'Plan mensual'!G120+parametros_recargas!$I$74*'Plan mensual'!G121+parametros_recargas!$J$74*'Plan mensual'!G122+parametros_recargas!$K$74*'Plan mensual'!G123+parametros_recargas!$L$74*'Plan mensual'!G124</f>
        <v>2070.44094976252</v>
      </c>
      <c r="F100" s="21" t="n">
        <f aca="false">parametros_recargas!$E$74*'Plan mensual'!H117+parametros_recargas!$F$74*'Plan mensual'!H118+parametros_recargas!$G$74*'Plan mensual'!H119+parametros_recargas!$H$74*'Plan mensual'!H120+parametros_recargas!$I$74*'Plan mensual'!H121+parametros_recargas!$J$74*'Plan mensual'!H122+parametros_recargas!$K$74*'Plan mensual'!H123+parametros_recargas!$L$74*'Plan mensual'!H124</f>
        <v>2070.44094976252</v>
      </c>
      <c r="G100" s="21" t="n">
        <f aca="false">parametros_recargas!$E$74*'Plan mensual'!I117+parametros_recargas!$F$74*'Plan mensual'!I118+parametros_recargas!$G$74*'Plan mensual'!I119+parametros_recargas!$H$74*'Plan mensual'!I120+parametros_recargas!$I$74*'Plan mensual'!I121+parametros_recargas!$J$74*'Plan mensual'!I122+parametros_recargas!$K$74*'Plan mensual'!I123+parametros_recargas!$L$74*'Plan mensual'!I124</f>
        <v>2070.44094976252</v>
      </c>
      <c r="H100" s="21" t="n">
        <f aca="false">parametros_recargas!$E$74*'Plan mensual'!J117+parametros_recargas!$F$74*'Plan mensual'!J118+parametros_recargas!$G$74*'Plan mensual'!J119+parametros_recargas!$H$74*'Plan mensual'!J120+parametros_recargas!$I$74*'Plan mensual'!J121+parametros_recargas!$J$74*'Plan mensual'!J122+parametros_recargas!$K$74*'Plan mensual'!J123+parametros_recargas!$L$74*'Plan mensual'!J124</f>
        <v>2070.44094976252</v>
      </c>
      <c r="I100" s="21" t="n">
        <f aca="false">parametros_recargas!$E$74*'Plan mensual'!K117+parametros_recargas!$F$74*'Plan mensual'!K118+parametros_recargas!$G$74*'Plan mensual'!K119+parametros_recargas!$H$74*'Plan mensual'!K120+parametros_recargas!$I$74*'Plan mensual'!K121+parametros_recargas!$J$74*'Plan mensual'!K122+parametros_recargas!$K$74*'Plan mensual'!K123+parametros_recargas!$L$74*'Plan mensual'!K124</f>
        <v>2070.44094976252</v>
      </c>
      <c r="J100" s="21" t="n">
        <f aca="false">parametros_recargas!$E$74*'Plan mensual'!L117+parametros_recargas!$F$74*'Plan mensual'!L118+parametros_recargas!$G$74*'Plan mensual'!L119+parametros_recargas!$H$74*'Plan mensual'!L120+parametros_recargas!$I$74*'Plan mensual'!L121+parametros_recargas!$J$74*'Plan mensual'!L122+parametros_recargas!$K$74*'Plan mensual'!L123+parametros_recargas!$L$74*'Plan mensual'!L124</f>
        <v>2070.44094976252</v>
      </c>
      <c r="K100" s="21" t="n">
        <f aca="false">parametros_recargas!$E$74*'Plan mensual'!M117+parametros_recargas!$F$74*'Plan mensual'!M118+parametros_recargas!$G$74*'Plan mensual'!M119+parametros_recargas!$H$74*'Plan mensual'!M120+parametros_recargas!$I$74*'Plan mensual'!M121+parametros_recargas!$J$74*'Plan mensual'!M122+parametros_recargas!$K$74*'Plan mensual'!M123+parametros_recargas!$L$74*'Plan mensual'!M124</f>
        <v>2070.44094976252</v>
      </c>
      <c r="L100" s="21" t="n">
        <f aca="false">parametros_recargas!$E$74*'Plan mensual'!N117+parametros_recargas!$F$74*'Plan mensual'!N118+parametros_recargas!$G$74*'Plan mensual'!N119+parametros_recargas!$H$74*'Plan mensual'!N120+parametros_recargas!$I$74*'Plan mensual'!N121+parametros_recargas!$J$74*'Plan mensual'!N122+parametros_recargas!$K$74*'Plan mensual'!N123+parametros_recargas!$L$74*'Plan mensual'!N124</f>
        <v>2070.44094976252</v>
      </c>
      <c r="M100" s="21" t="n">
        <f aca="false">parametros_recargas!$E$74*'Plan mensual'!O117+parametros_recargas!$F$74*'Plan mensual'!O118+parametros_recargas!$G$74*'Plan mensual'!O119+parametros_recargas!$H$74*'Plan mensual'!O120+parametros_recargas!$I$74*'Plan mensual'!O121+parametros_recargas!$J$74*'Plan mensual'!O122+parametros_recargas!$K$74*'Plan mensual'!O123+parametros_recargas!$L$74*'Plan mensual'!O124</f>
        <v>2070.44094976252</v>
      </c>
      <c r="N100" s="6" t="n">
        <f aca="false">SUM(B100:M100)</f>
        <v>24845.2913971503</v>
      </c>
      <c r="O100" s="22" t="n">
        <f aca="false">MAX(B100:M100)</f>
        <v>2070.44094976252</v>
      </c>
      <c r="P100" s="12" t="n">
        <f aca="false">O100/parametros_recargas!$B$6</f>
        <v>13.8029396650835</v>
      </c>
    </row>
    <row r="101" customFormat="false" ht="15" hidden="false" customHeight="false" outlineLevel="0" collapsed="false">
      <c r="A101" s="8" t="str">
        <f aca="false">parametros_recargas!$B$75</f>
        <v>Descarga ABC — ruta descarte</v>
      </c>
      <c r="B101" s="21" t="n">
        <f aca="false">parametros_recargas!$E$75*'Plan mensual'!D117+parametros_recargas!$F$75*'Plan mensual'!D118+parametros_recargas!$G$75*'Plan mensual'!D119+parametros_recargas!$H$75*'Plan mensual'!D120+parametros_recargas!$I$75*'Plan mensual'!D121+parametros_recargas!$J$75*'Plan mensual'!D122+parametros_recargas!$K$75*'Plan mensual'!D123+parametros_recargas!$L$75*'Plan mensual'!D124</f>
        <v>243.581288207356</v>
      </c>
      <c r="C101" s="21" t="n">
        <f aca="false">parametros_recargas!$E$75*'Plan mensual'!E117+parametros_recargas!$F$75*'Plan mensual'!E118+parametros_recargas!$G$75*'Plan mensual'!E119+parametros_recargas!$H$75*'Plan mensual'!E120+parametros_recargas!$I$75*'Plan mensual'!E121+parametros_recargas!$J$75*'Plan mensual'!E122+parametros_recargas!$K$75*'Plan mensual'!E123+parametros_recargas!$L$75*'Plan mensual'!E124</f>
        <v>243.581288207356</v>
      </c>
      <c r="D101" s="21" t="n">
        <f aca="false">parametros_recargas!$E$75*'Plan mensual'!F117+parametros_recargas!$F$75*'Plan mensual'!F118+parametros_recargas!$G$75*'Plan mensual'!F119+parametros_recargas!$H$75*'Plan mensual'!F120+parametros_recargas!$I$75*'Plan mensual'!F121+parametros_recargas!$J$75*'Plan mensual'!F122+parametros_recargas!$K$75*'Plan mensual'!F123+parametros_recargas!$L$75*'Plan mensual'!F124</f>
        <v>243.581288207356</v>
      </c>
      <c r="E101" s="21" t="n">
        <f aca="false">parametros_recargas!$E$75*'Plan mensual'!G117+parametros_recargas!$F$75*'Plan mensual'!G118+parametros_recargas!$G$75*'Plan mensual'!G119+parametros_recargas!$H$75*'Plan mensual'!G120+parametros_recargas!$I$75*'Plan mensual'!G121+parametros_recargas!$J$75*'Plan mensual'!G122+parametros_recargas!$K$75*'Plan mensual'!G123+parametros_recargas!$L$75*'Plan mensual'!G124</f>
        <v>243.581288207356</v>
      </c>
      <c r="F101" s="21" t="n">
        <f aca="false">parametros_recargas!$E$75*'Plan mensual'!H117+parametros_recargas!$F$75*'Plan mensual'!H118+parametros_recargas!$G$75*'Plan mensual'!H119+parametros_recargas!$H$75*'Plan mensual'!H120+parametros_recargas!$I$75*'Plan mensual'!H121+parametros_recargas!$J$75*'Plan mensual'!H122+parametros_recargas!$K$75*'Plan mensual'!H123+parametros_recargas!$L$75*'Plan mensual'!H124</f>
        <v>243.581288207356</v>
      </c>
      <c r="G101" s="21" t="n">
        <f aca="false">parametros_recargas!$E$75*'Plan mensual'!I117+parametros_recargas!$F$75*'Plan mensual'!I118+parametros_recargas!$G$75*'Plan mensual'!I119+parametros_recargas!$H$75*'Plan mensual'!I120+parametros_recargas!$I$75*'Plan mensual'!I121+parametros_recargas!$J$75*'Plan mensual'!I122+parametros_recargas!$K$75*'Plan mensual'!I123+parametros_recargas!$L$75*'Plan mensual'!I124</f>
        <v>243.581288207356</v>
      </c>
      <c r="H101" s="21" t="n">
        <f aca="false">parametros_recargas!$E$75*'Plan mensual'!J117+parametros_recargas!$F$75*'Plan mensual'!J118+parametros_recargas!$G$75*'Plan mensual'!J119+parametros_recargas!$H$75*'Plan mensual'!J120+parametros_recargas!$I$75*'Plan mensual'!J121+parametros_recargas!$J$75*'Plan mensual'!J122+parametros_recargas!$K$75*'Plan mensual'!J123+parametros_recargas!$L$75*'Plan mensual'!J124</f>
        <v>243.581288207356</v>
      </c>
      <c r="I101" s="21" t="n">
        <f aca="false">parametros_recargas!$E$75*'Plan mensual'!K117+parametros_recargas!$F$75*'Plan mensual'!K118+parametros_recargas!$G$75*'Plan mensual'!K119+parametros_recargas!$H$75*'Plan mensual'!K120+parametros_recargas!$I$75*'Plan mensual'!K121+parametros_recargas!$J$75*'Plan mensual'!K122+parametros_recargas!$K$75*'Plan mensual'!K123+parametros_recargas!$L$75*'Plan mensual'!K124</f>
        <v>243.581288207356</v>
      </c>
      <c r="J101" s="21" t="n">
        <f aca="false">parametros_recargas!$E$75*'Plan mensual'!L117+parametros_recargas!$F$75*'Plan mensual'!L118+parametros_recargas!$G$75*'Plan mensual'!L119+parametros_recargas!$H$75*'Plan mensual'!L120+parametros_recargas!$I$75*'Plan mensual'!L121+parametros_recargas!$J$75*'Plan mensual'!L122+parametros_recargas!$K$75*'Plan mensual'!L123+parametros_recargas!$L$75*'Plan mensual'!L124</f>
        <v>243.581288207356</v>
      </c>
      <c r="K101" s="21" t="n">
        <f aca="false">parametros_recargas!$E$75*'Plan mensual'!M117+parametros_recargas!$F$75*'Plan mensual'!M118+parametros_recargas!$G$75*'Plan mensual'!M119+parametros_recargas!$H$75*'Plan mensual'!M120+parametros_recargas!$I$75*'Plan mensual'!M121+parametros_recargas!$J$75*'Plan mensual'!M122+parametros_recargas!$K$75*'Plan mensual'!M123+parametros_recargas!$L$75*'Plan mensual'!M124</f>
        <v>243.581288207356</v>
      </c>
      <c r="L101" s="21" t="n">
        <f aca="false">parametros_recargas!$E$75*'Plan mensual'!N117+parametros_recargas!$F$75*'Plan mensual'!N118+parametros_recargas!$G$75*'Plan mensual'!N119+parametros_recargas!$H$75*'Plan mensual'!N120+parametros_recargas!$I$75*'Plan mensual'!N121+parametros_recargas!$J$75*'Plan mensual'!N122+parametros_recargas!$K$75*'Plan mensual'!N123+parametros_recargas!$L$75*'Plan mensual'!N124</f>
        <v>243.581288207356</v>
      </c>
      <c r="M101" s="21" t="n">
        <f aca="false">parametros_recargas!$E$75*'Plan mensual'!O117+parametros_recargas!$F$75*'Plan mensual'!O118+parametros_recargas!$G$75*'Plan mensual'!O119+parametros_recargas!$H$75*'Plan mensual'!O120+parametros_recargas!$I$75*'Plan mensual'!O121+parametros_recargas!$J$75*'Plan mensual'!O122+parametros_recargas!$K$75*'Plan mensual'!O123+parametros_recargas!$L$75*'Plan mensual'!O124</f>
        <v>243.581288207356</v>
      </c>
      <c r="N101" s="6" t="n">
        <f aca="false">SUM(B101:M101)</f>
        <v>2922.97545848827</v>
      </c>
      <c r="O101" s="22" t="n">
        <f aca="false">MAX(B101:M101)</f>
        <v>243.581288207356</v>
      </c>
      <c r="P101" s="12" t="n">
        <f aca="false">O101/parametros_recargas!$B$6</f>
        <v>1.62387525471571</v>
      </c>
    </row>
    <row r="102" customFormat="false" ht="15" hidden="false" customHeight="false" outlineLevel="0" collapsed="false">
      <c r="A102" s="8" t="str">
        <f aca="false">parametros_recargas!$B$76</f>
        <v>Descarga BC</v>
      </c>
      <c r="B102" s="21" t="n">
        <f aca="false">parametros_recargas!$E$76*'Plan mensual'!D117+parametros_recargas!$F$76*'Plan mensual'!D118+parametros_recargas!$G$76*'Plan mensual'!D119+parametros_recargas!$H$76*'Plan mensual'!D120+parametros_recargas!$I$76*'Plan mensual'!D121+parametros_recargas!$J$76*'Plan mensual'!D122+parametros_recargas!$K$76*'Plan mensual'!D123+parametros_recargas!$L$76*'Plan mensual'!D124</f>
        <v>3.91453671869877</v>
      </c>
      <c r="C102" s="21" t="n">
        <f aca="false">parametros_recargas!$E$76*'Plan mensual'!E117+parametros_recargas!$F$76*'Plan mensual'!E118+parametros_recargas!$G$76*'Plan mensual'!E119+parametros_recargas!$H$76*'Plan mensual'!E120+parametros_recargas!$I$76*'Plan mensual'!E121+parametros_recargas!$J$76*'Plan mensual'!E122+parametros_recargas!$K$76*'Plan mensual'!E123+parametros_recargas!$L$76*'Plan mensual'!E124</f>
        <v>3.91453671869877</v>
      </c>
      <c r="D102" s="21" t="n">
        <f aca="false">parametros_recargas!$E$76*'Plan mensual'!F117+parametros_recargas!$F$76*'Plan mensual'!F118+parametros_recargas!$G$76*'Plan mensual'!F119+parametros_recargas!$H$76*'Plan mensual'!F120+parametros_recargas!$I$76*'Plan mensual'!F121+parametros_recargas!$J$76*'Plan mensual'!F122+parametros_recargas!$K$76*'Plan mensual'!F123+parametros_recargas!$L$76*'Plan mensual'!F124</f>
        <v>3.91453671869877</v>
      </c>
      <c r="E102" s="21" t="n">
        <f aca="false">parametros_recargas!$E$76*'Plan mensual'!G117+parametros_recargas!$F$76*'Plan mensual'!G118+parametros_recargas!$G$76*'Plan mensual'!G119+parametros_recargas!$H$76*'Plan mensual'!G120+parametros_recargas!$I$76*'Plan mensual'!G121+parametros_recargas!$J$76*'Plan mensual'!G122+parametros_recargas!$K$76*'Plan mensual'!G123+parametros_recargas!$L$76*'Plan mensual'!G124</f>
        <v>3.91453671869877</v>
      </c>
      <c r="F102" s="21" t="n">
        <f aca="false">parametros_recargas!$E$76*'Plan mensual'!H117+parametros_recargas!$F$76*'Plan mensual'!H118+parametros_recargas!$G$76*'Plan mensual'!H119+parametros_recargas!$H$76*'Plan mensual'!H120+parametros_recargas!$I$76*'Plan mensual'!H121+parametros_recargas!$J$76*'Plan mensual'!H122+parametros_recargas!$K$76*'Plan mensual'!H123+parametros_recargas!$L$76*'Plan mensual'!H124</f>
        <v>3.91453671869877</v>
      </c>
      <c r="G102" s="21" t="n">
        <f aca="false">parametros_recargas!$E$76*'Plan mensual'!I117+parametros_recargas!$F$76*'Plan mensual'!I118+parametros_recargas!$G$76*'Plan mensual'!I119+parametros_recargas!$H$76*'Plan mensual'!I120+parametros_recargas!$I$76*'Plan mensual'!I121+parametros_recargas!$J$76*'Plan mensual'!I122+parametros_recargas!$K$76*'Plan mensual'!I123+parametros_recargas!$L$76*'Plan mensual'!I124</f>
        <v>3.91453671869877</v>
      </c>
      <c r="H102" s="21" t="n">
        <f aca="false">parametros_recargas!$E$76*'Plan mensual'!J117+parametros_recargas!$F$76*'Plan mensual'!J118+parametros_recargas!$G$76*'Plan mensual'!J119+parametros_recargas!$H$76*'Plan mensual'!J120+parametros_recargas!$I$76*'Plan mensual'!J121+parametros_recargas!$J$76*'Plan mensual'!J122+parametros_recargas!$K$76*'Plan mensual'!J123+parametros_recargas!$L$76*'Plan mensual'!J124</f>
        <v>3.91453671869877</v>
      </c>
      <c r="I102" s="21" t="n">
        <f aca="false">parametros_recargas!$E$76*'Plan mensual'!K117+parametros_recargas!$F$76*'Plan mensual'!K118+parametros_recargas!$G$76*'Plan mensual'!K119+parametros_recargas!$H$76*'Plan mensual'!K120+parametros_recargas!$I$76*'Plan mensual'!K121+parametros_recargas!$J$76*'Plan mensual'!K122+parametros_recargas!$K$76*'Plan mensual'!K123+parametros_recargas!$L$76*'Plan mensual'!K124</f>
        <v>3.91453671869877</v>
      </c>
      <c r="J102" s="21" t="n">
        <f aca="false">parametros_recargas!$E$76*'Plan mensual'!L117+parametros_recargas!$F$76*'Plan mensual'!L118+parametros_recargas!$G$76*'Plan mensual'!L119+parametros_recargas!$H$76*'Plan mensual'!L120+parametros_recargas!$I$76*'Plan mensual'!L121+parametros_recargas!$J$76*'Plan mensual'!L122+parametros_recargas!$K$76*'Plan mensual'!L123+parametros_recargas!$L$76*'Plan mensual'!L124</f>
        <v>3.91453671869877</v>
      </c>
      <c r="K102" s="21" t="n">
        <f aca="false">parametros_recargas!$E$76*'Plan mensual'!M117+parametros_recargas!$F$76*'Plan mensual'!M118+parametros_recargas!$G$76*'Plan mensual'!M119+parametros_recargas!$H$76*'Plan mensual'!M120+parametros_recargas!$I$76*'Plan mensual'!M121+parametros_recargas!$J$76*'Plan mensual'!M122+parametros_recargas!$K$76*'Plan mensual'!M123+parametros_recargas!$L$76*'Plan mensual'!M124</f>
        <v>3.91453671869877</v>
      </c>
      <c r="L102" s="21" t="n">
        <f aca="false">parametros_recargas!$E$76*'Plan mensual'!N117+parametros_recargas!$F$76*'Plan mensual'!N118+parametros_recargas!$G$76*'Plan mensual'!N119+parametros_recargas!$H$76*'Plan mensual'!N120+parametros_recargas!$I$76*'Plan mensual'!N121+parametros_recargas!$J$76*'Plan mensual'!N122+parametros_recargas!$K$76*'Plan mensual'!N123+parametros_recargas!$L$76*'Plan mensual'!N124</f>
        <v>3.91453671869877</v>
      </c>
      <c r="M102" s="21" t="n">
        <f aca="false">parametros_recargas!$E$76*'Plan mensual'!O117+parametros_recargas!$F$76*'Plan mensual'!O118+parametros_recargas!$G$76*'Plan mensual'!O119+parametros_recargas!$H$76*'Plan mensual'!O120+parametros_recargas!$I$76*'Plan mensual'!O121+parametros_recargas!$J$76*'Plan mensual'!O122+parametros_recargas!$K$76*'Plan mensual'!O123+parametros_recargas!$L$76*'Plan mensual'!O124</f>
        <v>3.91453671869877</v>
      </c>
      <c r="N102" s="6" t="n">
        <f aca="false">SUM(B102:M102)</f>
        <v>46.9744406243852</v>
      </c>
      <c r="O102" s="22" t="n">
        <f aca="false">MAX(B102:M102)</f>
        <v>3.91453671869877</v>
      </c>
      <c r="P102" s="12" t="n">
        <f aca="false">O102/parametros_recargas!$B$6</f>
        <v>0.0260969114579918</v>
      </c>
    </row>
    <row r="103" customFormat="false" ht="15" hidden="false" customHeight="false" outlineLevel="0" collapsed="false">
      <c r="A103" s="8" t="str">
        <f aca="false">parametros_recargas!$B$77</f>
        <v>Descarga de agua / AFFF / sales K</v>
      </c>
      <c r="B103" s="21" t="n">
        <f aca="false">parametros_recargas!$E$77*'Plan mensual'!D117+parametros_recargas!$F$77*'Plan mensual'!D118+parametros_recargas!$G$77*'Plan mensual'!D119+parametros_recargas!$H$77*'Plan mensual'!D120+parametros_recargas!$I$77*'Plan mensual'!D121+parametros_recargas!$J$77*'Plan mensual'!D122+parametros_recargas!$K$77*'Plan mensual'!D123+parametros_recargas!$L$77*'Plan mensual'!D124</f>
        <v>133.197459671639</v>
      </c>
      <c r="C103" s="21" t="n">
        <f aca="false">parametros_recargas!$E$77*'Plan mensual'!E117+parametros_recargas!$F$77*'Plan mensual'!E118+parametros_recargas!$G$77*'Plan mensual'!E119+parametros_recargas!$H$77*'Plan mensual'!E120+parametros_recargas!$I$77*'Plan mensual'!E121+parametros_recargas!$J$77*'Plan mensual'!E122+parametros_recargas!$K$77*'Plan mensual'!E123+parametros_recargas!$L$77*'Plan mensual'!E124</f>
        <v>133.197459671639</v>
      </c>
      <c r="D103" s="21" t="n">
        <f aca="false">parametros_recargas!$E$77*'Plan mensual'!F117+parametros_recargas!$F$77*'Plan mensual'!F118+parametros_recargas!$G$77*'Plan mensual'!F119+parametros_recargas!$H$77*'Plan mensual'!F120+parametros_recargas!$I$77*'Plan mensual'!F121+parametros_recargas!$J$77*'Plan mensual'!F122+parametros_recargas!$K$77*'Plan mensual'!F123+parametros_recargas!$L$77*'Plan mensual'!F124</f>
        <v>133.197459671639</v>
      </c>
      <c r="E103" s="21" t="n">
        <f aca="false">parametros_recargas!$E$77*'Plan mensual'!G117+parametros_recargas!$F$77*'Plan mensual'!G118+parametros_recargas!$G$77*'Plan mensual'!G119+parametros_recargas!$H$77*'Plan mensual'!G120+parametros_recargas!$I$77*'Plan mensual'!G121+parametros_recargas!$J$77*'Plan mensual'!G122+parametros_recargas!$K$77*'Plan mensual'!G123+parametros_recargas!$L$77*'Plan mensual'!G124</f>
        <v>133.197459671639</v>
      </c>
      <c r="F103" s="21" t="n">
        <f aca="false">parametros_recargas!$E$77*'Plan mensual'!H117+parametros_recargas!$F$77*'Plan mensual'!H118+parametros_recargas!$G$77*'Plan mensual'!H119+parametros_recargas!$H$77*'Plan mensual'!H120+parametros_recargas!$I$77*'Plan mensual'!H121+parametros_recargas!$J$77*'Plan mensual'!H122+parametros_recargas!$K$77*'Plan mensual'!H123+parametros_recargas!$L$77*'Plan mensual'!H124</f>
        <v>133.197459671639</v>
      </c>
      <c r="G103" s="21" t="n">
        <f aca="false">parametros_recargas!$E$77*'Plan mensual'!I117+parametros_recargas!$F$77*'Plan mensual'!I118+parametros_recargas!$G$77*'Plan mensual'!I119+parametros_recargas!$H$77*'Plan mensual'!I120+parametros_recargas!$I$77*'Plan mensual'!I121+parametros_recargas!$J$77*'Plan mensual'!I122+parametros_recargas!$K$77*'Plan mensual'!I123+parametros_recargas!$L$77*'Plan mensual'!I124</f>
        <v>133.197459671639</v>
      </c>
      <c r="H103" s="21" t="n">
        <f aca="false">parametros_recargas!$E$77*'Plan mensual'!J117+parametros_recargas!$F$77*'Plan mensual'!J118+parametros_recargas!$G$77*'Plan mensual'!J119+parametros_recargas!$H$77*'Plan mensual'!J120+parametros_recargas!$I$77*'Plan mensual'!J121+parametros_recargas!$J$77*'Plan mensual'!J122+parametros_recargas!$K$77*'Plan mensual'!J123+parametros_recargas!$L$77*'Plan mensual'!J124</f>
        <v>133.197459671639</v>
      </c>
      <c r="I103" s="21" t="n">
        <f aca="false">parametros_recargas!$E$77*'Plan mensual'!K117+parametros_recargas!$F$77*'Plan mensual'!K118+parametros_recargas!$G$77*'Plan mensual'!K119+parametros_recargas!$H$77*'Plan mensual'!K120+parametros_recargas!$I$77*'Plan mensual'!K121+parametros_recargas!$J$77*'Plan mensual'!K122+parametros_recargas!$K$77*'Plan mensual'!K123+parametros_recargas!$L$77*'Plan mensual'!K124</f>
        <v>133.197459671639</v>
      </c>
      <c r="J103" s="21" t="n">
        <f aca="false">parametros_recargas!$E$77*'Plan mensual'!L117+parametros_recargas!$F$77*'Plan mensual'!L118+parametros_recargas!$G$77*'Plan mensual'!L119+parametros_recargas!$H$77*'Plan mensual'!L120+parametros_recargas!$I$77*'Plan mensual'!L121+parametros_recargas!$J$77*'Plan mensual'!L122+parametros_recargas!$K$77*'Plan mensual'!L123+parametros_recargas!$L$77*'Plan mensual'!L124</f>
        <v>133.197459671639</v>
      </c>
      <c r="K103" s="21" t="n">
        <f aca="false">parametros_recargas!$E$77*'Plan mensual'!M117+parametros_recargas!$F$77*'Plan mensual'!M118+parametros_recargas!$G$77*'Plan mensual'!M119+parametros_recargas!$H$77*'Plan mensual'!M120+parametros_recargas!$I$77*'Plan mensual'!M121+parametros_recargas!$J$77*'Plan mensual'!M122+parametros_recargas!$K$77*'Plan mensual'!M123+parametros_recargas!$L$77*'Plan mensual'!M124</f>
        <v>133.197459671639</v>
      </c>
      <c r="L103" s="21" t="n">
        <f aca="false">parametros_recargas!$E$77*'Plan mensual'!N117+parametros_recargas!$F$77*'Plan mensual'!N118+parametros_recargas!$G$77*'Plan mensual'!N119+parametros_recargas!$H$77*'Plan mensual'!N120+parametros_recargas!$I$77*'Plan mensual'!N121+parametros_recargas!$J$77*'Plan mensual'!N122+parametros_recargas!$K$77*'Plan mensual'!N123+parametros_recargas!$L$77*'Plan mensual'!N124</f>
        <v>133.197459671639</v>
      </c>
      <c r="M103" s="21" t="n">
        <f aca="false">parametros_recargas!$E$77*'Plan mensual'!O117+parametros_recargas!$F$77*'Plan mensual'!O118+parametros_recargas!$G$77*'Plan mensual'!O119+parametros_recargas!$H$77*'Plan mensual'!O120+parametros_recargas!$I$77*'Plan mensual'!O121+parametros_recargas!$J$77*'Plan mensual'!O122+parametros_recargas!$K$77*'Plan mensual'!O123+parametros_recargas!$L$77*'Plan mensual'!O124</f>
        <v>133.197459671639</v>
      </c>
      <c r="N103" s="6" t="n">
        <f aca="false">SUM(B103:M103)</f>
        <v>1598.36951605967</v>
      </c>
      <c r="O103" s="22" t="n">
        <f aca="false">MAX(B103:M103)</f>
        <v>133.197459671639</v>
      </c>
      <c r="P103" s="12" t="n">
        <f aca="false">O103/parametros_recargas!$B$6</f>
        <v>0.887983064477595</v>
      </c>
    </row>
    <row r="104" customFormat="false" ht="15" hidden="false" customHeight="false" outlineLevel="0" collapsed="false">
      <c r="A104" s="8" t="str">
        <f aca="false">parametros_recargas!$B$78</f>
        <v>Recuperación de CO₂</v>
      </c>
      <c r="B104" s="21" t="n">
        <f aca="false">parametros_recargas!$E$78*'Plan mensual'!D117+parametros_recargas!$F$78*'Plan mensual'!D118+parametros_recargas!$G$78*'Plan mensual'!D119+parametros_recargas!$H$78*'Plan mensual'!D120+parametros_recargas!$I$78*'Plan mensual'!D121+parametros_recargas!$J$78*'Plan mensual'!D122+parametros_recargas!$K$78*'Plan mensual'!D123+parametros_recargas!$L$78*'Plan mensual'!D124</f>
        <v>60.5953123703169</v>
      </c>
      <c r="C104" s="21" t="n">
        <f aca="false">parametros_recargas!$E$78*'Plan mensual'!E117+parametros_recargas!$F$78*'Plan mensual'!E118+parametros_recargas!$G$78*'Plan mensual'!E119+parametros_recargas!$H$78*'Plan mensual'!E120+parametros_recargas!$I$78*'Plan mensual'!E121+parametros_recargas!$J$78*'Plan mensual'!E122+parametros_recargas!$K$78*'Plan mensual'!E123+parametros_recargas!$L$78*'Plan mensual'!E124</f>
        <v>60.5953123703169</v>
      </c>
      <c r="D104" s="21" t="n">
        <f aca="false">parametros_recargas!$E$78*'Plan mensual'!F117+parametros_recargas!$F$78*'Plan mensual'!F118+parametros_recargas!$G$78*'Plan mensual'!F119+parametros_recargas!$H$78*'Plan mensual'!F120+parametros_recargas!$I$78*'Plan mensual'!F121+parametros_recargas!$J$78*'Plan mensual'!F122+parametros_recargas!$K$78*'Plan mensual'!F123+parametros_recargas!$L$78*'Plan mensual'!F124</f>
        <v>60.5953123703169</v>
      </c>
      <c r="E104" s="21" t="n">
        <f aca="false">parametros_recargas!$E$78*'Plan mensual'!G117+parametros_recargas!$F$78*'Plan mensual'!G118+parametros_recargas!$G$78*'Plan mensual'!G119+parametros_recargas!$H$78*'Plan mensual'!G120+parametros_recargas!$I$78*'Plan mensual'!G121+parametros_recargas!$J$78*'Plan mensual'!G122+parametros_recargas!$K$78*'Plan mensual'!G123+parametros_recargas!$L$78*'Plan mensual'!G124</f>
        <v>60.5953123703169</v>
      </c>
      <c r="F104" s="21" t="n">
        <f aca="false">parametros_recargas!$E$78*'Plan mensual'!H117+parametros_recargas!$F$78*'Plan mensual'!H118+parametros_recargas!$G$78*'Plan mensual'!H119+parametros_recargas!$H$78*'Plan mensual'!H120+parametros_recargas!$I$78*'Plan mensual'!H121+parametros_recargas!$J$78*'Plan mensual'!H122+parametros_recargas!$K$78*'Plan mensual'!H123+parametros_recargas!$L$78*'Plan mensual'!H124</f>
        <v>60.5953123703169</v>
      </c>
      <c r="G104" s="21" t="n">
        <f aca="false">parametros_recargas!$E$78*'Plan mensual'!I117+parametros_recargas!$F$78*'Plan mensual'!I118+parametros_recargas!$G$78*'Plan mensual'!I119+parametros_recargas!$H$78*'Plan mensual'!I120+parametros_recargas!$I$78*'Plan mensual'!I121+parametros_recargas!$J$78*'Plan mensual'!I122+parametros_recargas!$K$78*'Plan mensual'!I123+parametros_recargas!$L$78*'Plan mensual'!I124</f>
        <v>60.5953123703169</v>
      </c>
      <c r="H104" s="21" t="n">
        <f aca="false">parametros_recargas!$E$78*'Plan mensual'!J117+parametros_recargas!$F$78*'Plan mensual'!J118+parametros_recargas!$G$78*'Plan mensual'!J119+parametros_recargas!$H$78*'Plan mensual'!J120+parametros_recargas!$I$78*'Plan mensual'!J121+parametros_recargas!$J$78*'Plan mensual'!J122+parametros_recargas!$K$78*'Plan mensual'!J123+parametros_recargas!$L$78*'Plan mensual'!J124</f>
        <v>60.5953123703169</v>
      </c>
      <c r="I104" s="21" t="n">
        <f aca="false">parametros_recargas!$E$78*'Plan mensual'!K117+parametros_recargas!$F$78*'Plan mensual'!K118+parametros_recargas!$G$78*'Plan mensual'!K119+parametros_recargas!$H$78*'Plan mensual'!K120+parametros_recargas!$I$78*'Plan mensual'!K121+parametros_recargas!$J$78*'Plan mensual'!K122+parametros_recargas!$K$78*'Plan mensual'!K123+parametros_recargas!$L$78*'Plan mensual'!K124</f>
        <v>60.5953123703169</v>
      </c>
      <c r="J104" s="21" t="n">
        <f aca="false">parametros_recargas!$E$78*'Plan mensual'!L117+parametros_recargas!$F$78*'Plan mensual'!L118+parametros_recargas!$G$78*'Plan mensual'!L119+parametros_recargas!$H$78*'Plan mensual'!L120+parametros_recargas!$I$78*'Plan mensual'!L121+parametros_recargas!$J$78*'Plan mensual'!L122+parametros_recargas!$K$78*'Plan mensual'!L123+parametros_recargas!$L$78*'Plan mensual'!L124</f>
        <v>60.5953123703169</v>
      </c>
      <c r="K104" s="21" t="n">
        <f aca="false">parametros_recargas!$E$78*'Plan mensual'!M117+parametros_recargas!$F$78*'Plan mensual'!M118+parametros_recargas!$G$78*'Plan mensual'!M119+parametros_recargas!$H$78*'Plan mensual'!M120+parametros_recargas!$I$78*'Plan mensual'!M121+parametros_recargas!$J$78*'Plan mensual'!M122+parametros_recargas!$K$78*'Plan mensual'!M123+parametros_recargas!$L$78*'Plan mensual'!M124</f>
        <v>60.5953123703169</v>
      </c>
      <c r="L104" s="21" t="n">
        <f aca="false">parametros_recargas!$E$78*'Plan mensual'!N117+parametros_recargas!$F$78*'Plan mensual'!N118+parametros_recargas!$G$78*'Plan mensual'!N119+parametros_recargas!$H$78*'Plan mensual'!N120+parametros_recargas!$I$78*'Plan mensual'!N121+parametros_recargas!$J$78*'Plan mensual'!N122+parametros_recargas!$K$78*'Plan mensual'!N123+parametros_recargas!$L$78*'Plan mensual'!N124</f>
        <v>60.5953123703169</v>
      </c>
      <c r="M104" s="21" t="n">
        <f aca="false">parametros_recargas!$E$78*'Plan mensual'!O117+parametros_recargas!$F$78*'Plan mensual'!O118+parametros_recargas!$G$78*'Plan mensual'!O119+parametros_recargas!$H$78*'Plan mensual'!O120+parametros_recargas!$I$78*'Plan mensual'!O121+parametros_recargas!$J$78*'Plan mensual'!O122+parametros_recargas!$K$78*'Plan mensual'!O123+parametros_recargas!$L$78*'Plan mensual'!O124</f>
        <v>60.5953123703169</v>
      </c>
      <c r="N104" s="6" t="n">
        <f aca="false">SUM(B104:M104)</f>
        <v>727.143748443803</v>
      </c>
      <c r="O104" s="22" t="n">
        <f aca="false">MAX(B104:M104)</f>
        <v>60.5953123703169</v>
      </c>
      <c r="P104" s="12" t="n">
        <f aca="false">O104/parametros_recargas!$B$6</f>
        <v>0.403968749135446</v>
      </c>
    </row>
    <row r="105" customFormat="false" ht="15" hidden="false" customHeight="false" outlineLevel="0" collapsed="false">
      <c r="A105" s="8" t="str">
        <f aca="false">parametros_recargas!$B$79</f>
        <v>Recuperación de halogenado</v>
      </c>
      <c r="B105" s="21" t="n">
        <f aca="false">parametros_recargas!$E$79*'Plan mensual'!D117+parametros_recargas!$F$79*'Plan mensual'!D118+parametros_recargas!$G$79*'Plan mensual'!D119+parametros_recargas!$H$79*'Plan mensual'!D120+parametros_recargas!$I$79*'Plan mensual'!D121+parametros_recargas!$J$79*'Plan mensual'!D122+parametros_recargas!$K$79*'Plan mensual'!D123+parametros_recargas!$L$79*'Plan mensual'!D124</f>
        <v>2.42709974109219</v>
      </c>
      <c r="C105" s="21" t="n">
        <f aca="false">parametros_recargas!$E$79*'Plan mensual'!E117+parametros_recargas!$F$79*'Plan mensual'!E118+parametros_recargas!$G$79*'Plan mensual'!E119+parametros_recargas!$H$79*'Plan mensual'!E120+parametros_recargas!$I$79*'Plan mensual'!E121+parametros_recargas!$J$79*'Plan mensual'!E122+parametros_recargas!$K$79*'Plan mensual'!E123+parametros_recargas!$L$79*'Plan mensual'!E124</f>
        <v>2.42709974109219</v>
      </c>
      <c r="D105" s="21" t="n">
        <f aca="false">parametros_recargas!$E$79*'Plan mensual'!F117+parametros_recargas!$F$79*'Plan mensual'!F118+parametros_recargas!$G$79*'Plan mensual'!F119+parametros_recargas!$H$79*'Plan mensual'!F120+parametros_recargas!$I$79*'Plan mensual'!F121+parametros_recargas!$J$79*'Plan mensual'!F122+parametros_recargas!$K$79*'Plan mensual'!F123+parametros_recargas!$L$79*'Plan mensual'!F124</f>
        <v>2.42709974109219</v>
      </c>
      <c r="E105" s="21" t="n">
        <f aca="false">parametros_recargas!$E$79*'Plan mensual'!G117+parametros_recargas!$F$79*'Plan mensual'!G118+parametros_recargas!$G$79*'Plan mensual'!G119+parametros_recargas!$H$79*'Plan mensual'!G120+parametros_recargas!$I$79*'Plan mensual'!G121+parametros_recargas!$J$79*'Plan mensual'!G122+parametros_recargas!$K$79*'Plan mensual'!G123+parametros_recargas!$L$79*'Plan mensual'!G124</f>
        <v>2.42709974109219</v>
      </c>
      <c r="F105" s="21" t="n">
        <f aca="false">parametros_recargas!$E$79*'Plan mensual'!H117+parametros_recargas!$F$79*'Plan mensual'!H118+parametros_recargas!$G$79*'Plan mensual'!H119+parametros_recargas!$H$79*'Plan mensual'!H120+parametros_recargas!$I$79*'Plan mensual'!H121+parametros_recargas!$J$79*'Plan mensual'!H122+parametros_recargas!$K$79*'Plan mensual'!H123+parametros_recargas!$L$79*'Plan mensual'!H124</f>
        <v>2.42709974109219</v>
      </c>
      <c r="G105" s="21" t="n">
        <f aca="false">parametros_recargas!$E$79*'Plan mensual'!I117+parametros_recargas!$F$79*'Plan mensual'!I118+parametros_recargas!$G$79*'Plan mensual'!I119+parametros_recargas!$H$79*'Plan mensual'!I120+parametros_recargas!$I$79*'Plan mensual'!I121+parametros_recargas!$J$79*'Plan mensual'!I122+parametros_recargas!$K$79*'Plan mensual'!I123+parametros_recargas!$L$79*'Plan mensual'!I124</f>
        <v>2.42709974109219</v>
      </c>
      <c r="H105" s="21" t="n">
        <f aca="false">parametros_recargas!$E$79*'Plan mensual'!J117+parametros_recargas!$F$79*'Plan mensual'!J118+parametros_recargas!$G$79*'Plan mensual'!J119+parametros_recargas!$H$79*'Plan mensual'!J120+parametros_recargas!$I$79*'Plan mensual'!J121+parametros_recargas!$J$79*'Plan mensual'!J122+parametros_recargas!$K$79*'Plan mensual'!J123+parametros_recargas!$L$79*'Plan mensual'!J124</f>
        <v>2.42709974109219</v>
      </c>
      <c r="I105" s="21" t="n">
        <f aca="false">parametros_recargas!$E$79*'Plan mensual'!K117+parametros_recargas!$F$79*'Plan mensual'!K118+parametros_recargas!$G$79*'Plan mensual'!K119+parametros_recargas!$H$79*'Plan mensual'!K120+parametros_recargas!$I$79*'Plan mensual'!K121+parametros_recargas!$J$79*'Plan mensual'!K122+parametros_recargas!$K$79*'Plan mensual'!K123+parametros_recargas!$L$79*'Plan mensual'!K124</f>
        <v>2.42709974109219</v>
      </c>
      <c r="J105" s="21" t="n">
        <f aca="false">parametros_recargas!$E$79*'Plan mensual'!L117+parametros_recargas!$F$79*'Plan mensual'!L118+parametros_recargas!$G$79*'Plan mensual'!L119+parametros_recargas!$H$79*'Plan mensual'!L120+parametros_recargas!$I$79*'Plan mensual'!L121+parametros_recargas!$J$79*'Plan mensual'!L122+parametros_recargas!$K$79*'Plan mensual'!L123+parametros_recargas!$L$79*'Plan mensual'!L124</f>
        <v>2.42709974109219</v>
      </c>
      <c r="K105" s="21" t="n">
        <f aca="false">parametros_recargas!$E$79*'Plan mensual'!M117+parametros_recargas!$F$79*'Plan mensual'!M118+parametros_recargas!$G$79*'Plan mensual'!M119+parametros_recargas!$H$79*'Plan mensual'!M120+parametros_recargas!$I$79*'Plan mensual'!M121+parametros_recargas!$J$79*'Plan mensual'!M122+parametros_recargas!$K$79*'Plan mensual'!M123+parametros_recargas!$L$79*'Plan mensual'!M124</f>
        <v>2.42709974109219</v>
      </c>
      <c r="L105" s="21" t="n">
        <f aca="false">parametros_recargas!$E$79*'Plan mensual'!N117+parametros_recargas!$F$79*'Plan mensual'!N118+parametros_recargas!$G$79*'Plan mensual'!N119+parametros_recargas!$H$79*'Plan mensual'!N120+parametros_recargas!$I$79*'Plan mensual'!N121+parametros_recargas!$J$79*'Plan mensual'!N122+parametros_recargas!$K$79*'Plan mensual'!N123+parametros_recargas!$L$79*'Plan mensual'!N124</f>
        <v>2.42709974109219</v>
      </c>
      <c r="M105" s="21" t="n">
        <f aca="false">parametros_recargas!$E$79*'Plan mensual'!O117+parametros_recargas!$F$79*'Plan mensual'!O118+parametros_recargas!$G$79*'Plan mensual'!O119+parametros_recargas!$H$79*'Plan mensual'!O120+parametros_recargas!$I$79*'Plan mensual'!O121+parametros_recargas!$J$79*'Plan mensual'!O122+parametros_recargas!$K$79*'Plan mensual'!O123+parametros_recargas!$L$79*'Plan mensual'!O124</f>
        <v>2.42709974109219</v>
      </c>
      <c r="N105" s="6" t="n">
        <f aca="false">SUM(B105:M105)</f>
        <v>29.1251968931063</v>
      </c>
      <c r="O105" s="22" t="n">
        <f aca="false">MAX(B105:M105)</f>
        <v>2.42709974109219</v>
      </c>
      <c r="P105" s="12" t="n">
        <f aca="false">O105/parametros_recargas!$B$6</f>
        <v>0.0161806649406146</v>
      </c>
    </row>
    <row r="106" customFormat="false" ht="15" hidden="false" customHeight="false" outlineLevel="0" collapsed="false">
      <c r="A106" s="8" t="str">
        <f aca="false">parametros_recargas!$B$80</f>
        <v>Desarme y limpieza — recinto</v>
      </c>
      <c r="B106" s="21" t="n">
        <f aca="false">parametros_recargas!$E$80*'Plan mensual'!D117+parametros_recargas!$F$80*'Plan mensual'!D118+parametros_recargas!$G$80*'Plan mensual'!D119+parametros_recargas!$H$80*'Plan mensual'!D120+parametros_recargas!$I$80*'Plan mensual'!D121+parametros_recargas!$J$80*'Plan mensual'!D122+parametros_recargas!$K$80*'Plan mensual'!D123+parametros_recargas!$L$80*'Plan mensual'!D124</f>
        <v>2443.3723748971</v>
      </c>
      <c r="C106" s="21" t="n">
        <f aca="false">parametros_recargas!$E$80*'Plan mensual'!E117+parametros_recargas!$F$80*'Plan mensual'!E118+parametros_recargas!$G$80*'Plan mensual'!E119+parametros_recargas!$H$80*'Plan mensual'!E120+parametros_recargas!$I$80*'Plan mensual'!E121+parametros_recargas!$J$80*'Plan mensual'!E122+parametros_recargas!$K$80*'Plan mensual'!E123+parametros_recargas!$L$80*'Plan mensual'!E124</f>
        <v>2443.3723748971</v>
      </c>
      <c r="D106" s="21" t="n">
        <f aca="false">parametros_recargas!$E$80*'Plan mensual'!F117+parametros_recargas!$F$80*'Plan mensual'!F118+parametros_recargas!$G$80*'Plan mensual'!F119+parametros_recargas!$H$80*'Plan mensual'!F120+parametros_recargas!$I$80*'Plan mensual'!F121+parametros_recargas!$J$80*'Plan mensual'!F122+parametros_recargas!$K$80*'Plan mensual'!F123+parametros_recargas!$L$80*'Plan mensual'!F124</f>
        <v>2443.3723748971</v>
      </c>
      <c r="E106" s="21" t="n">
        <f aca="false">parametros_recargas!$E$80*'Plan mensual'!G117+parametros_recargas!$F$80*'Plan mensual'!G118+parametros_recargas!$G$80*'Plan mensual'!G119+parametros_recargas!$H$80*'Plan mensual'!G120+parametros_recargas!$I$80*'Plan mensual'!G121+parametros_recargas!$J$80*'Plan mensual'!G122+parametros_recargas!$K$80*'Plan mensual'!G123+parametros_recargas!$L$80*'Plan mensual'!G124</f>
        <v>2443.3723748971</v>
      </c>
      <c r="F106" s="21" t="n">
        <f aca="false">parametros_recargas!$E$80*'Plan mensual'!H117+parametros_recargas!$F$80*'Plan mensual'!H118+parametros_recargas!$G$80*'Plan mensual'!H119+parametros_recargas!$H$80*'Plan mensual'!H120+parametros_recargas!$I$80*'Plan mensual'!H121+parametros_recargas!$J$80*'Plan mensual'!H122+parametros_recargas!$K$80*'Plan mensual'!H123+parametros_recargas!$L$80*'Plan mensual'!H124</f>
        <v>2443.3723748971</v>
      </c>
      <c r="G106" s="21" t="n">
        <f aca="false">parametros_recargas!$E$80*'Plan mensual'!I117+parametros_recargas!$F$80*'Plan mensual'!I118+parametros_recargas!$G$80*'Plan mensual'!I119+parametros_recargas!$H$80*'Plan mensual'!I120+parametros_recargas!$I$80*'Plan mensual'!I121+parametros_recargas!$J$80*'Plan mensual'!I122+parametros_recargas!$K$80*'Plan mensual'!I123+parametros_recargas!$L$80*'Plan mensual'!I124</f>
        <v>2443.3723748971</v>
      </c>
      <c r="H106" s="21" t="n">
        <f aca="false">parametros_recargas!$E$80*'Plan mensual'!J117+parametros_recargas!$F$80*'Plan mensual'!J118+parametros_recargas!$G$80*'Plan mensual'!J119+parametros_recargas!$H$80*'Plan mensual'!J120+parametros_recargas!$I$80*'Plan mensual'!J121+parametros_recargas!$J$80*'Plan mensual'!J122+parametros_recargas!$K$80*'Plan mensual'!J123+parametros_recargas!$L$80*'Plan mensual'!J124</f>
        <v>2443.3723748971</v>
      </c>
      <c r="I106" s="21" t="n">
        <f aca="false">parametros_recargas!$E$80*'Plan mensual'!K117+parametros_recargas!$F$80*'Plan mensual'!K118+parametros_recargas!$G$80*'Plan mensual'!K119+parametros_recargas!$H$80*'Plan mensual'!K120+parametros_recargas!$I$80*'Plan mensual'!K121+parametros_recargas!$J$80*'Plan mensual'!K122+parametros_recargas!$K$80*'Plan mensual'!K123+parametros_recargas!$L$80*'Plan mensual'!K124</f>
        <v>2443.3723748971</v>
      </c>
      <c r="J106" s="21" t="n">
        <f aca="false">parametros_recargas!$E$80*'Plan mensual'!L117+parametros_recargas!$F$80*'Plan mensual'!L118+parametros_recargas!$G$80*'Plan mensual'!L119+parametros_recargas!$H$80*'Plan mensual'!L120+parametros_recargas!$I$80*'Plan mensual'!L121+parametros_recargas!$J$80*'Plan mensual'!L122+parametros_recargas!$K$80*'Plan mensual'!L123+parametros_recargas!$L$80*'Plan mensual'!L124</f>
        <v>2443.3723748971</v>
      </c>
      <c r="K106" s="21" t="n">
        <f aca="false">parametros_recargas!$E$80*'Plan mensual'!M117+parametros_recargas!$F$80*'Plan mensual'!M118+parametros_recargas!$G$80*'Plan mensual'!M119+parametros_recargas!$H$80*'Plan mensual'!M120+parametros_recargas!$I$80*'Plan mensual'!M121+parametros_recargas!$J$80*'Plan mensual'!M122+parametros_recargas!$K$80*'Plan mensual'!M123+parametros_recargas!$L$80*'Plan mensual'!M124</f>
        <v>2443.3723748971</v>
      </c>
      <c r="L106" s="21" t="n">
        <f aca="false">parametros_recargas!$E$80*'Plan mensual'!N117+parametros_recargas!$F$80*'Plan mensual'!N118+parametros_recargas!$G$80*'Plan mensual'!N119+parametros_recargas!$H$80*'Plan mensual'!N120+parametros_recargas!$I$80*'Plan mensual'!N121+parametros_recargas!$J$80*'Plan mensual'!N122+parametros_recargas!$K$80*'Plan mensual'!N123+parametros_recargas!$L$80*'Plan mensual'!N124</f>
        <v>2443.3723748971</v>
      </c>
      <c r="M106" s="21" t="n">
        <f aca="false">parametros_recargas!$E$80*'Plan mensual'!O117+parametros_recargas!$F$80*'Plan mensual'!O118+parametros_recargas!$G$80*'Plan mensual'!O119+parametros_recargas!$H$80*'Plan mensual'!O120+parametros_recargas!$I$80*'Plan mensual'!O121+parametros_recargas!$J$80*'Plan mensual'!O122+parametros_recargas!$K$80*'Plan mensual'!O123+parametros_recargas!$L$80*'Plan mensual'!O124</f>
        <v>2443.3723748971</v>
      </c>
      <c r="N106" s="6" t="n">
        <f aca="false">SUM(B106:M106)</f>
        <v>29320.4684987652</v>
      </c>
      <c r="O106" s="22" t="n">
        <f aca="false">MAX(B106:M106)</f>
        <v>2443.3723748971</v>
      </c>
      <c r="P106" s="12" t="n">
        <f aca="false">O106/parametros_recargas!$B$6</f>
        <v>16.2891491659806</v>
      </c>
    </row>
    <row r="107" customFormat="false" ht="15" hidden="false" customHeight="false" outlineLevel="0" collapsed="false">
      <c r="A107" s="8" t="str">
        <f aca="false">parametros_recargas!$B$81</f>
        <v>Desarme e inspección interior — zona general</v>
      </c>
      <c r="B107" s="21" t="n">
        <f aca="false">parametros_recargas!$E$81*'Plan mensual'!D117+parametros_recargas!$F$81*'Plan mensual'!D118+parametros_recargas!$G$81*'Plan mensual'!D119+parametros_recargas!$H$81*'Plan mensual'!D120+parametros_recargas!$I$81*'Plan mensual'!D121+parametros_recargas!$J$81*'Plan mensual'!D122+parametros_recargas!$K$81*'Plan mensual'!D123+parametros_recargas!$L$81*'Plan mensual'!D124</f>
        <v>196.219871783048</v>
      </c>
      <c r="C107" s="21" t="n">
        <f aca="false">parametros_recargas!$E$81*'Plan mensual'!E117+parametros_recargas!$F$81*'Plan mensual'!E118+parametros_recargas!$G$81*'Plan mensual'!E119+parametros_recargas!$H$81*'Plan mensual'!E120+parametros_recargas!$I$81*'Plan mensual'!E121+parametros_recargas!$J$81*'Plan mensual'!E122+parametros_recargas!$K$81*'Plan mensual'!E123+parametros_recargas!$L$81*'Plan mensual'!E124</f>
        <v>196.219871783048</v>
      </c>
      <c r="D107" s="21" t="n">
        <f aca="false">parametros_recargas!$E$81*'Plan mensual'!F117+parametros_recargas!$F$81*'Plan mensual'!F118+parametros_recargas!$G$81*'Plan mensual'!F119+parametros_recargas!$H$81*'Plan mensual'!F120+parametros_recargas!$I$81*'Plan mensual'!F121+parametros_recargas!$J$81*'Plan mensual'!F122+parametros_recargas!$K$81*'Plan mensual'!F123+parametros_recargas!$L$81*'Plan mensual'!F124</f>
        <v>196.219871783048</v>
      </c>
      <c r="E107" s="21" t="n">
        <f aca="false">parametros_recargas!$E$81*'Plan mensual'!G117+parametros_recargas!$F$81*'Plan mensual'!G118+parametros_recargas!$G$81*'Plan mensual'!G119+parametros_recargas!$H$81*'Plan mensual'!G120+parametros_recargas!$I$81*'Plan mensual'!G121+parametros_recargas!$J$81*'Plan mensual'!G122+parametros_recargas!$K$81*'Plan mensual'!G123+parametros_recargas!$L$81*'Plan mensual'!G124</f>
        <v>196.219871783048</v>
      </c>
      <c r="F107" s="21" t="n">
        <f aca="false">parametros_recargas!$E$81*'Plan mensual'!H117+parametros_recargas!$F$81*'Plan mensual'!H118+parametros_recargas!$G$81*'Plan mensual'!H119+parametros_recargas!$H$81*'Plan mensual'!H120+parametros_recargas!$I$81*'Plan mensual'!H121+parametros_recargas!$J$81*'Plan mensual'!H122+parametros_recargas!$K$81*'Plan mensual'!H123+parametros_recargas!$L$81*'Plan mensual'!H124</f>
        <v>196.219871783048</v>
      </c>
      <c r="G107" s="21" t="n">
        <f aca="false">parametros_recargas!$E$81*'Plan mensual'!I117+parametros_recargas!$F$81*'Plan mensual'!I118+parametros_recargas!$G$81*'Plan mensual'!I119+parametros_recargas!$H$81*'Plan mensual'!I120+parametros_recargas!$I$81*'Plan mensual'!I121+parametros_recargas!$J$81*'Plan mensual'!I122+parametros_recargas!$K$81*'Plan mensual'!I123+parametros_recargas!$L$81*'Plan mensual'!I124</f>
        <v>196.219871783048</v>
      </c>
      <c r="H107" s="21" t="n">
        <f aca="false">parametros_recargas!$E$81*'Plan mensual'!J117+parametros_recargas!$F$81*'Plan mensual'!J118+parametros_recargas!$G$81*'Plan mensual'!J119+parametros_recargas!$H$81*'Plan mensual'!J120+parametros_recargas!$I$81*'Plan mensual'!J121+parametros_recargas!$J$81*'Plan mensual'!J122+parametros_recargas!$K$81*'Plan mensual'!J123+parametros_recargas!$L$81*'Plan mensual'!J124</f>
        <v>196.219871783048</v>
      </c>
      <c r="I107" s="21" t="n">
        <f aca="false">parametros_recargas!$E$81*'Plan mensual'!K117+parametros_recargas!$F$81*'Plan mensual'!K118+parametros_recargas!$G$81*'Plan mensual'!K119+parametros_recargas!$H$81*'Plan mensual'!K120+parametros_recargas!$I$81*'Plan mensual'!K121+parametros_recargas!$J$81*'Plan mensual'!K122+parametros_recargas!$K$81*'Plan mensual'!K123+parametros_recargas!$L$81*'Plan mensual'!K124</f>
        <v>196.219871783048</v>
      </c>
      <c r="J107" s="21" t="n">
        <f aca="false">parametros_recargas!$E$81*'Plan mensual'!L117+parametros_recargas!$F$81*'Plan mensual'!L118+parametros_recargas!$G$81*'Plan mensual'!L119+parametros_recargas!$H$81*'Plan mensual'!L120+parametros_recargas!$I$81*'Plan mensual'!L121+parametros_recargas!$J$81*'Plan mensual'!L122+parametros_recargas!$K$81*'Plan mensual'!L123+parametros_recargas!$L$81*'Plan mensual'!L124</f>
        <v>196.219871783048</v>
      </c>
      <c r="K107" s="21" t="n">
        <f aca="false">parametros_recargas!$E$81*'Plan mensual'!M117+parametros_recargas!$F$81*'Plan mensual'!M118+parametros_recargas!$G$81*'Plan mensual'!M119+parametros_recargas!$H$81*'Plan mensual'!M120+parametros_recargas!$I$81*'Plan mensual'!M121+parametros_recargas!$J$81*'Plan mensual'!M122+parametros_recargas!$K$81*'Plan mensual'!M123+parametros_recargas!$L$81*'Plan mensual'!M124</f>
        <v>196.219871783048</v>
      </c>
      <c r="L107" s="21" t="n">
        <f aca="false">parametros_recargas!$E$81*'Plan mensual'!N117+parametros_recargas!$F$81*'Plan mensual'!N118+parametros_recargas!$G$81*'Plan mensual'!N119+parametros_recargas!$H$81*'Plan mensual'!N120+parametros_recargas!$I$81*'Plan mensual'!N121+parametros_recargas!$J$81*'Plan mensual'!N122+parametros_recargas!$K$81*'Plan mensual'!N123+parametros_recargas!$L$81*'Plan mensual'!N124</f>
        <v>196.219871783048</v>
      </c>
      <c r="M107" s="21" t="n">
        <f aca="false">parametros_recargas!$E$81*'Plan mensual'!O117+parametros_recargas!$F$81*'Plan mensual'!O118+parametros_recargas!$G$81*'Plan mensual'!O119+parametros_recargas!$H$81*'Plan mensual'!O120+parametros_recargas!$I$81*'Plan mensual'!O121+parametros_recargas!$J$81*'Plan mensual'!O122+parametros_recargas!$K$81*'Plan mensual'!O123+parametros_recargas!$L$81*'Plan mensual'!O124</f>
        <v>196.219871783048</v>
      </c>
      <c r="N107" s="6" t="n">
        <f aca="false">SUM(B107:M107)</f>
        <v>2354.63846139658</v>
      </c>
      <c r="O107" s="22" t="n">
        <f aca="false">MAX(B107:M107)</f>
        <v>196.219871783048</v>
      </c>
      <c r="P107" s="12" t="n">
        <f aca="false">O107/parametros_recargas!$B$6</f>
        <v>1.30813247855366</v>
      </c>
    </row>
    <row r="108" customFormat="false" ht="15" hidden="false" customHeight="false" outlineLevel="0" collapsed="false">
      <c r="A108" s="8" t="str">
        <f aca="false">parametros_recargas!$B$82</f>
        <v>Laboratorio — Puffer y mufla</v>
      </c>
      <c r="B108" s="21" t="n">
        <f aca="false">parametros_recargas!$E$82*'Plan mensual'!D117+parametros_recargas!$F$82*'Plan mensual'!D118+parametros_recargas!$G$82*'Plan mensual'!D119+parametros_recargas!$H$82*'Plan mensual'!D120+parametros_recargas!$I$82*'Plan mensual'!D121+parametros_recargas!$J$82*'Plan mensual'!D122+parametros_recargas!$K$82*'Plan mensual'!D123+parametros_recargas!$L$82*'Plan mensual'!D124</f>
        <v>2.43972741879226</v>
      </c>
      <c r="C108" s="21" t="n">
        <f aca="false">parametros_recargas!$E$82*'Plan mensual'!E117+parametros_recargas!$F$82*'Plan mensual'!E118+parametros_recargas!$G$82*'Plan mensual'!E119+parametros_recargas!$H$82*'Plan mensual'!E120+parametros_recargas!$I$82*'Plan mensual'!E121+parametros_recargas!$J$82*'Plan mensual'!E122+parametros_recargas!$K$82*'Plan mensual'!E123+parametros_recargas!$L$82*'Plan mensual'!E124</f>
        <v>2.43972741879226</v>
      </c>
      <c r="D108" s="21" t="n">
        <f aca="false">parametros_recargas!$E$82*'Plan mensual'!F117+parametros_recargas!$F$82*'Plan mensual'!F118+parametros_recargas!$G$82*'Plan mensual'!F119+parametros_recargas!$H$82*'Plan mensual'!F120+parametros_recargas!$I$82*'Plan mensual'!F121+parametros_recargas!$J$82*'Plan mensual'!F122+parametros_recargas!$K$82*'Plan mensual'!F123+parametros_recargas!$L$82*'Plan mensual'!F124</f>
        <v>2.43972741879226</v>
      </c>
      <c r="E108" s="21" t="n">
        <f aca="false">parametros_recargas!$E$82*'Plan mensual'!G117+parametros_recargas!$F$82*'Plan mensual'!G118+parametros_recargas!$G$82*'Plan mensual'!G119+parametros_recargas!$H$82*'Plan mensual'!G120+parametros_recargas!$I$82*'Plan mensual'!G121+parametros_recargas!$J$82*'Plan mensual'!G122+parametros_recargas!$K$82*'Plan mensual'!G123+parametros_recargas!$L$82*'Plan mensual'!G124</f>
        <v>2.43972741879226</v>
      </c>
      <c r="F108" s="21" t="n">
        <f aca="false">parametros_recargas!$E$82*'Plan mensual'!H117+parametros_recargas!$F$82*'Plan mensual'!H118+parametros_recargas!$G$82*'Plan mensual'!H119+parametros_recargas!$H$82*'Plan mensual'!H120+parametros_recargas!$I$82*'Plan mensual'!H121+parametros_recargas!$J$82*'Plan mensual'!H122+parametros_recargas!$K$82*'Plan mensual'!H123+parametros_recargas!$L$82*'Plan mensual'!H124</f>
        <v>2.43972741879226</v>
      </c>
      <c r="G108" s="21" t="n">
        <f aca="false">parametros_recargas!$E$82*'Plan mensual'!I117+parametros_recargas!$F$82*'Plan mensual'!I118+parametros_recargas!$G$82*'Plan mensual'!I119+parametros_recargas!$H$82*'Plan mensual'!I120+parametros_recargas!$I$82*'Plan mensual'!I121+parametros_recargas!$J$82*'Plan mensual'!I122+parametros_recargas!$K$82*'Plan mensual'!I123+parametros_recargas!$L$82*'Plan mensual'!I124</f>
        <v>2.43972741879226</v>
      </c>
      <c r="H108" s="21" t="n">
        <f aca="false">parametros_recargas!$E$82*'Plan mensual'!J117+parametros_recargas!$F$82*'Plan mensual'!J118+parametros_recargas!$G$82*'Plan mensual'!J119+parametros_recargas!$H$82*'Plan mensual'!J120+parametros_recargas!$I$82*'Plan mensual'!J121+parametros_recargas!$J$82*'Plan mensual'!J122+parametros_recargas!$K$82*'Plan mensual'!J123+parametros_recargas!$L$82*'Plan mensual'!J124</f>
        <v>2.43972741879226</v>
      </c>
      <c r="I108" s="21" t="n">
        <f aca="false">parametros_recargas!$E$82*'Plan mensual'!K117+parametros_recargas!$F$82*'Plan mensual'!K118+parametros_recargas!$G$82*'Plan mensual'!K119+parametros_recargas!$H$82*'Plan mensual'!K120+parametros_recargas!$I$82*'Plan mensual'!K121+parametros_recargas!$J$82*'Plan mensual'!K122+parametros_recargas!$K$82*'Plan mensual'!K123+parametros_recargas!$L$82*'Plan mensual'!K124</f>
        <v>2.43972741879226</v>
      </c>
      <c r="J108" s="21" t="n">
        <f aca="false">parametros_recargas!$E$82*'Plan mensual'!L117+parametros_recargas!$F$82*'Plan mensual'!L118+parametros_recargas!$G$82*'Plan mensual'!L119+parametros_recargas!$H$82*'Plan mensual'!L120+parametros_recargas!$I$82*'Plan mensual'!L121+parametros_recargas!$J$82*'Plan mensual'!L122+parametros_recargas!$K$82*'Plan mensual'!L123+parametros_recargas!$L$82*'Plan mensual'!L124</f>
        <v>2.43972741879226</v>
      </c>
      <c r="K108" s="21" t="n">
        <f aca="false">parametros_recargas!$E$82*'Plan mensual'!M117+parametros_recargas!$F$82*'Plan mensual'!M118+parametros_recargas!$G$82*'Plan mensual'!M119+parametros_recargas!$H$82*'Plan mensual'!M120+parametros_recargas!$I$82*'Plan mensual'!M121+parametros_recargas!$J$82*'Plan mensual'!M122+parametros_recargas!$K$82*'Plan mensual'!M123+parametros_recargas!$L$82*'Plan mensual'!M124</f>
        <v>2.43972741879226</v>
      </c>
      <c r="L108" s="21" t="n">
        <f aca="false">parametros_recargas!$E$82*'Plan mensual'!N117+parametros_recargas!$F$82*'Plan mensual'!N118+parametros_recargas!$G$82*'Plan mensual'!N119+parametros_recargas!$H$82*'Plan mensual'!N120+parametros_recargas!$I$82*'Plan mensual'!N121+parametros_recargas!$J$82*'Plan mensual'!N122+parametros_recargas!$K$82*'Plan mensual'!N123+parametros_recargas!$L$82*'Plan mensual'!N124</f>
        <v>2.43972741879226</v>
      </c>
      <c r="M108" s="21" t="n">
        <f aca="false">parametros_recargas!$E$82*'Plan mensual'!O117+parametros_recargas!$F$82*'Plan mensual'!O118+parametros_recargas!$G$82*'Plan mensual'!O119+parametros_recargas!$H$82*'Plan mensual'!O120+parametros_recargas!$I$82*'Plan mensual'!O121+parametros_recargas!$J$82*'Plan mensual'!O122+parametros_recargas!$K$82*'Plan mensual'!O123+parametros_recargas!$L$82*'Plan mensual'!O124</f>
        <v>2.43972741879226</v>
      </c>
      <c r="N108" s="6" t="n">
        <f aca="false">SUM(B108:M108)</f>
        <v>29.2767290255071</v>
      </c>
      <c r="O108" s="22" t="n">
        <f aca="false">MAX(B108:M108)</f>
        <v>2.43972741879226</v>
      </c>
      <c r="P108" s="12" t="n">
        <f aca="false">O108/parametros_recargas!$B$6</f>
        <v>0.016264849458615</v>
      </c>
    </row>
    <row r="109" customFormat="false" ht="15" hidden="false" customHeight="false" outlineLevel="0" collapsed="false">
      <c r="A109" s="8" t="str">
        <f aca="false">parametros_recargas!$B$83</f>
        <v>Prueba hidráulica</v>
      </c>
      <c r="B109" s="21" t="n">
        <f aca="false">parametros_recargas!$E$83*'Plan mensual'!D117+parametros_recargas!$F$83*'Plan mensual'!D118+parametros_recargas!$G$83*'Plan mensual'!D119+parametros_recargas!$H$83*'Plan mensual'!D120+parametros_recargas!$I$83*'Plan mensual'!D121+parametros_recargas!$J$83*'Plan mensual'!D122+parametros_recargas!$K$83*'Plan mensual'!D123+parametros_recargas!$L$83*'Plan mensual'!D124</f>
        <v>605.691134504366</v>
      </c>
      <c r="C109" s="21" t="n">
        <f aca="false">parametros_recargas!$E$83*'Plan mensual'!E117+parametros_recargas!$F$83*'Plan mensual'!E118+parametros_recargas!$G$83*'Plan mensual'!E119+parametros_recargas!$H$83*'Plan mensual'!E120+parametros_recargas!$I$83*'Plan mensual'!E121+parametros_recargas!$J$83*'Plan mensual'!E122+parametros_recargas!$K$83*'Plan mensual'!E123+parametros_recargas!$L$83*'Plan mensual'!E124</f>
        <v>605.691134504366</v>
      </c>
      <c r="D109" s="21" t="n">
        <f aca="false">parametros_recargas!$E$83*'Plan mensual'!F117+parametros_recargas!$F$83*'Plan mensual'!F118+parametros_recargas!$G$83*'Plan mensual'!F119+parametros_recargas!$H$83*'Plan mensual'!F120+parametros_recargas!$I$83*'Plan mensual'!F121+parametros_recargas!$J$83*'Plan mensual'!F122+parametros_recargas!$K$83*'Plan mensual'!F123+parametros_recargas!$L$83*'Plan mensual'!F124</f>
        <v>605.691134504366</v>
      </c>
      <c r="E109" s="21" t="n">
        <f aca="false">parametros_recargas!$E$83*'Plan mensual'!G117+parametros_recargas!$F$83*'Plan mensual'!G118+parametros_recargas!$G$83*'Plan mensual'!G119+parametros_recargas!$H$83*'Plan mensual'!G120+parametros_recargas!$I$83*'Plan mensual'!G121+parametros_recargas!$J$83*'Plan mensual'!G122+parametros_recargas!$K$83*'Plan mensual'!G123+parametros_recargas!$L$83*'Plan mensual'!G124</f>
        <v>605.691134504366</v>
      </c>
      <c r="F109" s="21" t="n">
        <f aca="false">parametros_recargas!$E$83*'Plan mensual'!H117+parametros_recargas!$F$83*'Plan mensual'!H118+parametros_recargas!$G$83*'Plan mensual'!H119+parametros_recargas!$H$83*'Plan mensual'!H120+parametros_recargas!$I$83*'Plan mensual'!H121+parametros_recargas!$J$83*'Plan mensual'!H122+parametros_recargas!$K$83*'Plan mensual'!H123+parametros_recargas!$L$83*'Plan mensual'!H124</f>
        <v>605.691134504366</v>
      </c>
      <c r="G109" s="21" t="n">
        <f aca="false">parametros_recargas!$E$83*'Plan mensual'!I117+parametros_recargas!$F$83*'Plan mensual'!I118+parametros_recargas!$G$83*'Plan mensual'!I119+parametros_recargas!$H$83*'Plan mensual'!I120+parametros_recargas!$I$83*'Plan mensual'!I121+parametros_recargas!$J$83*'Plan mensual'!I122+parametros_recargas!$K$83*'Plan mensual'!I123+parametros_recargas!$L$83*'Plan mensual'!I124</f>
        <v>605.691134504366</v>
      </c>
      <c r="H109" s="21" t="n">
        <f aca="false">parametros_recargas!$E$83*'Plan mensual'!J117+parametros_recargas!$F$83*'Plan mensual'!J118+parametros_recargas!$G$83*'Plan mensual'!J119+parametros_recargas!$H$83*'Plan mensual'!J120+parametros_recargas!$I$83*'Plan mensual'!J121+parametros_recargas!$J$83*'Plan mensual'!J122+parametros_recargas!$K$83*'Plan mensual'!J123+parametros_recargas!$L$83*'Plan mensual'!J124</f>
        <v>605.691134504366</v>
      </c>
      <c r="I109" s="21" t="n">
        <f aca="false">parametros_recargas!$E$83*'Plan mensual'!K117+parametros_recargas!$F$83*'Plan mensual'!K118+parametros_recargas!$G$83*'Plan mensual'!K119+parametros_recargas!$H$83*'Plan mensual'!K120+parametros_recargas!$I$83*'Plan mensual'!K121+parametros_recargas!$J$83*'Plan mensual'!K122+parametros_recargas!$K$83*'Plan mensual'!K123+parametros_recargas!$L$83*'Plan mensual'!K124</f>
        <v>605.691134504366</v>
      </c>
      <c r="J109" s="21" t="n">
        <f aca="false">parametros_recargas!$E$83*'Plan mensual'!L117+parametros_recargas!$F$83*'Plan mensual'!L118+parametros_recargas!$G$83*'Plan mensual'!L119+parametros_recargas!$H$83*'Plan mensual'!L120+parametros_recargas!$I$83*'Plan mensual'!L121+parametros_recargas!$J$83*'Plan mensual'!L122+parametros_recargas!$K$83*'Plan mensual'!L123+parametros_recargas!$L$83*'Plan mensual'!L124</f>
        <v>605.691134504366</v>
      </c>
      <c r="K109" s="21" t="n">
        <f aca="false">parametros_recargas!$E$83*'Plan mensual'!M117+parametros_recargas!$F$83*'Plan mensual'!M118+parametros_recargas!$G$83*'Plan mensual'!M119+parametros_recargas!$H$83*'Plan mensual'!M120+parametros_recargas!$I$83*'Plan mensual'!M121+parametros_recargas!$J$83*'Plan mensual'!M122+parametros_recargas!$K$83*'Plan mensual'!M123+parametros_recargas!$L$83*'Plan mensual'!M124</f>
        <v>605.691134504366</v>
      </c>
      <c r="L109" s="21" t="n">
        <f aca="false">parametros_recargas!$E$83*'Plan mensual'!N117+parametros_recargas!$F$83*'Plan mensual'!N118+parametros_recargas!$G$83*'Plan mensual'!N119+parametros_recargas!$H$83*'Plan mensual'!N120+parametros_recargas!$I$83*'Plan mensual'!N121+parametros_recargas!$J$83*'Plan mensual'!N122+parametros_recargas!$K$83*'Plan mensual'!N123+parametros_recargas!$L$83*'Plan mensual'!N124</f>
        <v>605.691134504366</v>
      </c>
      <c r="M109" s="21" t="n">
        <f aca="false">parametros_recargas!$E$83*'Plan mensual'!O117+parametros_recargas!$F$83*'Plan mensual'!O118+parametros_recargas!$G$83*'Plan mensual'!O119+parametros_recargas!$H$83*'Plan mensual'!O120+parametros_recargas!$I$83*'Plan mensual'!O121+parametros_recargas!$J$83*'Plan mensual'!O122+parametros_recargas!$K$83*'Plan mensual'!O123+parametros_recargas!$L$83*'Plan mensual'!O124</f>
        <v>605.691134504366</v>
      </c>
      <c r="N109" s="6" t="n">
        <f aca="false">SUM(B109:M109)</f>
        <v>7268.29361405239</v>
      </c>
      <c r="O109" s="22" t="n">
        <f aca="false">MAX(B109:M109)</f>
        <v>605.691134504366</v>
      </c>
      <c r="P109" s="12" t="n">
        <f aca="false">O109/parametros_recargas!$B$6</f>
        <v>4.03794089669577</v>
      </c>
    </row>
    <row r="110" customFormat="false" ht="15" hidden="false" customHeight="false" outlineLevel="0" collapsed="false">
      <c r="A110" s="8" t="str">
        <f aca="false">parametros_recargas!$B$84</f>
        <v>Secado</v>
      </c>
      <c r="B110" s="21" t="n">
        <f aca="false">parametros_recargas!$E$84*'Plan mensual'!D117+parametros_recargas!$F$84*'Plan mensual'!D118+parametros_recargas!$G$84*'Plan mensual'!D119+parametros_recargas!$H$84*'Plan mensual'!D120+parametros_recargas!$I$84*'Plan mensual'!D121+parametros_recargas!$J$84*'Plan mensual'!D122+parametros_recargas!$K$84*'Plan mensual'!D123+parametros_recargas!$L$84*'Plan mensual'!D124</f>
        <v>563.526128417518</v>
      </c>
      <c r="C110" s="21" t="n">
        <f aca="false">parametros_recargas!$E$84*'Plan mensual'!E117+parametros_recargas!$F$84*'Plan mensual'!E118+parametros_recargas!$G$84*'Plan mensual'!E119+parametros_recargas!$H$84*'Plan mensual'!E120+parametros_recargas!$I$84*'Plan mensual'!E121+parametros_recargas!$J$84*'Plan mensual'!E122+parametros_recargas!$K$84*'Plan mensual'!E123+parametros_recargas!$L$84*'Plan mensual'!E124</f>
        <v>563.526128417518</v>
      </c>
      <c r="D110" s="21" t="n">
        <f aca="false">parametros_recargas!$E$84*'Plan mensual'!F117+parametros_recargas!$F$84*'Plan mensual'!F118+parametros_recargas!$G$84*'Plan mensual'!F119+parametros_recargas!$H$84*'Plan mensual'!F120+parametros_recargas!$I$84*'Plan mensual'!F121+parametros_recargas!$J$84*'Plan mensual'!F122+parametros_recargas!$K$84*'Plan mensual'!F123+parametros_recargas!$L$84*'Plan mensual'!F124</f>
        <v>563.526128417518</v>
      </c>
      <c r="E110" s="21" t="n">
        <f aca="false">parametros_recargas!$E$84*'Plan mensual'!G117+parametros_recargas!$F$84*'Plan mensual'!G118+parametros_recargas!$G$84*'Plan mensual'!G119+parametros_recargas!$H$84*'Plan mensual'!G120+parametros_recargas!$I$84*'Plan mensual'!G121+parametros_recargas!$J$84*'Plan mensual'!G122+parametros_recargas!$K$84*'Plan mensual'!G123+parametros_recargas!$L$84*'Plan mensual'!G124</f>
        <v>563.526128417518</v>
      </c>
      <c r="F110" s="21" t="n">
        <f aca="false">parametros_recargas!$E$84*'Plan mensual'!H117+parametros_recargas!$F$84*'Plan mensual'!H118+parametros_recargas!$G$84*'Plan mensual'!H119+parametros_recargas!$H$84*'Plan mensual'!H120+parametros_recargas!$I$84*'Plan mensual'!H121+parametros_recargas!$J$84*'Plan mensual'!H122+parametros_recargas!$K$84*'Plan mensual'!H123+parametros_recargas!$L$84*'Plan mensual'!H124</f>
        <v>563.526128417518</v>
      </c>
      <c r="G110" s="21" t="n">
        <f aca="false">parametros_recargas!$E$84*'Plan mensual'!I117+parametros_recargas!$F$84*'Plan mensual'!I118+parametros_recargas!$G$84*'Plan mensual'!I119+parametros_recargas!$H$84*'Plan mensual'!I120+parametros_recargas!$I$84*'Plan mensual'!I121+parametros_recargas!$J$84*'Plan mensual'!I122+parametros_recargas!$K$84*'Plan mensual'!I123+parametros_recargas!$L$84*'Plan mensual'!I124</f>
        <v>563.526128417518</v>
      </c>
      <c r="H110" s="21" t="n">
        <f aca="false">parametros_recargas!$E$84*'Plan mensual'!J117+parametros_recargas!$F$84*'Plan mensual'!J118+parametros_recargas!$G$84*'Plan mensual'!J119+parametros_recargas!$H$84*'Plan mensual'!J120+parametros_recargas!$I$84*'Plan mensual'!J121+parametros_recargas!$J$84*'Plan mensual'!J122+parametros_recargas!$K$84*'Plan mensual'!J123+parametros_recargas!$L$84*'Plan mensual'!J124</f>
        <v>563.526128417518</v>
      </c>
      <c r="I110" s="21" t="n">
        <f aca="false">parametros_recargas!$E$84*'Plan mensual'!K117+parametros_recargas!$F$84*'Plan mensual'!K118+parametros_recargas!$G$84*'Plan mensual'!K119+parametros_recargas!$H$84*'Plan mensual'!K120+parametros_recargas!$I$84*'Plan mensual'!K121+parametros_recargas!$J$84*'Plan mensual'!K122+parametros_recargas!$K$84*'Plan mensual'!K123+parametros_recargas!$L$84*'Plan mensual'!K124</f>
        <v>563.526128417518</v>
      </c>
      <c r="J110" s="21" t="n">
        <f aca="false">parametros_recargas!$E$84*'Plan mensual'!L117+parametros_recargas!$F$84*'Plan mensual'!L118+parametros_recargas!$G$84*'Plan mensual'!L119+parametros_recargas!$H$84*'Plan mensual'!L120+parametros_recargas!$I$84*'Plan mensual'!L121+parametros_recargas!$J$84*'Plan mensual'!L122+parametros_recargas!$K$84*'Plan mensual'!L123+parametros_recargas!$L$84*'Plan mensual'!L124</f>
        <v>563.526128417518</v>
      </c>
      <c r="K110" s="21" t="n">
        <f aca="false">parametros_recargas!$E$84*'Plan mensual'!M117+parametros_recargas!$F$84*'Plan mensual'!M118+parametros_recargas!$G$84*'Plan mensual'!M119+parametros_recargas!$H$84*'Plan mensual'!M120+parametros_recargas!$I$84*'Plan mensual'!M121+parametros_recargas!$J$84*'Plan mensual'!M122+parametros_recargas!$K$84*'Plan mensual'!M123+parametros_recargas!$L$84*'Plan mensual'!M124</f>
        <v>563.526128417518</v>
      </c>
      <c r="L110" s="21" t="n">
        <f aca="false">parametros_recargas!$E$84*'Plan mensual'!N117+parametros_recargas!$F$84*'Plan mensual'!N118+parametros_recargas!$G$84*'Plan mensual'!N119+parametros_recargas!$H$84*'Plan mensual'!N120+parametros_recargas!$I$84*'Plan mensual'!N121+parametros_recargas!$J$84*'Plan mensual'!N122+parametros_recargas!$K$84*'Plan mensual'!N123+parametros_recargas!$L$84*'Plan mensual'!N124</f>
        <v>563.526128417518</v>
      </c>
      <c r="M110" s="21" t="n">
        <f aca="false">parametros_recargas!$E$84*'Plan mensual'!O117+parametros_recargas!$F$84*'Plan mensual'!O118+parametros_recargas!$G$84*'Plan mensual'!O119+parametros_recargas!$H$84*'Plan mensual'!O120+parametros_recargas!$I$84*'Plan mensual'!O121+parametros_recargas!$J$84*'Plan mensual'!O122+parametros_recargas!$K$84*'Plan mensual'!O123+parametros_recargas!$L$84*'Plan mensual'!O124</f>
        <v>563.526128417518</v>
      </c>
      <c r="N110" s="6" t="n">
        <f aca="false">SUM(B110:M110)</f>
        <v>6762.31354101021</v>
      </c>
      <c r="O110" s="22" t="n">
        <f aca="false">MAX(B110:M110)</f>
        <v>563.526128417518</v>
      </c>
      <c r="P110" s="12" t="n">
        <f aca="false">O110/parametros_recargas!$B$6</f>
        <v>3.75684085611678</v>
      </c>
    </row>
    <row r="111" customFormat="false" ht="15" hidden="false" customHeight="false" outlineLevel="0" collapsed="false">
      <c r="A111" s="8" t="str">
        <f aca="false">parametros_recargas!$B$85</f>
        <v>Inspección interior con videoscopio</v>
      </c>
      <c r="B111" s="21" t="n">
        <f aca="false">parametros_recargas!$E$85*'Plan mensual'!D117+parametros_recargas!$F$85*'Plan mensual'!D118+parametros_recargas!$G$85*'Plan mensual'!D119+parametros_recargas!$H$85*'Plan mensual'!D120+parametros_recargas!$I$85*'Plan mensual'!D121+parametros_recargas!$J$85*'Plan mensual'!D122+parametros_recargas!$K$85*'Plan mensual'!D123+parametros_recargas!$L$85*'Plan mensual'!D124</f>
        <v>563.526128417518</v>
      </c>
      <c r="C111" s="21" t="n">
        <f aca="false">parametros_recargas!$E$85*'Plan mensual'!E117+parametros_recargas!$F$85*'Plan mensual'!E118+parametros_recargas!$G$85*'Plan mensual'!E119+parametros_recargas!$H$85*'Plan mensual'!E120+parametros_recargas!$I$85*'Plan mensual'!E121+parametros_recargas!$J$85*'Plan mensual'!E122+parametros_recargas!$K$85*'Plan mensual'!E123+parametros_recargas!$L$85*'Plan mensual'!E124</f>
        <v>563.526128417518</v>
      </c>
      <c r="D111" s="21" t="n">
        <f aca="false">parametros_recargas!$E$85*'Plan mensual'!F117+parametros_recargas!$F$85*'Plan mensual'!F118+parametros_recargas!$G$85*'Plan mensual'!F119+parametros_recargas!$H$85*'Plan mensual'!F120+parametros_recargas!$I$85*'Plan mensual'!F121+parametros_recargas!$J$85*'Plan mensual'!F122+parametros_recargas!$K$85*'Plan mensual'!F123+parametros_recargas!$L$85*'Plan mensual'!F124</f>
        <v>563.526128417518</v>
      </c>
      <c r="E111" s="21" t="n">
        <f aca="false">parametros_recargas!$E$85*'Plan mensual'!G117+parametros_recargas!$F$85*'Plan mensual'!G118+parametros_recargas!$G$85*'Plan mensual'!G119+parametros_recargas!$H$85*'Plan mensual'!G120+parametros_recargas!$I$85*'Plan mensual'!G121+parametros_recargas!$J$85*'Plan mensual'!G122+parametros_recargas!$K$85*'Plan mensual'!G123+parametros_recargas!$L$85*'Plan mensual'!G124</f>
        <v>563.526128417518</v>
      </c>
      <c r="F111" s="21" t="n">
        <f aca="false">parametros_recargas!$E$85*'Plan mensual'!H117+parametros_recargas!$F$85*'Plan mensual'!H118+parametros_recargas!$G$85*'Plan mensual'!H119+parametros_recargas!$H$85*'Plan mensual'!H120+parametros_recargas!$I$85*'Plan mensual'!H121+parametros_recargas!$J$85*'Plan mensual'!H122+parametros_recargas!$K$85*'Plan mensual'!H123+parametros_recargas!$L$85*'Plan mensual'!H124</f>
        <v>563.526128417518</v>
      </c>
      <c r="G111" s="21" t="n">
        <f aca="false">parametros_recargas!$E$85*'Plan mensual'!I117+parametros_recargas!$F$85*'Plan mensual'!I118+parametros_recargas!$G$85*'Plan mensual'!I119+parametros_recargas!$H$85*'Plan mensual'!I120+parametros_recargas!$I$85*'Plan mensual'!I121+parametros_recargas!$J$85*'Plan mensual'!I122+parametros_recargas!$K$85*'Plan mensual'!I123+parametros_recargas!$L$85*'Plan mensual'!I124</f>
        <v>563.526128417518</v>
      </c>
      <c r="H111" s="21" t="n">
        <f aca="false">parametros_recargas!$E$85*'Plan mensual'!J117+parametros_recargas!$F$85*'Plan mensual'!J118+parametros_recargas!$G$85*'Plan mensual'!J119+parametros_recargas!$H$85*'Plan mensual'!J120+parametros_recargas!$I$85*'Plan mensual'!J121+parametros_recargas!$J$85*'Plan mensual'!J122+parametros_recargas!$K$85*'Plan mensual'!J123+parametros_recargas!$L$85*'Plan mensual'!J124</f>
        <v>563.526128417518</v>
      </c>
      <c r="I111" s="21" t="n">
        <f aca="false">parametros_recargas!$E$85*'Plan mensual'!K117+parametros_recargas!$F$85*'Plan mensual'!K118+parametros_recargas!$G$85*'Plan mensual'!K119+parametros_recargas!$H$85*'Plan mensual'!K120+parametros_recargas!$I$85*'Plan mensual'!K121+parametros_recargas!$J$85*'Plan mensual'!K122+parametros_recargas!$K$85*'Plan mensual'!K123+parametros_recargas!$L$85*'Plan mensual'!K124</f>
        <v>563.526128417518</v>
      </c>
      <c r="J111" s="21" t="n">
        <f aca="false">parametros_recargas!$E$85*'Plan mensual'!L117+parametros_recargas!$F$85*'Plan mensual'!L118+parametros_recargas!$G$85*'Plan mensual'!L119+parametros_recargas!$H$85*'Plan mensual'!L120+parametros_recargas!$I$85*'Plan mensual'!L121+parametros_recargas!$J$85*'Plan mensual'!L122+parametros_recargas!$K$85*'Plan mensual'!L123+parametros_recargas!$L$85*'Plan mensual'!L124</f>
        <v>563.526128417518</v>
      </c>
      <c r="K111" s="21" t="n">
        <f aca="false">parametros_recargas!$E$85*'Plan mensual'!M117+parametros_recargas!$F$85*'Plan mensual'!M118+parametros_recargas!$G$85*'Plan mensual'!M119+parametros_recargas!$H$85*'Plan mensual'!M120+parametros_recargas!$I$85*'Plan mensual'!M121+parametros_recargas!$J$85*'Plan mensual'!M122+parametros_recargas!$K$85*'Plan mensual'!M123+parametros_recargas!$L$85*'Plan mensual'!M124</f>
        <v>563.526128417518</v>
      </c>
      <c r="L111" s="21" t="n">
        <f aca="false">parametros_recargas!$E$85*'Plan mensual'!N117+parametros_recargas!$F$85*'Plan mensual'!N118+parametros_recargas!$G$85*'Plan mensual'!N119+parametros_recargas!$H$85*'Plan mensual'!N120+parametros_recargas!$I$85*'Plan mensual'!N121+parametros_recargas!$J$85*'Plan mensual'!N122+parametros_recargas!$K$85*'Plan mensual'!N123+parametros_recargas!$L$85*'Plan mensual'!N124</f>
        <v>563.526128417518</v>
      </c>
      <c r="M111" s="21" t="n">
        <f aca="false">parametros_recargas!$E$85*'Plan mensual'!O117+parametros_recargas!$F$85*'Plan mensual'!O118+parametros_recargas!$G$85*'Plan mensual'!O119+parametros_recargas!$H$85*'Plan mensual'!O120+parametros_recargas!$I$85*'Plan mensual'!O121+parametros_recargas!$J$85*'Plan mensual'!O122+parametros_recargas!$K$85*'Plan mensual'!O123+parametros_recargas!$L$85*'Plan mensual'!O124</f>
        <v>563.526128417518</v>
      </c>
      <c r="N111" s="6" t="n">
        <f aca="false">SUM(B111:M111)</f>
        <v>6762.31354101021</v>
      </c>
      <c r="O111" s="22" t="n">
        <f aca="false">MAX(B111:M111)</f>
        <v>563.526128417518</v>
      </c>
      <c r="P111" s="12" t="n">
        <f aca="false">O111/parametros_recargas!$B$6</f>
        <v>3.75684085611678</v>
      </c>
    </row>
    <row r="112" customFormat="false" ht="15" hidden="false" customHeight="false" outlineLevel="0" collapsed="false">
      <c r="A112" s="8" t="str">
        <f aca="false">parametros_recargas!$B$86</f>
        <v>Pintura</v>
      </c>
      <c r="B112" s="21" t="n">
        <f aca="false">parametros_recargas!$E$86*'Plan mensual'!D117+parametros_recargas!$F$86*'Plan mensual'!D118+parametros_recargas!$G$86*'Plan mensual'!D119+parametros_recargas!$H$86*'Plan mensual'!D120+parametros_recargas!$I$86*'Plan mensual'!D121+parametros_recargas!$J$86*'Plan mensual'!D122+parametros_recargas!$K$86*'Plan mensual'!D123+parametros_recargas!$L$86*'Plan mensual'!D124</f>
        <v>282.865948301437</v>
      </c>
      <c r="C112" s="21" t="n">
        <f aca="false">parametros_recargas!$E$86*'Plan mensual'!E117+parametros_recargas!$F$86*'Plan mensual'!E118+parametros_recargas!$G$86*'Plan mensual'!E119+parametros_recargas!$H$86*'Plan mensual'!E120+parametros_recargas!$I$86*'Plan mensual'!E121+parametros_recargas!$J$86*'Plan mensual'!E122+parametros_recargas!$K$86*'Plan mensual'!E123+parametros_recargas!$L$86*'Plan mensual'!E124</f>
        <v>282.865948301437</v>
      </c>
      <c r="D112" s="21" t="n">
        <f aca="false">parametros_recargas!$E$86*'Plan mensual'!F117+parametros_recargas!$F$86*'Plan mensual'!F118+parametros_recargas!$G$86*'Plan mensual'!F119+parametros_recargas!$H$86*'Plan mensual'!F120+parametros_recargas!$I$86*'Plan mensual'!F121+parametros_recargas!$J$86*'Plan mensual'!F122+parametros_recargas!$K$86*'Plan mensual'!F123+parametros_recargas!$L$86*'Plan mensual'!F124</f>
        <v>282.865948301437</v>
      </c>
      <c r="E112" s="21" t="n">
        <f aca="false">parametros_recargas!$E$86*'Plan mensual'!G117+parametros_recargas!$F$86*'Plan mensual'!G118+parametros_recargas!$G$86*'Plan mensual'!G119+parametros_recargas!$H$86*'Plan mensual'!G120+parametros_recargas!$I$86*'Plan mensual'!G121+parametros_recargas!$J$86*'Plan mensual'!G122+parametros_recargas!$K$86*'Plan mensual'!G123+parametros_recargas!$L$86*'Plan mensual'!G124</f>
        <v>282.865948301437</v>
      </c>
      <c r="F112" s="21" t="n">
        <f aca="false">parametros_recargas!$E$86*'Plan mensual'!H117+parametros_recargas!$F$86*'Plan mensual'!H118+parametros_recargas!$G$86*'Plan mensual'!H119+parametros_recargas!$H$86*'Plan mensual'!H120+parametros_recargas!$I$86*'Plan mensual'!H121+parametros_recargas!$J$86*'Plan mensual'!H122+parametros_recargas!$K$86*'Plan mensual'!H123+parametros_recargas!$L$86*'Plan mensual'!H124</f>
        <v>282.865948301437</v>
      </c>
      <c r="G112" s="21" t="n">
        <f aca="false">parametros_recargas!$E$86*'Plan mensual'!I117+parametros_recargas!$F$86*'Plan mensual'!I118+parametros_recargas!$G$86*'Plan mensual'!I119+parametros_recargas!$H$86*'Plan mensual'!I120+parametros_recargas!$I$86*'Plan mensual'!I121+parametros_recargas!$J$86*'Plan mensual'!I122+parametros_recargas!$K$86*'Plan mensual'!I123+parametros_recargas!$L$86*'Plan mensual'!I124</f>
        <v>282.865948301437</v>
      </c>
      <c r="H112" s="21" t="n">
        <f aca="false">parametros_recargas!$E$86*'Plan mensual'!J117+parametros_recargas!$F$86*'Plan mensual'!J118+parametros_recargas!$G$86*'Plan mensual'!J119+parametros_recargas!$H$86*'Plan mensual'!J120+parametros_recargas!$I$86*'Plan mensual'!J121+parametros_recargas!$J$86*'Plan mensual'!J122+parametros_recargas!$K$86*'Plan mensual'!J123+parametros_recargas!$L$86*'Plan mensual'!J124</f>
        <v>282.865948301437</v>
      </c>
      <c r="I112" s="21" t="n">
        <f aca="false">parametros_recargas!$E$86*'Plan mensual'!K117+parametros_recargas!$F$86*'Plan mensual'!K118+parametros_recargas!$G$86*'Plan mensual'!K119+parametros_recargas!$H$86*'Plan mensual'!K120+parametros_recargas!$I$86*'Plan mensual'!K121+parametros_recargas!$J$86*'Plan mensual'!K122+parametros_recargas!$K$86*'Plan mensual'!K123+parametros_recargas!$L$86*'Plan mensual'!K124</f>
        <v>282.865948301437</v>
      </c>
      <c r="J112" s="21" t="n">
        <f aca="false">parametros_recargas!$E$86*'Plan mensual'!L117+parametros_recargas!$F$86*'Plan mensual'!L118+parametros_recargas!$G$86*'Plan mensual'!L119+parametros_recargas!$H$86*'Plan mensual'!L120+parametros_recargas!$I$86*'Plan mensual'!L121+parametros_recargas!$J$86*'Plan mensual'!L122+parametros_recargas!$K$86*'Plan mensual'!L123+parametros_recargas!$L$86*'Plan mensual'!L124</f>
        <v>282.865948301437</v>
      </c>
      <c r="K112" s="21" t="n">
        <f aca="false">parametros_recargas!$E$86*'Plan mensual'!M117+parametros_recargas!$F$86*'Plan mensual'!M118+parametros_recargas!$G$86*'Plan mensual'!M119+parametros_recargas!$H$86*'Plan mensual'!M120+parametros_recargas!$I$86*'Plan mensual'!M121+parametros_recargas!$J$86*'Plan mensual'!M122+parametros_recargas!$K$86*'Plan mensual'!M123+parametros_recargas!$L$86*'Plan mensual'!M124</f>
        <v>282.865948301437</v>
      </c>
      <c r="L112" s="21" t="n">
        <f aca="false">parametros_recargas!$E$86*'Plan mensual'!N117+parametros_recargas!$F$86*'Plan mensual'!N118+parametros_recargas!$G$86*'Plan mensual'!N119+parametros_recargas!$H$86*'Plan mensual'!N120+parametros_recargas!$I$86*'Plan mensual'!N121+parametros_recargas!$J$86*'Plan mensual'!N122+parametros_recargas!$K$86*'Plan mensual'!N123+parametros_recargas!$L$86*'Plan mensual'!N124</f>
        <v>282.865948301437</v>
      </c>
      <c r="M112" s="21" t="n">
        <f aca="false">parametros_recargas!$E$86*'Plan mensual'!O117+parametros_recargas!$F$86*'Plan mensual'!O118+parametros_recargas!$G$86*'Plan mensual'!O119+parametros_recargas!$H$86*'Plan mensual'!O120+parametros_recargas!$I$86*'Plan mensual'!O121+parametros_recargas!$J$86*'Plan mensual'!O122+parametros_recargas!$K$86*'Plan mensual'!O123+parametros_recargas!$L$86*'Plan mensual'!O124</f>
        <v>282.865948301437</v>
      </c>
      <c r="N112" s="6" t="n">
        <f aca="false">SUM(B112:M112)</f>
        <v>3394.39137961725</v>
      </c>
      <c r="O112" s="22" t="n">
        <f aca="false">MAX(B112:M112)</f>
        <v>282.865948301437</v>
      </c>
      <c r="P112" s="12" t="n">
        <f aca="false">O112/parametros_recargas!$B$6</f>
        <v>1.88577298867625</v>
      </c>
    </row>
    <row r="113" customFormat="false" ht="15" hidden="false" customHeight="false" outlineLevel="0" collapsed="false">
      <c r="A113" s="8" t="str">
        <f aca="false">parametros_recargas!$B$87</f>
        <v>Carga de polvo ABC</v>
      </c>
      <c r="B113" s="21" t="n">
        <f aca="false">parametros_recargas!$E$87*'Plan mensual'!D117+parametros_recargas!$F$87*'Plan mensual'!D118+parametros_recargas!$G$87*'Plan mensual'!D119+parametros_recargas!$H$87*'Plan mensual'!D120+parametros_recargas!$I$87*'Plan mensual'!D121+parametros_recargas!$J$87*'Plan mensual'!D122+parametros_recargas!$K$87*'Plan mensual'!D123+parametros_recargas!$L$87*'Plan mensual'!D124</f>
        <v>2435.81288207356</v>
      </c>
      <c r="C113" s="21" t="n">
        <f aca="false">parametros_recargas!$E$87*'Plan mensual'!E117+parametros_recargas!$F$87*'Plan mensual'!E118+parametros_recargas!$G$87*'Plan mensual'!E119+parametros_recargas!$H$87*'Plan mensual'!E120+parametros_recargas!$I$87*'Plan mensual'!E121+parametros_recargas!$J$87*'Plan mensual'!E122+parametros_recargas!$K$87*'Plan mensual'!E123+parametros_recargas!$L$87*'Plan mensual'!E124</f>
        <v>2435.81288207356</v>
      </c>
      <c r="D113" s="21" t="n">
        <f aca="false">parametros_recargas!$E$87*'Plan mensual'!F117+parametros_recargas!$F$87*'Plan mensual'!F118+parametros_recargas!$G$87*'Plan mensual'!F119+parametros_recargas!$H$87*'Plan mensual'!F120+parametros_recargas!$I$87*'Plan mensual'!F121+parametros_recargas!$J$87*'Plan mensual'!F122+parametros_recargas!$K$87*'Plan mensual'!F123+parametros_recargas!$L$87*'Plan mensual'!F124</f>
        <v>2435.81288207356</v>
      </c>
      <c r="E113" s="21" t="n">
        <f aca="false">parametros_recargas!$E$87*'Plan mensual'!G117+parametros_recargas!$F$87*'Plan mensual'!G118+parametros_recargas!$G$87*'Plan mensual'!G119+parametros_recargas!$H$87*'Plan mensual'!G120+parametros_recargas!$I$87*'Plan mensual'!G121+parametros_recargas!$J$87*'Plan mensual'!G122+parametros_recargas!$K$87*'Plan mensual'!G123+parametros_recargas!$L$87*'Plan mensual'!G124</f>
        <v>2435.81288207356</v>
      </c>
      <c r="F113" s="21" t="n">
        <f aca="false">parametros_recargas!$E$87*'Plan mensual'!H117+parametros_recargas!$F$87*'Plan mensual'!H118+parametros_recargas!$G$87*'Plan mensual'!H119+parametros_recargas!$H$87*'Plan mensual'!H120+parametros_recargas!$I$87*'Plan mensual'!H121+parametros_recargas!$J$87*'Plan mensual'!H122+parametros_recargas!$K$87*'Plan mensual'!H123+parametros_recargas!$L$87*'Plan mensual'!H124</f>
        <v>2435.81288207356</v>
      </c>
      <c r="G113" s="21" t="n">
        <f aca="false">parametros_recargas!$E$87*'Plan mensual'!I117+parametros_recargas!$F$87*'Plan mensual'!I118+parametros_recargas!$G$87*'Plan mensual'!I119+parametros_recargas!$H$87*'Plan mensual'!I120+parametros_recargas!$I$87*'Plan mensual'!I121+parametros_recargas!$J$87*'Plan mensual'!I122+parametros_recargas!$K$87*'Plan mensual'!I123+parametros_recargas!$L$87*'Plan mensual'!I124</f>
        <v>2435.81288207356</v>
      </c>
      <c r="H113" s="21" t="n">
        <f aca="false">parametros_recargas!$E$87*'Plan mensual'!J117+parametros_recargas!$F$87*'Plan mensual'!J118+parametros_recargas!$G$87*'Plan mensual'!J119+parametros_recargas!$H$87*'Plan mensual'!J120+parametros_recargas!$I$87*'Plan mensual'!J121+parametros_recargas!$J$87*'Plan mensual'!J122+parametros_recargas!$K$87*'Plan mensual'!J123+parametros_recargas!$L$87*'Plan mensual'!J124</f>
        <v>2435.81288207356</v>
      </c>
      <c r="I113" s="21" t="n">
        <f aca="false">parametros_recargas!$E$87*'Plan mensual'!K117+parametros_recargas!$F$87*'Plan mensual'!K118+parametros_recargas!$G$87*'Plan mensual'!K119+parametros_recargas!$H$87*'Plan mensual'!K120+parametros_recargas!$I$87*'Plan mensual'!K121+parametros_recargas!$J$87*'Plan mensual'!K122+parametros_recargas!$K$87*'Plan mensual'!K123+parametros_recargas!$L$87*'Plan mensual'!K124</f>
        <v>2435.81288207356</v>
      </c>
      <c r="J113" s="21" t="n">
        <f aca="false">parametros_recargas!$E$87*'Plan mensual'!L117+parametros_recargas!$F$87*'Plan mensual'!L118+parametros_recargas!$G$87*'Plan mensual'!L119+parametros_recargas!$H$87*'Plan mensual'!L120+parametros_recargas!$I$87*'Plan mensual'!L121+parametros_recargas!$J$87*'Plan mensual'!L122+parametros_recargas!$K$87*'Plan mensual'!L123+parametros_recargas!$L$87*'Plan mensual'!L124</f>
        <v>2435.81288207356</v>
      </c>
      <c r="K113" s="21" t="n">
        <f aca="false">parametros_recargas!$E$87*'Plan mensual'!M117+parametros_recargas!$F$87*'Plan mensual'!M118+parametros_recargas!$G$87*'Plan mensual'!M119+parametros_recargas!$H$87*'Plan mensual'!M120+parametros_recargas!$I$87*'Plan mensual'!M121+parametros_recargas!$J$87*'Plan mensual'!M122+parametros_recargas!$K$87*'Plan mensual'!M123+parametros_recargas!$L$87*'Plan mensual'!M124</f>
        <v>2435.81288207356</v>
      </c>
      <c r="L113" s="21" t="n">
        <f aca="false">parametros_recargas!$E$87*'Plan mensual'!N117+parametros_recargas!$F$87*'Plan mensual'!N118+parametros_recargas!$G$87*'Plan mensual'!N119+parametros_recargas!$H$87*'Plan mensual'!N120+parametros_recargas!$I$87*'Plan mensual'!N121+parametros_recargas!$J$87*'Plan mensual'!N122+parametros_recargas!$K$87*'Plan mensual'!N123+parametros_recargas!$L$87*'Plan mensual'!N124</f>
        <v>2435.81288207356</v>
      </c>
      <c r="M113" s="21" t="n">
        <f aca="false">parametros_recargas!$E$87*'Plan mensual'!O117+parametros_recargas!$F$87*'Plan mensual'!O118+parametros_recargas!$G$87*'Plan mensual'!O119+parametros_recargas!$H$87*'Plan mensual'!O120+parametros_recargas!$I$87*'Plan mensual'!O121+parametros_recargas!$J$87*'Plan mensual'!O122+parametros_recargas!$K$87*'Plan mensual'!O123+parametros_recargas!$L$87*'Plan mensual'!O124</f>
        <v>2435.81288207356</v>
      </c>
      <c r="N113" s="6" t="n">
        <f aca="false">SUM(B113:M113)</f>
        <v>29229.7545848827</v>
      </c>
      <c r="O113" s="22" t="n">
        <f aca="false">MAX(B113:M113)</f>
        <v>2435.81288207356</v>
      </c>
      <c r="P113" s="12" t="n">
        <f aca="false">O113/parametros_recargas!$B$6</f>
        <v>16.2387525471571</v>
      </c>
    </row>
    <row r="114" customFormat="false" ht="15" hidden="false" customHeight="false" outlineLevel="0" collapsed="false">
      <c r="A114" s="8" t="str">
        <f aca="false">parametros_recargas!$B$88</f>
        <v>Carga de polvo BC</v>
      </c>
      <c r="B114" s="21" t="n">
        <f aca="false">parametros_recargas!$E$88*'Plan mensual'!D117+parametros_recargas!$F$88*'Plan mensual'!D118+parametros_recargas!$G$88*'Plan mensual'!D119+parametros_recargas!$H$88*'Plan mensual'!D120+parametros_recargas!$I$88*'Plan mensual'!D121+parametros_recargas!$J$88*'Plan mensual'!D122+parametros_recargas!$K$88*'Plan mensual'!D123+parametros_recargas!$L$88*'Plan mensual'!D124</f>
        <v>3.91453671869877</v>
      </c>
      <c r="C114" s="21" t="n">
        <f aca="false">parametros_recargas!$E$88*'Plan mensual'!E117+parametros_recargas!$F$88*'Plan mensual'!E118+parametros_recargas!$G$88*'Plan mensual'!E119+parametros_recargas!$H$88*'Plan mensual'!E120+parametros_recargas!$I$88*'Plan mensual'!E121+parametros_recargas!$J$88*'Plan mensual'!E122+parametros_recargas!$K$88*'Plan mensual'!E123+parametros_recargas!$L$88*'Plan mensual'!E124</f>
        <v>3.91453671869877</v>
      </c>
      <c r="D114" s="21" t="n">
        <f aca="false">parametros_recargas!$E$88*'Plan mensual'!F117+parametros_recargas!$F$88*'Plan mensual'!F118+parametros_recargas!$G$88*'Plan mensual'!F119+parametros_recargas!$H$88*'Plan mensual'!F120+parametros_recargas!$I$88*'Plan mensual'!F121+parametros_recargas!$J$88*'Plan mensual'!F122+parametros_recargas!$K$88*'Plan mensual'!F123+parametros_recargas!$L$88*'Plan mensual'!F124</f>
        <v>3.91453671869877</v>
      </c>
      <c r="E114" s="21" t="n">
        <f aca="false">parametros_recargas!$E$88*'Plan mensual'!G117+parametros_recargas!$F$88*'Plan mensual'!G118+parametros_recargas!$G$88*'Plan mensual'!G119+parametros_recargas!$H$88*'Plan mensual'!G120+parametros_recargas!$I$88*'Plan mensual'!G121+parametros_recargas!$J$88*'Plan mensual'!G122+parametros_recargas!$K$88*'Plan mensual'!G123+parametros_recargas!$L$88*'Plan mensual'!G124</f>
        <v>3.91453671869877</v>
      </c>
      <c r="F114" s="21" t="n">
        <f aca="false">parametros_recargas!$E$88*'Plan mensual'!H117+parametros_recargas!$F$88*'Plan mensual'!H118+parametros_recargas!$G$88*'Plan mensual'!H119+parametros_recargas!$H$88*'Plan mensual'!H120+parametros_recargas!$I$88*'Plan mensual'!H121+parametros_recargas!$J$88*'Plan mensual'!H122+parametros_recargas!$K$88*'Plan mensual'!H123+parametros_recargas!$L$88*'Plan mensual'!H124</f>
        <v>3.91453671869877</v>
      </c>
      <c r="G114" s="21" t="n">
        <f aca="false">parametros_recargas!$E$88*'Plan mensual'!I117+parametros_recargas!$F$88*'Plan mensual'!I118+parametros_recargas!$G$88*'Plan mensual'!I119+parametros_recargas!$H$88*'Plan mensual'!I120+parametros_recargas!$I$88*'Plan mensual'!I121+parametros_recargas!$J$88*'Plan mensual'!I122+parametros_recargas!$K$88*'Plan mensual'!I123+parametros_recargas!$L$88*'Plan mensual'!I124</f>
        <v>3.91453671869877</v>
      </c>
      <c r="H114" s="21" t="n">
        <f aca="false">parametros_recargas!$E$88*'Plan mensual'!J117+parametros_recargas!$F$88*'Plan mensual'!J118+parametros_recargas!$G$88*'Plan mensual'!J119+parametros_recargas!$H$88*'Plan mensual'!J120+parametros_recargas!$I$88*'Plan mensual'!J121+parametros_recargas!$J$88*'Plan mensual'!J122+parametros_recargas!$K$88*'Plan mensual'!J123+parametros_recargas!$L$88*'Plan mensual'!J124</f>
        <v>3.91453671869877</v>
      </c>
      <c r="I114" s="21" t="n">
        <f aca="false">parametros_recargas!$E$88*'Plan mensual'!K117+parametros_recargas!$F$88*'Plan mensual'!K118+parametros_recargas!$G$88*'Plan mensual'!K119+parametros_recargas!$H$88*'Plan mensual'!K120+parametros_recargas!$I$88*'Plan mensual'!K121+parametros_recargas!$J$88*'Plan mensual'!K122+parametros_recargas!$K$88*'Plan mensual'!K123+parametros_recargas!$L$88*'Plan mensual'!K124</f>
        <v>3.91453671869877</v>
      </c>
      <c r="J114" s="21" t="n">
        <f aca="false">parametros_recargas!$E$88*'Plan mensual'!L117+parametros_recargas!$F$88*'Plan mensual'!L118+parametros_recargas!$G$88*'Plan mensual'!L119+parametros_recargas!$H$88*'Plan mensual'!L120+parametros_recargas!$I$88*'Plan mensual'!L121+parametros_recargas!$J$88*'Plan mensual'!L122+parametros_recargas!$K$88*'Plan mensual'!L123+parametros_recargas!$L$88*'Plan mensual'!L124</f>
        <v>3.91453671869877</v>
      </c>
      <c r="K114" s="21" t="n">
        <f aca="false">parametros_recargas!$E$88*'Plan mensual'!M117+parametros_recargas!$F$88*'Plan mensual'!M118+parametros_recargas!$G$88*'Plan mensual'!M119+parametros_recargas!$H$88*'Plan mensual'!M120+parametros_recargas!$I$88*'Plan mensual'!M121+parametros_recargas!$J$88*'Plan mensual'!M122+parametros_recargas!$K$88*'Plan mensual'!M123+parametros_recargas!$L$88*'Plan mensual'!M124</f>
        <v>3.91453671869877</v>
      </c>
      <c r="L114" s="21" t="n">
        <f aca="false">parametros_recargas!$E$88*'Plan mensual'!N117+parametros_recargas!$F$88*'Plan mensual'!N118+parametros_recargas!$G$88*'Plan mensual'!N119+parametros_recargas!$H$88*'Plan mensual'!N120+parametros_recargas!$I$88*'Plan mensual'!N121+parametros_recargas!$J$88*'Plan mensual'!N122+parametros_recargas!$K$88*'Plan mensual'!N123+parametros_recargas!$L$88*'Plan mensual'!N124</f>
        <v>3.91453671869877</v>
      </c>
      <c r="M114" s="21" t="n">
        <f aca="false">parametros_recargas!$E$88*'Plan mensual'!O117+parametros_recargas!$F$88*'Plan mensual'!O118+parametros_recargas!$G$88*'Plan mensual'!O119+parametros_recargas!$H$88*'Plan mensual'!O120+parametros_recargas!$I$88*'Plan mensual'!O121+parametros_recargas!$J$88*'Plan mensual'!O122+parametros_recargas!$K$88*'Plan mensual'!O123+parametros_recargas!$L$88*'Plan mensual'!O124</f>
        <v>3.91453671869877</v>
      </c>
      <c r="N114" s="6" t="n">
        <f aca="false">SUM(B114:M114)</f>
        <v>46.9744406243852</v>
      </c>
      <c r="O114" s="22" t="n">
        <f aca="false">MAX(B114:M114)</f>
        <v>3.91453671869877</v>
      </c>
      <c r="P114" s="12" t="n">
        <f aca="false">O114/parametros_recargas!$B$6</f>
        <v>0.0260969114579918</v>
      </c>
    </row>
    <row r="115" customFormat="false" ht="15" hidden="false" customHeight="false" outlineLevel="0" collapsed="false">
      <c r="A115" s="8" t="str">
        <f aca="false">parametros_recargas!$B$89</f>
        <v>Descarga y carga Clase D</v>
      </c>
      <c r="B115" s="21" t="n">
        <f aca="false">parametros_recargas!$E$89*'Plan mensual'!D117+parametros_recargas!$F$89*'Plan mensual'!D118+parametros_recargas!$G$89*'Plan mensual'!D119+parametros_recargas!$H$89*'Plan mensual'!D120+parametros_recargas!$I$89*'Plan mensual'!D121+parametros_recargas!$J$89*'Plan mensual'!D122+parametros_recargas!$K$89*'Plan mensual'!D123+parametros_recargas!$L$89*'Plan mensual'!D124</f>
        <v>3.64495610483988</v>
      </c>
      <c r="C115" s="21" t="n">
        <f aca="false">parametros_recargas!$E$89*'Plan mensual'!E117+parametros_recargas!$F$89*'Plan mensual'!E118+parametros_recargas!$G$89*'Plan mensual'!E119+parametros_recargas!$H$89*'Plan mensual'!E120+parametros_recargas!$I$89*'Plan mensual'!E121+parametros_recargas!$J$89*'Plan mensual'!E122+parametros_recargas!$K$89*'Plan mensual'!E123+parametros_recargas!$L$89*'Plan mensual'!E124</f>
        <v>3.64495610483988</v>
      </c>
      <c r="D115" s="21" t="n">
        <f aca="false">parametros_recargas!$E$89*'Plan mensual'!F117+parametros_recargas!$F$89*'Plan mensual'!F118+parametros_recargas!$G$89*'Plan mensual'!F119+parametros_recargas!$H$89*'Plan mensual'!F120+parametros_recargas!$I$89*'Plan mensual'!F121+parametros_recargas!$J$89*'Plan mensual'!F122+parametros_recargas!$K$89*'Plan mensual'!F123+parametros_recargas!$L$89*'Plan mensual'!F124</f>
        <v>3.64495610483988</v>
      </c>
      <c r="E115" s="21" t="n">
        <f aca="false">parametros_recargas!$E$89*'Plan mensual'!G117+parametros_recargas!$F$89*'Plan mensual'!G118+parametros_recargas!$G$89*'Plan mensual'!G119+parametros_recargas!$H$89*'Plan mensual'!G120+parametros_recargas!$I$89*'Plan mensual'!G121+parametros_recargas!$J$89*'Plan mensual'!G122+parametros_recargas!$K$89*'Plan mensual'!G123+parametros_recargas!$L$89*'Plan mensual'!G124</f>
        <v>3.64495610483988</v>
      </c>
      <c r="F115" s="21" t="n">
        <f aca="false">parametros_recargas!$E$89*'Plan mensual'!H117+parametros_recargas!$F$89*'Plan mensual'!H118+parametros_recargas!$G$89*'Plan mensual'!H119+parametros_recargas!$H$89*'Plan mensual'!H120+parametros_recargas!$I$89*'Plan mensual'!H121+parametros_recargas!$J$89*'Plan mensual'!H122+parametros_recargas!$K$89*'Plan mensual'!H123+parametros_recargas!$L$89*'Plan mensual'!H124</f>
        <v>3.64495610483988</v>
      </c>
      <c r="G115" s="21" t="n">
        <f aca="false">parametros_recargas!$E$89*'Plan mensual'!I117+parametros_recargas!$F$89*'Plan mensual'!I118+parametros_recargas!$G$89*'Plan mensual'!I119+parametros_recargas!$H$89*'Plan mensual'!I120+parametros_recargas!$I$89*'Plan mensual'!I121+parametros_recargas!$J$89*'Plan mensual'!I122+parametros_recargas!$K$89*'Plan mensual'!I123+parametros_recargas!$L$89*'Plan mensual'!I124</f>
        <v>3.64495610483988</v>
      </c>
      <c r="H115" s="21" t="n">
        <f aca="false">parametros_recargas!$E$89*'Plan mensual'!J117+parametros_recargas!$F$89*'Plan mensual'!J118+parametros_recargas!$G$89*'Plan mensual'!J119+parametros_recargas!$H$89*'Plan mensual'!J120+parametros_recargas!$I$89*'Plan mensual'!J121+parametros_recargas!$J$89*'Plan mensual'!J122+parametros_recargas!$K$89*'Plan mensual'!J123+parametros_recargas!$L$89*'Plan mensual'!J124</f>
        <v>3.64495610483988</v>
      </c>
      <c r="I115" s="21" t="n">
        <f aca="false">parametros_recargas!$E$89*'Plan mensual'!K117+parametros_recargas!$F$89*'Plan mensual'!K118+parametros_recargas!$G$89*'Plan mensual'!K119+parametros_recargas!$H$89*'Plan mensual'!K120+parametros_recargas!$I$89*'Plan mensual'!K121+parametros_recargas!$J$89*'Plan mensual'!K122+parametros_recargas!$K$89*'Plan mensual'!K123+parametros_recargas!$L$89*'Plan mensual'!K124</f>
        <v>3.64495610483988</v>
      </c>
      <c r="J115" s="21" t="n">
        <f aca="false">parametros_recargas!$E$89*'Plan mensual'!L117+parametros_recargas!$F$89*'Plan mensual'!L118+parametros_recargas!$G$89*'Plan mensual'!L119+parametros_recargas!$H$89*'Plan mensual'!L120+parametros_recargas!$I$89*'Plan mensual'!L121+parametros_recargas!$J$89*'Plan mensual'!L122+parametros_recargas!$K$89*'Plan mensual'!L123+parametros_recargas!$L$89*'Plan mensual'!L124</f>
        <v>3.64495610483988</v>
      </c>
      <c r="K115" s="21" t="n">
        <f aca="false">parametros_recargas!$E$89*'Plan mensual'!M117+parametros_recargas!$F$89*'Plan mensual'!M118+parametros_recargas!$G$89*'Plan mensual'!M119+parametros_recargas!$H$89*'Plan mensual'!M120+parametros_recargas!$I$89*'Plan mensual'!M121+parametros_recargas!$J$89*'Plan mensual'!M122+parametros_recargas!$K$89*'Plan mensual'!M123+parametros_recargas!$L$89*'Plan mensual'!M124</f>
        <v>3.64495610483988</v>
      </c>
      <c r="L115" s="21" t="n">
        <f aca="false">parametros_recargas!$E$89*'Plan mensual'!N117+parametros_recargas!$F$89*'Plan mensual'!N118+parametros_recargas!$G$89*'Plan mensual'!N119+parametros_recargas!$H$89*'Plan mensual'!N120+parametros_recargas!$I$89*'Plan mensual'!N121+parametros_recargas!$J$89*'Plan mensual'!N122+parametros_recargas!$K$89*'Plan mensual'!N123+parametros_recargas!$L$89*'Plan mensual'!N124</f>
        <v>3.64495610483988</v>
      </c>
      <c r="M115" s="21" t="n">
        <f aca="false">parametros_recargas!$E$89*'Plan mensual'!O117+parametros_recargas!$F$89*'Plan mensual'!O118+parametros_recargas!$G$89*'Plan mensual'!O119+parametros_recargas!$H$89*'Plan mensual'!O120+parametros_recargas!$I$89*'Plan mensual'!O121+parametros_recargas!$J$89*'Plan mensual'!O122+parametros_recargas!$K$89*'Plan mensual'!O123+parametros_recargas!$L$89*'Plan mensual'!O124</f>
        <v>3.64495610483988</v>
      </c>
      <c r="N115" s="6" t="n">
        <f aca="false">SUM(B115:M115)</f>
        <v>43.7394732580785</v>
      </c>
      <c r="O115" s="22" t="n">
        <f aca="false">MAX(B115:M115)</f>
        <v>3.64495610483988</v>
      </c>
      <c r="P115" s="12" t="n">
        <f aca="false">O115/parametros_recargas!$B$6</f>
        <v>0.0242997073655992</v>
      </c>
    </row>
    <row r="116" customFormat="false" ht="15" hidden="false" customHeight="false" outlineLevel="0" collapsed="false">
      <c r="A116" s="8" t="str">
        <f aca="false">parametros_recargas!$B$90</f>
        <v>Carga de agua / AFFF / sales K</v>
      </c>
      <c r="B116" s="21" t="n">
        <f aca="false">parametros_recargas!$E$90*'Plan mensual'!D117+parametros_recargas!$F$90*'Plan mensual'!D118+parametros_recargas!$G$90*'Plan mensual'!D119+parametros_recargas!$H$90*'Plan mensual'!D120+parametros_recargas!$I$90*'Plan mensual'!D121+parametros_recargas!$J$90*'Plan mensual'!D122+parametros_recargas!$K$90*'Plan mensual'!D123+parametros_recargas!$L$90*'Plan mensual'!D124</f>
        <v>133.197459671639</v>
      </c>
      <c r="C116" s="21" t="n">
        <f aca="false">parametros_recargas!$E$90*'Plan mensual'!E117+parametros_recargas!$F$90*'Plan mensual'!E118+parametros_recargas!$G$90*'Plan mensual'!E119+parametros_recargas!$H$90*'Plan mensual'!E120+parametros_recargas!$I$90*'Plan mensual'!E121+parametros_recargas!$J$90*'Plan mensual'!E122+parametros_recargas!$K$90*'Plan mensual'!E123+parametros_recargas!$L$90*'Plan mensual'!E124</f>
        <v>133.197459671639</v>
      </c>
      <c r="D116" s="21" t="n">
        <f aca="false">parametros_recargas!$E$90*'Plan mensual'!F117+parametros_recargas!$F$90*'Plan mensual'!F118+parametros_recargas!$G$90*'Plan mensual'!F119+parametros_recargas!$H$90*'Plan mensual'!F120+parametros_recargas!$I$90*'Plan mensual'!F121+parametros_recargas!$J$90*'Plan mensual'!F122+parametros_recargas!$K$90*'Plan mensual'!F123+parametros_recargas!$L$90*'Plan mensual'!F124</f>
        <v>133.197459671639</v>
      </c>
      <c r="E116" s="21" t="n">
        <f aca="false">parametros_recargas!$E$90*'Plan mensual'!G117+parametros_recargas!$F$90*'Plan mensual'!G118+parametros_recargas!$G$90*'Plan mensual'!G119+parametros_recargas!$H$90*'Plan mensual'!G120+parametros_recargas!$I$90*'Plan mensual'!G121+parametros_recargas!$J$90*'Plan mensual'!G122+parametros_recargas!$K$90*'Plan mensual'!G123+parametros_recargas!$L$90*'Plan mensual'!G124</f>
        <v>133.197459671639</v>
      </c>
      <c r="F116" s="21" t="n">
        <f aca="false">parametros_recargas!$E$90*'Plan mensual'!H117+parametros_recargas!$F$90*'Plan mensual'!H118+parametros_recargas!$G$90*'Plan mensual'!H119+parametros_recargas!$H$90*'Plan mensual'!H120+parametros_recargas!$I$90*'Plan mensual'!H121+parametros_recargas!$J$90*'Plan mensual'!H122+parametros_recargas!$K$90*'Plan mensual'!H123+parametros_recargas!$L$90*'Plan mensual'!H124</f>
        <v>133.197459671639</v>
      </c>
      <c r="G116" s="21" t="n">
        <f aca="false">parametros_recargas!$E$90*'Plan mensual'!I117+parametros_recargas!$F$90*'Plan mensual'!I118+parametros_recargas!$G$90*'Plan mensual'!I119+parametros_recargas!$H$90*'Plan mensual'!I120+parametros_recargas!$I$90*'Plan mensual'!I121+parametros_recargas!$J$90*'Plan mensual'!I122+parametros_recargas!$K$90*'Plan mensual'!I123+parametros_recargas!$L$90*'Plan mensual'!I124</f>
        <v>133.197459671639</v>
      </c>
      <c r="H116" s="21" t="n">
        <f aca="false">parametros_recargas!$E$90*'Plan mensual'!J117+parametros_recargas!$F$90*'Plan mensual'!J118+parametros_recargas!$G$90*'Plan mensual'!J119+parametros_recargas!$H$90*'Plan mensual'!J120+parametros_recargas!$I$90*'Plan mensual'!J121+parametros_recargas!$J$90*'Plan mensual'!J122+parametros_recargas!$K$90*'Plan mensual'!J123+parametros_recargas!$L$90*'Plan mensual'!J124</f>
        <v>133.197459671639</v>
      </c>
      <c r="I116" s="21" t="n">
        <f aca="false">parametros_recargas!$E$90*'Plan mensual'!K117+parametros_recargas!$F$90*'Plan mensual'!K118+parametros_recargas!$G$90*'Plan mensual'!K119+parametros_recargas!$H$90*'Plan mensual'!K120+parametros_recargas!$I$90*'Plan mensual'!K121+parametros_recargas!$J$90*'Plan mensual'!K122+parametros_recargas!$K$90*'Plan mensual'!K123+parametros_recargas!$L$90*'Plan mensual'!K124</f>
        <v>133.197459671639</v>
      </c>
      <c r="J116" s="21" t="n">
        <f aca="false">parametros_recargas!$E$90*'Plan mensual'!L117+parametros_recargas!$F$90*'Plan mensual'!L118+parametros_recargas!$G$90*'Plan mensual'!L119+parametros_recargas!$H$90*'Plan mensual'!L120+parametros_recargas!$I$90*'Plan mensual'!L121+parametros_recargas!$J$90*'Plan mensual'!L122+parametros_recargas!$K$90*'Plan mensual'!L123+parametros_recargas!$L$90*'Plan mensual'!L124</f>
        <v>133.197459671639</v>
      </c>
      <c r="K116" s="21" t="n">
        <f aca="false">parametros_recargas!$E$90*'Plan mensual'!M117+parametros_recargas!$F$90*'Plan mensual'!M118+parametros_recargas!$G$90*'Plan mensual'!M119+parametros_recargas!$H$90*'Plan mensual'!M120+parametros_recargas!$I$90*'Plan mensual'!M121+parametros_recargas!$J$90*'Plan mensual'!M122+parametros_recargas!$K$90*'Plan mensual'!M123+parametros_recargas!$L$90*'Plan mensual'!M124</f>
        <v>133.197459671639</v>
      </c>
      <c r="L116" s="21" t="n">
        <f aca="false">parametros_recargas!$E$90*'Plan mensual'!N117+parametros_recargas!$F$90*'Plan mensual'!N118+parametros_recargas!$G$90*'Plan mensual'!N119+parametros_recargas!$H$90*'Plan mensual'!N120+parametros_recargas!$I$90*'Plan mensual'!N121+parametros_recargas!$J$90*'Plan mensual'!N122+parametros_recargas!$K$90*'Plan mensual'!N123+parametros_recargas!$L$90*'Plan mensual'!N124</f>
        <v>133.197459671639</v>
      </c>
      <c r="M116" s="21" t="n">
        <f aca="false">parametros_recargas!$E$90*'Plan mensual'!O117+parametros_recargas!$F$90*'Plan mensual'!O118+parametros_recargas!$G$90*'Plan mensual'!O119+parametros_recargas!$H$90*'Plan mensual'!O120+parametros_recargas!$I$90*'Plan mensual'!O121+parametros_recargas!$J$90*'Plan mensual'!O122+parametros_recargas!$K$90*'Plan mensual'!O123+parametros_recargas!$L$90*'Plan mensual'!O124</f>
        <v>133.197459671639</v>
      </c>
      <c r="N116" s="6" t="n">
        <f aca="false">SUM(B116:M116)</f>
        <v>1598.36951605967</v>
      </c>
      <c r="O116" s="22" t="n">
        <f aca="false">MAX(B116:M116)</f>
        <v>133.197459671639</v>
      </c>
      <c r="P116" s="12" t="n">
        <f aca="false">O116/parametros_recargas!$B$6</f>
        <v>0.887983064477595</v>
      </c>
    </row>
    <row r="117" customFormat="false" ht="15" hidden="false" customHeight="false" outlineLevel="0" collapsed="false">
      <c r="A117" s="8" t="str">
        <f aca="false">parametros_recargas!$B$91</f>
        <v>Carga de CO₂</v>
      </c>
      <c r="B117" s="21" t="n">
        <f aca="false">parametros_recargas!$E$91*'Plan mensual'!D117+parametros_recargas!$F$91*'Plan mensual'!D118+parametros_recargas!$G$91*'Plan mensual'!D119+parametros_recargas!$H$91*'Plan mensual'!D120+parametros_recargas!$I$91*'Plan mensual'!D121+parametros_recargas!$J$91*'Plan mensual'!D122+parametros_recargas!$K$91*'Plan mensual'!D123+parametros_recargas!$L$91*'Plan mensual'!D124</f>
        <v>72.7143748443803</v>
      </c>
      <c r="C117" s="21" t="n">
        <f aca="false">parametros_recargas!$E$91*'Plan mensual'!E117+parametros_recargas!$F$91*'Plan mensual'!E118+parametros_recargas!$G$91*'Plan mensual'!E119+parametros_recargas!$H$91*'Plan mensual'!E120+parametros_recargas!$I$91*'Plan mensual'!E121+parametros_recargas!$J$91*'Plan mensual'!E122+parametros_recargas!$K$91*'Plan mensual'!E123+parametros_recargas!$L$91*'Plan mensual'!E124</f>
        <v>72.7143748443803</v>
      </c>
      <c r="D117" s="21" t="n">
        <f aca="false">parametros_recargas!$E$91*'Plan mensual'!F117+parametros_recargas!$F$91*'Plan mensual'!F118+parametros_recargas!$G$91*'Plan mensual'!F119+parametros_recargas!$H$91*'Plan mensual'!F120+parametros_recargas!$I$91*'Plan mensual'!F121+parametros_recargas!$J$91*'Plan mensual'!F122+parametros_recargas!$K$91*'Plan mensual'!F123+parametros_recargas!$L$91*'Plan mensual'!F124</f>
        <v>72.7143748443803</v>
      </c>
      <c r="E117" s="21" t="n">
        <f aca="false">parametros_recargas!$E$91*'Plan mensual'!G117+parametros_recargas!$F$91*'Plan mensual'!G118+parametros_recargas!$G$91*'Plan mensual'!G119+parametros_recargas!$H$91*'Plan mensual'!G120+parametros_recargas!$I$91*'Plan mensual'!G121+parametros_recargas!$J$91*'Plan mensual'!G122+parametros_recargas!$K$91*'Plan mensual'!G123+parametros_recargas!$L$91*'Plan mensual'!G124</f>
        <v>72.7143748443803</v>
      </c>
      <c r="F117" s="21" t="n">
        <f aca="false">parametros_recargas!$E$91*'Plan mensual'!H117+parametros_recargas!$F$91*'Plan mensual'!H118+parametros_recargas!$G$91*'Plan mensual'!H119+parametros_recargas!$H$91*'Plan mensual'!H120+parametros_recargas!$I$91*'Plan mensual'!H121+parametros_recargas!$J$91*'Plan mensual'!H122+parametros_recargas!$K$91*'Plan mensual'!H123+parametros_recargas!$L$91*'Plan mensual'!H124</f>
        <v>72.7143748443803</v>
      </c>
      <c r="G117" s="21" t="n">
        <f aca="false">parametros_recargas!$E$91*'Plan mensual'!I117+parametros_recargas!$F$91*'Plan mensual'!I118+parametros_recargas!$G$91*'Plan mensual'!I119+parametros_recargas!$H$91*'Plan mensual'!I120+parametros_recargas!$I$91*'Plan mensual'!I121+parametros_recargas!$J$91*'Plan mensual'!I122+parametros_recargas!$K$91*'Plan mensual'!I123+parametros_recargas!$L$91*'Plan mensual'!I124</f>
        <v>72.7143748443803</v>
      </c>
      <c r="H117" s="21" t="n">
        <f aca="false">parametros_recargas!$E$91*'Plan mensual'!J117+parametros_recargas!$F$91*'Plan mensual'!J118+parametros_recargas!$G$91*'Plan mensual'!J119+parametros_recargas!$H$91*'Plan mensual'!J120+parametros_recargas!$I$91*'Plan mensual'!J121+parametros_recargas!$J$91*'Plan mensual'!J122+parametros_recargas!$K$91*'Plan mensual'!J123+parametros_recargas!$L$91*'Plan mensual'!J124</f>
        <v>72.7143748443803</v>
      </c>
      <c r="I117" s="21" t="n">
        <f aca="false">parametros_recargas!$E$91*'Plan mensual'!K117+parametros_recargas!$F$91*'Plan mensual'!K118+parametros_recargas!$G$91*'Plan mensual'!K119+parametros_recargas!$H$91*'Plan mensual'!K120+parametros_recargas!$I$91*'Plan mensual'!K121+parametros_recargas!$J$91*'Plan mensual'!K122+parametros_recargas!$K$91*'Plan mensual'!K123+parametros_recargas!$L$91*'Plan mensual'!K124</f>
        <v>72.7143748443803</v>
      </c>
      <c r="J117" s="21" t="n">
        <f aca="false">parametros_recargas!$E$91*'Plan mensual'!L117+parametros_recargas!$F$91*'Plan mensual'!L118+parametros_recargas!$G$91*'Plan mensual'!L119+parametros_recargas!$H$91*'Plan mensual'!L120+parametros_recargas!$I$91*'Plan mensual'!L121+parametros_recargas!$J$91*'Plan mensual'!L122+parametros_recargas!$K$91*'Plan mensual'!L123+parametros_recargas!$L$91*'Plan mensual'!L124</f>
        <v>72.7143748443803</v>
      </c>
      <c r="K117" s="21" t="n">
        <f aca="false">parametros_recargas!$E$91*'Plan mensual'!M117+parametros_recargas!$F$91*'Plan mensual'!M118+parametros_recargas!$G$91*'Plan mensual'!M119+parametros_recargas!$H$91*'Plan mensual'!M120+parametros_recargas!$I$91*'Plan mensual'!M121+parametros_recargas!$J$91*'Plan mensual'!M122+parametros_recargas!$K$91*'Plan mensual'!M123+parametros_recargas!$L$91*'Plan mensual'!M124</f>
        <v>72.7143748443803</v>
      </c>
      <c r="L117" s="21" t="n">
        <f aca="false">parametros_recargas!$E$91*'Plan mensual'!N117+parametros_recargas!$F$91*'Plan mensual'!N118+parametros_recargas!$G$91*'Plan mensual'!N119+parametros_recargas!$H$91*'Plan mensual'!N120+parametros_recargas!$I$91*'Plan mensual'!N121+parametros_recargas!$J$91*'Plan mensual'!N122+parametros_recargas!$K$91*'Plan mensual'!N123+parametros_recargas!$L$91*'Plan mensual'!N124</f>
        <v>72.7143748443803</v>
      </c>
      <c r="M117" s="21" t="n">
        <f aca="false">parametros_recargas!$E$91*'Plan mensual'!O117+parametros_recargas!$F$91*'Plan mensual'!O118+parametros_recargas!$G$91*'Plan mensual'!O119+parametros_recargas!$H$91*'Plan mensual'!O120+parametros_recargas!$I$91*'Plan mensual'!O121+parametros_recargas!$J$91*'Plan mensual'!O122+parametros_recargas!$K$91*'Plan mensual'!O123+parametros_recargas!$L$91*'Plan mensual'!O124</f>
        <v>72.7143748443803</v>
      </c>
      <c r="N117" s="6" t="n">
        <f aca="false">SUM(B117:M117)</f>
        <v>872.572498132564</v>
      </c>
      <c r="O117" s="22" t="n">
        <f aca="false">MAX(B117:M117)</f>
        <v>72.7143748443803</v>
      </c>
      <c r="P117" s="12" t="n">
        <f aca="false">O117/parametros_recargas!$B$6</f>
        <v>0.484762498962535</v>
      </c>
    </row>
    <row r="118" customFormat="false" ht="15" hidden="false" customHeight="false" outlineLevel="0" collapsed="false">
      <c r="A118" s="8" t="str">
        <f aca="false">parametros_recargas!$B$92</f>
        <v>Ensamblaje y marbete — recinto</v>
      </c>
      <c r="B118" s="21" t="n">
        <f aca="false">parametros_recargas!$E$92*'Plan mensual'!D117+parametros_recargas!$F$92*'Plan mensual'!D118+parametros_recargas!$G$92*'Plan mensual'!D119+parametros_recargas!$H$92*'Plan mensual'!D120+parametros_recargas!$I$92*'Plan mensual'!D121+parametros_recargas!$J$92*'Plan mensual'!D122+parametros_recargas!$K$92*'Plan mensual'!D123+parametros_recargas!$L$92*'Plan mensual'!D124</f>
        <v>2443.3723748971</v>
      </c>
      <c r="C118" s="21" t="n">
        <f aca="false">parametros_recargas!$E$92*'Plan mensual'!E117+parametros_recargas!$F$92*'Plan mensual'!E118+parametros_recargas!$G$92*'Plan mensual'!E119+parametros_recargas!$H$92*'Plan mensual'!E120+parametros_recargas!$I$92*'Plan mensual'!E121+parametros_recargas!$J$92*'Plan mensual'!E122+parametros_recargas!$K$92*'Plan mensual'!E123+parametros_recargas!$L$92*'Plan mensual'!E124</f>
        <v>2443.3723748971</v>
      </c>
      <c r="D118" s="21" t="n">
        <f aca="false">parametros_recargas!$E$92*'Plan mensual'!F117+parametros_recargas!$F$92*'Plan mensual'!F118+parametros_recargas!$G$92*'Plan mensual'!F119+parametros_recargas!$H$92*'Plan mensual'!F120+parametros_recargas!$I$92*'Plan mensual'!F121+parametros_recargas!$J$92*'Plan mensual'!F122+parametros_recargas!$K$92*'Plan mensual'!F123+parametros_recargas!$L$92*'Plan mensual'!F124</f>
        <v>2443.3723748971</v>
      </c>
      <c r="E118" s="21" t="n">
        <f aca="false">parametros_recargas!$E$92*'Plan mensual'!G117+parametros_recargas!$F$92*'Plan mensual'!G118+parametros_recargas!$G$92*'Plan mensual'!G119+parametros_recargas!$H$92*'Plan mensual'!G120+parametros_recargas!$I$92*'Plan mensual'!G121+parametros_recargas!$J$92*'Plan mensual'!G122+parametros_recargas!$K$92*'Plan mensual'!G123+parametros_recargas!$L$92*'Plan mensual'!G124</f>
        <v>2443.3723748971</v>
      </c>
      <c r="F118" s="21" t="n">
        <f aca="false">parametros_recargas!$E$92*'Plan mensual'!H117+parametros_recargas!$F$92*'Plan mensual'!H118+parametros_recargas!$G$92*'Plan mensual'!H119+parametros_recargas!$H$92*'Plan mensual'!H120+parametros_recargas!$I$92*'Plan mensual'!H121+parametros_recargas!$J$92*'Plan mensual'!H122+parametros_recargas!$K$92*'Plan mensual'!H123+parametros_recargas!$L$92*'Plan mensual'!H124</f>
        <v>2443.3723748971</v>
      </c>
      <c r="G118" s="21" t="n">
        <f aca="false">parametros_recargas!$E$92*'Plan mensual'!I117+parametros_recargas!$F$92*'Plan mensual'!I118+parametros_recargas!$G$92*'Plan mensual'!I119+parametros_recargas!$H$92*'Plan mensual'!I120+parametros_recargas!$I$92*'Plan mensual'!I121+parametros_recargas!$J$92*'Plan mensual'!I122+parametros_recargas!$K$92*'Plan mensual'!I123+parametros_recargas!$L$92*'Plan mensual'!I124</f>
        <v>2443.3723748971</v>
      </c>
      <c r="H118" s="21" t="n">
        <f aca="false">parametros_recargas!$E$92*'Plan mensual'!J117+parametros_recargas!$F$92*'Plan mensual'!J118+parametros_recargas!$G$92*'Plan mensual'!J119+parametros_recargas!$H$92*'Plan mensual'!J120+parametros_recargas!$I$92*'Plan mensual'!J121+parametros_recargas!$J$92*'Plan mensual'!J122+parametros_recargas!$K$92*'Plan mensual'!J123+parametros_recargas!$L$92*'Plan mensual'!J124</f>
        <v>2443.3723748971</v>
      </c>
      <c r="I118" s="21" t="n">
        <f aca="false">parametros_recargas!$E$92*'Plan mensual'!K117+parametros_recargas!$F$92*'Plan mensual'!K118+parametros_recargas!$G$92*'Plan mensual'!K119+parametros_recargas!$H$92*'Plan mensual'!K120+parametros_recargas!$I$92*'Plan mensual'!K121+parametros_recargas!$J$92*'Plan mensual'!K122+parametros_recargas!$K$92*'Plan mensual'!K123+parametros_recargas!$L$92*'Plan mensual'!K124</f>
        <v>2443.3723748971</v>
      </c>
      <c r="J118" s="21" t="n">
        <f aca="false">parametros_recargas!$E$92*'Plan mensual'!L117+parametros_recargas!$F$92*'Plan mensual'!L118+parametros_recargas!$G$92*'Plan mensual'!L119+parametros_recargas!$H$92*'Plan mensual'!L120+parametros_recargas!$I$92*'Plan mensual'!L121+parametros_recargas!$J$92*'Plan mensual'!L122+parametros_recargas!$K$92*'Plan mensual'!L123+parametros_recargas!$L$92*'Plan mensual'!L124</f>
        <v>2443.3723748971</v>
      </c>
      <c r="K118" s="21" t="n">
        <f aca="false">parametros_recargas!$E$92*'Plan mensual'!M117+parametros_recargas!$F$92*'Plan mensual'!M118+parametros_recargas!$G$92*'Plan mensual'!M119+parametros_recargas!$H$92*'Plan mensual'!M120+parametros_recargas!$I$92*'Plan mensual'!M121+parametros_recargas!$J$92*'Plan mensual'!M122+parametros_recargas!$K$92*'Plan mensual'!M123+parametros_recargas!$L$92*'Plan mensual'!M124</f>
        <v>2443.3723748971</v>
      </c>
      <c r="L118" s="21" t="n">
        <f aca="false">parametros_recargas!$E$92*'Plan mensual'!N117+parametros_recargas!$F$92*'Plan mensual'!N118+parametros_recargas!$G$92*'Plan mensual'!N119+parametros_recargas!$H$92*'Plan mensual'!N120+parametros_recargas!$I$92*'Plan mensual'!N121+parametros_recargas!$J$92*'Plan mensual'!N122+parametros_recargas!$K$92*'Plan mensual'!N123+parametros_recargas!$L$92*'Plan mensual'!N124</f>
        <v>2443.3723748971</v>
      </c>
      <c r="M118" s="21" t="n">
        <f aca="false">parametros_recargas!$E$92*'Plan mensual'!O117+parametros_recargas!$F$92*'Plan mensual'!O118+parametros_recargas!$G$92*'Plan mensual'!O119+parametros_recargas!$H$92*'Plan mensual'!O120+parametros_recargas!$I$92*'Plan mensual'!O121+parametros_recargas!$J$92*'Plan mensual'!O122+parametros_recargas!$K$92*'Plan mensual'!O123+parametros_recargas!$L$92*'Plan mensual'!O124</f>
        <v>2443.3723748971</v>
      </c>
      <c r="N118" s="6" t="n">
        <f aca="false">SUM(B118:M118)</f>
        <v>29320.4684987652</v>
      </c>
      <c r="O118" s="22" t="n">
        <f aca="false">MAX(B118:M118)</f>
        <v>2443.3723748971</v>
      </c>
      <c r="P118" s="12" t="n">
        <f aca="false">O118/parametros_recargas!$B$6</f>
        <v>16.2891491659806</v>
      </c>
    </row>
    <row r="119" customFormat="false" ht="15" hidden="false" customHeight="false" outlineLevel="0" collapsed="false">
      <c r="A119" s="8" t="str">
        <f aca="false">parametros_recargas!$B$93</f>
        <v>Presurización — recinto</v>
      </c>
      <c r="B119" s="21" t="n">
        <f aca="false">parametros_recargas!$E$93*'Plan mensual'!D117+parametros_recargas!$F$93*'Plan mensual'!D118+parametros_recargas!$G$93*'Plan mensual'!D119+parametros_recargas!$H$93*'Plan mensual'!D120+parametros_recargas!$I$93*'Plan mensual'!D121+parametros_recargas!$J$93*'Plan mensual'!D122+parametros_recargas!$K$93*'Plan mensual'!D123+parametros_recargas!$L$93*'Plan mensual'!D124</f>
        <v>2443.3723748971</v>
      </c>
      <c r="C119" s="21" t="n">
        <f aca="false">parametros_recargas!$E$93*'Plan mensual'!E117+parametros_recargas!$F$93*'Plan mensual'!E118+parametros_recargas!$G$93*'Plan mensual'!E119+parametros_recargas!$H$93*'Plan mensual'!E120+parametros_recargas!$I$93*'Plan mensual'!E121+parametros_recargas!$J$93*'Plan mensual'!E122+parametros_recargas!$K$93*'Plan mensual'!E123+parametros_recargas!$L$93*'Plan mensual'!E124</f>
        <v>2443.3723748971</v>
      </c>
      <c r="D119" s="21" t="n">
        <f aca="false">parametros_recargas!$E$93*'Plan mensual'!F117+parametros_recargas!$F$93*'Plan mensual'!F118+parametros_recargas!$G$93*'Plan mensual'!F119+parametros_recargas!$H$93*'Plan mensual'!F120+parametros_recargas!$I$93*'Plan mensual'!F121+parametros_recargas!$J$93*'Plan mensual'!F122+parametros_recargas!$K$93*'Plan mensual'!F123+parametros_recargas!$L$93*'Plan mensual'!F124</f>
        <v>2443.3723748971</v>
      </c>
      <c r="E119" s="21" t="n">
        <f aca="false">parametros_recargas!$E$93*'Plan mensual'!G117+parametros_recargas!$F$93*'Plan mensual'!G118+parametros_recargas!$G$93*'Plan mensual'!G119+parametros_recargas!$H$93*'Plan mensual'!G120+parametros_recargas!$I$93*'Plan mensual'!G121+parametros_recargas!$J$93*'Plan mensual'!G122+parametros_recargas!$K$93*'Plan mensual'!G123+parametros_recargas!$L$93*'Plan mensual'!G124</f>
        <v>2443.3723748971</v>
      </c>
      <c r="F119" s="21" t="n">
        <f aca="false">parametros_recargas!$E$93*'Plan mensual'!H117+parametros_recargas!$F$93*'Plan mensual'!H118+parametros_recargas!$G$93*'Plan mensual'!H119+parametros_recargas!$H$93*'Plan mensual'!H120+parametros_recargas!$I$93*'Plan mensual'!H121+parametros_recargas!$J$93*'Plan mensual'!H122+parametros_recargas!$K$93*'Plan mensual'!H123+parametros_recargas!$L$93*'Plan mensual'!H124</f>
        <v>2443.3723748971</v>
      </c>
      <c r="G119" s="21" t="n">
        <f aca="false">parametros_recargas!$E$93*'Plan mensual'!I117+parametros_recargas!$F$93*'Plan mensual'!I118+parametros_recargas!$G$93*'Plan mensual'!I119+parametros_recargas!$H$93*'Plan mensual'!I120+parametros_recargas!$I$93*'Plan mensual'!I121+parametros_recargas!$J$93*'Plan mensual'!I122+parametros_recargas!$K$93*'Plan mensual'!I123+parametros_recargas!$L$93*'Plan mensual'!I124</f>
        <v>2443.3723748971</v>
      </c>
      <c r="H119" s="21" t="n">
        <f aca="false">parametros_recargas!$E$93*'Plan mensual'!J117+parametros_recargas!$F$93*'Plan mensual'!J118+parametros_recargas!$G$93*'Plan mensual'!J119+parametros_recargas!$H$93*'Plan mensual'!J120+parametros_recargas!$I$93*'Plan mensual'!J121+parametros_recargas!$J$93*'Plan mensual'!J122+parametros_recargas!$K$93*'Plan mensual'!J123+parametros_recargas!$L$93*'Plan mensual'!J124</f>
        <v>2443.3723748971</v>
      </c>
      <c r="I119" s="21" t="n">
        <f aca="false">parametros_recargas!$E$93*'Plan mensual'!K117+parametros_recargas!$F$93*'Plan mensual'!K118+parametros_recargas!$G$93*'Plan mensual'!K119+parametros_recargas!$H$93*'Plan mensual'!K120+parametros_recargas!$I$93*'Plan mensual'!K121+parametros_recargas!$J$93*'Plan mensual'!K122+parametros_recargas!$K$93*'Plan mensual'!K123+parametros_recargas!$L$93*'Plan mensual'!K124</f>
        <v>2443.3723748971</v>
      </c>
      <c r="J119" s="21" t="n">
        <f aca="false">parametros_recargas!$E$93*'Plan mensual'!L117+parametros_recargas!$F$93*'Plan mensual'!L118+parametros_recargas!$G$93*'Plan mensual'!L119+parametros_recargas!$H$93*'Plan mensual'!L120+parametros_recargas!$I$93*'Plan mensual'!L121+parametros_recargas!$J$93*'Plan mensual'!L122+parametros_recargas!$K$93*'Plan mensual'!L123+parametros_recargas!$L$93*'Plan mensual'!L124</f>
        <v>2443.3723748971</v>
      </c>
      <c r="K119" s="21" t="n">
        <f aca="false">parametros_recargas!$E$93*'Plan mensual'!M117+parametros_recargas!$F$93*'Plan mensual'!M118+parametros_recargas!$G$93*'Plan mensual'!M119+parametros_recargas!$H$93*'Plan mensual'!M120+parametros_recargas!$I$93*'Plan mensual'!M121+parametros_recargas!$J$93*'Plan mensual'!M122+parametros_recargas!$K$93*'Plan mensual'!M123+parametros_recargas!$L$93*'Plan mensual'!M124</f>
        <v>2443.3723748971</v>
      </c>
      <c r="L119" s="21" t="n">
        <f aca="false">parametros_recargas!$E$93*'Plan mensual'!N117+parametros_recargas!$F$93*'Plan mensual'!N118+parametros_recargas!$G$93*'Plan mensual'!N119+parametros_recargas!$H$93*'Plan mensual'!N120+parametros_recargas!$I$93*'Plan mensual'!N121+parametros_recargas!$J$93*'Plan mensual'!N122+parametros_recargas!$K$93*'Plan mensual'!N123+parametros_recargas!$L$93*'Plan mensual'!N124</f>
        <v>2443.3723748971</v>
      </c>
      <c r="M119" s="21" t="n">
        <f aca="false">parametros_recargas!$E$93*'Plan mensual'!O117+parametros_recargas!$F$93*'Plan mensual'!O118+parametros_recargas!$G$93*'Plan mensual'!O119+parametros_recargas!$H$93*'Plan mensual'!O120+parametros_recargas!$I$93*'Plan mensual'!O121+parametros_recargas!$J$93*'Plan mensual'!O122+parametros_recargas!$K$93*'Plan mensual'!O123+parametros_recargas!$L$93*'Plan mensual'!O124</f>
        <v>2443.3723748971</v>
      </c>
      <c r="N119" s="6" t="n">
        <f aca="false">SUM(B119:M119)</f>
        <v>29320.4684987652</v>
      </c>
      <c r="O119" s="22" t="n">
        <f aca="false">MAX(B119:M119)</f>
        <v>2443.3723748971</v>
      </c>
      <c r="P119" s="12" t="n">
        <f aca="false">O119/parametros_recargas!$B$6</f>
        <v>16.2891491659806</v>
      </c>
    </row>
    <row r="120" customFormat="false" ht="15" hidden="false" customHeight="false" outlineLevel="0" collapsed="false">
      <c r="A120" s="8" t="str">
        <f aca="false">parametros_recargas!$B$94</f>
        <v>Ensamblaje y presurización — zona general</v>
      </c>
      <c r="B120" s="21" t="n">
        <f aca="false">parametros_recargas!$E$94*'Plan mensual'!D117+parametros_recargas!$F$94*'Plan mensual'!D118+parametros_recargas!$G$94*'Plan mensual'!D119+parametros_recargas!$H$94*'Plan mensual'!D120+parametros_recargas!$I$94*'Plan mensual'!D121+parametros_recargas!$J$94*'Plan mensual'!D122+parametros_recargas!$K$94*'Plan mensual'!D123+parametros_recargas!$L$94*'Plan mensual'!D124</f>
        <v>196.219871783048</v>
      </c>
      <c r="C120" s="21" t="n">
        <f aca="false">parametros_recargas!$E$94*'Plan mensual'!E117+parametros_recargas!$F$94*'Plan mensual'!E118+parametros_recargas!$G$94*'Plan mensual'!E119+parametros_recargas!$H$94*'Plan mensual'!E120+parametros_recargas!$I$94*'Plan mensual'!E121+parametros_recargas!$J$94*'Plan mensual'!E122+parametros_recargas!$K$94*'Plan mensual'!E123+parametros_recargas!$L$94*'Plan mensual'!E124</f>
        <v>196.219871783048</v>
      </c>
      <c r="D120" s="21" t="n">
        <f aca="false">parametros_recargas!$E$94*'Plan mensual'!F117+parametros_recargas!$F$94*'Plan mensual'!F118+parametros_recargas!$G$94*'Plan mensual'!F119+parametros_recargas!$H$94*'Plan mensual'!F120+parametros_recargas!$I$94*'Plan mensual'!F121+parametros_recargas!$J$94*'Plan mensual'!F122+parametros_recargas!$K$94*'Plan mensual'!F123+parametros_recargas!$L$94*'Plan mensual'!F124</f>
        <v>196.219871783048</v>
      </c>
      <c r="E120" s="21" t="n">
        <f aca="false">parametros_recargas!$E$94*'Plan mensual'!G117+parametros_recargas!$F$94*'Plan mensual'!G118+parametros_recargas!$G$94*'Plan mensual'!G119+parametros_recargas!$H$94*'Plan mensual'!G120+parametros_recargas!$I$94*'Plan mensual'!G121+parametros_recargas!$J$94*'Plan mensual'!G122+parametros_recargas!$K$94*'Plan mensual'!G123+parametros_recargas!$L$94*'Plan mensual'!G124</f>
        <v>196.219871783048</v>
      </c>
      <c r="F120" s="21" t="n">
        <f aca="false">parametros_recargas!$E$94*'Plan mensual'!H117+parametros_recargas!$F$94*'Plan mensual'!H118+parametros_recargas!$G$94*'Plan mensual'!H119+parametros_recargas!$H$94*'Plan mensual'!H120+parametros_recargas!$I$94*'Plan mensual'!H121+parametros_recargas!$J$94*'Plan mensual'!H122+parametros_recargas!$K$94*'Plan mensual'!H123+parametros_recargas!$L$94*'Plan mensual'!H124</f>
        <v>196.219871783048</v>
      </c>
      <c r="G120" s="21" t="n">
        <f aca="false">parametros_recargas!$E$94*'Plan mensual'!I117+parametros_recargas!$F$94*'Plan mensual'!I118+parametros_recargas!$G$94*'Plan mensual'!I119+parametros_recargas!$H$94*'Plan mensual'!I120+parametros_recargas!$I$94*'Plan mensual'!I121+parametros_recargas!$J$94*'Plan mensual'!I122+parametros_recargas!$K$94*'Plan mensual'!I123+parametros_recargas!$L$94*'Plan mensual'!I124</f>
        <v>196.219871783048</v>
      </c>
      <c r="H120" s="21" t="n">
        <f aca="false">parametros_recargas!$E$94*'Plan mensual'!J117+parametros_recargas!$F$94*'Plan mensual'!J118+parametros_recargas!$G$94*'Plan mensual'!J119+parametros_recargas!$H$94*'Plan mensual'!J120+parametros_recargas!$I$94*'Plan mensual'!J121+parametros_recargas!$J$94*'Plan mensual'!J122+parametros_recargas!$K$94*'Plan mensual'!J123+parametros_recargas!$L$94*'Plan mensual'!J124</f>
        <v>196.219871783048</v>
      </c>
      <c r="I120" s="21" t="n">
        <f aca="false">parametros_recargas!$E$94*'Plan mensual'!K117+parametros_recargas!$F$94*'Plan mensual'!K118+parametros_recargas!$G$94*'Plan mensual'!K119+parametros_recargas!$H$94*'Plan mensual'!K120+parametros_recargas!$I$94*'Plan mensual'!K121+parametros_recargas!$J$94*'Plan mensual'!K122+parametros_recargas!$K$94*'Plan mensual'!K123+parametros_recargas!$L$94*'Plan mensual'!K124</f>
        <v>196.219871783048</v>
      </c>
      <c r="J120" s="21" t="n">
        <f aca="false">parametros_recargas!$E$94*'Plan mensual'!L117+parametros_recargas!$F$94*'Plan mensual'!L118+parametros_recargas!$G$94*'Plan mensual'!L119+parametros_recargas!$H$94*'Plan mensual'!L120+parametros_recargas!$I$94*'Plan mensual'!L121+parametros_recargas!$J$94*'Plan mensual'!L122+parametros_recargas!$K$94*'Plan mensual'!L123+parametros_recargas!$L$94*'Plan mensual'!L124</f>
        <v>196.219871783048</v>
      </c>
      <c r="K120" s="21" t="n">
        <f aca="false">parametros_recargas!$E$94*'Plan mensual'!M117+parametros_recargas!$F$94*'Plan mensual'!M118+parametros_recargas!$G$94*'Plan mensual'!M119+parametros_recargas!$H$94*'Plan mensual'!M120+parametros_recargas!$I$94*'Plan mensual'!M121+parametros_recargas!$J$94*'Plan mensual'!M122+parametros_recargas!$K$94*'Plan mensual'!M123+parametros_recargas!$L$94*'Plan mensual'!M124</f>
        <v>196.219871783048</v>
      </c>
      <c r="L120" s="21" t="n">
        <f aca="false">parametros_recargas!$E$94*'Plan mensual'!N117+parametros_recargas!$F$94*'Plan mensual'!N118+parametros_recargas!$G$94*'Plan mensual'!N119+parametros_recargas!$H$94*'Plan mensual'!N120+parametros_recargas!$I$94*'Plan mensual'!N121+parametros_recargas!$J$94*'Plan mensual'!N122+parametros_recargas!$K$94*'Plan mensual'!N123+parametros_recargas!$L$94*'Plan mensual'!N124</f>
        <v>196.219871783048</v>
      </c>
      <c r="M120" s="21" t="n">
        <f aca="false">parametros_recargas!$E$94*'Plan mensual'!O117+parametros_recargas!$F$94*'Plan mensual'!O118+parametros_recargas!$G$94*'Plan mensual'!O119+parametros_recargas!$H$94*'Plan mensual'!O120+parametros_recargas!$I$94*'Plan mensual'!O121+parametros_recargas!$J$94*'Plan mensual'!O122+parametros_recargas!$K$94*'Plan mensual'!O123+parametros_recargas!$L$94*'Plan mensual'!O124</f>
        <v>196.219871783048</v>
      </c>
      <c r="N120" s="6" t="n">
        <f aca="false">SUM(B120:M120)</f>
        <v>2354.63846139658</v>
      </c>
      <c r="O120" s="22" t="n">
        <f aca="false">MAX(B120:M120)</f>
        <v>196.219871783048</v>
      </c>
      <c r="P120" s="12" t="n">
        <f aca="false">O120/parametros_recargas!$B$6</f>
        <v>1.30813247855366</v>
      </c>
    </row>
    <row r="121" customFormat="false" ht="15" hidden="false" customHeight="false" outlineLevel="0" collapsed="false">
      <c r="A121" s="8" t="str">
        <f aca="false">parametros_recargas!$B$95</f>
        <v>Carga y presurización de halogenado</v>
      </c>
      <c r="B121" s="21" t="n">
        <f aca="false">parametros_recargas!$E$95*'Plan mensual'!D117+parametros_recargas!$F$95*'Plan mensual'!D118+parametros_recargas!$G$95*'Plan mensual'!D119+parametros_recargas!$H$95*'Plan mensual'!D120+parametros_recargas!$I$95*'Plan mensual'!D121+parametros_recargas!$J$95*'Plan mensual'!D122+parametros_recargas!$K$95*'Plan mensual'!D123+parametros_recargas!$L$95*'Plan mensual'!D124</f>
        <v>2.42709974109219</v>
      </c>
      <c r="C121" s="21" t="n">
        <f aca="false">parametros_recargas!$E$95*'Plan mensual'!E117+parametros_recargas!$F$95*'Plan mensual'!E118+parametros_recargas!$G$95*'Plan mensual'!E119+parametros_recargas!$H$95*'Plan mensual'!E120+parametros_recargas!$I$95*'Plan mensual'!E121+parametros_recargas!$J$95*'Plan mensual'!E122+parametros_recargas!$K$95*'Plan mensual'!E123+parametros_recargas!$L$95*'Plan mensual'!E124</f>
        <v>2.42709974109219</v>
      </c>
      <c r="D121" s="21" t="n">
        <f aca="false">parametros_recargas!$E$95*'Plan mensual'!F117+parametros_recargas!$F$95*'Plan mensual'!F118+parametros_recargas!$G$95*'Plan mensual'!F119+parametros_recargas!$H$95*'Plan mensual'!F120+parametros_recargas!$I$95*'Plan mensual'!F121+parametros_recargas!$J$95*'Plan mensual'!F122+parametros_recargas!$K$95*'Plan mensual'!F123+parametros_recargas!$L$95*'Plan mensual'!F124</f>
        <v>2.42709974109219</v>
      </c>
      <c r="E121" s="21" t="n">
        <f aca="false">parametros_recargas!$E$95*'Plan mensual'!G117+parametros_recargas!$F$95*'Plan mensual'!G118+parametros_recargas!$G$95*'Plan mensual'!G119+parametros_recargas!$H$95*'Plan mensual'!G120+parametros_recargas!$I$95*'Plan mensual'!G121+parametros_recargas!$J$95*'Plan mensual'!G122+parametros_recargas!$K$95*'Plan mensual'!G123+parametros_recargas!$L$95*'Plan mensual'!G124</f>
        <v>2.42709974109219</v>
      </c>
      <c r="F121" s="21" t="n">
        <f aca="false">parametros_recargas!$E$95*'Plan mensual'!H117+parametros_recargas!$F$95*'Plan mensual'!H118+parametros_recargas!$G$95*'Plan mensual'!H119+parametros_recargas!$H$95*'Plan mensual'!H120+parametros_recargas!$I$95*'Plan mensual'!H121+parametros_recargas!$J$95*'Plan mensual'!H122+parametros_recargas!$K$95*'Plan mensual'!H123+parametros_recargas!$L$95*'Plan mensual'!H124</f>
        <v>2.42709974109219</v>
      </c>
      <c r="G121" s="21" t="n">
        <f aca="false">parametros_recargas!$E$95*'Plan mensual'!I117+parametros_recargas!$F$95*'Plan mensual'!I118+parametros_recargas!$G$95*'Plan mensual'!I119+parametros_recargas!$H$95*'Plan mensual'!I120+parametros_recargas!$I$95*'Plan mensual'!I121+parametros_recargas!$J$95*'Plan mensual'!I122+parametros_recargas!$K$95*'Plan mensual'!I123+parametros_recargas!$L$95*'Plan mensual'!I124</f>
        <v>2.42709974109219</v>
      </c>
      <c r="H121" s="21" t="n">
        <f aca="false">parametros_recargas!$E$95*'Plan mensual'!J117+parametros_recargas!$F$95*'Plan mensual'!J118+parametros_recargas!$G$95*'Plan mensual'!J119+parametros_recargas!$H$95*'Plan mensual'!J120+parametros_recargas!$I$95*'Plan mensual'!J121+parametros_recargas!$J$95*'Plan mensual'!J122+parametros_recargas!$K$95*'Plan mensual'!J123+parametros_recargas!$L$95*'Plan mensual'!J124</f>
        <v>2.42709974109219</v>
      </c>
      <c r="I121" s="21" t="n">
        <f aca="false">parametros_recargas!$E$95*'Plan mensual'!K117+parametros_recargas!$F$95*'Plan mensual'!K118+parametros_recargas!$G$95*'Plan mensual'!K119+parametros_recargas!$H$95*'Plan mensual'!K120+parametros_recargas!$I$95*'Plan mensual'!K121+parametros_recargas!$J$95*'Plan mensual'!K122+parametros_recargas!$K$95*'Plan mensual'!K123+parametros_recargas!$L$95*'Plan mensual'!K124</f>
        <v>2.42709974109219</v>
      </c>
      <c r="J121" s="21" t="n">
        <f aca="false">parametros_recargas!$E$95*'Plan mensual'!L117+parametros_recargas!$F$95*'Plan mensual'!L118+parametros_recargas!$G$95*'Plan mensual'!L119+parametros_recargas!$H$95*'Plan mensual'!L120+parametros_recargas!$I$95*'Plan mensual'!L121+parametros_recargas!$J$95*'Plan mensual'!L122+parametros_recargas!$K$95*'Plan mensual'!L123+parametros_recargas!$L$95*'Plan mensual'!L124</f>
        <v>2.42709974109219</v>
      </c>
      <c r="K121" s="21" t="n">
        <f aca="false">parametros_recargas!$E$95*'Plan mensual'!M117+parametros_recargas!$F$95*'Plan mensual'!M118+parametros_recargas!$G$95*'Plan mensual'!M119+parametros_recargas!$H$95*'Plan mensual'!M120+parametros_recargas!$I$95*'Plan mensual'!M121+parametros_recargas!$J$95*'Plan mensual'!M122+parametros_recargas!$K$95*'Plan mensual'!M123+parametros_recargas!$L$95*'Plan mensual'!M124</f>
        <v>2.42709974109219</v>
      </c>
      <c r="L121" s="21" t="n">
        <f aca="false">parametros_recargas!$E$95*'Plan mensual'!N117+parametros_recargas!$F$95*'Plan mensual'!N118+parametros_recargas!$G$95*'Plan mensual'!N119+parametros_recargas!$H$95*'Plan mensual'!N120+parametros_recargas!$I$95*'Plan mensual'!N121+parametros_recargas!$J$95*'Plan mensual'!N122+parametros_recargas!$K$95*'Plan mensual'!N123+parametros_recargas!$L$95*'Plan mensual'!N124</f>
        <v>2.42709974109219</v>
      </c>
      <c r="M121" s="21" t="n">
        <f aca="false">parametros_recargas!$E$95*'Plan mensual'!O117+parametros_recargas!$F$95*'Plan mensual'!O118+parametros_recargas!$G$95*'Plan mensual'!O119+parametros_recargas!$H$95*'Plan mensual'!O120+parametros_recargas!$I$95*'Plan mensual'!O121+parametros_recargas!$J$95*'Plan mensual'!O122+parametros_recargas!$K$95*'Plan mensual'!O123+parametros_recargas!$L$95*'Plan mensual'!O124</f>
        <v>2.42709974109219</v>
      </c>
      <c r="N121" s="6" t="n">
        <f aca="false">SUM(B121:M121)</f>
        <v>29.1251968931063</v>
      </c>
      <c r="O121" s="22" t="n">
        <f aca="false">MAX(B121:M121)</f>
        <v>2.42709974109219</v>
      </c>
      <c r="P121" s="12" t="n">
        <f aca="false">O121/parametros_recargas!$B$6</f>
        <v>0.0161806649406146</v>
      </c>
    </row>
    <row r="122" customFormat="false" ht="15" hidden="false" customHeight="false" outlineLevel="0" collapsed="false">
      <c r="A122" s="8" t="str">
        <f aca="false">parametros_recargas!$B$96</f>
        <v>Control de peso (CO₂ y halogenados sin recarga)</v>
      </c>
      <c r="B122" s="21" t="n">
        <f aca="false">parametros_recargas!$E$96*'Plan mensual'!D117+parametros_recargas!$F$96*'Plan mensual'!D118+parametros_recargas!$G$96*'Plan mensual'!D119+parametros_recargas!$H$96*'Plan mensual'!D120+parametros_recargas!$I$96*'Plan mensual'!D121+parametros_recargas!$J$96*'Plan mensual'!D122+parametros_recargas!$K$96*'Plan mensual'!D123+parametros_recargas!$L$96*'Plan mensual'!D124</f>
        <v>176.948173860164</v>
      </c>
      <c r="C122" s="21" t="n">
        <f aca="false">parametros_recargas!$E$96*'Plan mensual'!E117+parametros_recargas!$F$96*'Plan mensual'!E118+parametros_recargas!$G$96*'Plan mensual'!E119+parametros_recargas!$H$96*'Plan mensual'!E120+parametros_recargas!$I$96*'Plan mensual'!E121+parametros_recargas!$J$96*'Plan mensual'!E122+parametros_recargas!$K$96*'Plan mensual'!E123+parametros_recargas!$L$96*'Plan mensual'!E124</f>
        <v>176.948173860164</v>
      </c>
      <c r="D122" s="21" t="n">
        <f aca="false">parametros_recargas!$E$96*'Plan mensual'!F117+parametros_recargas!$F$96*'Plan mensual'!F118+parametros_recargas!$G$96*'Plan mensual'!F119+parametros_recargas!$H$96*'Plan mensual'!F120+parametros_recargas!$I$96*'Plan mensual'!F121+parametros_recargas!$J$96*'Plan mensual'!F122+parametros_recargas!$K$96*'Plan mensual'!F123+parametros_recargas!$L$96*'Plan mensual'!F124</f>
        <v>176.948173860164</v>
      </c>
      <c r="E122" s="21" t="n">
        <f aca="false">parametros_recargas!$E$96*'Plan mensual'!G117+parametros_recargas!$F$96*'Plan mensual'!G118+parametros_recargas!$G$96*'Plan mensual'!G119+parametros_recargas!$H$96*'Plan mensual'!G120+parametros_recargas!$I$96*'Plan mensual'!G121+parametros_recargas!$J$96*'Plan mensual'!G122+parametros_recargas!$K$96*'Plan mensual'!G123+parametros_recargas!$L$96*'Plan mensual'!G124</f>
        <v>176.948173860164</v>
      </c>
      <c r="F122" s="21" t="n">
        <f aca="false">parametros_recargas!$E$96*'Plan mensual'!H117+parametros_recargas!$F$96*'Plan mensual'!H118+parametros_recargas!$G$96*'Plan mensual'!H119+parametros_recargas!$H$96*'Plan mensual'!H120+parametros_recargas!$I$96*'Plan mensual'!H121+parametros_recargas!$J$96*'Plan mensual'!H122+parametros_recargas!$K$96*'Plan mensual'!H123+parametros_recargas!$L$96*'Plan mensual'!H124</f>
        <v>176.948173860164</v>
      </c>
      <c r="G122" s="21" t="n">
        <f aca="false">parametros_recargas!$E$96*'Plan mensual'!I117+parametros_recargas!$F$96*'Plan mensual'!I118+parametros_recargas!$G$96*'Plan mensual'!I119+parametros_recargas!$H$96*'Plan mensual'!I120+parametros_recargas!$I$96*'Plan mensual'!I121+parametros_recargas!$J$96*'Plan mensual'!I122+parametros_recargas!$K$96*'Plan mensual'!I123+parametros_recargas!$L$96*'Plan mensual'!I124</f>
        <v>176.948173860164</v>
      </c>
      <c r="H122" s="21" t="n">
        <f aca="false">parametros_recargas!$E$96*'Plan mensual'!J117+parametros_recargas!$F$96*'Plan mensual'!J118+parametros_recargas!$G$96*'Plan mensual'!J119+parametros_recargas!$H$96*'Plan mensual'!J120+parametros_recargas!$I$96*'Plan mensual'!J121+parametros_recargas!$J$96*'Plan mensual'!J122+parametros_recargas!$K$96*'Plan mensual'!J123+parametros_recargas!$L$96*'Plan mensual'!J124</f>
        <v>176.948173860164</v>
      </c>
      <c r="I122" s="21" t="n">
        <f aca="false">parametros_recargas!$E$96*'Plan mensual'!K117+parametros_recargas!$F$96*'Plan mensual'!K118+parametros_recargas!$G$96*'Plan mensual'!K119+parametros_recargas!$H$96*'Plan mensual'!K120+parametros_recargas!$I$96*'Plan mensual'!K121+parametros_recargas!$J$96*'Plan mensual'!K122+parametros_recargas!$K$96*'Plan mensual'!K123+parametros_recargas!$L$96*'Plan mensual'!K124</f>
        <v>176.948173860164</v>
      </c>
      <c r="J122" s="21" t="n">
        <f aca="false">parametros_recargas!$E$96*'Plan mensual'!L117+parametros_recargas!$F$96*'Plan mensual'!L118+parametros_recargas!$G$96*'Plan mensual'!L119+parametros_recargas!$H$96*'Plan mensual'!L120+parametros_recargas!$I$96*'Plan mensual'!L121+parametros_recargas!$J$96*'Plan mensual'!L122+parametros_recargas!$K$96*'Plan mensual'!L123+parametros_recargas!$L$96*'Plan mensual'!L124</f>
        <v>176.948173860164</v>
      </c>
      <c r="K122" s="21" t="n">
        <f aca="false">parametros_recargas!$E$96*'Plan mensual'!M117+parametros_recargas!$F$96*'Plan mensual'!M118+parametros_recargas!$G$96*'Plan mensual'!M119+parametros_recargas!$H$96*'Plan mensual'!M120+parametros_recargas!$I$96*'Plan mensual'!M121+parametros_recargas!$J$96*'Plan mensual'!M122+parametros_recargas!$K$96*'Plan mensual'!M123+parametros_recargas!$L$96*'Plan mensual'!M124</f>
        <v>176.948173860164</v>
      </c>
      <c r="L122" s="21" t="n">
        <f aca="false">parametros_recargas!$E$96*'Plan mensual'!N117+parametros_recargas!$F$96*'Plan mensual'!N118+parametros_recargas!$G$96*'Plan mensual'!N119+parametros_recargas!$H$96*'Plan mensual'!N120+parametros_recargas!$I$96*'Plan mensual'!N121+parametros_recargas!$J$96*'Plan mensual'!N122+parametros_recargas!$K$96*'Plan mensual'!N123+parametros_recargas!$L$96*'Plan mensual'!N124</f>
        <v>176.948173860164</v>
      </c>
      <c r="M122" s="21" t="n">
        <f aca="false">parametros_recargas!$E$96*'Plan mensual'!O117+parametros_recargas!$F$96*'Plan mensual'!O118+parametros_recargas!$G$96*'Plan mensual'!O119+parametros_recargas!$H$96*'Plan mensual'!O120+parametros_recargas!$I$96*'Plan mensual'!O121+parametros_recargas!$J$96*'Plan mensual'!O122+parametros_recargas!$K$96*'Plan mensual'!O123+parametros_recargas!$L$96*'Plan mensual'!O124</f>
        <v>176.948173860164</v>
      </c>
      <c r="N122" s="6" t="n">
        <f aca="false">SUM(B122:M122)</f>
        <v>2123.37808632197</v>
      </c>
      <c r="O122" s="22" t="n">
        <f aca="false">MAX(B122:M122)</f>
        <v>176.948173860164</v>
      </c>
      <c r="P122" s="12" t="n">
        <f aca="false">O122/parametros_recargas!$B$6</f>
        <v>1.17965449240109</v>
      </c>
    </row>
    <row r="123" customFormat="false" ht="15" hidden="false" customHeight="false" outlineLevel="0" collapsed="false">
      <c r="A123" s="8" t="str">
        <f aca="false">parametros_recargas!$B$97</f>
        <v>Ensayo de pérdidas</v>
      </c>
      <c r="B123" s="21" t="n">
        <f aca="false">parametros_recargas!$E$97*'Plan mensual'!D117+parametros_recargas!$F$97*'Plan mensual'!D118+parametros_recargas!$G$97*'Plan mensual'!D119+parametros_recargas!$H$97*'Plan mensual'!D120+parametros_recargas!$I$97*'Plan mensual'!D121+parametros_recargas!$J$97*'Plan mensual'!D122+parametros_recargas!$K$97*'Plan mensual'!D123+parametros_recargas!$L$97*'Plan mensual'!D124</f>
        <v>2828.65948301437</v>
      </c>
      <c r="C123" s="21" t="n">
        <f aca="false">parametros_recargas!$E$97*'Plan mensual'!E117+parametros_recargas!$F$97*'Plan mensual'!E118+parametros_recargas!$G$97*'Plan mensual'!E119+parametros_recargas!$H$97*'Plan mensual'!E120+parametros_recargas!$I$97*'Plan mensual'!E121+parametros_recargas!$J$97*'Plan mensual'!E122+parametros_recargas!$K$97*'Plan mensual'!E123+parametros_recargas!$L$97*'Plan mensual'!E124</f>
        <v>2828.65948301437</v>
      </c>
      <c r="D123" s="21" t="n">
        <f aca="false">parametros_recargas!$E$97*'Plan mensual'!F117+parametros_recargas!$F$97*'Plan mensual'!F118+parametros_recargas!$G$97*'Plan mensual'!F119+parametros_recargas!$H$97*'Plan mensual'!F120+parametros_recargas!$I$97*'Plan mensual'!F121+parametros_recargas!$J$97*'Plan mensual'!F122+parametros_recargas!$K$97*'Plan mensual'!F123+parametros_recargas!$L$97*'Plan mensual'!F124</f>
        <v>2828.65948301437</v>
      </c>
      <c r="E123" s="21" t="n">
        <f aca="false">parametros_recargas!$E$97*'Plan mensual'!G117+parametros_recargas!$F$97*'Plan mensual'!G118+parametros_recargas!$G$97*'Plan mensual'!G119+parametros_recargas!$H$97*'Plan mensual'!G120+parametros_recargas!$I$97*'Plan mensual'!G121+parametros_recargas!$J$97*'Plan mensual'!G122+parametros_recargas!$K$97*'Plan mensual'!G123+parametros_recargas!$L$97*'Plan mensual'!G124</f>
        <v>2828.65948301437</v>
      </c>
      <c r="F123" s="21" t="n">
        <f aca="false">parametros_recargas!$E$97*'Plan mensual'!H117+parametros_recargas!$F$97*'Plan mensual'!H118+parametros_recargas!$G$97*'Plan mensual'!H119+parametros_recargas!$H$97*'Plan mensual'!H120+parametros_recargas!$I$97*'Plan mensual'!H121+parametros_recargas!$J$97*'Plan mensual'!H122+parametros_recargas!$K$97*'Plan mensual'!H123+parametros_recargas!$L$97*'Plan mensual'!H124</f>
        <v>2828.65948301437</v>
      </c>
      <c r="G123" s="21" t="n">
        <f aca="false">parametros_recargas!$E$97*'Plan mensual'!I117+parametros_recargas!$F$97*'Plan mensual'!I118+parametros_recargas!$G$97*'Plan mensual'!I119+parametros_recargas!$H$97*'Plan mensual'!I120+parametros_recargas!$I$97*'Plan mensual'!I121+parametros_recargas!$J$97*'Plan mensual'!I122+parametros_recargas!$K$97*'Plan mensual'!I123+parametros_recargas!$L$97*'Plan mensual'!I124</f>
        <v>2828.65948301437</v>
      </c>
      <c r="H123" s="21" t="n">
        <f aca="false">parametros_recargas!$E$97*'Plan mensual'!J117+parametros_recargas!$F$97*'Plan mensual'!J118+parametros_recargas!$G$97*'Plan mensual'!J119+parametros_recargas!$H$97*'Plan mensual'!J120+parametros_recargas!$I$97*'Plan mensual'!J121+parametros_recargas!$J$97*'Plan mensual'!J122+parametros_recargas!$K$97*'Plan mensual'!J123+parametros_recargas!$L$97*'Plan mensual'!J124</f>
        <v>2828.65948301437</v>
      </c>
      <c r="I123" s="21" t="n">
        <f aca="false">parametros_recargas!$E$97*'Plan mensual'!K117+parametros_recargas!$F$97*'Plan mensual'!K118+parametros_recargas!$G$97*'Plan mensual'!K119+parametros_recargas!$H$97*'Plan mensual'!K120+parametros_recargas!$I$97*'Plan mensual'!K121+parametros_recargas!$J$97*'Plan mensual'!K122+parametros_recargas!$K$97*'Plan mensual'!K123+parametros_recargas!$L$97*'Plan mensual'!K124</f>
        <v>2828.65948301437</v>
      </c>
      <c r="J123" s="21" t="n">
        <f aca="false">parametros_recargas!$E$97*'Plan mensual'!L117+parametros_recargas!$F$97*'Plan mensual'!L118+parametros_recargas!$G$97*'Plan mensual'!L119+parametros_recargas!$H$97*'Plan mensual'!L120+parametros_recargas!$I$97*'Plan mensual'!L121+parametros_recargas!$J$97*'Plan mensual'!L122+parametros_recargas!$K$97*'Plan mensual'!L123+parametros_recargas!$L$97*'Plan mensual'!L124</f>
        <v>2828.65948301437</v>
      </c>
      <c r="K123" s="21" t="n">
        <f aca="false">parametros_recargas!$E$97*'Plan mensual'!M117+parametros_recargas!$F$97*'Plan mensual'!M118+parametros_recargas!$G$97*'Plan mensual'!M119+parametros_recargas!$H$97*'Plan mensual'!M120+parametros_recargas!$I$97*'Plan mensual'!M121+parametros_recargas!$J$97*'Plan mensual'!M122+parametros_recargas!$K$97*'Plan mensual'!M123+parametros_recargas!$L$97*'Plan mensual'!M124</f>
        <v>2828.65948301437</v>
      </c>
      <c r="L123" s="21" t="n">
        <f aca="false">parametros_recargas!$E$97*'Plan mensual'!N117+parametros_recargas!$F$97*'Plan mensual'!N118+parametros_recargas!$G$97*'Plan mensual'!N119+parametros_recargas!$H$97*'Plan mensual'!N120+parametros_recargas!$I$97*'Plan mensual'!N121+parametros_recargas!$J$97*'Plan mensual'!N122+parametros_recargas!$K$97*'Plan mensual'!N123+parametros_recargas!$L$97*'Plan mensual'!N124</f>
        <v>2828.65948301437</v>
      </c>
      <c r="M123" s="21" t="n">
        <f aca="false">parametros_recargas!$E$97*'Plan mensual'!O117+parametros_recargas!$F$97*'Plan mensual'!O118+parametros_recargas!$G$97*'Plan mensual'!O119+parametros_recargas!$H$97*'Plan mensual'!O120+parametros_recargas!$I$97*'Plan mensual'!O121+parametros_recargas!$J$97*'Plan mensual'!O122+parametros_recargas!$K$97*'Plan mensual'!O123+parametros_recargas!$L$97*'Plan mensual'!O124</f>
        <v>2828.65948301437</v>
      </c>
      <c r="N123" s="6" t="n">
        <f aca="false">SUM(B123:M123)</f>
        <v>33943.9137961725</v>
      </c>
      <c r="O123" s="22" t="n">
        <f aca="false">MAX(B123:M123)</f>
        <v>2828.65948301437</v>
      </c>
      <c r="P123" s="12" t="n">
        <f aca="false">O123/parametros_recargas!$B$6</f>
        <v>18.8577298867625</v>
      </c>
    </row>
    <row r="124" customFormat="false" ht="15" hidden="false" customHeight="false" outlineLevel="0" collapsed="false">
      <c r="A124" s="8" t="str">
        <f aca="false">parametros_recargas!$B$98</f>
        <v>Precinto, etiqueta y despacho</v>
      </c>
      <c r="B124" s="21" t="n">
        <f aca="false">parametros_recargas!$E$98*'Plan mensual'!D117+parametros_recargas!$F$98*'Plan mensual'!D118+parametros_recargas!$G$98*'Plan mensual'!D119+parametros_recargas!$H$98*'Plan mensual'!D120+parametros_recargas!$I$98*'Plan mensual'!D121+parametros_recargas!$J$98*'Plan mensual'!D122+parametros_recargas!$K$98*'Plan mensual'!D123+parametros_recargas!$L$98*'Plan mensual'!D124</f>
        <v>2828.65948301437</v>
      </c>
      <c r="C124" s="21" t="n">
        <f aca="false">parametros_recargas!$E$98*'Plan mensual'!E117+parametros_recargas!$F$98*'Plan mensual'!E118+parametros_recargas!$G$98*'Plan mensual'!E119+parametros_recargas!$H$98*'Plan mensual'!E120+parametros_recargas!$I$98*'Plan mensual'!E121+parametros_recargas!$J$98*'Plan mensual'!E122+parametros_recargas!$K$98*'Plan mensual'!E123+parametros_recargas!$L$98*'Plan mensual'!E124</f>
        <v>2828.65948301437</v>
      </c>
      <c r="D124" s="21" t="n">
        <f aca="false">parametros_recargas!$E$98*'Plan mensual'!F117+parametros_recargas!$F$98*'Plan mensual'!F118+parametros_recargas!$G$98*'Plan mensual'!F119+parametros_recargas!$H$98*'Plan mensual'!F120+parametros_recargas!$I$98*'Plan mensual'!F121+parametros_recargas!$J$98*'Plan mensual'!F122+parametros_recargas!$K$98*'Plan mensual'!F123+parametros_recargas!$L$98*'Plan mensual'!F124</f>
        <v>2828.65948301437</v>
      </c>
      <c r="E124" s="21" t="n">
        <f aca="false">parametros_recargas!$E$98*'Plan mensual'!G117+parametros_recargas!$F$98*'Plan mensual'!G118+parametros_recargas!$G$98*'Plan mensual'!G119+parametros_recargas!$H$98*'Plan mensual'!G120+parametros_recargas!$I$98*'Plan mensual'!G121+parametros_recargas!$J$98*'Plan mensual'!G122+parametros_recargas!$K$98*'Plan mensual'!G123+parametros_recargas!$L$98*'Plan mensual'!G124</f>
        <v>2828.65948301437</v>
      </c>
      <c r="F124" s="21" t="n">
        <f aca="false">parametros_recargas!$E$98*'Plan mensual'!H117+parametros_recargas!$F$98*'Plan mensual'!H118+parametros_recargas!$G$98*'Plan mensual'!H119+parametros_recargas!$H$98*'Plan mensual'!H120+parametros_recargas!$I$98*'Plan mensual'!H121+parametros_recargas!$J$98*'Plan mensual'!H122+parametros_recargas!$K$98*'Plan mensual'!H123+parametros_recargas!$L$98*'Plan mensual'!H124</f>
        <v>2828.65948301437</v>
      </c>
      <c r="G124" s="21" t="n">
        <f aca="false">parametros_recargas!$E$98*'Plan mensual'!I117+parametros_recargas!$F$98*'Plan mensual'!I118+parametros_recargas!$G$98*'Plan mensual'!I119+parametros_recargas!$H$98*'Plan mensual'!I120+parametros_recargas!$I$98*'Plan mensual'!I121+parametros_recargas!$J$98*'Plan mensual'!I122+parametros_recargas!$K$98*'Plan mensual'!I123+parametros_recargas!$L$98*'Plan mensual'!I124</f>
        <v>2828.65948301437</v>
      </c>
      <c r="H124" s="21" t="n">
        <f aca="false">parametros_recargas!$E$98*'Plan mensual'!J117+parametros_recargas!$F$98*'Plan mensual'!J118+parametros_recargas!$G$98*'Plan mensual'!J119+parametros_recargas!$H$98*'Plan mensual'!J120+parametros_recargas!$I$98*'Plan mensual'!J121+parametros_recargas!$J$98*'Plan mensual'!J122+parametros_recargas!$K$98*'Plan mensual'!J123+parametros_recargas!$L$98*'Plan mensual'!J124</f>
        <v>2828.65948301437</v>
      </c>
      <c r="I124" s="21" t="n">
        <f aca="false">parametros_recargas!$E$98*'Plan mensual'!K117+parametros_recargas!$F$98*'Plan mensual'!K118+parametros_recargas!$G$98*'Plan mensual'!K119+parametros_recargas!$H$98*'Plan mensual'!K120+parametros_recargas!$I$98*'Plan mensual'!K121+parametros_recargas!$J$98*'Plan mensual'!K122+parametros_recargas!$K$98*'Plan mensual'!K123+parametros_recargas!$L$98*'Plan mensual'!K124</f>
        <v>2828.65948301437</v>
      </c>
      <c r="J124" s="21" t="n">
        <f aca="false">parametros_recargas!$E$98*'Plan mensual'!L117+parametros_recargas!$F$98*'Plan mensual'!L118+parametros_recargas!$G$98*'Plan mensual'!L119+parametros_recargas!$H$98*'Plan mensual'!L120+parametros_recargas!$I$98*'Plan mensual'!L121+parametros_recargas!$J$98*'Plan mensual'!L122+parametros_recargas!$K$98*'Plan mensual'!L123+parametros_recargas!$L$98*'Plan mensual'!L124</f>
        <v>2828.65948301437</v>
      </c>
      <c r="K124" s="21" t="n">
        <f aca="false">parametros_recargas!$E$98*'Plan mensual'!M117+parametros_recargas!$F$98*'Plan mensual'!M118+parametros_recargas!$G$98*'Plan mensual'!M119+parametros_recargas!$H$98*'Plan mensual'!M120+parametros_recargas!$I$98*'Plan mensual'!M121+parametros_recargas!$J$98*'Plan mensual'!M122+parametros_recargas!$K$98*'Plan mensual'!M123+parametros_recargas!$L$98*'Plan mensual'!M124</f>
        <v>2828.65948301437</v>
      </c>
      <c r="L124" s="21" t="n">
        <f aca="false">parametros_recargas!$E$98*'Plan mensual'!N117+parametros_recargas!$F$98*'Plan mensual'!N118+parametros_recargas!$G$98*'Plan mensual'!N119+parametros_recargas!$H$98*'Plan mensual'!N120+parametros_recargas!$I$98*'Plan mensual'!N121+parametros_recargas!$J$98*'Plan mensual'!N122+parametros_recargas!$K$98*'Plan mensual'!N123+parametros_recargas!$L$98*'Plan mensual'!N124</f>
        <v>2828.65948301437</v>
      </c>
      <c r="M124" s="21" t="n">
        <f aca="false">parametros_recargas!$E$98*'Plan mensual'!O117+parametros_recargas!$F$98*'Plan mensual'!O118+parametros_recargas!$G$98*'Plan mensual'!O119+parametros_recargas!$H$98*'Plan mensual'!O120+parametros_recargas!$I$98*'Plan mensual'!O121+parametros_recargas!$J$98*'Plan mensual'!O122+parametros_recargas!$K$98*'Plan mensual'!O123+parametros_recargas!$L$98*'Plan mensual'!O124</f>
        <v>2828.65948301437</v>
      </c>
      <c r="N124" s="6" t="n">
        <f aca="false">SUM(B124:M124)</f>
        <v>33943.9137961725</v>
      </c>
      <c r="O124" s="22" t="n">
        <f aca="false">MAX(B124:M124)</f>
        <v>2828.65948301437</v>
      </c>
      <c r="P124" s="12" t="n">
        <f aca="false">O124/parametros_recargas!$B$6</f>
        <v>18.8577298867625</v>
      </c>
    </row>
    <row r="125" customFormat="false" ht="15" hidden="false" customHeight="false" outlineLevel="0" collapsed="false">
      <c r="A125" s="8" t="str">
        <f aca="false">parametros_recargas!$B$99</f>
        <v>Inutilización y disposición final</v>
      </c>
      <c r="B125" s="21" t="n">
        <f aca="false">parametros_recargas!$E$99*'Plan mensual'!D117+parametros_recargas!$F$99*'Plan mensual'!D118+parametros_recargas!$G$99*'Plan mensual'!D119+parametros_recargas!$H$99*'Plan mensual'!D120+parametros_recargas!$I$99*'Plan mensual'!D121+parametros_recargas!$J$99*'Plan mensual'!D122+parametros_recargas!$K$99*'Plan mensual'!D123+parametros_recargas!$L$99*'Plan mensual'!D124</f>
        <v>222.253071149795</v>
      </c>
      <c r="C125" s="21" t="n">
        <f aca="false">parametros_recargas!$E$99*'Plan mensual'!E117+parametros_recargas!$F$99*'Plan mensual'!E118+parametros_recargas!$G$99*'Plan mensual'!E119+parametros_recargas!$H$99*'Plan mensual'!E120+parametros_recargas!$I$99*'Plan mensual'!E121+parametros_recargas!$J$99*'Plan mensual'!E122+parametros_recargas!$K$99*'Plan mensual'!E123+parametros_recargas!$L$99*'Plan mensual'!E124</f>
        <v>222.253071149795</v>
      </c>
      <c r="D125" s="21" t="n">
        <f aca="false">parametros_recargas!$E$99*'Plan mensual'!F117+parametros_recargas!$F$99*'Plan mensual'!F118+parametros_recargas!$G$99*'Plan mensual'!F119+parametros_recargas!$H$99*'Plan mensual'!F120+parametros_recargas!$I$99*'Plan mensual'!F121+parametros_recargas!$J$99*'Plan mensual'!F122+parametros_recargas!$K$99*'Plan mensual'!F123+parametros_recargas!$L$99*'Plan mensual'!F124</f>
        <v>222.253071149795</v>
      </c>
      <c r="E125" s="21" t="n">
        <f aca="false">parametros_recargas!$E$99*'Plan mensual'!G117+parametros_recargas!$F$99*'Plan mensual'!G118+parametros_recargas!$G$99*'Plan mensual'!G119+parametros_recargas!$H$99*'Plan mensual'!G120+parametros_recargas!$I$99*'Plan mensual'!G121+parametros_recargas!$J$99*'Plan mensual'!G122+parametros_recargas!$K$99*'Plan mensual'!G123+parametros_recargas!$L$99*'Plan mensual'!G124</f>
        <v>222.253071149795</v>
      </c>
      <c r="F125" s="21" t="n">
        <f aca="false">parametros_recargas!$E$99*'Plan mensual'!H117+parametros_recargas!$F$99*'Plan mensual'!H118+parametros_recargas!$G$99*'Plan mensual'!H119+parametros_recargas!$H$99*'Plan mensual'!H120+parametros_recargas!$I$99*'Plan mensual'!H121+parametros_recargas!$J$99*'Plan mensual'!H122+parametros_recargas!$K$99*'Plan mensual'!H123+parametros_recargas!$L$99*'Plan mensual'!H124</f>
        <v>222.253071149795</v>
      </c>
      <c r="G125" s="21" t="n">
        <f aca="false">parametros_recargas!$E$99*'Plan mensual'!I117+parametros_recargas!$F$99*'Plan mensual'!I118+parametros_recargas!$G$99*'Plan mensual'!I119+parametros_recargas!$H$99*'Plan mensual'!I120+parametros_recargas!$I$99*'Plan mensual'!I121+parametros_recargas!$J$99*'Plan mensual'!I122+parametros_recargas!$K$99*'Plan mensual'!I123+parametros_recargas!$L$99*'Plan mensual'!I124</f>
        <v>222.253071149795</v>
      </c>
      <c r="H125" s="21" t="n">
        <f aca="false">parametros_recargas!$E$99*'Plan mensual'!J117+parametros_recargas!$F$99*'Plan mensual'!J118+parametros_recargas!$G$99*'Plan mensual'!J119+parametros_recargas!$H$99*'Plan mensual'!J120+parametros_recargas!$I$99*'Plan mensual'!J121+parametros_recargas!$J$99*'Plan mensual'!J122+parametros_recargas!$K$99*'Plan mensual'!J123+parametros_recargas!$L$99*'Plan mensual'!J124</f>
        <v>222.253071149795</v>
      </c>
      <c r="I125" s="21" t="n">
        <f aca="false">parametros_recargas!$E$99*'Plan mensual'!K117+parametros_recargas!$F$99*'Plan mensual'!K118+parametros_recargas!$G$99*'Plan mensual'!K119+parametros_recargas!$H$99*'Plan mensual'!K120+parametros_recargas!$I$99*'Plan mensual'!K121+parametros_recargas!$J$99*'Plan mensual'!K122+parametros_recargas!$K$99*'Plan mensual'!K123+parametros_recargas!$L$99*'Plan mensual'!K124</f>
        <v>222.253071149795</v>
      </c>
      <c r="J125" s="21" t="n">
        <f aca="false">parametros_recargas!$E$99*'Plan mensual'!L117+parametros_recargas!$F$99*'Plan mensual'!L118+parametros_recargas!$G$99*'Plan mensual'!L119+parametros_recargas!$H$99*'Plan mensual'!L120+parametros_recargas!$I$99*'Plan mensual'!L121+parametros_recargas!$J$99*'Plan mensual'!L122+parametros_recargas!$K$99*'Plan mensual'!L123+parametros_recargas!$L$99*'Plan mensual'!L124</f>
        <v>222.253071149795</v>
      </c>
      <c r="K125" s="21" t="n">
        <f aca="false">parametros_recargas!$E$99*'Plan mensual'!M117+parametros_recargas!$F$99*'Plan mensual'!M118+parametros_recargas!$G$99*'Plan mensual'!M119+parametros_recargas!$H$99*'Plan mensual'!M120+parametros_recargas!$I$99*'Plan mensual'!M121+parametros_recargas!$J$99*'Plan mensual'!M122+parametros_recargas!$K$99*'Plan mensual'!M123+parametros_recargas!$L$99*'Plan mensual'!M124</f>
        <v>222.253071149795</v>
      </c>
      <c r="L125" s="21" t="n">
        <f aca="false">parametros_recargas!$E$99*'Plan mensual'!N117+parametros_recargas!$F$99*'Plan mensual'!N118+parametros_recargas!$G$99*'Plan mensual'!N119+parametros_recargas!$H$99*'Plan mensual'!N120+parametros_recargas!$I$99*'Plan mensual'!N121+parametros_recargas!$J$99*'Plan mensual'!N122+parametros_recargas!$K$99*'Plan mensual'!N123+parametros_recargas!$L$99*'Plan mensual'!N124</f>
        <v>222.253071149795</v>
      </c>
      <c r="M125" s="21" t="n">
        <f aca="false">parametros_recargas!$E$99*'Plan mensual'!O117+parametros_recargas!$F$99*'Plan mensual'!O118+parametros_recargas!$G$99*'Plan mensual'!O119+parametros_recargas!$H$99*'Plan mensual'!O120+parametros_recargas!$I$99*'Plan mensual'!O121+parametros_recargas!$J$99*'Plan mensual'!O122+parametros_recargas!$K$99*'Plan mensual'!O123+parametros_recargas!$L$99*'Plan mensual'!O124</f>
        <v>222.253071149795</v>
      </c>
      <c r="N125" s="6" t="n">
        <f aca="false">SUM(B125:M125)</f>
        <v>2667.03685379754</v>
      </c>
      <c r="O125" s="22" t="n">
        <f aca="false">MAX(B125:M125)</f>
        <v>222.253071149795</v>
      </c>
      <c r="P125" s="12" t="n">
        <f aca="false">O125/parametros_recargas!$B$6</f>
        <v>1.48168714099864</v>
      </c>
    </row>
    <row r="126" customFormat="false" ht="15" hidden="false" customHeight="false" outlineLevel="0" collapsed="false">
      <c r="A126" s="8" t="str">
        <f aca="false">parametros_recargas!$B$100</f>
        <v>PH de mangueras (CO₂ y rodantes)</v>
      </c>
      <c r="B126" s="21" t="n">
        <f aca="false">'Plan mensual'!D125</f>
        <v>99.1082728725592</v>
      </c>
      <c r="C126" s="21" t="n">
        <f aca="false">'Plan mensual'!E125</f>
        <v>99.1082728725592</v>
      </c>
      <c r="D126" s="21" t="n">
        <f aca="false">'Plan mensual'!F125</f>
        <v>99.1082728725592</v>
      </c>
      <c r="E126" s="21" t="n">
        <f aca="false">'Plan mensual'!G125</f>
        <v>99.1082728725592</v>
      </c>
      <c r="F126" s="21" t="n">
        <f aca="false">'Plan mensual'!H125</f>
        <v>99.1082728725592</v>
      </c>
      <c r="G126" s="21" t="n">
        <f aca="false">'Plan mensual'!I125</f>
        <v>99.1082728725592</v>
      </c>
      <c r="H126" s="21" t="n">
        <f aca="false">'Plan mensual'!J125</f>
        <v>99.1082728725592</v>
      </c>
      <c r="I126" s="21" t="n">
        <f aca="false">'Plan mensual'!K125</f>
        <v>99.1082728725592</v>
      </c>
      <c r="J126" s="21" t="n">
        <f aca="false">'Plan mensual'!L125</f>
        <v>99.1082728725592</v>
      </c>
      <c r="K126" s="21" t="n">
        <f aca="false">'Plan mensual'!M125</f>
        <v>99.1082728725592</v>
      </c>
      <c r="L126" s="21" t="n">
        <f aca="false">'Plan mensual'!N125</f>
        <v>99.1082728725592</v>
      </c>
      <c r="M126" s="21" t="n">
        <f aca="false">'Plan mensual'!O125</f>
        <v>99.1082728725592</v>
      </c>
      <c r="N126" s="6" t="n">
        <f aca="false">SUM(B126:M126)</f>
        <v>1189.29927447071</v>
      </c>
      <c r="O126" s="22" t="n">
        <f aca="false">MAX(B126:M126)</f>
        <v>99.1082728725592</v>
      </c>
      <c r="P126" s="12" t="n">
        <f aca="false">O126/parametros_recargas!$B$6</f>
        <v>0.660721819150395</v>
      </c>
    </row>
    <row r="129" customFormat="false" ht="23.85" hidden="false" customHeight="false" outlineLevel="0" collapsed="false">
      <c r="A129" s="2" t="s">
        <v>316</v>
      </c>
      <c r="B129" s="2" t="s">
        <v>130</v>
      </c>
      <c r="C129" s="2" t="s">
        <v>131</v>
      </c>
      <c r="D129" s="2" t="s">
        <v>132</v>
      </c>
      <c r="E129" s="2" t="s">
        <v>133</v>
      </c>
      <c r="F129" s="2" t="s">
        <v>134</v>
      </c>
      <c r="G129" s="2" t="s">
        <v>135</v>
      </c>
      <c r="H129" s="2" t="s">
        <v>136</v>
      </c>
      <c r="I129" s="2" t="s">
        <v>137</v>
      </c>
      <c r="J129" s="2" t="s">
        <v>138</v>
      </c>
      <c r="K129" s="2" t="s">
        <v>139</v>
      </c>
      <c r="L129" s="2" t="s">
        <v>140</v>
      </c>
      <c r="M129" s="2" t="s">
        <v>141</v>
      </c>
      <c r="N129" s="2" t="s">
        <v>310</v>
      </c>
      <c r="O129" s="2" t="s">
        <v>311</v>
      </c>
      <c r="P129" s="2" t="s">
        <v>312</v>
      </c>
    </row>
    <row r="130" customFormat="false" ht="15" hidden="false" customHeight="false" outlineLevel="0" collapsed="false">
      <c r="A130" s="8" t="str">
        <f aca="false">parametros_recargas!$B$72</f>
        <v>Recepción y registro</v>
      </c>
      <c r="B130" s="21" t="n">
        <f aca="false">parametros_recargas!$E$72*'Plan mensual'!D149+parametros_recargas!$F$72*'Plan mensual'!D150+parametros_recargas!$G$72*'Plan mensual'!D151+parametros_recargas!$H$72*'Plan mensual'!D152+parametros_recargas!$I$72*'Plan mensual'!D153+parametros_recargas!$J$72*'Plan mensual'!D154+parametros_recargas!$K$72*'Plan mensual'!D155+parametros_recargas!$L$72*'Plan mensual'!D156</f>
        <v>4163.97419146407</v>
      </c>
      <c r="C130" s="21" t="n">
        <f aca="false">parametros_recargas!$E$72*'Plan mensual'!E149+parametros_recargas!$F$72*'Plan mensual'!E150+parametros_recargas!$G$72*'Plan mensual'!E151+parametros_recargas!$H$72*'Plan mensual'!E152+parametros_recargas!$I$72*'Plan mensual'!E153+parametros_recargas!$J$72*'Plan mensual'!E154+parametros_recargas!$K$72*'Plan mensual'!E155+parametros_recargas!$L$72*'Plan mensual'!E156</f>
        <v>4163.97419146407</v>
      </c>
      <c r="D130" s="21" t="n">
        <f aca="false">parametros_recargas!$E$72*'Plan mensual'!F149+parametros_recargas!$F$72*'Plan mensual'!F150+parametros_recargas!$G$72*'Plan mensual'!F151+parametros_recargas!$H$72*'Plan mensual'!F152+parametros_recargas!$I$72*'Plan mensual'!F153+parametros_recargas!$J$72*'Plan mensual'!F154+parametros_recargas!$K$72*'Plan mensual'!F155+parametros_recargas!$L$72*'Plan mensual'!F156</f>
        <v>4163.97419146407</v>
      </c>
      <c r="E130" s="21" t="n">
        <f aca="false">parametros_recargas!$E$72*'Plan mensual'!G149+parametros_recargas!$F$72*'Plan mensual'!G150+parametros_recargas!$G$72*'Plan mensual'!G151+parametros_recargas!$H$72*'Plan mensual'!G152+parametros_recargas!$I$72*'Plan mensual'!G153+parametros_recargas!$J$72*'Plan mensual'!G154+parametros_recargas!$K$72*'Plan mensual'!G155+parametros_recargas!$L$72*'Plan mensual'!G156</f>
        <v>4163.97419146407</v>
      </c>
      <c r="F130" s="21" t="n">
        <f aca="false">parametros_recargas!$E$72*'Plan mensual'!H149+parametros_recargas!$F$72*'Plan mensual'!H150+parametros_recargas!$G$72*'Plan mensual'!H151+parametros_recargas!$H$72*'Plan mensual'!H152+parametros_recargas!$I$72*'Plan mensual'!H153+parametros_recargas!$J$72*'Plan mensual'!H154+parametros_recargas!$K$72*'Plan mensual'!H155+parametros_recargas!$L$72*'Plan mensual'!H156</f>
        <v>4163.97419146407</v>
      </c>
      <c r="G130" s="21" t="n">
        <f aca="false">parametros_recargas!$E$72*'Plan mensual'!I149+parametros_recargas!$F$72*'Plan mensual'!I150+parametros_recargas!$G$72*'Plan mensual'!I151+parametros_recargas!$H$72*'Plan mensual'!I152+parametros_recargas!$I$72*'Plan mensual'!I153+parametros_recargas!$J$72*'Plan mensual'!I154+parametros_recargas!$K$72*'Plan mensual'!I155+parametros_recargas!$L$72*'Plan mensual'!I156</f>
        <v>4163.97419146407</v>
      </c>
      <c r="H130" s="21" t="n">
        <f aca="false">parametros_recargas!$E$72*'Plan mensual'!J149+parametros_recargas!$F$72*'Plan mensual'!J150+parametros_recargas!$G$72*'Plan mensual'!J151+parametros_recargas!$H$72*'Plan mensual'!J152+parametros_recargas!$I$72*'Plan mensual'!J153+parametros_recargas!$J$72*'Plan mensual'!J154+parametros_recargas!$K$72*'Plan mensual'!J155+parametros_recargas!$L$72*'Plan mensual'!J156</f>
        <v>4163.97419146407</v>
      </c>
      <c r="I130" s="21" t="n">
        <f aca="false">parametros_recargas!$E$72*'Plan mensual'!K149+parametros_recargas!$F$72*'Plan mensual'!K150+parametros_recargas!$G$72*'Plan mensual'!K151+parametros_recargas!$H$72*'Plan mensual'!K152+parametros_recargas!$I$72*'Plan mensual'!K153+parametros_recargas!$J$72*'Plan mensual'!K154+parametros_recargas!$K$72*'Plan mensual'!K155+parametros_recargas!$L$72*'Plan mensual'!K156</f>
        <v>4163.97419146407</v>
      </c>
      <c r="J130" s="21" t="n">
        <f aca="false">parametros_recargas!$E$72*'Plan mensual'!L149+parametros_recargas!$F$72*'Plan mensual'!L150+parametros_recargas!$G$72*'Plan mensual'!L151+parametros_recargas!$H$72*'Plan mensual'!L152+parametros_recargas!$I$72*'Plan mensual'!L153+parametros_recargas!$J$72*'Plan mensual'!L154+parametros_recargas!$K$72*'Plan mensual'!L155+parametros_recargas!$L$72*'Plan mensual'!L156</f>
        <v>4163.97419146407</v>
      </c>
      <c r="K130" s="21" t="n">
        <f aca="false">parametros_recargas!$E$72*'Plan mensual'!M149+parametros_recargas!$F$72*'Plan mensual'!M150+parametros_recargas!$G$72*'Plan mensual'!M151+parametros_recargas!$H$72*'Plan mensual'!M152+parametros_recargas!$I$72*'Plan mensual'!M153+parametros_recargas!$J$72*'Plan mensual'!M154+parametros_recargas!$K$72*'Plan mensual'!M155+parametros_recargas!$L$72*'Plan mensual'!M156</f>
        <v>4163.97419146407</v>
      </c>
      <c r="L130" s="21" t="n">
        <f aca="false">parametros_recargas!$E$72*'Plan mensual'!N149+parametros_recargas!$F$72*'Plan mensual'!N150+parametros_recargas!$G$72*'Plan mensual'!N151+parametros_recargas!$H$72*'Plan mensual'!N152+parametros_recargas!$I$72*'Plan mensual'!N153+parametros_recargas!$J$72*'Plan mensual'!N154+parametros_recargas!$K$72*'Plan mensual'!N155+parametros_recargas!$L$72*'Plan mensual'!N156</f>
        <v>4163.97419146407</v>
      </c>
      <c r="M130" s="21" t="n">
        <f aca="false">parametros_recargas!$E$72*'Plan mensual'!O149+parametros_recargas!$F$72*'Plan mensual'!O150+parametros_recargas!$G$72*'Plan mensual'!O151+parametros_recargas!$H$72*'Plan mensual'!O152+parametros_recargas!$I$72*'Plan mensual'!O153+parametros_recargas!$J$72*'Plan mensual'!O154+parametros_recargas!$K$72*'Plan mensual'!O155+parametros_recargas!$L$72*'Plan mensual'!O156</f>
        <v>4163.97419146407</v>
      </c>
      <c r="N130" s="6" t="n">
        <f aca="false">SUM(B130:M130)</f>
        <v>49967.6902975689</v>
      </c>
      <c r="O130" s="22" t="n">
        <f aca="false">MAX(B130:M130)</f>
        <v>4163.97419146407</v>
      </c>
      <c r="P130" s="12" t="n">
        <f aca="false">O130/parametros_recargas!$B$6</f>
        <v>27.7598279430938</v>
      </c>
    </row>
    <row r="131" customFormat="false" ht="15" hidden="false" customHeight="false" outlineLevel="0" collapsed="false">
      <c r="A131" s="8" t="str">
        <f aca="false">parametros_recargas!$B$73</f>
        <v>Inspección visual</v>
      </c>
      <c r="B131" s="21" t="n">
        <f aca="false">parametros_recargas!$E$73*'Plan mensual'!D149+parametros_recargas!$F$73*'Plan mensual'!D150+parametros_recargas!$G$73*'Plan mensual'!D151+parametros_recargas!$H$73*'Plan mensual'!D152+parametros_recargas!$I$73*'Plan mensual'!D153+parametros_recargas!$J$73*'Plan mensual'!D154+parametros_recargas!$K$73*'Plan mensual'!D155+parametros_recargas!$L$73*'Plan mensual'!D156</f>
        <v>4163.97419146407</v>
      </c>
      <c r="C131" s="21" t="n">
        <f aca="false">parametros_recargas!$E$73*'Plan mensual'!E149+parametros_recargas!$F$73*'Plan mensual'!E150+parametros_recargas!$G$73*'Plan mensual'!E151+parametros_recargas!$H$73*'Plan mensual'!E152+parametros_recargas!$I$73*'Plan mensual'!E153+parametros_recargas!$J$73*'Plan mensual'!E154+parametros_recargas!$K$73*'Plan mensual'!E155+parametros_recargas!$L$73*'Plan mensual'!E156</f>
        <v>4163.97419146407</v>
      </c>
      <c r="D131" s="21" t="n">
        <f aca="false">parametros_recargas!$E$73*'Plan mensual'!F149+parametros_recargas!$F$73*'Plan mensual'!F150+parametros_recargas!$G$73*'Plan mensual'!F151+parametros_recargas!$H$73*'Plan mensual'!F152+parametros_recargas!$I$73*'Plan mensual'!F153+parametros_recargas!$J$73*'Plan mensual'!F154+parametros_recargas!$K$73*'Plan mensual'!F155+parametros_recargas!$L$73*'Plan mensual'!F156</f>
        <v>4163.97419146407</v>
      </c>
      <c r="E131" s="21" t="n">
        <f aca="false">parametros_recargas!$E$73*'Plan mensual'!G149+parametros_recargas!$F$73*'Plan mensual'!G150+parametros_recargas!$G$73*'Plan mensual'!G151+parametros_recargas!$H$73*'Plan mensual'!G152+parametros_recargas!$I$73*'Plan mensual'!G153+parametros_recargas!$J$73*'Plan mensual'!G154+parametros_recargas!$K$73*'Plan mensual'!G155+parametros_recargas!$L$73*'Plan mensual'!G156</f>
        <v>4163.97419146407</v>
      </c>
      <c r="F131" s="21" t="n">
        <f aca="false">parametros_recargas!$E$73*'Plan mensual'!H149+parametros_recargas!$F$73*'Plan mensual'!H150+parametros_recargas!$G$73*'Plan mensual'!H151+parametros_recargas!$H$73*'Plan mensual'!H152+parametros_recargas!$I$73*'Plan mensual'!H153+parametros_recargas!$J$73*'Plan mensual'!H154+parametros_recargas!$K$73*'Plan mensual'!H155+parametros_recargas!$L$73*'Plan mensual'!H156</f>
        <v>4163.97419146407</v>
      </c>
      <c r="G131" s="21" t="n">
        <f aca="false">parametros_recargas!$E$73*'Plan mensual'!I149+parametros_recargas!$F$73*'Plan mensual'!I150+parametros_recargas!$G$73*'Plan mensual'!I151+parametros_recargas!$H$73*'Plan mensual'!I152+parametros_recargas!$I$73*'Plan mensual'!I153+parametros_recargas!$J$73*'Plan mensual'!I154+parametros_recargas!$K$73*'Plan mensual'!I155+parametros_recargas!$L$73*'Plan mensual'!I156</f>
        <v>4163.97419146407</v>
      </c>
      <c r="H131" s="21" t="n">
        <f aca="false">parametros_recargas!$E$73*'Plan mensual'!J149+parametros_recargas!$F$73*'Plan mensual'!J150+parametros_recargas!$G$73*'Plan mensual'!J151+parametros_recargas!$H$73*'Plan mensual'!J152+parametros_recargas!$I$73*'Plan mensual'!J153+parametros_recargas!$J$73*'Plan mensual'!J154+parametros_recargas!$K$73*'Plan mensual'!J155+parametros_recargas!$L$73*'Plan mensual'!J156</f>
        <v>4163.97419146407</v>
      </c>
      <c r="I131" s="21" t="n">
        <f aca="false">parametros_recargas!$E$73*'Plan mensual'!K149+parametros_recargas!$F$73*'Plan mensual'!K150+parametros_recargas!$G$73*'Plan mensual'!K151+parametros_recargas!$H$73*'Plan mensual'!K152+parametros_recargas!$I$73*'Plan mensual'!K153+parametros_recargas!$J$73*'Plan mensual'!K154+parametros_recargas!$K$73*'Plan mensual'!K155+parametros_recargas!$L$73*'Plan mensual'!K156</f>
        <v>4163.97419146407</v>
      </c>
      <c r="J131" s="21" t="n">
        <f aca="false">parametros_recargas!$E$73*'Plan mensual'!L149+parametros_recargas!$F$73*'Plan mensual'!L150+parametros_recargas!$G$73*'Plan mensual'!L151+parametros_recargas!$H$73*'Plan mensual'!L152+parametros_recargas!$I$73*'Plan mensual'!L153+parametros_recargas!$J$73*'Plan mensual'!L154+parametros_recargas!$K$73*'Plan mensual'!L155+parametros_recargas!$L$73*'Plan mensual'!L156</f>
        <v>4163.97419146407</v>
      </c>
      <c r="K131" s="21" t="n">
        <f aca="false">parametros_recargas!$E$73*'Plan mensual'!M149+parametros_recargas!$F$73*'Plan mensual'!M150+parametros_recargas!$G$73*'Plan mensual'!M151+parametros_recargas!$H$73*'Plan mensual'!M152+parametros_recargas!$I$73*'Plan mensual'!M153+parametros_recargas!$J$73*'Plan mensual'!M154+parametros_recargas!$K$73*'Plan mensual'!M155+parametros_recargas!$L$73*'Plan mensual'!M156</f>
        <v>4163.97419146407</v>
      </c>
      <c r="L131" s="21" t="n">
        <f aca="false">parametros_recargas!$E$73*'Plan mensual'!N149+parametros_recargas!$F$73*'Plan mensual'!N150+parametros_recargas!$G$73*'Plan mensual'!N151+parametros_recargas!$H$73*'Plan mensual'!N152+parametros_recargas!$I$73*'Plan mensual'!N153+parametros_recargas!$J$73*'Plan mensual'!N154+parametros_recargas!$K$73*'Plan mensual'!N155+parametros_recargas!$L$73*'Plan mensual'!N156</f>
        <v>4163.97419146407</v>
      </c>
      <c r="M131" s="21" t="n">
        <f aca="false">parametros_recargas!$E$73*'Plan mensual'!O149+parametros_recargas!$F$73*'Plan mensual'!O150+parametros_recargas!$G$73*'Plan mensual'!O151+parametros_recargas!$H$73*'Plan mensual'!O152+parametros_recargas!$I$73*'Plan mensual'!O153+parametros_recargas!$J$73*'Plan mensual'!O154+parametros_recargas!$K$73*'Plan mensual'!O155+parametros_recargas!$L$73*'Plan mensual'!O156</f>
        <v>4163.97419146407</v>
      </c>
      <c r="N131" s="6" t="n">
        <f aca="false">SUM(B131:M131)</f>
        <v>49967.6902975689</v>
      </c>
      <c r="O131" s="22" t="n">
        <f aca="false">MAX(B131:M131)</f>
        <v>4163.97419146407</v>
      </c>
      <c r="P131" s="12" t="n">
        <f aca="false">O131/parametros_recargas!$B$6</f>
        <v>27.7598279430938</v>
      </c>
    </row>
    <row r="132" customFormat="false" ht="15" hidden="false" customHeight="false" outlineLevel="0" collapsed="false">
      <c r="A132" s="8" t="str">
        <f aca="false">parametros_recargas!$B$74</f>
        <v>Descarga ABC — ruta recuperable</v>
      </c>
      <c r="B132" s="21" t="n">
        <f aca="false">parametros_recargas!$E$74*'Plan mensual'!D149+parametros_recargas!$F$74*'Plan mensual'!D150+parametros_recargas!$G$74*'Plan mensual'!D151+parametros_recargas!$H$74*'Plan mensual'!D152+parametros_recargas!$I$74*'Plan mensual'!D153+parametros_recargas!$J$74*'Plan mensual'!D154+parametros_recargas!$K$74*'Plan mensual'!D155+parametros_recargas!$L$74*'Plan mensual'!D156</f>
        <v>3057.94982185663</v>
      </c>
      <c r="C132" s="21" t="n">
        <f aca="false">parametros_recargas!$E$74*'Plan mensual'!E149+parametros_recargas!$F$74*'Plan mensual'!E150+parametros_recargas!$G$74*'Plan mensual'!E151+parametros_recargas!$H$74*'Plan mensual'!E152+parametros_recargas!$I$74*'Plan mensual'!E153+parametros_recargas!$J$74*'Plan mensual'!E154+parametros_recargas!$K$74*'Plan mensual'!E155+parametros_recargas!$L$74*'Plan mensual'!E156</f>
        <v>3057.94982185663</v>
      </c>
      <c r="D132" s="21" t="n">
        <f aca="false">parametros_recargas!$E$74*'Plan mensual'!F149+parametros_recargas!$F$74*'Plan mensual'!F150+parametros_recargas!$G$74*'Plan mensual'!F151+parametros_recargas!$H$74*'Plan mensual'!F152+parametros_recargas!$I$74*'Plan mensual'!F153+parametros_recargas!$J$74*'Plan mensual'!F154+parametros_recargas!$K$74*'Plan mensual'!F155+parametros_recargas!$L$74*'Plan mensual'!F156</f>
        <v>3057.94982185663</v>
      </c>
      <c r="E132" s="21" t="n">
        <f aca="false">parametros_recargas!$E$74*'Plan mensual'!G149+parametros_recargas!$F$74*'Plan mensual'!G150+parametros_recargas!$G$74*'Plan mensual'!G151+parametros_recargas!$H$74*'Plan mensual'!G152+parametros_recargas!$I$74*'Plan mensual'!G153+parametros_recargas!$J$74*'Plan mensual'!G154+parametros_recargas!$K$74*'Plan mensual'!G155+parametros_recargas!$L$74*'Plan mensual'!G156</f>
        <v>3057.94982185663</v>
      </c>
      <c r="F132" s="21" t="n">
        <f aca="false">parametros_recargas!$E$74*'Plan mensual'!H149+parametros_recargas!$F$74*'Plan mensual'!H150+parametros_recargas!$G$74*'Plan mensual'!H151+parametros_recargas!$H$74*'Plan mensual'!H152+parametros_recargas!$I$74*'Plan mensual'!H153+parametros_recargas!$J$74*'Plan mensual'!H154+parametros_recargas!$K$74*'Plan mensual'!H155+parametros_recargas!$L$74*'Plan mensual'!H156</f>
        <v>3057.94982185663</v>
      </c>
      <c r="G132" s="21" t="n">
        <f aca="false">parametros_recargas!$E$74*'Plan mensual'!I149+parametros_recargas!$F$74*'Plan mensual'!I150+parametros_recargas!$G$74*'Plan mensual'!I151+parametros_recargas!$H$74*'Plan mensual'!I152+parametros_recargas!$I$74*'Plan mensual'!I153+parametros_recargas!$J$74*'Plan mensual'!I154+parametros_recargas!$K$74*'Plan mensual'!I155+parametros_recargas!$L$74*'Plan mensual'!I156</f>
        <v>3057.94982185663</v>
      </c>
      <c r="H132" s="21" t="n">
        <f aca="false">parametros_recargas!$E$74*'Plan mensual'!J149+parametros_recargas!$F$74*'Plan mensual'!J150+parametros_recargas!$G$74*'Plan mensual'!J151+parametros_recargas!$H$74*'Plan mensual'!J152+parametros_recargas!$I$74*'Plan mensual'!J153+parametros_recargas!$J$74*'Plan mensual'!J154+parametros_recargas!$K$74*'Plan mensual'!J155+parametros_recargas!$L$74*'Plan mensual'!J156</f>
        <v>3057.94982185663</v>
      </c>
      <c r="I132" s="21" t="n">
        <f aca="false">parametros_recargas!$E$74*'Plan mensual'!K149+parametros_recargas!$F$74*'Plan mensual'!K150+parametros_recargas!$G$74*'Plan mensual'!K151+parametros_recargas!$H$74*'Plan mensual'!K152+parametros_recargas!$I$74*'Plan mensual'!K153+parametros_recargas!$J$74*'Plan mensual'!K154+parametros_recargas!$K$74*'Plan mensual'!K155+parametros_recargas!$L$74*'Plan mensual'!K156</f>
        <v>3057.94982185663</v>
      </c>
      <c r="J132" s="21" t="n">
        <f aca="false">parametros_recargas!$E$74*'Plan mensual'!L149+parametros_recargas!$F$74*'Plan mensual'!L150+parametros_recargas!$G$74*'Plan mensual'!L151+parametros_recargas!$H$74*'Plan mensual'!L152+parametros_recargas!$I$74*'Plan mensual'!L153+parametros_recargas!$J$74*'Plan mensual'!L154+parametros_recargas!$K$74*'Plan mensual'!L155+parametros_recargas!$L$74*'Plan mensual'!L156</f>
        <v>3057.94982185663</v>
      </c>
      <c r="K132" s="21" t="n">
        <f aca="false">parametros_recargas!$E$74*'Plan mensual'!M149+parametros_recargas!$F$74*'Plan mensual'!M150+parametros_recargas!$G$74*'Plan mensual'!M151+parametros_recargas!$H$74*'Plan mensual'!M152+parametros_recargas!$I$74*'Plan mensual'!M153+parametros_recargas!$J$74*'Plan mensual'!M154+parametros_recargas!$K$74*'Plan mensual'!M155+parametros_recargas!$L$74*'Plan mensual'!M156</f>
        <v>3057.94982185663</v>
      </c>
      <c r="L132" s="21" t="n">
        <f aca="false">parametros_recargas!$E$74*'Plan mensual'!N149+parametros_recargas!$F$74*'Plan mensual'!N150+parametros_recargas!$G$74*'Plan mensual'!N151+parametros_recargas!$H$74*'Plan mensual'!N152+parametros_recargas!$I$74*'Plan mensual'!N153+parametros_recargas!$J$74*'Plan mensual'!N154+parametros_recargas!$K$74*'Plan mensual'!N155+parametros_recargas!$L$74*'Plan mensual'!N156</f>
        <v>3057.94982185663</v>
      </c>
      <c r="M132" s="21" t="n">
        <f aca="false">parametros_recargas!$E$74*'Plan mensual'!O149+parametros_recargas!$F$74*'Plan mensual'!O150+parametros_recargas!$G$74*'Plan mensual'!O151+parametros_recargas!$H$74*'Plan mensual'!O152+parametros_recargas!$I$74*'Plan mensual'!O153+parametros_recargas!$J$74*'Plan mensual'!O154+parametros_recargas!$K$74*'Plan mensual'!O155+parametros_recargas!$L$74*'Plan mensual'!O156</f>
        <v>3057.94982185663</v>
      </c>
      <c r="N132" s="6" t="n">
        <f aca="false">SUM(B132:M132)</f>
        <v>36695.3978622796</v>
      </c>
      <c r="O132" s="22" t="n">
        <f aca="false">MAX(B132:M132)</f>
        <v>3057.94982185663</v>
      </c>
      <c r="P132" s="12" t="n">
        <f aca="false">O132/parametros_recargas!$B$6</f>
        <v>20.3863321457109</v>
      </c>
    </row>
    <row r="133" customFormat="false" ht="15" hidden="false" customHeight="false" outlineLevel="0" collapsed="false">
      <c r="A133" s="8" t="str">
        <f aca="false">parametros_recargas!$B$75</f>
        <v>Descarga ABC — ruta descarte</v>
      </c>
      <c r="B133" s="21" t="n">
        <f aca="false">parametros_recargas!$E$75*'Plan mensual'!D149+parametros_recargas!$F$75*'Plan mensual'!D150+parametros_recargas!$G$75*'Plan mensual'!D151+parametros_recargas!$H$75*'Plan mensual'!D152+parametros_recargas!$I$75*'Plan mensual'!D153+parametros_recargas!$J$75*'Plan mensual'!D154+parametros_recargas!$K$75*'Plan mensual'!D155+parametros_recargas!$L$75*'Plan mensual'!D156</f>
        <v>359.758802571368</v>
      </c>
      <c r="C133" s="21" t="n">
        <f aca="false">parametros_recargas!$E$75*'Plan mensual'!E149+parametros_recargas!$F$75*'Plan mensual'!E150+parametros_recargas!$G$75*'Plan mensual'!E151+parametros_recargas!$H$75*'Plan mensual'!E152+parametros_recargas!$I$75*'Plan mensual'!E153+parametros_recargas!$J$75*'Plan mensual'!E154+parametros_recargas!$K$75*'Plan mensual'!E155+parametros_recargas!$L$75*'Plan mensual'!E156</f>
        <v>359.758802571368</v>
      </c>
      <c r="D133" s="21" t="n">
        <f aca="false">parametros_recargas!$E$75*'Plan mensual'!F149+parametros_recargas!$F$75*'Plan mensual'!F150+parametros_recargas!$G$75*'Plan mensual'!F151+parametros_recargas!$H$75*'Plan mensual'!F152+parametros_recargas!$I$75*'Plan mensual'!F153+parametros_recargas!$J$75*'Plan mensual'!F154+parametros_recargas!$K$75*'Plan mensual'!F155+parametros_recargas!$L$75*'Plan mensual'!F156</f>
        <v>359.758802571368</v>
      </c>
      <c r="E133" s="21" t="n">
        <f aca="false">parametros_recargas!$E$75*'Plan mensual'!G149+parametros_recargas!$F$75*'Plan mensual'!G150+parametros_recargas!$G$75*'Plan mensual'!G151+parametros_recargas!$H$75*'Plan mensual'!G152+parametros_recargas!$I$75*'Plan mensual'!G153+parametros_recargas!$J$75*'Plan mensual'!G154+parametros_recargas!$K$75*'Plan mensual'!G155+parametros_recargas!$L$75*'Plan mensual'!G156</f>
        <v>359.758802571368</v>
      </c>
      <c r="F133" s="21" t="n">
        <f aca="false">parametros_recargas!$E$75*'Plan mensual'!H149+parametros_recargas!$F$75*'Plan mensual'!H150+parametros_recargas!$G$75*'Plan mensual'!H151+parametros_recargas!$H$75*'Plan mensual'!H152+parametros_recargas!$I$75*'Plan mensual'!H153+parametros_recargas!$J$75*'Plan mensual'!H154+parametros_recargas!$K$75*'Plan mensual'!H155+parametros_recargas!$L$75*'Plan mensual'!H156</f>
        <v>359.758802571368</v>
      </c>
      <c r="G133" s="21" t="n">
        <f aca="false">parametros_recargas!$E$75*'Plan mensual'!I149+parametros_recargas!$F$75*'Plan mensual'!I150+parametros_recargas!$G$75*'Plan mensual'!I151+parametros_recargas!$H$75*'Plan mensual'!I152+parametros_recargas!$I$75*'Plan mensual'!I153+parametros_recargas!$J$75*'Plan mensual'!I154+parametros_recargas!$K$75*'Plan mensual'!I155+parametros_recargas!$L$75*'Plan mensual'!I156</f>
        <v>359.758802571368</v>
      </c>
      <c r="H133" s="21" t="n">
        <f aca="false">parametros_recargas!$E$75*'Plan mensual'!J149+parametros_recargas!$F$75*'Plan mensual'!J150+parametros_recargas!$G$75*'Plan mensual'!J151+parametros_recargas!$H$75*'Plan mensual'!J152+parametros_recargas!$I$75*'Plan mensual'!J153+parametros_recargas!$J$75*'Plan mensual'!J154+parametros_recargas!$K$75*'Plan mensual'!J155+parametros_recargas!$L$75*'Plan mensual'!J156</f>
        <v>359.758802571368</v>
      </c>
      <c r="I133" s="21" t="n">
        <f aca="false">parametros_recargas!$E$75*'Plan mensual'!K149+parametros_recargas!$F$75*'Plan mensual'!K150+parametros_recargas!$G$75*'Plan mensual'!K151+parametros_recargas!$H$75*'Plan mensual'!K152+parametros_recargas!$I$75*'Plan mensual'!K153+parametros_recargas!$J$75*'Plan mensual'!K154+parametros_recargas!$K$75*'Plan mensual'!K155+parametros_recargas!$L$75*'Plan mensual'!K156</f>
        <v>359.758802571368</v>
      </c>
      <c r="J133" s="21" t="n">
        <f aca="false">parametros_recargas!$E$75*'Plan mensual'!L149+parametros_recargas!$F$75*'Plan mensual'!L150+parametros_recargas!$G$75*'Plan mensual'!L151+parametros_recargas!$H$75*'Plan mensual'!L152+parametros_recargas!$I$75*'Plan mensual'!L153+parametros_recargas!$J$75*'Plan mensual'!L154+parametros_recargas!$K$75*'Plan mensual'!L155+parametros_recargas!$L$75*'Plan mensual'!L156</f>
        <v>359.758802571368</v>
      </c>
      <c r="K133" s="21" t="n">
        <f aca="false">parametros_recargas!$E$75*'Plan mensual'!M149+parametros_recargas!$F$75*'Plan mensual'!M150+parametros_recargas!$G$75*'Plan mensual'!M151+parametros_recargas!$H$75*'Plan mensual'!M152+parametros_recargas!$I$75*'Plan mensual'!M153+parametros_recargas!$J$75*'Plan mensual'!M154+parametros_recargas!$K$75*'Plan mensual'!M155+parametros_recargas!$L$75*'Plan mensual'!M156</f>
        <v>359.758802571368</v>
      </c>
      <c r="L133" s="21" t="n">
        <f aca="false">parametros_recargas!$E$75*'Plan mensual'!N149+parametros_recargas!$F$75*'Plan mensual'!N150+parametros_recargas!$G$75*'Plan mensual'!N151+parametros_recargas!$H$75*'Plan mensual'!N152+parametros_recargas!$I$75*'Plan mensual'!N153+parametros_recargas!$J$75*'Plan mensual'!N154+parametros_recargas!$K$75*'Plan mensual'!N155+parametros_recargas!$L$75*'Plan mensual'!N156</f>
        <v>359.758802571368</v>
      </c>
      <c r="M133" s="21" t="n">
        <f aca="false">parametros_recargas!$E$75*'Plan mensual'!O149+parametros_recargas!$F$75*'Plan mensual'!O150+parametros_recargas!$G$75*'Plan mensual'!O151+parametros_recargas!$H$75*'Plan mensual'!O152+parametros_recargas!$I$75*'Plan mensual'!O153+parametros_recargas!$J$75*'Plan mensual'!O154+parametros_recargas!$K$75*'Plan mensual'!O155+parametros_recargas!$L$75*'Plan mensual'!O156</f>
        <v>359.758802571368</v>
      </c>
      <c r="N133" s="6" t="n">
        <f aca="false">SUM(B133:M133)</f>
        <v>4317.10563085642</v>
      </c>
      <c r="O133" s="22" t="n">
        <f aca="false">MAX(B133:M133)</f>
        <v>359.758802571368</v>
      </c>
      <c r="P133" s="12" t="n">
        <f aca="false">O133/parametros_recargas!$B$6</f>
        <v>2.39839201714245</v>
      </c>
    </row>
    <row r="134" customFormat="false" ht="15" hidden="false" customHeight="false" outlineLevel="0" collapsed="false">
      <c r="A134" s="8" t="str">
        <f aca="false">parametros_recargas!$B$76</f>
        <v>Descarga BC</v>
      </c>
      <c r="B134" s="21" t="n">
        <f aca="false">parametros_recargas!$E$76*'Plan mensual'!D149+parametros_recargas!$F$76*'Plan mensual'!D150+parametros_recargas!$G$76*'Plan mensual'!D151+parametros_recargas!$H$76*'Plan mensual'!D152+parametros_recargas!$I$76*'Plan mensual'!D153+parametros_recargas!$J$76*'Plan mensual'!D154+parametros_recargas!$K$76*'Plan mensual'!D155+parametros_recargas!$L$76*'Plan mensual'!D156</f>
        <v>5.36277409888768</v>
      </c>
      <c r="C134" s="21" t="n">
        <f aca="false">parametros_recargas!$E$76*'Plan mensual'!E149+parametros_recargas!$F$76*'Plan mensual'!E150+parametros_recargas!$G$76*'Plan mensual'!E151+parametros_recargas!$H$76*'Plan mensual'!E152+parametros_recargas!$I$76*'Plan mensual'!E153+parametros_recargas!$J$76*'Plan mensual'!E154+parametros_recargas!$K$76*'Plan mensual'!E155+parametros_recargas!$L$76*'Plan mensual'!E156</f>
        <v>5.36277409888768</v>
      </c>
      <c r="D134" s="21" t="n">
        <f aca="false">parametros_recargas!$E$76*'Plan mensual'!F149+parametros_recargas!$F$76*'Plan mensual'!F150+parametros_recargas!$G$76*'Plan mensual'!F151+parametros_recargas!$H$76*'Plan mensual'!F152+parametros_recargas!$I$76*'Plan mensual'!F153+parametros_recargas!$J$76*'Plan mensual'!F154+parametros_recargas!$K$76*'Plan mensual'!F155+parametros_recargas!$L$76*'Plan mensual'!F156</f>
        <v>5.36277409888768</v>
      </c>
      <c r="E134" s="21" t="n">
        <f aca="false">parametros_recargas!$E$76*'Plan mensual'!G149+parametros_recargas!$F$76*'Plan mensual'!G150+parametros_recargas!$G$76*'Plan mensual'!G151+parametros_recargas!$H$76*'Plan mensual'!G152+parametros_recargas!$I$76*'Plan mensual'!G153+parametros_recargas!$J$76*'Plan mensual'!G154+parametros_recargas!$K$76*'Plan mensual'!G155+parametros_recargas!$L$76*'Plan mensual'!G156</f>
        <v>5.36277409888768</v>
      </c>
      <c r="F134" s="21" t="n">
        <f aca="false">parametros_recargas!$E$76*'Plan mensual'!H149+parametros_recargas!$F$76*'Plan mensual'!H150+parametros_recargas!$G$76*'Plan mensual'!H151+parametros_recargas!$H$76*'Plan mensual'!H152+parametros_recargas!$I$76*'Plan mensual'!H153+parametros_recargas!$J$76*'Plan mensual'!H154+parametros_recargas!$K$76*'Plan mensual'!H155+parametros_recargas!$L$76*'Plan mensual'!H156</f>
        <v>5.36277409888768</v>
      </c>
      <c r="G134" s="21" t="n">
        <f aca="false">parametros_recargas!$E$76*'Plan mensual'!I149+parametros_recargas!$F$76*'Plan mensual'!I150+parametros_recargas!$G$76*'Plan mensual'!I151+parametros_recargas!$H$76*'Plan mensual'!I152+parametros_recargas!$I$76*'Plan mensual'!I153+parametros_recargas!$J$76*'Plan mensual'!I154+parametros_recargas!$K$76*'Plan mensual'!I155+parametros_recargas!$L$76*'Plan mensual'!I156</f>
        <v>5.36277409888768</v>
      </c>
      <c r="H134" s="21" t="n">
        <f aca="false">parametros_recargas!$E$76*'Plan mensual'!J149+parametros_recargas!$F$76*'Plan mensual'!J150+parametros_recargas!$G$76*'Plan mensual'!J151+parametros_recargas!$H$76*'Plan mensual'!J152+parametros_recargas!$I$76*'Plan mensual'!J153+parametros_recargas!$J$76*'Plan mensual'!J154+parametros_recargas!$K$76*'Plan mensual'!J155+parametros_recargas!$L$76*'Plan mensual'!J156</f>
        <v>5.36277409888768</v>
      </c>
      <c r="I134" s="21" t="n">
        <f aca="false">parametros_recargas!$E$76*'Plan mensual'!K149+parametros_recargas!$F$76*'Plan mensual'!K150+parametros_recargas!$G$76*'Plan mensual'!K151+parametros_recargas!$H$76*'Plan mensual'!K152+parametros_recargas!$I$76*'Plan mensual'!K153+parametros_recargas!$J$76*'Plan mensual'!K154+parametros_recargas!$K$76*'Plan mensual'!K155+parametros_recargas!$L$76*'Plan mensual'!K156</f>
        <v>5.36277409888768</v>
      </c>
      <c r="J134" s="21" t="n">
        <f aca="false">parametros_recargas!$E$76*'Plan mensual'!L149+parametros_recargas!$F$76*'Plan mensual'!L150+parametros_recargas!$G$76*'Plan mensual'!L151+parametros_recargas!$H$76*'Plan mensual'!L152+parametros_recargas!$I$76*'Plan mensual'!L153+parametros_recargas!$J$76*'Plan mensual'!L154+parametros_recargas!$K$76*'Plan mensual'!L155+parametros_recargas!$L$76*'Plan mensual'!L156</f>
        <v>5.36277409888768</v>
      </c>
      <c r="K134" s="21" t="n">
        <f aca="false">parametros_recargas!$E$76*'Plan mensual'!M149+parametros_recargas!$F$76*'Plan mensual'!M150+parametros_recargas!$G$76*'Plan mensual'!M151+parametros_recargas!$H$76*'Plan mensual'!M152+parametros_recargas!$I$76*'Plan mensual'!M153+parametros_recargas!$J$76*'Plan mensual'!M154+parametros_recargas!$K$76*'Plan mensual'!M155+parametros_recargas!$L$76*'Plan mensual'!M156</f>
        <v>5.36277409888768</v>
      </c>
      <c r="L134" s="21" t="n">
        <f aca="false">parametros_recargas!$E$76*'Plan mensual'!N149+parametros_recargas!$F$76*'Plan mensual'!N150+parametros_recargas!$G$76*'Plan mensual'!N151+parametros_recargas!$H$76*'Plan mensual'!N152+parametros_recargas!$I$76*'Plan mensual'!N153+parametros_recargas!$J$76*'Plan mensual'!N154+parametros_recargas!$K$76*'Plan mensual'!N155+parametros_recargas!$L$76*'Plan mensual'!N156</f>
        <v>5.36277409888768</v>
      </c>
      <c r="M134" s="21" t="n">
        <f aca="false">parametros_recargas!$E$76*'Plan mensual'!O149+parametros_recargas!$F$76*'Plan mensual'!O150+parametros_recargas!$G$76*'Plan mensual'!O151+parametros_recargas!$H$76*'Plan mensual'!O152+parametros_recargas!$I$76*'Plan mensual'!O153+parametros_recargas!$J$76*'Plan mensual'!O154+parametros_recargas!$K$76*'Plan mensual'!O155+parametros_recargas!$L$76*'Plan mensual'!O156</f>
        <v>5.36277409888768</v>
      </c>
      <c r="N134" s="6" t="n">
        <f aca="false">SUM(B134:M134)</f>
        <v>64.3532891866521</v>
      </c>
      <c r="O134" s="22" t="n">
        <f aca="false">MAX(B134:M134)</f>
        <v>5.36277409888768</v>
      </c>
      <c r="P134" s="12" t="n">
        <f aca="false">O134/parametros_recargas!$B$6</f>
        <v>0.0357518273259178</v>
      </c>
    </row>
    <row r="135" customFormat="false" ht="15" hidden="false" customHeight="false" outlineLevel="0" collapsed="false">
      <c r="A135" s="8" t="str">
        <f aca="false">parametros_recargas!$B$77</f>
        <v>Descarga de agua / AFFF / sales K</v>
      </c>
      <c r="B135" s="21" t="n">
        <f aca="false">parametros_recargas!$E$77*'Plan mensual'!D149+parametros_recargas!$F$77*'Plan mensual'!D150+parametros_recargas!$G$77*'Plan mensual'!D151+parametros_recargas!$H$77*'Plan mensual'!D152+parametros_recargas!$I$77*'Plan mensual'!D153+parametros_recargas!$J$77*'Plan mensual'!D154+parametros_recargas!$K$77*'Plan mensual'!D155+parametros_recargas!$L$77*'Plan mensual'!D156</f>
        <v>191.506323062214</v>
      </c>
      <c r="C135" s="21" t="n">
        <f aca="false">parametros_recargas!$E$77*'Plan mensual'!E149+parametros_recargas!$F$77*'Plan mensual'!E150+parametros_recargas!$G$77*'Plan mensual'!E151+parametros_recargas!$H$77*'Plan mensual'!E152+parametros_recargas!$I$77*'Plan mensual'!E153+parametros_recargas!$J$77*'Plan mensual'!E154+parametros_recargas!$K$77*'Plan mensual'!E155+parametros_recargas!$L$77*'Plan mensual'!E156</f>
        <v>191.506323062214</v>
      </c>
      <c r="D135" s="21" t="n">
        <f aca="false">parametros_recargas!$E$77*'Plan mensual'!F149+parametros_recargas!$F$77*'Plan mensual'!F150+parametros_recargas!$G$77*'Plan mensual'!F151+parametros_recargas!$H$77*'Plan mensual'!F152+parametros_recargas!$I$77*'Plan mensual'!F153+parametros_recargas!$J$77*'Plan mensual'!F154+parametros_recargas!$K$77*'Plan mensual'!F155+parametros_recargas!$L$77*'Plan mensual'!F156</f>
        <v>191.506323062214</v>
      </c>
      <c r="E135" s="21" t="n">
        <f aca="false">parametros_recargas!$E$77*'Plan mensual'!G149+parametros_recargas!$F$77*'Plan mensual'!G150+parametros_recargas!$G$77*'Plan mensual'!G151+parametros_recargas!$H$77*'Plan mensual'!G152+parametros_recargas!$I$77*'Plan mensual'!G153+parametros_recargas!$J$77*'Plan mensual'!G154+parametros_recargas!$K$77*'Plan mensual'!G155+parametros_recargas!$L$77*'Plan mensual'!G156</f>
        <v>191.506323062214</v>
      </c>
      <c r="F135" s="21" t="n">
        <f aca="false">parametros_recargas!$E$77*'Plan mensual'!H149+parametros_recargas!$F$77*'Plan mensual'!H150+parametros_recargas!$G$77*'Plan mensual'!H151+parametros_recargas!$H$77*'Plan mensual'!H152+parametros_recargas!$I$77*'Plan mensual'!H153+parametros_recargas!$J$77*'Plan mensual'!H154+parametros_recargas!$K$77*'Plan mensual'!H155+parametros_recargas!$L$77*'Plan mensual'!H156</f>
        <v>191.506323062214</v>
      </c>
      <c r="G135" s="21" t="n">
        <f aca="false">parametros_recargas!$E$77*'Plan mensual'!I149+parametros_recargas!$F$77*'Plan mensual'!I150+parametros_recargas!$G$77*'Plan mensual'!I151+parametros_recargas!$H$77*'Plan mensual'!I152+parametros_recargas!$I$77*'Plan mensual'!I153+parametros_recargas!$J$77*'Plan mensual'!I154+parametros_recargas!$K$77*'Plan mensual'!I155+parametros_recargas!$L$77*'Plan mensual'!I156</f>
        <v>191.506323062214</v>
      </c>
      <c r="H135" s="21" t="n">
        <f aca="false">parametros_recargas!$E$77*'Plan mensual'!J149+parametros_recargas!$F$77*'Plan mensual'!J150+parametros_recargas!$G$77*'Plan mensual'!J151+parametros_recargas!$H$77*'Plan mensual'!J152+parametros_recargas!$I$77*'Plan mensual'!J153+parametros_recargas!$J$77*'Plan mensual'!J154+parametros_recargas!$K$77*'Plan mensual'!J155+parametros_recargas!$L$77*'Plan mensual'!J156</f>
        <v>191.506323062214</v>
      </c>
      <c r="I135" s="21" t="n">
        <f aca="false">parametros_recargas!$E$77*'Plan mensual'!K149+parametros_recargas!$F$77*'Plan mensual'!K150+parametros_recargas!$G$77*'Plan mensual'!K151+parametros_recargas!$H$77*'Plan mensual'!K152+parametros_recargas!$I$77*'Plan mensual'!K153+parametros_recargas!$J$77*'Plan mensual'!K154+parametros_recargas!$K$77*'Plan mensual'!K155+parametros_recargas!$L$77*'Plan mensual'!K156</f>
        <v>191.506323062214</v>
      </c>
      <c r="J135" s="21" t="n">
        <f aca="false">parametros_recargas!$E$77*'Plan mensual'!L149+parametros_recargas!$F$77*'Plan mensual'!L150+parametros_recargas!$G$77*'Plan mensual'!L151+parametros_recargas!$H$77*'Plan mensual'!L152+parametros_recargas!$I$77*'Plan mensual'!L153+parametros_recargas!$J$77*'Plan mensual'!L154+parametros_recargas!$K$77*'Plan mensual'!L155+parametros_recargas!$L$77*'Plan mensual'!L156</f>
        <v>191.506323062214</v>
      </c>
      <c r="K135" s="21" t="n">
        <f aca="false">parametros_recargas!$E$77*'Plan mensual'!M149+parametros_recargas!$F$77*'Plan mensual'!M150+parametros_recargas!$G$77*'Plan mensual'!M151+parametros_recargas!$H$77*'Plan mensual'!M152+parametros_recargas!$I$77*'Plan mensual'!M153+parametros_recargas!$J$77*'Plan mensual'!M154+parametros_recargas!$K$77*'Plan mensual'!M155+parametros_recargas!$L$77*'Plan mensual'!M156</f>
        <v>191.506323062214</v>
      </c>
      <c r="L135" s="21" t="n">
        <f aca="false">parametros_recargas!$E$77*'Plan mensual'!N149+parametros_recargas!$F$77*'Plan mensual'!N150+parametros_recargas!$G$77*'Plan mensual'!N151+parametros_recargas!$H$77*'Plan mensual'!N152+parametros_recargas!$I$77*'Plan mensual'!N153+parametros_recargas!$J$77*'Plan mensual'!N154+parametros_recargas!$K$77*'Plan mensual'!N155+parametros_recargas!$L$77*'Plan mensual'!N156</f>
        <v>191.506323062214</v>
      </c>
      <c r="M135" s="21" t="n">
        <f aca="false">parametros_recargas!$E$77*'Plan mensual'!O149+parametros_recargas!$F$77*'Plan mensual'!O150+parametros_recargas!$G$77*'Plan mensual'!O151+parametros_recargas!$H$77*'Plan mensual'!O152+parametros_recargas!$I$77*'Plan mensual'!O153+parametros_recargas!$J$77*'Plan mensual'!O154+parametros_recargas!$K$77*'Plan mensual'!O155+parametros_recargas!$L$77*'Plan mensual'!O156</f>
        <v>191.506323062214</v>
      </c>
      <c r="N135" s="6" t="n">
        <f aca="false">SUM(B135:M135)</f>
        <v>2298.07587674656</v>
      </c>
      <c r="O135" s="22" t="n">
        <f aca="false">MAX(B135:M135)</f>
        <v>191.506323062214</v>
      </c>
      <c r="P135" s="12" t="n">
        <f aca="false">O135/parametros_recargas!$B$6</f>
        <v>1.27670882041476</v>
      </c>
    </row>
    <row r="136" customFormat="false" ht="15" hidden="false" customHeight="false" outlineLevel="0" collapsed="false">
      <c r="A136" s="8" t="str">
        <f aca="false">parametros_recargas!$B$78</f>
        <v>Recuperación de CO₂</v>
      </c>
      <c r="B136" s="21" t="n">
        <f aca="false">parametros_recargas!$E$78*'Plan mensual'!D149+parametros_recargas!$F$78*'Plan mensual'!D150+parametros_recargas!$G$78*'Plan mensual'!D151+parametros_recargas!$H$78*'Plan mensual'!D152+parametros_recargas!$I$78*'Plan mensual'!D153+parametros_recargas!$J$78*'Plan mensual'!D154+parametros_recargas!$K$78*'Plan mensual'!D155+parametros_recargas!$L$78*'Plan mensual'!D156</f>
        <v>87.6345221923606</v>
      </c>
      <c r="C136" s="21" t="n">
        <f aca="false">parametros_recargas!$E$78*'Plan mensual'!E149+parametros_recargas!$F$78*'Plan mensual'!E150+parametros_recargas!$G$78*'Plan mensual'!E151+parametros_recargas!$H$78*'Plan mensual'!E152+parametros_recargas!$I$78*'Plan mensual'!E153+parametros_recargas!$J$78*'Plan mensual'!E154+parametros_recargas!$K$78*'Plan mensual'!E155+parametros_recargas!$L$78*'Plan mensual'!E156</f>
        <v>87.6345221923606</v>
      </c>
      <c r="D136" s="21" t="n">
        <f aca="false">parametros_recargas!$E$78*'Plan mensual'!F149+parametros_recargas!$F$78*'Plan mensual'!F150+parametros_recargas!$G$78*'Plan mensual'!F151+parametros_recargas!$H$78*'Plan mensual'!F152+parametros_recargas!$I$78*'Plan mensual'!F153+parametros_recargas!$J$78*'Plan mensual'!F154+parametros_recargas!$K$78*'Plan mensual'!F155+parametros_recargas!$L$78*'Plan mensual'!F156</f>
        <v>87.6345221923606</v>
      </c>
      <c r="E136" s="21" t="n">
        <f aca="false">parametros_recargas!$E$78*'Plan mensual'!G149+parametros_recargas!$F$78*'Plan mensual'!G150+parametros_recargas!$G$78*'Plan mensual'!G151+parametros_recargas!$H$78*'Plan mensual'!G152+parametros_recargas!$I$78*'Plan mensual'!G153+parametros_recargas!$J$78*'Plan mensual'!G154+parametros_recargas!$K$78*'Plan mensual'!G155+parametros_recargas!$L$78*'Plan mensual'!G156</f>
        <v>87.6345221923606</v>
      </c>
      <c r="F136" s="21" t="n">
        <f aca="false">parametros_recargas!$E$78*'Plan mensual'!H149+parametros_recargas!$F$78*'Plan mensual'!H150+parametros_recargas!$G$78*'Plan mensual'!H151+parametros_recargas!$H$78*'Plan mensual'!H152+parametros_recargas!$I$78*'Plan mensual'!H153+parametros_recargas!$J$78*'Plan mensual'!H154+parametros_recargas!$K$78*'Plan mensual'!H155+parametros_recargas!$L$78*'Plan mensual'!H156</f>
        <v>87.6345221923606</v>
      </c>
      <c r="G136" s="21" t="n">
        <f aca="false">parametros_recargas!$E$78*'Plan mensual'!I149+parametros_recargas!$F$78*'Plan mensual'!I150+parametros_recargas!$G$78*'Plan mensual'!I151+parametros_recargas!$H$78*'Plan mensual'!I152+parametros_recargas!$I$78*'Plan mensual'!I153+parametros_recargas!$J$78*'Plan mensual'!I154+parametros_recargas!$K$78*'Plan mensual'!I155+parametros_recargas!$L$78*'Plan mensual'!I156</f>
        <v>87.6345221923606</v>
      </c>
      <c r="H136" s="21" t="n">
        <f aca="false">parametros_recargas!$E$78*'Plan mensual'!J149+parametros_recargas!$F$78*'Plan mensual'!J150+parametros_recargas!$G$78*'Plan mensual'!J151+parametros_recargas!$H$78*'Plan mensual'!J152+parametros_recargas!$I$78*'Plan mensual'!J153+parametros_recargas!$J$78*'Plan mensual'!J154+parametros_recargas!$K$78*'Plan mensual'!J155+parametros_recargas!$L$78*'Plan mensual'!J156</f>
        <v>87.6345221923606</v>
      </c>
      <c r="I136" s="21" t="n">
        <f aca="false">parametros_recargas!$E$78*'Plan mensual'!K149+parametros_recargas!$F$78*'Plan mensual'!K150+parametros_recargas!$G$78*'Plan mensual'!K151+parametros_recargas!$H$78*'Plan mensual'!K152+parametros_recargas!$I$78*'Plan mensual'!K153+parametros_recargas!$J$78*'Plan mensual'!K154+parametros_recargas!$K$78*'Plan mensual'!K155+parametros_recargas!$L$78*'Plan mensual'!K156</f>
        <v>87.6345221923606</v>
      </c>
      <c r="J136" s="21" t="n">
        <f aca="false">parametros_recargas!$E$78*'Plan mensual'!L149+parametros_recargas!$F$78*'Plan mensual'!L150+parametros_recargas!$G$78*'Plan mensual'!L151+parametros_recargas!$H$78*'Plan mensual'!L152+parametros_recargas!$I$78*'Plan mensual'!L153+parametros_recargas!$J$78*'Plan mensual'!L154+parametros_recargas!$K$78*'Plan mensual'!L155+parametros_recargas!$L$78*'Plan mensual'!L156</f>
        <v>87.6345221923606</v>
      </c>
      <c r="K136" s="21" t="n">
        <f aca="false">parametros_recargas!$E$78*'Plan mensual'!M149+parametros_recargas!$F$78*'Plan mensual'!M150+parametros_recargas!$G$78*'Plan mensual'!M151+parametros_recargas!$H$78*'Plan mensual'!M152+parametros_recargas!$I$78*'Plan mensual'!M153+parametros_recargas!$J$78*'Plan mensual'!M154+parametros_recargas!$K$78*'Plan mensual'!M155+parametros_recargas!$L$78*'Plan mensual'!M156</f>
        <v>87.6345221923606</v>
      </c>
      <c r="L136" s="21" t="n">
        <f aca="false">parametros_recargas!$E$78*'Plan mensual'!N149+parametros_recargas!$F$78*'Plan mensual'!N150+parametros_recargas!$G$78*'Plan mensual'!N151+parametros_recargas!$H$78*'Plan mensual'!N152+parametros_recargas!$I$78*'Plan mensual'!N153+parametros_recargas!$J$78*'Plan mensual'!N154+parametros_recargas!$K$78*'Plan mensual'!N155+parametros_recargas!$L$78*'Plan mensual'!N156</f>
        <v>87.6345221923606</v>
      </c>
      <c r="M136" s="21" t="n">
        <f aca="false">parametros_recargas!$E$78*'Plan mensual'!O149+parametros_recargas!$F$78*'Plan mensual'!O150+parametros_recargas!$G$78*'Plan mensual'!O151+parametros_recargas!$H$78*'Plan mensual'!O152+parametros_recargas!$I$78*'Plan mensual'!O153+parametros_recargas!$J$78*'Plan mensual'!O154+parametros_recargas!$K$78*'Plan mensual'!O155+parametros_recargas!$L$78*'Plan mensual'!O156</f>
        <v>87.6345221923606</v>
      </c>
      <c r="N136" s="6" t="n">
        <f aca="false">SUM(B136:M136)</f>
        <v>1051.61426630833</v>
      </c>
      <c r="O136" s="22" t="n">
        <f aca="false">MAX(B136:M136)</f>
        <v>87.6345221923606</v>
      </c>
      <c r="P136" s="12" t="n">
        <f aca="false">O136/parametros_recargas!$B$6</f>
        <v>0.584230147949071</v>
      </c>
    </row>
    <row r="137" customFormat="false" ht="15" hidden="false" customHeight="false" outlineLevel="0" collapsed="false">
      <c r="A137" s="8" t="str">
        <f aca="false">parametros_recargas!$B$79</f>
        <v>Recuperación de halogenado</v>
      </c>
      <c r="B137" s="21" t="n">
        <f aca="false">parametros_recargas!$E$79*'Plan mensual'!D149+parametros_recargas!$F$79*'Plan mensual'!D150+parametros_recargas!$G$79*'Plan mensual'!D151+parametros_recargas!$H$79*'Plan mensual'!D152+parametros_recargas!$I$79*'Plan mensual'!D153+parametros_recargas!$J$79*'Plan mensual'!D154+parametros_recargas!$K$79*'Plan mensual'!D155+parametros_recargas!$L$79*'Plan mensual'!D156</f>
        <v>3.49154411424774</v>
      </c>
      <c r="C137" s="21" t="n">
        <f aca="false">parametros_recargas!$E$79*'Plan mensual'!E149+parametros_recargas!$F$79*'Plan mensual'!E150+parametros_recargas!$G$79*'Plan mensual'!E151+parametros_recargas!$H$79*'Plan mensual'!E152+parametros_recargas!$I$79*'Plan mensual'!E153+parametros_recargas!$J$79*'Plan mensual'!E154+parametros_recargas!$K$79*'Plan mensual'!E155+parametros_recargas!$L$79*'Plan mensual'!E156</f>
        <v>3.49154411424774</v>
      </c>
      <c r="D137" s="21" t="n">
        <f aca="false">parametros_recargas!$E$79*'Plan mensual'!F149+parametros_recargas!$F$79*'Plan mensual'!F150+parametros_recargas!$G$79*'Plan mensual'!F151+parametros_recargas!$H$79*'Plan mensual'!F152+parametros_recargas!$I$79*'Plan mensual'!F153+parametros_recargas!$J$79*'Plan mensual'!F154+parametros_recargas!$K$79*'Plan mensual'!F155+parametros_recargas!$L$79*'Plan mensual'!F156</f>
        <v>3.49154411424774</v>
      </c>
      <c r="E137" s="21" t="n">
        <f aca="false">parametros_recargas!$E$79*'Plan mensual'!G149+parametros_recargas!$F$79*'Plan mensual'!G150+parametros_recargas!$G$79*'Plan mensual'!G151+parametros_recargas!$H$79*'Plan mensual'!G152+parametros_recargas!$I$79*'Plan mensual'!G153+parametros_recargas!$J$79*'Plan mensual'!G154+parametros_recargas!$K$79*'Plan mensual'!G155+parametros_recargas!$L$79*'Plan mensual'!G156</f>
        <v>3.49154411424774</v>
      </c>
      <c r="F137" s="21" t="n">
        <f aca="false">parametros_recargas!$E$79*'Plan mensual'!H149+parametros_recargas!$F$79*'Plan mensual'!H150+parametros_recargas!$G$79*'Plan mensual'!H151+parametros_recargas!$H$79*'Plan mensual'!H152+parametros_recargas!$I$79*'Plan mensual'!H153+parametros_recargas!$J$79*'Plan mensual'!H154+parametros_recargas!$K$79*'Plan mensual'!H155+parametros_recargas!$L$79*'Plan mensual'!H156</f>
        <v>3.49154411424774</v>
      </c>
      <c r="G137" s="21" t="n">
        <f aca="false">parametros_recargas!$E$79*'Plan mensual'!I149+parametros_recargas!$F$79*'Plan mensual'!I150+parametros_recargas!$G$79*'Plan mensual'!I151+parametros_recargas!$H$79*'Plan mensual'!I152+parametros_recargas!$I$79*'Plan mensual'!I153+parametros_recargas!$J$79*'Plan mensual'!I154+parametros_recargas!$K$79*'Plan mensual'!I155+parametros_recargas!$L$79*'Plan mensual'!I156</f>
        <v>3.49154411424774</v>
      </c>
      <c r="H137" s="21" t="n">
        <f aca="false">parametros_recargas!$E$79*'Plan mensual'!J149+parametros_recargas!$F$79*'Plan mensual'!J150+parametros_recargas!$G$79*'Plan mensual'!J151+parametros_recargas!$H$79*'Plan mensual'!J152+parametros_recargas!$I$79*'Plan mensual'!J153+parametros_recargas!$J$79*'Plan mensual'!J154+parametros_recargas!$K$79*'Plan mensual'!J155+parametros_recargas!$L$79*'Plan mensual'!J156</f>
        <v>3.49154411424774</v>
      </c>
      <c r="I137" s="21" t="n">
        <f aca="false">parametros_recargas!$E$79*'Plan mensual'!K149+parametros_recargas!$F$79*'Plan mensual'!K150+parametros_recargas!$G$79*'Plan mensual'!K151+parametros_recargas!$H$79*'Plan mensual'!K152+parametros_recargas!$I$79*'Plan mensual'!K153+parametros_recargas!$J$79*'Plan mensual'!K154+parametros_recargas!$K$79*'Plan mensual'!K155+parametros_recargas!$L$79*'Plan mensual'!K156</f>
        <v>3.49154411424774</v>
      </c>
      <c r="J137" s="21" t="n">
        <f aca="false">parametros_recargas!$E$79*'Plan mensual'!L149+parametros_recargas!$F$79*'Plan mensual'!L150+parametros_recargas!$G$79*'Plan mensual'!L151+parametros_recargas!$H$79*'Plan mensual'!L152+parametros_recargas!$I$79*'Plan mensual'!L153+parametros_recargas!$J$79*'Plan mensual'!L154+parametros_recargas!$K$79*'Plan mensual'!L155+parametros_recargas!$L$79*'Plan mensual'!L156</f>
        <v>3.49154411424774</v>
      </c>
      <c r="K137" s="21" t="n">
        <f aca="false">parametros_recargas!$E$79*'Plan mensual'!M149+parametros_recargas!$F$79*'Plan mensual'!M150+parametros_recargas!$G$79*'Plan mensual'!M151+parametros_recargas!$H$79*'Plan mensual'!M152+parametros_recargas!$I$79*'Plan mensual'!M153+parametros_recargas!$J$79*'Plan mensual'!M154+parametros_recargas!$K$79*'Plan mensual'!M155+parametros_recargas!$L$79*'Plan mensual'!M156</f>
        <v>3.49154411424774</v>
      </c>
      <c r="L137" s="21" t="n">
        <f aca="false">parametros_recargas!$E$79*'Plan mensual'!N149+parametros_recargas!$F$79*'Plan mensual'!N150+parametros_recargas!$G$79*'Plan mensual'!N151+parametros_recargas!$H$79*'Plan mensual'!N152+parametros_recargas!$I$79*'Plan mensual'!N153+parametros_recargas!$J$79*'Plan mensual'!N154+parametros_recargas!$K$79*'Plan mensual'!N155+parametros_recargas!$L$79*'Plan mensual'!N156</f>
        <v>3.49154411424774</v>
      </c>
      <c r="M137" s="21" t="n">
        <f aca="false">parametros_recargas!$E$79*'Plan mensual'!O149+parametros_recargas!$F$79*'Plan mensual'!O150+parametros_recargas!$G$79*'Plan mensual'!O151+parametros_recargas!$H$79*'Plan mensual'!O152+parametros_recargas!$I$79*'Plan mensual'!O153+parametros_recargas!$J$79*'Plan mensual'!O154+parametros_recargas!$K$79*'Plan mensual'!O155+parametros_recargas!$L$79*'Plan mensual'!O156</f>
        <v>3.49154411424774</v>
      </c>
      <c r="N137" s="6" t="n">
        <f aca="false">SUM(B137:M137)</f>
        <v>41.8985293709728</v>
      </c>
      <c r="O137" s="22" t="n">
        <f aca="false">MAX(B137:M137)</f>
        <v>3.49154411424774</v>
      </c>
      <c r="P137" s="12" t="n">
        <f aca="false">O137/parametros_recargas!$B$6</f>
        <v>0.0232769607616516</v>
      </c>
    </row>
    <row r="138" customFormat="false" ht="15" hidden="false" customHeight="false" outlineLevel="0" collapsed="false">
      <c r="A138" s="8" t="str">
        <f aca="false">parametros_recargas!$B$80</f>
        <v>Desarme y limpieza — recinto</v>
      </c>
      <c r="B138" s="21" t="n">
        <f aca="false">parametros_recargas!$E$80*'Plan mensual'!D149+parametros_recargas!$F$80*'Plan mensual'!D150+parametros_recargas!$G$80*'Plan mensual'!D151+parametros_recargas!$H$80*'Plan mensual'!D152+parametros_recargas!$I$80*'Plan mensual'!D153+parametros_recargas!$J$80*'Plan mensual'!D154+parametros_recargas!$K$80*'Plan mensual'!D155+parametros_recargas!$L$80*'Plan mensual'!D156</f>
        <v>3607.96360317543</v>
      </c>
      <c r="C138" s="21" t="n">
        <f aca="false">parametros_recargas!$E$80*'Plan mensual'!E149+parametros_recargas!$F$80*'Plan mensual'!E150+parametros_recargas!$G$80*'Plan mensual'!E151+parametros_recargas!$H$80*'Plan mensual'!E152+parametros_recargas!$I$80*'Plan mensual'!E153+parametros_recargas!$J$80*'Plan mensual'!E154+parametros_recargas!$K$80*'Plan mensual'!E155+parametros_recargas!$L$80*'Plan mensual'!E156</f>
        <v>3607.96360317543</v>
      </c>
      <c r="D138" s="21" t="n">
        <f aca="false">parametros_recargas!$E$80*'Plan mensual'!F149+parametros_recargas!$F$80*'Plan mensual'!F150+parametros_recargas!$G$80*'Plan mensual'!F151+parametros_recargas!$H$80*'Plan mensual'!F152+parametros_recargas!$I$80*'Plan mensual'!F153+parametros_recargas!$J$80*'Plan mensual'!F154+parametros_recargas!$K$80*'Plan mensual'!F155+parametros_recargas!$L$80*'Plan mensual'!F156</f>
        <v>3607.96360317543</v>
      </c>
      <c r="E138" s="21" t="n">
        <f aca="false">parametros_recargas!$E$80*'Plan mensual'!G149+parametros_recargas!$F$80*'Plan mensual'!G150+parametros_recargas!$G$80*'Plan mensual'!G151+parametros_recargas!$H$80*'Plan mensual'!G152+parametros_recargas!$I$80*'Plan mensual'!G153+parametros_recargas!$J$80*'Plan mensual'!G154+parametros_recargas!$K$80*'Plan mensual'!G155+parametros_recargas!$L$80*'Plan mensual'!G156</f>
        <v>3607.96360317543</v>
      </c>
      <c r="F138" s="21" t="n">
        <f aca="false">parametros_recargas!$E$80*'Plan mensual'!H149+parametros_recargas!$F$80*'Plan mensual'!H150+parametros_recargas!$G$80*'Plan mensual'!H151+parametros_recargas!$H$80*'Plan mensual'!H152+parametros_recargas!$I$80*'Plan mensual'!H153+parametros_recargas!$J$80*'Plan mensual'!H154+parametros_recargas!$K$80*'Plan mensual'!H155+parametros_recargas!$L$80*'Plan mensual'!H156</f>
        <v>3607.96360317543</v>
      </c>
      <c r="G138" s="21" t="n">
        <f aca="false">parametros_recargas!$E$80*'Plan mensual'!I149+parametros_recargas!$F$80*'Plan mensual'!I150+parametros_recargas!$G$80*'Plan mensual'!I151+parametros_recargas!$H$80*'Plan mensual'!I152+parametros_recargas!$I$80*'Plan mensual'!I153+parametros_recargas!$J$80*'Plan mensual'!I154+parametros_recargas!$K$80*'Plan mensual'!I155+parametros_recargas!$L$80*'Plan mensual'!I156</f>
        <v>3607.96360317543</v>
      </c>
      <c r="H138" s="21" t="n">
        <f aca="false">parametros_recargas!$E$80*'Plan mensual'!J149+parametros_recargas!$F$80*'Plan mensual'!J150+parametros_recargas!$G$80*'Plan mensual'!J151+parametros_recargas!$H$80*'Plan mensual'!J152+parametros_recargas!$I$80*'Plan mensual'!J153+parametros_recargas!$J$80*'Plan mensual'!J154+parametros_recargas!$K$80*'Plan mensual'!J155+parametros_recargas!$L$80*'Plan mensual'!J156</f>
        <v>3607.96360317543</v>
      </c>
      <c r="I138" s="21" t="n">
        <f aca="false">parametros_recargas!$E$80*'Plan mensual'!K149+parametros_recargas!$F$80*'Plan mensual'!K150+parametros_recargas!$G$80*'Plan mensual'!K151+parametros_recargas!$H$80*'Plan mensual'!K152+parametros_recargas!$I$80*'Plan mensual'!K153+parametros_recargas!$J$80*'Plan mensual'!K154+parametros_recargas!$K$80*'Plan mensual'!K155+parametros_recargas!$L$80*'Plan mensual'!K156</f>
        <v>3607.96360317543</v>
      </c>
      <c r="J138" s="21" t="n">
        <f aca="false">parametros_recargas!$E$80*'Plan mensual'!L149+parametros_recargas!$F$80*'Plan mensual'!L150+parametros_recargas!$G$80*'Plan mensual'!L151+parametros_recargas!$H$80*'Plan mensual'!L152+parametros_recargas!$I$80*'Plan mensual'!L153+parametros_recargas!$J$80*'Plan mensual'!L154+parametros_recargas!$K$80*'Plan mensual'!L155+parametros_recargas!$L$80*'Plan mensual'!L156</f>
        <v>3607.96360317543</v>
      </c>
      <c r="K138" s="21" t="n">
        <f aca="false">parametros_recargas!$E$80*'Plan mensual'!M149+parametros_recargas!$F$80*'Plan mensual'!M150+parametros_recargas!$G$80*'Plan mensual'!M151+parametros_recargas!$H$80*'Plan mensual'!M152+parametros_recargas!$I$80*'Plan mensual'!M153+parametros_recargas!$J$80*'Plan mensual'!M154+parametros_recargas!$K$80*'Plan mensual'!M155+parametros_recargas!$L$80*'Plan mensual'!M156</f>
        <v>3607.96360317543</v>
      </c>
      <c r="L138" s="21" t="n">
        <f aca="false">parametros_recargas!$E$80*'Plan mensual'!N149+parametros_recargas!$F$80*'Plan mensual'!N150+parametros_recargas!$G$80*'Plan mensual'!N151+parametros_recargas!$H$80*'Plan mensual'!N152+parametros_recargas!$I$80*'Plan mensual'!N153+parametros_recargas!$J$80*'Plan mensual'!N154+parametros_recargas!$K$80*'Plan mensual'!N155+parametros_recargas!$L$80*'Plan mensual'!N156</f>
        <v>3607.96360317543</v>
      </c>
      <c r="M138" s="21" t="n">
        <f aca="false">parametros_recargas!$E$80*'Plan mensual'!O149+parametros_recargas!$F$80*'Plan mensual'!O150+parametros_recargas!$G$80*'Plan mensual'!O151+parametros_recargas!$H$80*'Plan mensual'!O152+parametros_recargas!$I$80*'Plan mensual'!O153+parametros_recargas!$J$80*'Plan mensual'!O154+parametros_recargas!$K$80*'Plan mensual'!O155+parametros_recargas!$L$80*'Plan mensual'!O156</f>
        <v>3607.96360317543</v>
      </c>
      <c r="N138" s="6" t="n">
        <f aca="false">SUM(B138:M138)</f>
        <v>43295.5632381051</v>
      </c>
      <c r="O138" s="22" t="n">
        <f aca="false">MAX(B138:M138)</f>
        <v>3607.96360317543</v>
      </c>
      <c r="P138" s="12" t="n">
        <f aca="false">O138/parametros_recargas!$B$6</f>
        <v>24.0530906878362</v>
      </c>
    </row>
    <row r="139" customFormat="false" ht="15" hidden="false" customHeight="false" outlineLevel="0" collapsed="false">
      <c r="A139" s="8" t="str">
        <f aca="false">parametros_recargas!$B$81</f>
        <v>Desarme e inspección interior — zona general</v>
      </c>
      <c r="B139" s="21" t="n">
        <f aca="false">parametros_recargas!$E$81*'Plan mensual'!D149+parametros_recargas!$F$81*'Plan mensual'!D150+parametros_recargas!$G$81*'Plan mensual'!D151+parametros_recargas!$H$81*'Plan mensual'!D152+parametros_recargas!$I$81*'Plan mensual'!D153+parametros_recargas!$J$81*'Plan mensual'!D154+parametros_recargas!$K$81*'Plan mensual'!D155+parametros_recargas!$L$81*'Plan mensual'!D156</f>
        <v>282.632389368822</v>
      </c>
      <c r="C139" s="21" t="n">
        <f aca="false">parametros_recargas!$E$81*'Plan mensual'!E149+parametros_recargas!$F$81*'Plan mensual'!E150+parametros_recargas!$G$81*'Plan mensual'!E151+parametros_recargas!$H$81*'Plan mensual'!E152+parametros_recargas!$I$81*'Plan mensual'!E153+parametros_recargas!$J$81*'Plan mensual'!E154+parametros_recargas!$K$81*'Plan mensual'!E155+parametros_recargas!$L$81*'Plan mensual'!E156</f>
        <v>282.632389368822</v>
      </c>
      <c r="D139" s="21" t="n">
        <f aca="false">parametros_recargas!$E$81*'Plan mensual'!F149+parametros_recargas!$F$81*'Plan mensual'!F150+parametros_recargas!$G$81*'Plan mensual'!F151+parametros_recargas!$H$81*'Plan mensual'!F152+parametros_recargas!$I$81*'Plan mensual'!F153+parametros_recargas!$J$81*'Plan mensual'!F154+parametros_recargas!$K$81*'Plan mensual'!F155+parametros_recargas!$L$81*'Plan mensual'!F156</f>
        <v>282.632389368822</v>
      </c>
      <c r="E139" s="21" t="n">
        <f aca="false">parametros_recargas!$E$81*'Plan mensual'!G149+parametros_recargas!$F$81*'Plan mensual'!G150+parametros_recargas!$G$81*'Plan mensual'!G151+parametros_recargas!$H$81*'Plan mensual'!G152+parametros_recargas!$I$81*'Plan mensual'!G153+parametros_recargas!$J$81*'Plan mensual'!G154+parametros_recargas!$K$81*'Plan mensual'!G155+parametros_recargas!$L$81*'Plan mensual'!G156</f>
        <v>282.632389368822</v>
      </c>
      <c r="F139" s="21" t="n">
        <f aca="false">parametros_recargas!$E$81*'Plan mensual'!H149+parametros_recargas!$F$81*'Plan mensual'!H150+parametros_recargas!$G$81*'Plan mensual'!H151+parametros_recargas!$H$81*'Plan mensual'!H152+parametros_recargas!$I$81*'Plan mensual'!H153+parametros_recargas!$J$81*'Plan mensual'!H154+parametros_recargas!$K$81*'Plan mensual'!H155+parametros_recargas!$L$81*'Plan mensual'!H156</f>
        <v>282.632389368822</v>
      </c>
      <c r="G139" s="21" t="n">
        <f aca="false">parametros_recargas!$E$81*'Plan mensual'!I149+parametros_recargas!$F$81*'Plan mensual'!I150+parametros_recargas!$G$81*'Plan mensual'!I151+parametros_recargas!$H$81*'Plan mensual'!I152+parametros_recargas!$I$81*'Plan mensual'!I153+parametros_recargas!$J$81*'Plan mensual'!I154+parametros_recargas!$K$81*'Plan mensual'!I155+parametros_recargas!$L$81*'Plan mensual'!I156</f>
        <v>282.632389368822</v>
      </c>
      <c r="H139" s="21" t="n">
        <f aca="false">parametros_recargas!$E$81*'Plan mensual'!J149+parametros_recargas!$F$81*'Plan mensual'!J150+parametros_recargas!$G$81*'Plan mensual'!J151+parametros_recargas!$H$81*'Plan mensual'!J152+parametros_recargas!$I$81*'Plan mensual'!J153+parametros_recargas!$J$81*'Plan mensual'!J154+parametros_recargas!$K$81*'Plan mensual'!J155+parametros_recargas!$L$81*'Plan mensual'!J156</f>
        <v>282.632389368822</v>
      </c>
      <c r="I139" s="21" t="n">
        <f aca="false">parametros_recargas!$E$81*'Plan mensual'!K149+parametros_recargas!$F$81*'Plan mensual'!K150+parametros_recargas!$G$81*'Plan mensual'!K151+parametros_recargas!$H$81*'Plan mensual'!K152+parametros_recargas!$I$81*'Plan mensual'!K153+parametros_recargas!$J$81*'Plan mensual'!K154+parametros_recargas!$K$81*'Plan mensual'!K155+parametros_recargas!$L$81*'Plan mensual'!K156</f>
        <v>282.632389368822</v>
      </c>
      <c r="J139" s="21" t="n">
        <f aca="false">parametros_recargas!$E$81*'Plan mensual'!L149+parametros_recargas!$F$81*'Plan mensual'!L150+parametros_recargas!$G$81*'Plan mensual'!L151+parametros_recargas!$H$81*'Plan mensual'!L152+parametros_recargas!$I$81*'Plan mensual'!L153+parametros_recargas!$J$81*'Plan mensual'!L154+parametros_recargas!$K$81*'Plan mensual'!L155+parametros_recargas!$L$81*'Plan mensual'!L156</f>
        <v>282.632389368822</v>
      </c>
      <c r="K139" s="21" t="n">
        <f aca="false">parametros_recargas!$E$81*'Plan mensual'!M149+parametros_recargas!$F$81*'Plan mensual'!M150+parametros_recargas!$G$81*'Plan mensual'!M151+parametros_recargas!$H$81*'Plan mensual'!M152+parametros_recargas!$I$81*'Plan mensual'!M153+parametros_recargas!$J$81*'Plan mensual'!M154+parametros_recargas!$K$81*'Plan mensual'!M155+parametros_recargas!$L$81*'Plan mensual'!M156</f>
        <v>282.632389368822</v>
      </c>
      <c r="L139" s="21" t="n">
        <f aca="false">parametros_recargas!$E$81*'Plan mensual'!N149+parametros_recargas!$F$81*'Plan mensual'!N150+parametros_recargas!$G$81*'Plan mensual'!N151+parametros_recargas!$H$81*'Plan mensual'!N152+parametros_recargas!$I$81*'Plan mensual'!N153+parametros_recargas!$J$81*'Plan mensual'!N154+parametros_recargas!$K$81*'Plan mensual'!N155+parametros_recargas!$L$81*'Plan mensual'!N156</f>
        <v>282.632389368822</v>
      </c>
      <c r="M139" s="21" t="n">
        <f aca="false">parametros_recargas!$E$81*'Plan mensual'!O149+parametros_recargas!$F$81*'Plan mensual'!O150+parametros_recargas!$G$81*'Plan mensual'!O151+parametros_recargas!$H$81*'Plan mensual'!O152+parametros_recargas!$I$81*'Plan mensual'!O153+parametros_recargas!$J$81*'Plan mensual'!O154+parametros_recargas!$K$81*'Plan mensual'!O155+parametros_recargas!$L$81*'Plan mensual'!O156</f>
        <v>282.632389368822</v>
      </c>
      <c r="N139" s="6" t="n">
        <f aca="false">SUM(B139:M139)</f>
        <v>3391.58867242586</v>
      </c>
      <c r="O139" s="22" t="n">
        <f aca="false">MAX(B139:M139)</f>
        <v>282.632389368822</v>
      </c>
      <c r="P139" s="12" t="n">
        <f aca="false">O139/parametros_recargas!$B$6</f>
        <v>1.88421592912548</v>
      </c>
    </row>
    <row r="140" customFormat="false" ht="15" hidden="false" customHeight="false" outlineLevel="0" collapsed="false">
      <c r="A140" s="8" t="str">
        <f aca="false">parametros_recargas!$B$82</f>
        <v>Laboratorio — Puffer y mufla</v>
      </c>
      <c r="B140" s="21" t="n">
        <f aca="false">parametros_recargas!$E$82*'Plan mensual'!D149+parametros_recargas!$F$82*'Plan mensual'!D150+parametros_recargas!$G$82*'Plan mensual'!D151+parametros_recargas!$H$82*'Plan mensual'!D152+parametros_recargas!$I$82*'Plan mensual'!D153+parametros_recargas!$J$82*'Plan mensual'!D154+parametros_recargas!$K$82*'Plan mensual'!D155+parametros_recargas!$L$82*'Plan mensual'!D156</f>
        <v>3.60295079981257</v>
      </c>
      <c r="C140" s="21" t="n">
        <f aca="false">parametros_recargas!$E$82*'Plan mensual'!E149+parametros_recargas!$F$82*'Plan mensual'!E150+parametros_recargas!$G$82*'Plan mensual'!E151+parametros_recargas!$H$82*'Plan mensual'!E152+parametros_recargas!$I$82*'Plan mensual'!E153+parametros_recargas!$J$82*'Plan mensual'!E154+parametros_recargas!$K$82*'Plan mensual'!E155+parametros_recargas!$L$82*'Plan mensual'!E156</f>
        <v>3.60295079981257</v>
      </c>
      <c r="D140" s="21" t="n">
        <f aca="false">parametros_recargas!$E$82*'Plan mensual'!F149+parametros_recargas!$F$82*'Plan mensual'!F150+parametros_recargas!$G$82*'Plan mensual'!F151+parametros_recargas!$H$82*'Plan mensual'!F152+parametros_recargas!$I$82*'Plan mensual'!F153+parametros_recargas!$J$82*'Plan mensual'!F154+parametros_recargas!$K$82*'Plan mensual'!F155+parametros_recargas!$L$82*'Plan mensual'!F156</f>
        <v>3.60295079981257</v>
      </c>
      <c r="E140" s="21" t="n">
        <f aca="false">parametros_recargas!$E$82*'Plan mensual'!G149+parametros_recargas!$F$82*'Plan mensual'!G150+parametros_recargas!$G$82*'Plan mensual'!G151+parametros_recargas!$H$82*'Plan mensual'!G152+parametros_recargas!$I$82*'Plan mensual'!G153+parametros_recargas!$J$82*'Plan mensual'!G154+parametros_recargas!$K$82*'Plan mensual'!G155+parametros_recargas!$L$82*'Plan mensual'!G156</f>
        <v>3.60295079981257</v>
      </c>
      <c r="F140" s="21" t="n">
        <f aca="false">parametros_recargas!$E$82*'Plan mensual'!H149+parametros_recargas!$F$82*'Plan mensual'!H150+parametros_recargas!$G$82*'Plan mensual'!H151+parametros_recargas!$H$82*'Plan mensual'!H152+parametros_recargas!$I$82*'Plan mensual'!H153+parametros_recargas!$J$82*'Plan mensual'!H154+parametros_recargas!$K$82*'Plan mensual'!H155+parametros_recargas!$L$82*'Plan mensual'!H156</f>
        <v>3.60295079981257</v>
      </c>
      <c r="G140" s="21" t="n">
        <f aca="false">parametros_recargas!$E$82*'Plan mensual'!I149+parametros_recargas!$F$82*'Plan mensual'!I150+parametros_recargas!$G$82*'Plan mensual'!I151+parametros_recargas!$H$82*'Plan mensual'!I152+parametros_recargas!$I$82*'Plan mensual'!I153+parametros_recargas!$J$82*'Plan mensual'!I154+parametros_recargas!$K$82*'Plan mensual'!I155+parametros_recargas!$L$82*'Plan mensual'!I156</f>
        <v>3.60295079981257</v>
      </c>
      <c r="H140" s="21" t="n">
        <f aca="false">parametros_recargas!$E$82*'Plan mensual'!J149+parametros_recargas!$F$82*'Plan mensual'!J150+parametros_recargas!$G$82*'Plan mensual'!J151+parametros_recargas!$H$82*'Plan mensual'!J152+parametros_recargas!$I$82*'Plan mensual'!J153+parametros_recargas!$J$82*'Plan mensual'!J154+parametros_recargas!$K$82*'Plan mensual'!J155+parametros_recargas!$L$82*'Plan mensual'!J156</f>
        <v>3.60295079981257</v>
      </c>
      <c r="I140" s="21" t="n">
        <f aca="false">parametros_recargas!$E$82*'Plan mensual'!K149+parametros_recargas!$F$82*'Plan mensual'!K150+parametros_recargas!$G$82*'Plan mensual'!K151+parametros_recargas!$H$82*'Plan mensual'!K152+parametros_recargas!$I$82*'Plan mensual'!K153+parametros_recargas!$J$82*'Plan mensual'!K154+parametros_recargas!$K$82*'Plan mensual'!K155+parametros_recargas!$L$82*'Plan mensual'!K156</f>
        <v>3.60295079981257</v>
      </c>
      <c r="J140" s="21" t="n">
        <f aca="false">parametros_recargas!$E$82*'Plan mensual'!L149+parametros_recargas!$F$82*'Plan mensual'!L150+parametros_recargas!$G$82*'Plan mensual'!L151+parametros_recargas!$H$82*'Plan mensual'!L152+parametros_recargas!$I$82*'Plan mensual'!L153+parametros_recargas!$J$82*'Plan mensual'!L154+parametros_recargas!$K$82*'Plan mensual'!L155+parametros_recargas!$L$82*'Plan mensual'!L156</f>
        <v>3.60295079981257</v>
      </c>
      <c r="K140" s="21" t="n">
        <f aca="false">parametros_recargas!$E$82*'Plan mensual'!M149+parametros_recargas!$F$82*'Plan mensual'!M150+parametros_recargas!$G$82*'Plan mensual'!M151+parametros_recargas!$H$82*'Plan mensual'!M152+parametros_recargas!$I$82*'Plan mensual'!M153+parametros_recargas!$J$82*'Plan mensual'!M154+parametros_recargas!$K$82*'Plan mensual'!M155+parametros_recargas!$L$82*'Plan mensual'!M156</f>
        <v>3.60295079981257</v>
      </c>
      <c r="L140" s="21" t="n">
        <f aca="false">parametros_recargas!$E$82*'Plan mensual'!N149+parametros_recargas!$F$82*'Plan mensual'!N150+parametros_recargas!$G$82*'Plan mensual'!N151+parametros_recargas!$H$82*'Plan mensual'!N152+parametros_recargas!$I$82*'Plan mensual'!N153+parametros_recargas!$J$82*'Plan mensual'!N154+parametros_recargas!$K$82*'Plan mensual'!N155+parametros_recargas!$L$82*'Plan mensual'!N156</f>
        <v>3.60295079981257</v>
      </c>
      <c r="M140" s="21" t="n">
        <f aca="false">parametros_recargas!$E$82*'Plan mensual'!O149+parametros_recargas!$F$82*'Plan mensual'!O150+parametros_recargas!$G$82*'Plan mensual'!O151+parametros_recargas!$H$82*'Plan mensual'!O152+parametros_recargas!$I$82*'Plan mensual'!O153+parametros_recargas!$J$82*'Plan mensual'!O154+parametros_recargas!$K$82*'Plan mensual'!O155+parametros_recargas!$L$82*'Plan mensual'!O156</f>
        <v>3.60295079981257</v>
      </c>
      <c r="N140" s="6" t="n">
        <f aca="false">SUM(B140:M140)</f>
        <v>43.2354095977508</v>
      </c>
      <c r="O140" s="22" t="n">
        <f aca="false">MAX(B140:M140)</f>
        <v>3.60295079981257</v>
      </c>
      <c r="P140" s="12" t="n">
        <f aca="false">O140/parametros_recargas!$B$6</f>
        <v>0.0240196719987505</v>
      </c>
    </row>
    <row r="141" customFormat="false" ht="15" hidden="false" customHeight="false" outlineLevel="0" collapsed="false">
      <c r="A141" s="8" t="str">
        <f aca="false">parametros_recargas!$B$83</f>
        <v>Prueba hidráulica</v>
      </c>
      <c r="B141" s="21" t="n">
        <f aca="false">parametros_recargas!$E$83*'Plan mensual'!D149+parametros_recargas!$F$83*'Plan mensual'!D150+parametros_recargas!$G$83*'Plan mensual'!D151+parametros_recargas!$H$83*'Plan mensual'!D152+parametros_recargas!$I$83*'Plan mensual'!D153+parametros_recargas!$J$83*'Plan mensual'!D154+parametros_recargas!$K$83*'Plan mensual'!D155+parametros_recargas!$L$83*'Plan mensual'!D156</f>
        <v>890.246735211479</v>
      </c>
      <c r="C141" s="21" t="n">
        <f aca="false">parametros_recargas!$E$83*'Plan mensual'!E149+parametros_recargas!$F$83*'Plan mensual'!E150+parametros_recargas!$G$83*'Plan mensual'!E151+parametros_recargas!$H$83*'Plan mensual'!E152+parametros_recargas!$I$83*'Plan mensual'!E153+parametros_recargas!$J$83*'Plan mensual'!E154+parametros_recargas!$K$83*'Plan mensual'!E155+parametros_recargas!$L$83*'Plan mensual'!E156</f>
        <v>890.246735211479</v>
      </c>
      <c r="D141" s="21" t="n">
        <f aca="false">parametros_recargas!$E$83*'Plan mensual'!F149+parametros_recargas!$F$83*'Plan mensual'!F150+parametros_recargas!$G$83*'Plan mensual'!F151+parametros_recargas!$H$83*'Plan mensual'!F152+parametros_recargas!$I$83*'Plan mensual'!F153+parametros_recargas!$J$83*'Plan mensual'!F154+parametros_recargas!$K$83*'Plan mensual'!F155+parametros_recargas!$L$83*'Plan mensual'!F156</f>
        <v>890.246735211479</v>
      </c>
      <c r="E141" s="21" t="n">
        <f aca="false">parametros_recargas!$E$83*'Plan mensual'!G149+parametros_recargas!$F$83*'Plan mensual'!G150+parametros_recargas!$G$83*'Plan mensual'!G151+parametros_recargas!$H$83*'Plan mensual'!G152+parametros_recargas!$I$83*'Plan mensual'!G153+parametros_recargas!$J$83*'Plan mensual'!G154+parametros_recargas!$K$83*'Plan mensual'!G155+parametros_recargas!$L$83*'Plan mensual'!G156</f>
        <v>890.246735211479</v>
      </c>
      <c r="F141" s="21" t="n">
        <f aca="false">parametros_recargas!$E$83*'Plan mensual'!H149+parametros_recargas!$F$83*'Plan mensual'!H150+parametros_recargas!$G$83*'Plan mensual'!H151+parametros_recargas!$H$83*'Plan mensual'!H152+parametros_recargas!$I$83*'Plan mensual'!H153+parametros_recargas!$J$83*'Plan mensual'!H154+parametros_recargas!$K$83*'Plan mensual'!H155+parametros_recargas!$L$83*'Plan mensual'!H156</f>
        <v>890.246735211479</v>
      </c>
      <c r="G141" s="21" t="n">
        <f aca="false">parametros_recargas!$E$83*'Plan mensual'!I149+parametros_recargas!$F$83*'Plan mensual'!I150+parametros_recargas!$G$83*'Plan mensual'!I151+parametros_recargas!$H$83*'Plan mensual'!I152+parametros_recargas!$I$83*'Plan mensual'!I153+parametros_recargas!$J$83*'Plan mensual'!I154+parametros_recargas!$K$83*'Plan mensual'!I155+parametros_recargas!$L$83*'Plan mensual'!I156</f>
        <v>890.246735211479</v>
      </c>
      <c r="H141" s="21" t="n">
        <f aca="false">parametros_recargas!$E$83*'Plan mensual'!J149+parametros_recargas!$F$83*'Plan mensual'!J150+parametros_recargas!$G$83*'Plan mensual'!J151+parametros_recargas!$H$83*'Plan mensual'!J152+parametros_recargas!$I$83*'Plan mensual'!J153+parametros_recargas!$J$83*'Plan mensual'!J154+parametros_recargas!$K$83*'Plan mensual'!J155+parametros_recargas!$L$83*'Plan mensual'!J156</f>
        <v>890.246735211479</v>
      </c>
      <c r="I141" s="21" t="n">
        <f aca="false">parametros_recargas!$E$83*'Plan mensual'!K149+parametros_recargas!$F$83*'Plan mensual'!K150+parametros_recargas!$G$83*'Plan mensual'!K151+parametros_recargas!$H$83*'Plan mensual'!K152+parametros_recargas!$I$83*'Plan mensual'!K153+parametros_recargas!$J$83*'Plan mensual'!K154+parametros_recargas!$K$83*'Plan mensual'!K155+parametros_recargas!$L$83*'Plan mensual'!K156</f>
        <v>890.246735211479</v>
      </c>
      <c r="J141" s="21" t="n">
        <f aca="false">parametros_recargas!$E$83*'Plan mensual'!L149+parametros_recargas!$F$83*'Plan mensual'!L150+parametros_recargas!$G$83*'Plan mensual'!L151+parametros_recargas!$H$83*'Plan mensual'!L152+parametros_recargas!$I$83*'Plan mensual'!L153+parametros_recargas!$J$83*'Plan mensual'!L154+parametros_recargas!$K$83*'Plan mensual'!L155+parametros_recargas!$L$83*'Plan mensual'!L156</f>
        <v>890.246735211479</v>
      </c>
      <c r="K141" s="21" t="n">
        <f aca="false">parametros_recargas!$E$83*'Plan mensual'!M149+parametros_recargas!$F$83*'Plan mensual'!M150+parametros_recargas!$G$83*'Plan mensual'!M151+parametros_recargas!$H$83*'Plan mensual'!M152+parametros_recargas!$I$83*'Plan mensual'!M153+parametros_recargas!$J$83*'Plan mensual'!M154+parametros_recargas!$K$83*'Plan mensual'!M155+parametros_recargas!$L$83*'Plan mensual'!M156</f>
        <v>890.246735211479</v>
      </c>
      <c r="L141" s="21" t="n">
        <f aca="false">parametros_recargas!$E$83*'Plan mensual'!N149+parametros_recargas!$F$83*'Plan mensual'!N150+parametros_recargas!$G$83*'Plan mensual'!N151+parametros_recargas!$H$83*'Plan mensual'!N152+parametros_recargas!$I$83*'Plan mensual'!N153+parametros_recargas!$J$83*'Plan mensual'!N154+parametros_recargas!$K$83*'Plan mensual'!N155+parametros_recargas!$L$83*'Plan mensual'!N156</f>
        <v>890.246735211479</v>
      </c>
      <c r="M141" s="21" t="n">
        <f aca="false">parametros_recargas!$E$83*'Plan mensual'!O149+parametros_recargas!$F$83*'Plan mensual'!O150+parametros_recargas!$G$83*'Plan mensual'!O151+parametros_recargas!$H$83*'Plan mensual'!O152+parametros_recargas!$I$83*'Plan mensual'!O153+parametros_recargas!$J$83*'Plan mensual'!O154+parametros_recargas!$K$83*'Plan mensual'!O155+parametros_recargas!$L$83*'Plan mensual'!O156</f>
        <v>890.246735211479</v>
      </c>
      <c r="N141" s="6" t="n">
        <f aca="false">SUM(B141:M141)</f>
        <v>10682.9608225377</v>
      </c>
      <c r="O141" s="22" t="n">
        <f aca="false">MAX(B141:M141)</f>
        <v>890.246735211479</v>
      </c>
      <c r="P141" s="12" t="n">
        <f aca="false">O141/parametros_recargas!$B$6</f>
        <v>5.93497823474319</v>
      </c>
    </row>
    <row r="142" customFormat="false" ht="15" hidden="false" customHeight="false" outlineLevel="0" collapsed="false">
      <c r="A142" s="8" t="str">
        <f aca="false">parametros_recargas!$B$84</f>
        <v>Secado</v>
      </c>
      <c r="B142" s="21" t="n">
        <f aca="false">parametros_recargas!$E$84*'Plan mensual'!D149+parametros_recargas!$F$84*'Plan mensual'!D150+parametros_recargas!$G$84*'Plan mensual'!D151+parametros_recargas!$H$84*'Plan mensual'!D152+parametros_recargas!$I$84*'Plan mensual'!D153+parametros_recargas!$J$84*'Plan mensual'!D154+parametros_recargas!$K$84*'Plan mensual'!D155+parametros_recargas!$L$84*'Plan mensual'!D156</f>
        <v>830.573209712126</v>
      </c>
      <c r="C142" s="21" t="n">
        <f aca="false">parametros_recargas!$E$84*'Plan mensual'!E149+parametros_recargas!$F$84*'Plan mensual'!E150+parametros_recargas!$G$84*'Plan mensual'!E151+parametros_recargas!$H$84*'Plan mensual'!E152+parametros_recargas!$I$84*'Plan mensual'!E153+parametros_recargas!$J$84*'Plan mensual'!E154+parametros_recargas!$K$84*'Plan mensual'!E155+parametros_recargas!$L$84*'Plan mensual'!E156</f>
        <v>830.573209712126</v>
      </c>
      <c r="D142" s="21" t="n">
        <f aca="false">parametros_recargas!$E$84*'Plan mensual'!F149+parametros_recargas!$F$84*'Plan mensual'!F150+parametros_recargas!$G$84*'Plan mensual'!F151+parametros_recargas!$H$84*'Plan mensual'!F152+parametros_recargas!$I$84*'Plan mensual'!F153+parametros_recargas!$J$84*'Plan mensual'!F154+parametros_recargas!$K$84*'Plan mensual'!F155+parametros_recargas!$L$84*'Plan mensual'!F156</f>
        <v>830.573209712126</v>
      </c>
      <c r="E142" s="21" t="n">
        <f aca="false">parametros_recargas!$E$84*'Plan mensual'!G149+parametros_recargas!$F$84*'Plan mensual'!G150+parametros_recargas!$G$84*'Plan mensual'!G151+parametros_recargas!$H$84*'Plan mensual'!G152+parametros_recargas!$I$84*'Plan mensual'!G153+parametros_recargas!$J$84*'Plan mensual'!G154+parametros_recargas!$K$84*'Plan mensual'!G155+parametros_recargas!$L$84*'Plan mensual'!G156</f>
        <v>830.573209712126</v>
      </c>
      <c r="F142" s="21" t="n">
        <f aca="false">parametros_recargas!$E$84*'Plan mensual'!H149+parametros_recargas!$F$84*'Plan mensual'!H150+parametros_recargas!$G$84*'Plan mensual'!H151+parametros_recargas!$H$84*'Plan mensual'!H152+parametros_recargas!$I$84*'Plan mensual'!H153+parametros_recargas!$J$84*'Plan mensual'!H154+parametros_recargas!$K$84*'Plan mensual'!H155+parametros_recargas!$L$84*'Plan mensual'!H156</f>
        <v>830.573209712126</v>
      </c>
      <c r="G142" s="21" t="n">
        <f aca="false">parametros_recargas!$E$84*'Plan mensual'!I149+parametros_recargas!$F$84*'Plan mensual'!I150+parametros_recargas!$G$84*'Plan mensual'!I151+parametros_recargas!$H$84*'Plan mensual'!I152+parametros_recargas!$I$84*'Plan mensual'!I153+parametros_recargas!$J$84*'Plan mensual'!I154+parametros_recargas!$K$84*'Plan mensual'!I155+parametros_recargas!$L$84*'Plan mensual'!I156</f>
        <v>830.573209712126</v>
      </c>
      <c r="H142" s="21" t="n">
        <f aca="false">parametros_recargas!$E$84*'Plan mensual'!J149+parametros_recargas!$F$84*'Plan mensual'!J150+parametros_recargas!$G$84*'Plan mensual'!J151+parametros_recargas!$H$84*'Plan mensual'!J152+parametros_recargas!$I$84*'Plan mensual'!J153+parametros_recargas!$J$84*'Plan mensual'!J154+parametros_recargas!$K$84*'Plan mensual'!J155+parametros_recargas!$L$84*'Plan mensual'!J156</f>
        <v>830.573209712126</v>
      </c>
      <c r="I142" s="21" t="n">
        <f aca="false">parametros_recargas!$E$84*'Plan mensual'!K149+parametros_recargas!$F$84*'Plan mensual'!K150+parametros_recargas!$G$84*'Plan mensual'!K151+parametros_recargas!$H$84*'Plan mensual'!K152+parametros_recargas!$I$84*'Plan mensual'!K153+parametros_recargas!$J$84*'Plan mensual'!K154+parametros_recargas!$K$84*'Plan mensual'!K155+parametros_recargas!$L$84*'Plan mensual'!K156</f>
        <v>830.573209712126</v>
      </c>
      <c r="J142" s="21" t="n">
        <f aca="false">parametros_recargas!$E$84*'Plan mensual'!L149+parametros_recargas!$F$84*'Plan mensual'!L150+parametros_recargas!$G$84*'Plan mensual'!L151+parametros_recargas!$H$84*'Plan mensual'!L152+parametros_recargas!$I$84*'Plan mensual'!L153+parametros_recargas!$J$84*'Plan mensual'!L154+parametros_recargas!$K$84*'Plan mensual'!L155+parametros_recargas!$L$84*'Plan mensual'!L156</f>
        <v>830.573209712126</v>
      </c>
      <c r="K142" s="21" t="n">
        <f aca="false">parametros_recargas!$E$84*'Plan mensual'!M149+parametros_recargas!$F$84*'Plan mensual'!M150+parametros_recargas!$G$84*'Plan mensual'!M151+parametros_recargas!$H$84*'Plan mensual'!M152+parametros_recargas!$I$84*'Plan mensual'!M153+parametros_recargas!$J$84*'Plan mensual'!M154+parametros_recargas!$K$84*'Plan mensual'!M155+parametros_recargas!$L$84*'Plan mensual'!M156</f>
        <v>830.573209712126</v>
      </c>
      <c r="L142" s="21" t="n">
        <f aca="false">parametros_recargas!$E$84*'Plan mensual'!N149+parametros_recargas!$F$84*'Plan mensual'!N150+parametros_recargas!$G$84*'Plan mensual'!N151+parametros_recargas!$H$84*'Plan mensual'!N152+parametros_recargas!$I$84*'Plan mensual'!N153+parametros_recargas!$J$84*'Plan mensual'!N154+parametros_recargas!$K$84*'Plan mensual'!N155+parametros_recargas!$L$84*'Plan mensual'!N156</f>
        <v>830.573209712126</v>
      </c>
      <c r="M142" s="21" t="n">
        <f aca="false">parametros_recargas!$E$84*'Plan mensual'!O149+parametros_recargas!$F$84*'Plan mensual'!O150+parametros_recargas!$G$84*'Plan mensual'!O151+parametros_recargas!$H$84*'Plan mensual'!O152+parametros_recargas!$I$84*'Plan mensual'!O153+parametros_recargas!$J$84*'Plan mensual'!O154+parametros_recargas!$K$84*'Plan mensual'!O155+parametros_recargas!$L$84*'Plan mensual'!O156</f>
        <v>830.573209712126</v>
      </c>
      <c r="N142" s="6" t="n">
        <f aca="false">SUM(B142:M142)</f>
        <v>9966.87851654551</v>
      </c>
      <c r="O142" s="22" t="n">
        <f aca="false">MAX(B142:M142)</f>
        <v>830.573209712126</v>
      </c>
      <c r="P142" s="12" t="n">
        <f aca="false">O142/parametros_recargas!$B$6</f>
        <v>5.53715473141417</v>
      </c>
    </row>
    <row r="143" customFormat="false" ht="15" hidden="false" customHeight="false" outlineLevel="0" collapsed="false">
      <c r="A143" s="8" t="str">
        <f aca="false">parametros_recargas!$B$85</f>
        <v>Inspección interior con videoscopio</v>
      </c>
      <c r="B143" s="21" t="n">
        <f aca="false">parametros_recargas!$E$85*'Plan mensual'!D149+parametros_recargas!$F$85*'Plan mensual'!D150+parametros_recargas!$G$85*'Plan mensual'!D151+parametros_recargas!$H$85*'Plan mensual'!D152+parametros_recargas!$I$85*'Plan mensual'!D153+parametros_recargas!$J$85*'Plan mensual'!D154+parametros_recargas!$K$85*'Plan mensual'!D155+parametros_recargas!$L$85*'Plan mensual'!D156</f>
        <v>830.573209712126</v>
      </c>
      <c r="C143" s="21" t="n">
        <f aca="false">parametros_recargas!$E$85*'Plan mensual'!E149+parametros_recargas!$F$85*'Plan mensual'!E150+parametros_recargas!$G$85*'Plan mensual'!E151+parametros_recargas!$H$85*'Plan mensual'!E152+parametros_recargas!$I$85*'Plan mensual'!E153+parametros_recargas!$J$85*'Plan mensual'!E154+parametros_recargas!$K$85*'Plan mensual'!E155+parametros_recargas!$L$85*'Plan mensual'!E156</f>
        <v>830.573209712126</v>
      </c>
      <c r="D143" s="21" t="n">
        <f aca="false">parametros_recargas!$E$85*'Plan mensual'!F149+parametros_recargas!$F$85*'Plan mensual'!F150+parametros_recargas!$G$85*'Plan mensual'!F151+parametros_recargas!$H$85*'Plan mensual'!F152+parametros_recargas!$I$85*'Plan mensual'!F153+parametros_recargas!$J$85*'Plan mensual'!F154+parametros_recargas!$K$85*'Plan mensual'!F155+parametros_recargas!$L$85*'Plan mensual'!F156</f>
        <v>830.573209712126</v>
      </c>
      <c r="E143" s="21" t="n">
        <f aca="false">parametros_recargas!$E$85*'Plan mensual'!G149+parametros_recargas!$F$85*'Plan mensual'!G150+parametros_recargas!$G$85*'Plan mensual'!G151+parametros_recargas!$H$85*'Plan mensual'!G152+parametros_recargas!$I$85*'Plan mensual'!G153+parametros_recargas!$J$85*'Plan mensual'!G154+parametros_recargas!$K$85*'Plan mensual'!G155+parametros_recargas!$L$85*'Plan mensual'!G156</f>
        <v>830.573209712126</v>
      </c>
      <c r="F143" s="21" t="n">
        <f aca="false">parametros_recargas!$E$85*'Plan mensual'!H149+parametros_recargas!$F$85*'Plan mensual'!H150+parametros_recargas!$G$85*'Plan mensual'!H151+parametros_recargas!$H$85*'Plan mensual'!H152+parametros_recargas!$I$85*'Plan mensual'!H153+parametros_recargas!$J$85*'Plan mensual'!H154+parametros_recargas!$K$85*'Plan mensual'!H155+parametros_recargas!$L$85*'Plan mensual'!H156</f>
        <v>830.573209712126</v>
      </c>
      <c r="G143" s="21" t="n">
        <f aca="false">parametros_recargas!$E$85*'Plan mensual'!I149+parametros_recargas!$F$85*'Plan mensual'!I150+parametros_recargas!$G$85*'Plan mensual'!I151+parametros_recargas!$H$85*'Plan mensual'!I152+parametros_recargas!$I$85*'Plan mensual'!I153+parametros_recargas!$J$85*'Plan mensual'!I154+parametros_recargas!$K$85*'Plan mensual'!I155+parametros_recargas!$L$85*'Plan mensual'!I156</f>
        <v>830.573209712126</v>
      </c>
      <c r="H143" s="21" t="n">
        <f aca="false">parametros_recargas!$E$85*'Plan mensual'!J149+parametros_recargas!$F$85*'Plan mensual'!J150+parametros_recargas!$G$85*'Plan mensual'!J151+parametros_recargas!$H$85*'Plan mensual'!J152+parametros_recargas!$I$85*'Plan mensual'!J153+parametros_recargas!$J$85*'Plan mensual'!J154+parametros_recargas!$K$85*'Plan mensual'!J155+parametros_recargas!$L$85*'Plan mensual'!J156</f>
        <v>830.573209712126</v>
      </c>
      <c r="I143" s="21" t="n">
        <f aca="false">parametros_recargas!$E$85*'Plan mensual'!K149+parametros_recargas!$F$85*'Plan mensual'!K150+parametros_recargas!$G$85*'Plan mensual'!K151+parametros_recargas!$H$85*'Plan mensual'!K152+parametros_recargas!$I$85*'Plan mensual'!K153+parametros_recargas!$J$85*'Plan mensual'!K154+parametros_recargas!$K$85*'Plan mensual'!K155+parametros_recargas!$L$85*'Plan mensual'!K156</f>
        <v>830.573209712126</v>
      </c>
      <c r="J143" s="21" t="n">
        <f aca="false">parametros_recargas!$E$85*'Plan mensual'!L149+parametros_recargas!$F$85*'Plan mensual'!L150+parametros_recargas!$G$85*'Plan mensual'!L151+parametros_recargas!$H$85*'Plan mensual'!L152+parametros_recargas!$I$85*'Plan mensual'!L153+parametros_recargas!$J$85*'Plan mensual'!L154+parametros_recargas!$K$85*'Plan mensual'!L155+parametros_recargas!$L$85*'Plan mensual'!L156</f>
        <v>830.573209712126</v>
      </c>
      <c r="K143" s="21" t="n">
        <f aca="false">parametros_recargas!$E$85*'Plan mensual'!M149+parametros_recargas!$F$85*'Plan mensual'!M150+parametros_recargas!$G$85*'Plan mensual'!M151+parametros_recargas!$H$85*'Plan mensual'!M152+parametros_recargas!$I$85*'Plan mensual'!M153+parametros_recargas!$J$85*'Plan mensual'!M154+parametros_recargas!$K$85*'Plan mensual'!M155+parametros_recargas!$L$85*'Plan mensual'!M156</f>
        <v>830.573209712126</v>
      </c>
      <c r="L143" s="21" t="n">
        <f aca="false">parametros_recargas!$E$85*'Plan mensual'!N149+parametros_recargas!$F$85*'Plan mensual'!N150+parametros_recargas!$G$85*'Plan mensual'!N151+parametros_recargas!$H$85*'Plan mensual'!N152+parametros_recargas!$I$85*'Plan mensual'!N153+parametros_recargas!$J$85*'Plan mensual'!N154+parametros_recargas!$K$85*'Plan mensual'!N155+parametros_recargas!$L$85*'Plan mensual'!N156</f>
        <v>830.573209712126</v>
      </c>
      <c r="M143" s="21" t="n">
        <f aca="false">parametros_recargas!$E$85*'Plan mensual'!O149+parametros_recargas!$F$85*'Plan mensual'!O150+parametros_recargas!$G$85*'Plan mensual'!O151+parametros_recargas!$H$85*'Plan mensual'!O152+parametros_recargas!$I$85*'Plan mensual'!O153+parametros_recargas!$J$85*'Plan mensual'!O154+parametros_recargas!$K$85*'Plan mensual'!O155+parametros_recargas!$L$85*'Plan mensual'!O156</f>
        <v>830.573209712126</v>
      </c>
      <c r="N143" s="6" t="n">
        <f aca="false">SUM(B143:M143)</f>
        <v>9966.87851654551</v>
      </c>
      <c r="O143" s="22" t="n">
        <f aca="false">MAX(B143:M143)</f>
        <v>830.573209712126</v>
      </c>
      <c r="P143" s="12" t="n">
        <f aca="false">O143/parametros_recargas!$B$6</f>
        <v>5.53715473141417</v>
      </c>
    </row>
    <row r="144" customFormat="false" ht="15" hidden="false" customHeight="false" outlineLevel="0" collapsed="false">
      <c r="A144" s="8" t="str">
        <f aca="false">parametros_recargas!$B$86</f>
        <v>Pintura</v>
      </c>
      <c r="B144" s="21" t="n">
        <f aca="false">parametros_recargas!$E$86*'Plan mensual'!D149+parametros_recargas!$F$86*'Plan mensual'!D150+parametros_recargas!$G$86*'Plan mensual'!D151+parametros_recargas!$H$86*'Plan mensual'!D152+parametros_recargas!$I$86*'Plan mensual'!D153+parametros_recargas!$J$86*'Plan mensual'!D154+parametros_recargas!$K$86*'Plan mensual'!D155+parametros_recargas!$L$86*'Plan mensual'!D156</f>
        <v>416.397419146407</v>
      </c>
      <c r="C144" s="21" t="n">
        <f aca="false">parametros_recargas!$E$86*'Plan mensual'!E149+parametros_recargas!$F$86*'Plan mensual'!E150+parametros_recargas!$G$86*'Plan mensual'!E151+parametros_recargas!$H$86*'Plan mensual'!E152+parametros_recargas!$I$86*'Plan mensual'!E153+parametros_recargas!$J$86*'Plan mensual'!E154+parametros_recargas!$K$86*'Plan mensual'!E155+parametros_recargas!$L$86*'Plan mensual'!E156</f>
        <v>416.397419146407</v>
      </c>
      <c r="D144" s="21" t="n">
        <f aca="false">parametros_recargas!$E$86*'Plan mensual'!F149+parametros_recargas!$F$86*'Plan mensual'!F150+parametros_recargas!$G$86*'Plan mensual'!F151+parametros_recargas!$H$86*'Plan mensual'!F152+parametros_recargas!$I$86*'Plan mensual'!F153+parametros_recargas!$J$86*'Plan mensual'!F154+parametros_recargas!$K$86*'Plan mensual'!F155+parametros_recargas!$L$86*'Plan mensual'!F156</f>
        <v>416.397419146407</v>
      </c>
      <c r="E144" s="21" t="n">
        <f aca="false">parametros_recargas!$E$86*'Plan mensual'!G149+parametros_recargas!$F$86*'Plan mensual'!G150+parametros_recargas!$G$86*'Plan mensual'!G151+parametros_recargas!$H$86*'Plan mensual'!G152+parametros_recargas!$I$86*'Plan mensual'!G153+parametros_recargas!$J$86*'Plan mensual'!G154+parametros_recargas!$K$86*'Plan mensual'!G155+parametros_recargas!$L$86*'Plan mensual'!G156</f>
        <v>416.397419146407</v>
      </c>
      <c r="F144" s="21" t="n">
        <f aca="false">parametros_recargas!$E$86*'Plan mensual'!H149+parametros_recargas!$F$86*'Plan mensual'!H150+parametros_recargas!$G$86*'Plan mensual'!H151+parametros_recargas!$H$86*'Plan mensual'!H152+parametros_recargas!$I$86*'Plan mensual'!H153+parametros_recargas!$J$86*'Plan mensual'!H154+parametros_recargas!$K$86*'Plan mensual'!H155+parametros_recargas!$L$86*'Plan mensual'!H156</f>
        <v>416.397419146407</v>
      </c>
      <c r="G144" s="21" t="n">
        <f aca="false">parametros_recargas!$E$86*'Plan mensual'!I149+parametros_recargas!$F$86*'Plan mensual'!I150+parametros_recargas!$G$86*'Plan mensual'!I151+parametros_recargas!$H$86*'Plan mensual'!I152+parametros_recargas!$I$86*'Plan mensual'!I153+parametros_recargas!$J$86*'Plan mensual'!I154+parametros_recargas!$K$86*'Plan mensual'!I155+parametros_recargas!$L$86*'Plan mensual'!I156</f>
        <v>416.397419146407</v>
      </c>
      <c r="H144" s="21" t="n">
        <f aca="false">parametros_recargas!$E$86*'Plan mensual'!J149+parametros_recargas!$F$86*'Plan mensual'!J150+parametros_recargas!$G$86*'Plan mensual'!J151+parametros_recargas!$H$86*'Plan mensual'!J152+parametros_recargas!$I$86*'Plan mensual'!J153+parametros_recargas!$J$86*'Plan mensual'!J154+parametros_recargas!$K$86*'Plan mensual'!J155+parametros_recargas!$L$86*'Plan mensual'!J156</f>
        <v>416.397419146407</v>
      </c>
      <c r="I144" s="21" t="n">
        <f aca="false">parametros_recargas!$E$86*'Plan mensual'!K149+parametros_recargas!$F$86*'Plan mensual'!K150+parametros_recargas!$G$86*'Plan mensual'!K151+parametros_recargas!$H$86*'Plan mensual'!K152+parametros_recargas!$I$86*'Plan mensual'!K153+parametros_recargas!$J$86*'Plan mensual'!K154+parametros_recargas!$K$86*'Plan mensual'!K155+parametros_recargas!$L$86*'Plan mensual'!K156</f>
        <v>416.397419146407</v>
      </c>
      <c r="J144" s="21" t="n">
        <f aca="false">parametros_recargas!$E$86*'Plan mensual'!L149+parametros_recargas!$F$86*'Plan mensual'!L150+parametros_recargas!$G$86*'Plan mensual'!L151+parametros_recargas!$H$86*'Plan mensual'!L152+parametros_recargas!$I$86*'Plan mensual'!L153+parametros_recargas!$J$86*'Plan mensual'!L154+parametros_recargas!$K$86*'Plan mensual'!L155+parametros_recargas!$L$86*'Plan mensual'!L156</f>
        <v>416.397419146407</v>
      </c>
      <c r="K144" s="21" t="n">
        <f aca="false">parametros_recargas!$E$86*'Plan mensual'!M149+parametros_recargas!$F$86*'Plan mensual'!M150+parametros_recargas!$G$86*'Plan mensual'!M151+parametros_recargas!$H$86*'Plan mensual'!M152+parametros_recargas!$I$86*'Plan mensual'!M153+parametros_recargas!$J$86*'Plan mensual'!M154+parametros_recargas!$K$86*'Plan mensual'!M155+parametros_recargas!$L$86*'Plan mensual'!M156</f>
        <v>416.397419146407</v>
      </c>
      <c r="L144" s="21" t="n">
        <f aca="false">parametros_recargas!$E$86*'Plan mensual'!N149+parametros_recargas!$F$86*'Plan mensual'!N150+parametros_recargas!$G$86*'Plan mensual'!N151+parametros_recargas!$H$86*'Plan mensual'!N152+parametros_recargas!$I$86*'Plan mensual'!N153+parametros_recargas!$J$86*'Plan mensual'!N154+parametros_recargas!$K$86*'Plan mensual'!N155+parametros_recargas!$L$86*'Plan mensual'!N156</f>
        <v>416.397419146407</v>
      </c>
      <c r="M144" s="21" t="n">
        <f aca="false">parametros_recargas!$E$86*'Plan mensual'!O149+parametros_recargas!$F$86*'Plan mensual'!O150+parametros_recargas!$G$86*'Plan mensual'!O151+parametros_recargas!$H$86*'Plan mensual'!O152+parametros_recargas!$I$86*'Plan mensual'!O153+parametros_recargas!$J$86*'Plan mensual'!O154+parametros_recargas!$K$86*'Plan mensual'!O155+parametros_recargas!$L$86*'Plan mensual'!O156</f>
        <v>416.397419146407</v>
      </c>
      <c r="N144" s="6" t="n">
        <f aca="false">SUM(B144:M144)</f>
        <v>4996.76902975689</v>
      </c>
      <c r="O144" s="22" t="n">
        <f aca="false">MAX(B144:M144)</f>
        <v>416.397419146407</v>
      </c>
      <c r="P144" s="12" t="n">
        <f aca="false">O144/parametros_recargas!$B$6</f>
        <v>2.77598279430938</v>
      </c>
    </row>
    <row r="145" customFormat="false" ht="15" hidden="false" customHeight="false" outlineLevel="0" collapsed="false">
      <c r="A145" s="8" t="str">
        <f aca="false">parametros_recargas!$B$87</f>
        <v>Carga de polvo ABC</v>
      </c>
      <c r="B145" s="21" t="n">
        <f aca="false">parametros_recargas!$E$87*'Plan mensual'!D149+parametros_recargas!$F$87*'Plan mensual'!D150+parametros_recargas!$G$87*'Plan mensual'!D151+parametros_recargas!$H$87*'Plan mensual'!D152+parametros_recargas!$I$87*'Plan mensual'!D153+parametros_recargas!$J$87*'Plan mensual'!D154+parametros_recargas!$K$87*'Plan mensual'!D155+parametros_recargas!$L$87*'Plan mensual'!D156</f>
        <v>3597.58802571368</v>
      </c>
      <c r="C145" s="21" t="n">
        <f aca="false">parametros_recargas!$E$87*'Plan mensual'!E149+parametros_recargas!$F$87*'Plan mensual'!E150+parametros_recargas!$G$87*'Plan mensual'!E151+parametros_recargas!$H$87*'Plan mensual'!E152+parametros_recargas!$I$87*'Plan mensual'!E153+parametros_recargas!$J$87*'Plan mensual'!E154+parametros_recargas!$K$87*'Plan mensual'!E155+parametros_recargas!$L$87*'Plan mensual'!E156</f>
        <v>3597.58802571368</v>
      </c>
      <c r="D145" s="21" t="n">
        <f aca="false">parametros_recargas!$E$87*'Plan mensual'!F149+parametros_recargas!$F$87*'Plan mensual'!F150+parametros_recargas!$G$87*'Plan mensual'!F151+parametros_recargas!$H$87*'Plan mensual'!F152+parametros_recargas!$I$87*'Plan mensual'!F153+parametros_recargas!$J$87*'Plan mensual'!F154+parametros_recargas!$K$87*'Plan mensual'!F155+parametros_recargas!$L$87*'Plan mensual'!F156</f>
        <v>3597.58802571368</v>
      </c>
      <c r="E145" s="21" t="n">
        <f aca="false">parametros_recargas!$E$87*'Plan mensual'!G149+parametros_recargas!$F$87*'Plan mensual'!G150+parametros_recargas!$G$87*'Plan mensual'!G151+parametros_recargas!$H$87*'Plan mensual'!G152+parametros_recargas!$I$87*'Plan mensual'!G153+parametros_recargas!$J$87*'Plan mensual'!G154+parametros_recargas!$K$87*'Plan mensual'!G155+parametros_recargas!$L$87*'Plan mensual'!G156</f>
        <v>3597.58802571368</v>
      </c>
      <c r="F145" s="21" t="n">
        <f aca="false">parametros_recargas!$E$87*'Plan mensual'!H149+parametros_recargas!$F$87*'Plan mensual'!H150+parametros_recargas!$G$87*'Plan mensual'!H151+parametros_recargas!$H$87*'Plan mensual'!H152+parametros_recargas!$I$87*'Plan mensual'!H153+parametros_recargas!$J$87*'Plan mensual'!H154+parametros_recargas!$K$87*'Plan mensual'!H155+parametros_recargas!$L$87*'Plan mensual'!H156</f>
        <v>3597.58802571368</v>
      </c>
      <c r="G145" s="21" t="n">
        <f aca="false">parametros_recargas!$E$87*'Plan mensual'!I149+parametros_recargas!$F$87*'Plan mensual'!I150+parametros_recargas!$G$87*'Plan mensual'!I151+parametros_recargas!$H$87*'Plan mensual'!I152+parametros_recargas!$I$87*'Plan mensual'!I153+parametros_recargas!$J$87*'Plan mensual'!I154+parametros_recargas!$K$87*'Plan mensual'!I155+parametros_recargas!$L$87*'Plan mensual'!I156</f>
        <v>3597.58802571368</v>
      </c>
      <c r="H145" s="21" t="n">
        <f aca="false">parametros_recargas!$E$87*'Plan mensual'!J149+parametros_recargas!$F$87*'Plan mensual'!J150+parametros_recargas!$G$87*'Plan mensual'!J151+parametros_recargas!$H$87*'Plan mensual'!J152+parametros_recargas!$I$87*'Plan mensual'!J153+parametros_recargas!$J$87*'Plan mensual'!J154+parametros_recargas!$K$87*'Plan mensual'!J155+parametros_recargas!$L$87*'Plan mensual'!J156</f>
        <v>3597.58802571368</v>
      </c>
      <c r="I145" s="21" t="n">
        <f aca="false">parametros_recargas!$E$87*'Plan mensual'!K149+parametros_recargas!$F$87*'Plan mensual'!K150+parametros_recargas!$G$87*'Plan mensual'!K151+parametros_recargas!$H$87*'Plan mensual'!K152+parametros_recargas!$I$87*'Plan mensual'!K153+parametros_recargas!$J$87*'Plan mensual'!K154+parametros_recargas!$K$87*'Plan mensual'!K155+parametros_recargas!$L$87*'Plan mensual'!K156</f>
        <v>3597.58802571368</v>
      </c>
      <c r="J145" s="21" t="n">
        <f aca="false">parametros_recargas!$E$87*'Plan mensual'!L149+parametros_recargas!$F$87*'Plan mensual'!L150+parametros_recargas!$G$87*'Plan mensual'!L151+parametros_recargas!$H$87*'Plan mensual'!L152+parametros_recargas!$I$87*'Plan mensual'!L153+parametros_recargas!$J$87*'Plan mensual'!L154+parametros_recargas!$K$87*'Plan mensual'!L155+parametros_recargas!$L$87*'Plan mensual'!L156</f>
        <v>3597.58802571368</v>
      </c>
      <c r="K145" s="21" t="n">
        <f aca="false">parametros_recargas!$E$87*'Plan mensual'!M149+parametros_recargas!$F$87*'Plan mensual'!M150+parametros_recargas!$G$87*'Plan mensual'!M151+parametros_recargas!$H$87*'Plan mensual'!M152+parametros_recargas!$I$87*'Plan mensual'!M153+parametros_recargas!$J$87*'Plan mensual'!M154+parametros_recargas!$K$87*'Plan mensual'!M155+parametros_recargas!$L$87*'Plan mensual'!M156</f>
        <v>3597.58802571368</v>
      </c>
      <c r="L145" s="21" t="n">
        <f aca="false">parametros_recargas!$E$87*'Plan mensual'!N149+parametros_recargas!$F$87*'Plan mensual'!N150+parametros_recargas!$G$87*'Plan mensual'!N151+parametros_recargas!$H$87*'Plan mensual'!N152+parametros_recargas!$I$87*'Plan mensual'!N153+parametros_recargas!$J$87*'Plan mensual'!N154+parametros_recargas!$K$87*'Plan mensual'!N155+parametros_recargas!$L$87*'Plan mensual'!N156</f>
        <v>3597.58802571368</v>
      </c>
      <c r="M145" s="21" t="n">
        <f aca="false">parametros_recargas!$E$87*'Plan mensual'!O149+parametros_recargas!$F$87*'Plan mensual'!O150+parametros_recargas!$G$87*'Plan mensual'!O151+parametros_recargas!$H$87*'Plan mensual'!O152+parametros_recargas!$I$87*'Plan mensual'!O153+parametros_recargas!$J$87*'Plan mensual'!O154+parametros_recargas!$K$87*'Plan mensual'!O155+parametros_recargas!$L$87*'Plan mensual'!O156</f>
        <v>3597.58802571368</v>
      </c>
      <c r="N145" s="6" t="n">
        <f aca="false">SUM(B145:M145)</f>
        <v>43171.0563085642</v>
      </c>
      <c r="O145" s="22" t="n">
        <f aca="false">MAX(B145:M145)</f>
        <v>3597.58802571368</v>
      </c>
      <c r="P145" s="12" t="n">
        <f aca="false">O145/parametros_recargas!$B$6</f>
        <v>23.9839201714245</v>
      </c>
    </row>
    <row r="146" customFormat="false" ht="15" hidden="false" customHeight="false" outlineLevel="0" collapsed="false">
      <c r="A146" s="8" t="str">
        <f aca="false">parametros_recargas!$B$88</f>
        <v>Carga de polvo BC</v>
      </c>
      <c r="B146" s="21" t="n">
        <f aca="false">parametros_recargas!$E$88*'Plan mensual'!D149+parametros_recargas!$F$88*'Plan mensual'!D150+parametros_recargas!$G$88*'Plan mensual'!D151+parametros_recargas!$H$88*'Plan mensual'!D152+parametros_recargas!$I$88*'Plan mensual'!D153+parametros_recargas!$J$88*'Plan mensual'!D154+parametros_recargas!$K$88*'Plan mensual'!D155+parametros_recargas!$L$88*'Plan mensual'!D156</f>
        <v>5.36277409888768</v>
      </c>
      <c r="C146" s="21" t="n">
        <f aca="false">parametros_recargas!$E$88*'Plan mensual'!E149+parametros_recargas!$F$88*'Plan mensual'!E150+parametros_recargas!$G$88*'Plan mensual'!E151+parametros_recargas!$H$88*'Plan mensual'!E152+parametros_recargas!$I$88*'Plan mensual'!E153+parametros_recargas!$J$88*'Plan mensual'!E154+parametros_recargas!$K$88*'Plan mensual'!E155+parametros_recargas!$L$88*'Plan mensual'!E156</f>
        <v>5.36277409888768</v>
      </c>
      <c r="D146" s="21" t="n">
        <f aca="false">parametros_recargas!$E$88*'Plan mensual'!F149+parametros_recargas!$F$88*'Plan mensual'!F150+parametros_recargas!$G$88*'Plan mensual'!F151+parametros_recargas!$H$88*'Plan mensual'!F152+parametros_recargas!$I$88*'Plan mensual'!F153+parametros_recargas!$J$88*'Plan mensual'!F154+parametros_recargas!$K$88*'Plan mensual'!F155+parametros_recargas!$L$88*'Plan mensual'!F156</f>
        <v>5.36277409888768</v>
      </c>
      <c r="E146" s="21" t="n">
        <f aca="false">parametros_recargas!$E$88*'Plan mensual'!G149+parametros_recargas!$F$88*'Plan mensual'!G150+parametros_recargas!$G$88*'Plan mensual'!G151+parametros_recargas!$H$88*'Plan mensual'!G152+parametros_recargas!$I$88*'Plan mensual'!G153+parametros_recargas!$J$88*'Plan mensual'!G154+parametros_recargas!$K$88*'Plan mensual'!G155+parametros_recargas!$L$88*'Plan mensual'!G156</f>
        <v>5.36277409888768</v>
      </c>
      <c r="F146" s="21" t="n">
        <f aca="false">parametros_recargas!$E$88*'Plan mensual'!H149+parametros_recargas!$F$88*'Plan mensual'!H150+parametros_recargas!$G$88*'Plan mensual'!H151+parametros_recargas!$H$88*'Plan mensual'!H152+parametros_recargas!$I$88*'Plan mensual'!H153+parametros_recargas!$J$88*'Plan mensual'!H154+parametros_recargas!$K$88*'Plan mensual'!H155+parametros_recargas!$L$88*'Plan mensual'!H156</f>
        <v>5.36277409888768</v>
      </c>
      <c r="G146" s="21" t="n">
        <f aca="false">parametros_recargas!$E$88*'Plan mensual'!I149+parametros_recargas!$F$88*'Plan mensual'!I150+parametros_recargas!$G$88*'Plan mensual'!I151+parametros_recargas!$H$88*'Plan mensual'!I152+parametros_recargas!$I$88*'Plan mensual'!I153+parametros_recargas!$J$88*'Plan mensual'!I154+parametros_recargas!$K$88*'Plan mensual'!I155+parametros_recargas!$L$88*'Plan mensual'!I156</f>
        <v>5.36277409888768</v>
      </c>
      <c r="H146" s="21" t="n">
        <f aca="false">parametros_recargas!$E$88*'Plan mensual'!J149+parametros_recargas!$F$88*'Plan mensual'!J150+parametros_recargas!$G$88*'Plan mensual'!J151+parametros_recargas!$H$88*'Plan mensual'!J152+parametros_recargas!$I$88*'Plan mensual'!J153+parametros_recargas!$J$88*'Plan mensual'!J154+parametros_recargas!$K$88*'Plan mensual'!J155+parametros_recargas!$L$88*'Plan mensual'!J156</f>
        <v>5.36277409888768</v>
      </c>
      <c r="I146" s="21" t="n">
        <f aca="false">parametros_recargas!$E$88*'Plan mensual'!K149+parametros_recargas!$F$88*'Plan mensual'!K150+parametros_recargas!$G$88*'Plan mensual'!K151+parametros_recargas!$H$88*'Plan mensual'!K152+parametros_recargas!$I$88*'Plan mensual'!K153+parametros_recargas!$J$88*'Plan mensual'!K154+parametros_recargas!$K$88*'Plan mensual'!K155+parametros_recargas!$L$88*'Plan mensual'!K156</f>
        <v>5.36277409888768</v>
      </c>
      <c r="J146" s="21" t="n">
        <f aca="false">parametros_recargas!$E$88*'Plan mensual'!L149+parametros_recargas!$F$88*'Plan mensual'!L150+parametros_recargas!$G$88*'Plan mensual'!L151+parametros_recargas!$H$88*'Plan mensual'!L152+parametros_recargas!$I$88*'Plan mensual'!L153+parametros_recargas!$J$88*'Plan mensual'!L154+parametros_recargas!$K$88*'Plan mensual'!L155+parametros_recargas!$L$88*'Plan mensual'!L156</f>
        <v>5.36277409888768</v>
      </c>
      <c r="K146" s="21" t="n">
        <f aca="false">parametros_recargas!$E$88*'Plan mensual'!M149+parametros_recargas!$F$88*'Plan mensual'!M150+parametros_recargas!$G$88*'Plan mensual'!M151+parametros_recargas!$H$88*'Plan mensual'!M152+parametros_recargas!$I$88*'Plan mensual'!M153+parametros_recargas!$J$88*'Plan mensual'!M154+parametros_recargas!$K$88*'Plan mensual'!M155+parametros_recargas!$L$88*'Plan mensual'!M156</f>
        <v>5.36277409888768</v>
      </c>
      <c r="L146" s="21" t="n">
        <f aca="false">parametros_recargas!$E$88*'Plan mensual'!N149+parametros_recargas!$F$88*'Plan mensual'!N150+parametros_recargas!$G$88*'Plan mensual'!N151+parametros_recargas!$H$88*'Plan mensual'!N152+parametros_recargas!$I$88*'Plan mensual'!N153+parametros_recargas!$J$88*'Plan mensual'!N154+parametros_recargas!$K$88*'Plan mensual'!N155+parametros_recargas!$L$88*'Plan mensual'!N156</f>
        <v>5.36277409888768</v>
      </c>
      <c r="M146" s="21" t="n">
        <f aca="false">parametros_recargas!$E$88*'Plan mensual'!O149+parametros_recargas!$F$88*'Plan mensual'!O150+parametros_recargas!$G$88*'Plan mensual'!O151+parametros_recargas!$H$88*'Plan mensual'!O152+parametros_recargas!$I$88*'Plan mensual'!O153+parametros_recargas!$J$88*'Plan mensual'!O154+parametros_recargas!$K$88*'Plan mensual'!O155+parametros_recargas!$L$88*'Plan mensual'!O156</f>
        <v>5.36277409888768</v>
      </c>
      <c r="N146" s="6" t="n">
        <f aca="false">SUM(B146:M146)</f>
        <v>64.3532891866521</v>
      </c>
      <c r="O146" s="22" t="n">
        <f aca="false">MAX(B146:M146)</f>
        <v>5.36277409888768</v>
      </c>
      <c r="P146" s="12" t="n">
        <f aca="false">O146/parametros_recargas!$B$6</f>
        <v>0.0357518273259178</v>
      </c>
    </row>
    <row r="147" customFormat="false" ht="15" hidden="false" customHeight="false" outlineLevel="0" collapsed="false">
      <c r="A147" s="8" t="str">
        <f aca="false">parametros_recargas!$B$89</f>
        <v>Descarga y carga Clase D</v>
      </c>
      <c r="B147" s="21" t="n">
        <f aca="false">parametros_recargas!$E$89*'Plan mensual'!D149+parametros_recargas!$F$89*'Plan mensual'!D150+parametros_recargas!$G$89*'Plan mensual'!D151+parametros_recargas!$H$89*'Plan mensual'!D152+parametros_recargas!$I$89*'Plan mensual'!D153+parametros_recargas!$J$89*'Plan mensual'!D154+parametros_recargas!$K$89*'Plan mensual'!D155+parametros_recargas!$L$89*'Plan mensual'!D156</f>
        <v>5.01280336285648</v>
      </c>
      <c r="C147" s="21" t="n">
        <f aca="false">parametros_recargas!$E$89*'Plan mensual'!E149+parametros_recargas!$F$89*'Plan mensual'!E150+parametros_recargas!$G$89*'Plan mensual'!E151+parametros_recargas!$H$89*'Plan mensual'!E152+parametros_recargas!$I$89*'Plan mensual'!E153+parametros_recargas!$J$89*'Plan mensual'!E154+parametros_recargas!$K$89*'Plan mensual'!E155+parametros_recargas!$L$89*'Plan mensual'!E156</f>
        <v>5.01280336285648</v>
      </c>
      <c r="D147" s="21" t="n">
        <f aca="false">parametros_recargas!$E$89*'Plan mensual'!F149+parametros_recargas!$F$89*'Plan mensual'!F150+parametros_recargas!$G$89*'Plan mensual'!F151+parametros_recargas!$H$89*'Plan mensual'!F152+parametros_recargas!$I$89*'Plan mensual'!F153+parametros_recargas!$J$89*'Plan mensual'!F154+parametros_recargas!$K$89*'Plan mensual'!F155+parametros_recargas!$L$89*'Plan mensual'!F156</f>
        <v>5.01280336285648</v>
      </c>
      <c r="E147" s="21" t="n">
        <f aca="false">parametros_recargas!$E$89*'Plan mensual'!G149+parametros_recargas!$F$89*'Plan mensual'!G150+parametros_recargas!$G$89*'Plan mensual'!G151+parametros_recargas!$H$89*'Plan mensual'!G152+parametros_recargas!$I$89*'Plan mensual'!G153+parametros_recargas!$J$89*'Plan mensual'!G154+parametros_recargas!$K$89*'Plan mensual'!G155+parametros_recargas!$L$89*'Plan mensual'!G156</f>
        <v>5.01280336285648</v>
      </c>
      <c r="F147" s="21" t="n">
        <f aca="false">parametros_recargas!$E$89*'Plan mensual'!H149+parametros_recargas!$F$89*'Plan mensual'!H150+parametros_recargas!$G$89*'Plan mensual'!H151+parametros_recargas!$H$89*'Plan mensual'!H152+parametros_recargas!$I$89*'Plan mensual'!H153+parametros_recargas!$J$89*'Plan mensual'!H154+parametros_recargas!$K$89*'Plan mensual'!H155+parametros_recargas!$L$89*'Plan mensual'!H156</f>
        <v>5.01280336285648</v>
      </c>
      <c r="G147" s="21" t="n">
        <f aca="false">parametros_recargas!$E$89*'Plan mensual'!I149+parametros_recargas!$F$89*'Plan mensual'!I150+parametros_recargas!$G$89*'Plan mensual'!I151+parametros_recargas!$H$89*'Plan mensual'!I152+parametros_recargas!$I$89*'Plan mensual'!I153+parametros_recargas!$J$89*'Plan mensual'!I154+parametros_recargas!$K$89*'Plan mensual'!I155+parametros_recargas!$L$89*'Plan mensual'!I156</f>
        <v>5.01280336285648</v>
      </c>
      <c r="H147" s="21" t="n">
        <f aca="false">parametros_recargas!$E$89*'Plan mensual'!J149+parametros_recargas!$F$89*'Plan mensual'!J150+parametros_recargas!$G$89*'Plan mensual'!J151+parametros_recargas!$H$89*'Plan mensual'!J152+parametros_recargas!$I$89*'Plan mensual'!J153+parametros_recargas!$J$89*'Plan mensual'!J154+parametros_recargas!$K$89*'Plan mensual'!J155+parametros_recargas!$L$89*'Plan mensual'!J156</f>
        <v>5.01280336285648</v>
      </c>
      <c r="I147" s="21" t="n">
        <f aca="false">parametros_recargas!$E$89*'Plan mensual'!K149+parametros_recargas!$F$89*'Plan mensual'!K150+parametros_recargas!$G$89*'Plan mensual'!K151+parametros_recargas!$H$89*'Plan mensual'!K152+parametros_recargas!$I$89*'Plan mensual'!K153+parametros_recargas!$J$89*'Plan mensual'!K154+parametros_recargas!$K$89*'Plan mensual'!K155+parametros_recargas!$L$89*'Plan mensual'!K156</f>
        <v>5.01280336285648</v>
      </c>
      <c r="J147" s="21" t="n">
        <f aca="false">parametros_recargas!$E$89*'Plan mensual'!L149+parametros_recargas!$F$89*'Plan mensual'!L150+parametros_recargas!$G$89*'Plan mensual'!L151+parametros_recargas!$H$89*'Plan mensual'!L152+parametros_recargas!$I$89*'Plan mensual'!L153+parametros_recargas!$J$89*'Plan mensual'!L154+parametros_recargas!$K$89*'Plan mensual'!L155+parametros_recargas!$L$89*'Plan mensual'!L156</f>
        <v>5.01280336285648</v>
      </c>
      <c r="K147" s="21" t="n">
        <f aca="false">parametros_recargas!$E$89*'Plan mensual'!M149+parametros_recargas!$F$89*'Plan mensual'!M150+parametros_recargas!$G$89*'Plan mensual'!M151+parametros_recargas!$H$89*'Plan mensual'!M152+parametros_recargas!$I$89*'Plan mensual'!M153+parametros_recargas!$J$89*'Plan mensual'!M154+parametros_recargas!$K$89*'Plan mensual'!M155+parametros_recargas!$L$89*'Plan mensual'!M156</f>
        <v>5.01280336285648</v>
      </c>
      <c r="L147" s="21" t="n">
        <f aca="false">parametros_recargas!$E$89*'Plan mensual'!N149+parametros_recargas!$F$89*'Plan mensual'!N150+parametros_recargas!$G$89*'Plan mensual'!N151+parametros_recargas!$H$89*'Plan mensual'!N152+parametros_recargas!$I$89*'Plan mensual'!N153+parametros_recargas!$J$89*'Plan mensual'!N154+parametros_recargas!$K$89*'Plan mensual'!N155+parametros_recargas!$L$89*'Plan mensual'!N156</f>
        <v>5.01280336285648</v>
      </c>
      <c r="M147" s="21" t="n">
        <f aca="false">parametros_recargas!$E$89*'Plan mensual'!O149+parametros_recargas!$F$89*'Plan mensual'!O150+parametros_recargas!$G$89*'Plan mensual'!O151+parametros_recargas!$H$89*'Plan mensual'!O152+parametros_recargas!$I$89*'Plan mensual'!O153+parametros_recargas!$J$89*'Plan mensual'!O154+parametros_recargas!$K$89*'Plan mensual'!O155+parametros_recargas!$L$89*'Plan mensual'!O156</f>
        <v>5.01280336285648</v>
      </c>
      <c r="N147" s="6" t="n">
        <f aca="false">SUM(B147:M147)</f>
        <v>60.1536403542778</v>
      </c>
      <c r="O147" s="22" t="n">
        <f aca="false">MAX(B147:M147)</f>
        <v>5.01280336285648</v>
      </c>
      <c r="P147" s="12" t="n">
        <f aca="false">O147/parametros_recargas!$B$6</f>
        <v>0.0334186890857099</v>
      </c>
    </row>
    <row r="148" customFormat="false" ht="15" hidden="false" customHeight="false" outlineLevel="0" collapsed="false">
      <c r="A148" s="8" t="str">
        <f aca="false">parametros_recargas!$B$90</f>
        <v>Carga de agua / AFFF / sales K</v>
      </c>
      <c r="B148" s="21" t="n">
        <f aca="false">parametros_recargas!$E$90*'Plan mensual'!D149+parametros_recargas!$F$90*'Plan mensual'!D150+parametros_recargas!$G$90*'Plan mensual'!D151+parametros_recargas!$H$90*'Plan mensual'!D152+parametros_recargas!$I$90*'Plan mensual'!D153+parametros_recargas!$J$90*'Plan mensual'!D154+parametros_recargas!$K$90*'Plan mensual'!D155+parametros_recargas!$L$90*'Plan mensual'!D156</f>
        <v>191.506323062214</v>
      </c>
      <c r="C148" s="21" t="n">
        <f aca="false">parametros_recargas!$E$90*'Plan mensual'!E149+parametros_recargas!$F$90*'Plan mensual'!E150+parametros_recargas!$G$90*'Plan mensual'!E151+parametros_recargas!$H$90*'Plan mensual'!E152+parametros_recargas!$I$90*'Plan mensual'!E153+parametros_recargas!$J$90*'Plan mensual'!E154+parametros_recargas!$K$90*'Plan mensual'!E155+parametros_recargas!$L$90*'Plan mensual'!E156</f>
        <v>191.506323062214</v>
      </c>
      <c r="D148" s="21" t="n">
        <f aca="false">parametros_recargas!$E$90*'Plan mensual'!F149+parametros_recargas!$F$90*'Plan mensual'!F150+parametros_recargas!$G$90*'Plan mensual'!F151+parametros_recargas!$H$90*'Plan mensual'!F152+parametros_recargas!$I$90*'Plan mensual'!F153+parametros_recargas!$J$90*'Plan mensual'!F154+parametros_recargas!$K$90*'Plan mensual'!F155+parametros_recargas!$L$90*'Plan mensual'!F156</f>
        <v>191.506323062214</v>
      </c>
      <c r="E148" s="21" t="n">
        <f aca="false">parametros_recargas!$E$90*'Plan mensual'!G149+parametros_recargas!$F$90*'Plan mensual'!G150+parametros_recargas!$G$90*'Plan mensual'!G151+parametros_recargas!$H$90*'Plan mensual'!G152+parametros_recargas!$I$90*'Plan mensual'!G153+parametros_recargas!$J$90*'Plan mensual'!G154+parametros_recargas!$K$90*'Plan mensual'!G155+parametros_recargas!$L$90*'Plan mensual'!G156</f>
        <v>191.506323062214</v>
      </c>
      <c r="F148" s="21" t="n">
        <f aca="false">parametros_recargas!$E$90*'Plan mensual'!H149+parametros_recargas!$F$90*'Plan mensual'!H150+parametros_recargas!$G$90*'Plan mensual'!H151+parametros_recargas!$H$90*'Plan mensual'!H152+parametros_recargas!$I$90*'Plan mensual'!H153+parametros_recargas!$J$90*'Plan mensual'!H154+parametros_recargas!$K$90*'Plan mensual'!H155+parametros_recargas!$L$90*'Plan mensual'!H156</f>
        <v>191.506323062214</v>
      </c>
      <c r="G148" s="21" t="n">
        <f aca="false">parametros_recargas!$E$90*'Plan mensual'!I149+parametros_recargas!$F$90*'Plan mensual'!I150+parametros_recargas!$G$90*'Plan mensual'!I151+parametros_recargas!$H$90*'Plan mensual'!I152+parametros_recargas!$I$90*'Plan mensual'!I153+parametros_recargas!$J$90*'Plan mensual'!I154+parametros_recargas!$K$90*'Plan mensual'!I155+parametros_recargas!$L$90*'Plan mensual'!I156</f>
        <v>191.506323062214</v>
      </c>
      <c r="H148" s="21" t="n">
        <f aca="false">parametros_recargas!$E$90*'Plan mensual'!J149+parametros_recargas!$F$90*'Plan mensual'!J150+parametros_recargas!$G$90*'Plan mensual'!J151+parametros_recargas!$H$90*'Plan mensual'!J152+parametros_recargas!$I$90*'Plan mensual'!J153+parametros_recargas!$J$90*'Plan mensual'!J154+parametros_recargas!$K$90*'Plan mensual'!J155+parametros_recargas!$L$90*'Plan mensual'!J156</f>
        <v>191.506323062214</v>
      </c>
      <c r="I148" s="21" t="n">
        <f aca="false">parametros_recargas!$E$90*'Plan mensual'!K149+parametros_recargas!$F$90*'Plan mensual'!K150+parametros_recargas!$G$90*'Plan mensual'!K151+parametros_recargas!$H$90*'Plan mensual'!K152+parametros_recargas!$I$90*'Plan mensual'!K153+parametros_recargas!$J$90*'Plan mensual'!K154+parametros_recargas!$K$90*'Plan mensual'!K155+parametros_recargas!$L$90*'Plan mensual'!K156</f>
        <v>191.506323062214</v>
      </c>
      <c r="J148" s="21" t="n">
        <f aca="false">parametros_recargas!$E$90*'Plan mensual'!L149+parametros_recargas!$F$90*'Plan mensual'!L150+parametros_recargas!$G$90*'Plan mensual'!L151+parametros_recargas!$H$90*'Plan mensual'!L152+parametros_recargas!$I$90*'Plan mensual'!L153+parametros_recargas!$J$90*'Plan mensual'!L154+parametros_recargas!$K$90*'Plan mensual'!L155+parametros_recargas!$L$90*'Plan mensual'!L156</f>
        <v>191.506323062214</v>
      </c>
      <c r="K148" s="21" t="n">
        <f aca="false">parametros_recargas!$E$90*'Plan mensual'!M149+parametros_recargas!$F$90*'Plan mensual'!M150+parametros_recargas!$G$90*'Plan mensual'!M151+parametros_recargas!$H$90*'Plan mensual'!M152+parametros_recargas!$I$90*'Plan mensual'!M153+parametros_recargas!$J$90*'Plan mensual'!M154+parametros_recargas!$K$90*'Plan mensual'!M155+parametros_recargas!$L$90*'Plan mensual'!M156</f>
        <v>191.506323062214</v>
      </c>
      <c r="L148" s="21" t="n">
        <f aca="false">parametros_recargas!$E$90*'Plan mensual'!N149+parametros_recargas!$F$90*'Plan mensual'!N150+parametros_recargas!$G$90*'Plan mensual'!N151+parametros_recargas!$H$90*'Plan mensual'!N152+parametros_recargas!$I$90*'Plan mensual'!N153+parametros_recargas!$J$90*'Plan mensual'!N154+parametros_recargas!$K$90*'Plan mensual'!N155+parametros_recargas!$L$90*'Plan mensual'!N156</f>
        <v>191.506323062214</v>
      </c>
      <c r="M148" s="21" t="n">
        <f aca="false">parametros_recargas!$E$90*'Plan mensual'!O149+parametros_recargas!$F$90*'Plan mensual'!O150+parametros_recargas!$G$90*'Plan mensual'!O151+parametros_recargas!$H$90*'Plan mensual'!O152+parametros_recargas!$I$90*'Plan mensual'!O153+parametros_recargas!$J$90*'Plan mensual'!O154+parametros_recargas!$K$90*'Plan mensual'!O155+parametros_recargas!$L$90*'Plan mensual'!O156</f>
        <v>191.506323062214</v>
      </c>
      <c r="N148" s="6" t="n">
        <f aca="false">SUM(B148:M148)</f>
        <v>2298.07587674656</v>
      </c>
      <c r="O148" s="22" t="n">
        <f aca="false">MAX(B148:M148)</f>
        <v>191.506323062214</v>
      </c>
      <c r="P148" s="12" t="n">
        <f aca="false">O148/parametros_recargas!$B$6</f>
        <v>1.27670882041476</v>
      </c>
    </row>
    <row r="149" customFormat="false" ht="15" hidden="false" customHeight="false" outlineLevel="0" collapsed="false">
      <c r="A149" s="8" t="str">
        <f aca="false">parametros_recargas!$B$91</f>
        <v>Carga de CO₂</v>
      </c>
      <c r="B149" s="21" t="n">
        <f aca="false">parametros_recargas!$E$91*'Plan mensual'!D149+parametros_recargas!$F$91*'Plan mensual'!D150+parametros_recargas!$G$91*'Plan mensual'!D151+parametros_recargas!$H$91*'Plan mensual'!D152+parametros_recargas!$I$91*'Plan mensual'!D153+parametros_recargas!$J$91*'Plan mensual'!D154+parametros_recargas!$K$91*'Plan mensual'!D155+parametros_recargas!$L$91*'Plan mensual'!D156</f>
        <v>105.161426630833</v>
      </c>
      <c r="C149" s="21" t="n">
        <f aca="false">parametros_recargas!$E$91*'Plan mensual'!E149+parametros_recargas!$F$91*'Plan mensual'!E150+parametros_recargas!$G$91*'Plan mensual'!E151+parametros_recargas!$H$91*'Plan mensual'!E152+parametros_recargas!$I$91*'Plan mensual'!E153+parametros_recargas!$J$91*'Plan mensual'!E154+parametros_recargas!$K$91*'Plan mensual'!E155+parametros_recargas!$L$91*'Plan mensual'!E156</f>
        <v>105.161426630833</v>
      </c>
      <c r="D149" s="21" t="n">
        <f aca="false">parametros_recargas!$E$91*'Plan mensual'!F149+parametros_recargas!$F$91*'Plan mensual'!F150+parametros_recargas!$G$91*'Plan mensual'!F151+parametros_recargas!$H$91*'Plan mensual'!F152+parametros_recargas!$I$91*'Plan mensual'!F153+parametros_recargas!$J$91*'Plan mensual'!F154+parametros_recargas!$K$91*'Plan mensual'!F155+parametros_recargas!$L$91*'Plan mensual'!F156</f>
        <v>105.161426630833</v>
      </c>
      <c r="E149" s="21" t="n">
        <f aca="false">parametros_recargas!$E$91*'Plan mensual'!G149+parametros_recargas!$F$91*'Plan mensual'!G150+parametros_recargas!$G$91*'Plan mensual'!G151+parametros_recargas!$H$91*'Plan mensual'!G152+parametros_recargas!$I$91*'Plan mensual'!G153+parametros_recargas!$J$91*'Plan mensual'!G154+parametros_recargas!$K$91*'Plan mensual'!G155+parametros_recargas!$L$91*'Plan mensual'!G156</f>
        <v>105.161426630833</v>
      </c>
      <c r="F149" s="21" t="n">
        <f aca="false">parametros_recargas!$E$91*'Plan mensual'!H149+parametros_recargas!$F$91*'Plan mensual'!H150+parametros_recargas!$G$91*'Plan mensual'!H151+parametros_recargas!$H$91*'Plan mensual'!H152+parametros_recargas!$I$91*'Plan mensual'!H153+parametros_recargas!$J$91*'Plan mensual'!H154+parametros_recargas!$K$91*'Plan mensual'!H155+parametros_recargas!$L$91*'Plan mensual'!H156</f>
        <v>105.161426630833</v>
      </c>
      <c r="G149" s="21" t="n">
        <f aca="false">parametros_recargas!$E$91*'Plan mensual'!I149+parametros_recargas!$F$91*'Plan mensual'!I150+parametros_recargas!$G$91*'Plan mensual'!I151+parametros_recargas!$H$91*'Plan mensual'!I152+parametros_recargas!$I$91*'Plan mensual'!I153+parametros_recargas!$J$91*'Plan mensual'!I154+parametros_recargas!$K$91*'Plan mensual'!I155+parametros_recargas!$L$91*'Plan mensual'!I156</f>
        <v>105.161426630833</v>
      </c>
      <c r="H149" s="21" t="n">
        <f aca="false">parametros_recargas!$E$91*'Plan mensual'!J149+parametros_recargas!$F$91*'Plan mensual'!J150+parametros_recargas!$G$91*'Plan mensual'!J151+parametros_recargas!$H$91*'Plan mensual'!J152+parametros_recargas!$I$91*'Plan mensual'!J153+parametros_recargas!$J$91*'Plan mensual'!J154+parametros_recargas!$K$91*'Plan mensual'!J155+parametros_recargas!$L$91*'Plan mensual'!J156</f>
        <v>105.161426630833</v>
      </c>
      <c r="I149" s="21" t="n">
        <f aca="false">parametros_recargas!$E$91*'Plan mensual'!K149+parametros_recargas!$F$91*'Plan mensual'!K150+parametros_recargas!$G$91*'Plan mensual'!K151+parametros_recargas!$H$91*'Plan mensual'!K152+parametros_recargas!$I$91*'Plan mensual'!K153+parametros_recargas!$J$91*'Plan mensual'!K154+parametros_recargas!$K$91*'Plan mensual'!K155+parametros_recargas!$L$91*'Plan mensual'!K156</f>
        <v>105.161426630833</v>
      </c>
      <c r="J149" s="21" t="n">
        <f aca="false">parametros_recargas!$E$91*'Plan mensual'!L149+parametros_recargas!$F$91*'Plan mensual'!L150+parametros_recargas!$G$91*'Plan mensual'!L151+parametros_recargas!$H$91*'Plan mensual'!L152+parametros_recargas!$I$91*'Plan mensual'!L153+parametros_recargas!$J$91*'Plan mensual'!L154+parametros_recargas!$K$91*'Plan mensual'!L155+parametros_recargas!$L$91*'Plan mensual'!L156</f>
        <v>105.161426630833</v>
      </c>
      <c r="K149" s="21" t="n">
        <f aca="false">parametros_recargas!$E$91*'Plan mensual'!M149+parametros_recargas!$F$91*'Plan mensual'!M150+parametros_recargas!$G$91*'Plan mensual'!M151+parametros_recargas!$H$91*'Plan mensual'!M152+parametros_recargas!$I$91*'Plan mensual'!M153+parametros_recargas!$J$91*'Plan mensual'!M154+parametros_recargas!$K$91*'Plan mensual'!M155+parametros_recargas!$L$91*'Plan mensual'!M156</f>
        <v>105.161426630833</v>
      </c>
      <c r="L149" s="21" t="n">
        <f aca="false">parametros_recargas!$E$91*'Plan mensual'!N149+parametros_recargas!$F$91*'Plan mensual'!N150+parametros_recargas!$G$91*'Plan mensual'!N151+parametros_recargas!$H$91*'Plan mensual'!N152+parametros_recargas!$I$91*'Plan mensual'!N153+parametros_recargas!$J$91*'Plan mensual'!N154+parametros_recargas!$K$91*'Plan mensual'!N155+parametros_recargas!$L$91*'Plan mensual'!N156</f>
        <v>105.161426630833</v>
      </c>
      <c r="M149" s="21" t="n">
        <f aca="false">parametros_recargas!$E$91*'Plan mensual'!O149+parametros_recargas!$F$91*'Plan mensual'!O150+parametros_recargas!$G$91*'Plan mensual'!O151+parametros_recargas!$H$91*'Plan mensual'!O152+parametros_recargas!$I$91*'Plan mensual'!O153+parametros_recargas!$J$91*'Plan mensual'!O154+parametros_recargas!$K$91*'Plan mensual'!O155+parametros_recargas!$L$91*'Plan mensual'!O156</f>
        <v>105.161426630833</v>
      </c>
      <c r="N149" s="6" t="n">
        <f aca="false">SUM(B149:M149)</f>
        <v>1261.93711956999</v>
      </c>
      <c r="O149" s="22" t="n">
        <f aca="false">MAX(B149:M149)</f>
        <v>105.161426630833</v>
      </c>
      <c r="P149" s="12" t="n">
        <f aca="false">O149/parametros_recargas!$B$6</f>
        <v>0.701076177538885</v>
      </c>
    </row>
    <row r="150" customFormat="false" ht="15" hidden="false" customHeight="false" outlineLevel="0" collapsed="false">
      <c r="A150" s="8" t="str">
        <f aca="false">parametros_recargas!$B$92</f>
        <v>Ensamblaje y marbete — recinto</v>
      </c>
      <c r="B150" s="21" t="n">
        <f aca="false">parametros_recargas!$E$92*'Plan mensual'!D149+parametros_recargas!$F$92*'Plan mensual'!D150+parametros_recargas!$G$92*'Plan mensual'!D151+parametros_recargas!$H$92*'Plan mensual'!D152+parametros_recargas!$I$92*'Plan mensual'!D153+parametros_recargas!$J$92*'Plan mensual'!D154+parametros_recargas!$K$92*'Plan mensual'!D155+parametros_recargas!$L$92*'Plan mensual'!D156</f>
        <v>3607.96360317543</v>
      </c>
      <c r="C150" s="21" t="n">
        <f aca="false">parametros_recargas!$E$92*'Plan mensual'!E149+parametros_recargas!$F$92*'Plan mensual'!E150+parametros_recargas!$G$92*'Plan mensual'!E151+parametros_recargas!$H$92*'Plan mensual'!E152+parametros_recargas!$I$92*'Plan mensual'!E153+parametros_recargas!$J$92*'Plan mensual'!E154+parametros_recargas!$K$92*'Plan mensual'!E155+parametros_recargas!$L$92*'Plan mensual'!E156</f>
        <v>3607.96360317543</v>
      </c>
      <c r="D150" s="21" t="n">
        <f aca="false">parametros_recargas!$E$92*'Plan mensual'!F149+parametros_recargas!$F$92*'Plan mensual'!F150+parametros_recargas!$G$92*'Plan mensual'!F151+parametros_recargas!$H$92*'Plan mensual'!F152+parametros_recargas!$I$92*'Plan mensual'!F153+parametros_recargas!$J$92*'Plan mensual'!F154+parametros_recargas!$K$92*'Plan mensual'!F155+parametros_recargas!$L$92*'Plan mensual'!F156</f>
        <v>3607.96360317543</v>
      </c>
      <c r="E150" s="21" t="n">
        <f aca="false">parametros_recargas!$E$92*'Plan mensual'!G149+parametros_recargas!$F$92*'Plan mensual'!G150+parametros_recargas!$G$92*'Plan mensual'!G151+parametros_recargas!$H$92*'Plan mensual'!G152+parametros_recargas!$I$92*'Plan mensual'!G153+parametros_recargas!$J$92*'Plan mensual'!G154+parametros_recargas!$K$92*'Plan mensual'!G155+parametros_recargas!$L$92*'Plan mensual'!G156</f>
        <v>3607.96360317543</v>
      </c>
      <c r="F150" s="21" t="n">
        <f aca="false">parametros_recargas!$E$92*'Plan mensual'!H149+parametros_recargas!$F$92*'Plan mensual'!H150+parametros_recargas!$G$92*'Plan mensual'!H151+parametros_recargas!$H$92*'Plan mensual'!H152+parametros_recargas!$I$92*'Plan mensual'!H153+parametros_recargas!$J$92*'Plan mensual'!H154+parametros_recargas!$K$92*'Plan mensual'!H155+parametros_recargas!$L$92*'Plan mensual'!H156</f>
        <v>3607.96360317543</v>
      </c>
      <c r="G150" s="21" t="n">
        <f aca="false">parametros_recargas!$E$92*'Plan mensual'!I149+parametros_recargas!$F$92*'Plan mensual'!I150+parametros_recargas!$G$92*'Plan mensual'!I151+parametros_recargas!$H$92*'Plan mensual'!I152+parametros_recargas!$I$92*'Plan mensual'!I153+parametros_recargas!$J$92*'Plan mensual'!I154+parametros_recargas!$K$92*'Plan mensual'!I155+parametros_recargas!$L$92*'Plan mensual'!I156</f>
        <v>3607.96360317543</v>
      </c>
      <c r="H150" s="21" t="n">
        <f aca="false">parametros_recargas!$E$92*'Plan mensual'!J149+parametros_recargas!$F$92*'Plan mensual'!J150+parametros_recargas!$G$92*'Plan mensual'!J151+parametros_recargas!$H$92*'Plan mensual'!J152+parametros_recargas!$I$92*'Plan mensual'!J153+parametros_recargas!$J$92*'Plan mensual'!J154+parametros_recargas!$K$92*'Plan mensual'!J155+parametros_recargas!$L$92*'Plan mensual'!J156</f>
        <v>3607.96360317543</v>
      </c>
      <c r="I150" s="21" t="n">
        <f aca="false">parametros_recargas!$E$92*'Plan mensual'!K149+parametros_recargas!$F$92*'Plan mensual'!K150+parametros_recargas!$G$92*'Plan mensual'!K151+parametros_recargas!$H$92*'Plan mensual'!K152+parametros_recargas!$I$92*'Plan mensual'!K153+parametros_recargas!$J$92*'Plan mensual'!K154+parametros_recargas!$K$92*'Plan mensual'!K155+parametros_recargas!$L$92*'Plan mensual'!K156</f>
        <v>3607.96360317543</v>
      </c>
      <c r="J150" s="21" t="n">
        <f aca="false">parametros_recargas!$E$92*'Plan mensual'!L149+parametros_recargas!$F$92*'Plan mensual'!L150+parametros_recargas!$G$92*'Plan mensual'!L151+parametros_recargas!$H$92*'Plan mensual'!L152+parametros_recargas!$I$92*'Plan mensual'!L153+parametros_recargas!$J$92*'Plan mensual'!L154+parametros_recargas!$K$92*'Plan mensual'!L155+parametros_recargas!$L$92*'Plan mensual'!L156</f>
        <v>3607.96360317543</v>
      </c>
      <c r="K150" s="21" t="n">
        <f aca="false">parametros_recargas!$E$92*'Plan mensual'!M149+parametros_recargas!$F$92*'Plan mensual'!M150+parametros_recargas!$G$92*'Plan mensual'!M151+parametros_recargas!$H$92*'Plan mensual'!M152+parametros_recargas!$I$92*'Plan mensual'!M153+parametros_recargas!$J$92*'Plan mensual'!M154+parametros_recargas!$K$92*'Plan mensual'!M155+parametros_recargas!$L$92*'Plan mensual'!M156</f>
        <v>3607.96360317543</v>
      </c>
      <c r="L150" s="21" t="n">
        <f aca="false">parametros_recargas!$E$92*'Plan mensual'!N149+parametros_recargas!$F$92*'Plan mensual'!N150+parametros_recargas!$G$92*'Plan mensual'!N151+parametros_recargas!$H$92*'Plan mensual'!N152+parametros_recargas!$I$92*'Plan mensual'!N153+parametros_recargas!$J$92*'Plan mensual'!N154+parametros_recargas!$K$92*'Plan mensual'!N155+parametros_recargas!$L$92*'Plan mensual'!N156</f>
        <v>3607.96360317543</v>
      </c>
      <c r="M150" s="21" t="n">
        <f aca="false">parametros_recargas!$E$92*'Plan mensual'!O149+parametros_recargas!$F$92*'Plan mensual'!O150+parametros_recargas!$G$92*'Plan mensual'!O151+parametros_recargas!$H$92*'Plan mensual'!O152+parametros_recargas!$I$92*'Plan mensual'!O153+parametros_recargas!$J$92*'Plan mensual'!O154+parametros_recargas!$K$92*'Plan mensual'!O155+parametros_recargas!$L$92*'Plan mensual'!O156</f>
        <v>3607.96360317543</v>
      </c>
      <c r="N150" s="6" t="n">
        <f aca="false">SUM(B150:M150)</f>
        <v>43295.5632381051</v>
      </c>
      <c r="O150" s="22" t="n">
        <f aca="false">MAX(B150:M150)</f>
        <v>3607.96360317543</v>
      </c>
      <c r="P150" s="12" t="n">
        <f aca="false">O150/parametros_recargas!$B$6</f>
        <v>24.0530906878362</v>
      </c>
    </row>
    <row r="151" customFormat="false" ht="15" hidden="false" customHeight="false" outlineLevel="0" collapsed="false">
      <c r="A151" s="8" t="str">
        <f aca="false">parametros_recargas!$B$93</f>
        <v>Presurización — recinto</v>
      </c>
      <c r="B151" s="21" t="n">
        <f aca="false">parametros_recargas!$E$93*'Plan mensual'!D149+parametros_recargas!$F$93*'Plan mensual'!D150+parametros_recargas!$G$93*'Plan mensual'!D151+parametros_recargas!$H$93*'Plan mensual'!D152+parametros_recargas!$I$93*'Plan mensual'!D153+parametros_recargas!$J$93*'Plan mensual'!D154+parametros_recargas!$K$93*'Plan mensual'!D155+parametros_recargas!$L$93*'Plan mensual'!D156</f>
        <v>3607.96360317543</v>
      </c>
      <c r="C151" s="21" t="n">
        <f aca="false">parametros_recargas!$E$93*'Plan mensual'!E149+parametros_recargas!$F$93*'Plan mensual'!E150+parametros_recargas!$G$93*'Plan mensual'!E151+parametros_recargas!$H$93*'Plan mensual'!E152+parametros_recargas!$I$93*'Plan mensual'!E153+parametros_recargas!$J$93*'Plan mensual'!E154+parametros_recargas!$K$93*'Plan mensual'!E155+parametros_recargas!$L$93*'Plan mensual'!E156</f>
        <v>3607.96360317543</v>
      </c>
      <c r="D151" s="21" t="n">
        <f aca="false">parametros_recargas!$E$93*'Plan mensual'!F149+parametros_recargas!$F$93*'Plan mensual'!F150+parametros_recargas!$G$93*'Plan mensual'!F151+parametros_recargas!$H$93*'Plan mensual'!F152+parametros_recargas!$I$93*'Plan mensual'!F153+parametros_recargas!$J$93*'Plan mensual'!F154+parametros_recargas!$K$93*'Plan mensual'!F155+parametros_recargas!$L$93*'Plan mensual'!F156</f>
        <v>3607.96360317543</v>
      </c>
      <c r="E151" s="21" t="n">
        <f aca="false">parametros_recargas!$E$93*'Plan mensual'!G149+parametros_recargas!$F$93*'Plan mensual'!G150+parametros_recargas!$G$93*'Plan mensual'!G151+parametros_recargas!$H$93*'Plan mensual'!G152+parametros_recargas!$I$93*'Plan mensual'!G153+parametros_recargas!$J$93*'Plan mensual'!G154+parametros_recargas!$K$93*'Plan mensual'!G155+parametros_recargas!$L$93*'Plan mensual'!G156</f>
        <v>3607.96360317543</v>
      </c>
      <c r="F151" s="21" t="n">
        <f aca="false">parametros_recargas!$E$93*'Plan mensual'!H149+parametros_recargas!$F$93*'Plan mensual'!H150+parametros_recargas!$G$93*'Plan mensual'!H151+parametros_recargas!$H$93*'Plan mensual'!H152+parametros_recargas!$I$93*'Plan mensual'!H153+parametros_recargas!$J$93*'Plan mensual'!H154+parametros_recargas!$K$93*'Plan mensual'!H155+parametros_recargas!$L$93*'Plan mensual'!H156</f>
        <v>3607.96360317543</v>
      </c>
      <c r="G151" s="21" t="n">
        <f aca="false">parametros_recargas!$E$93*'Plan mensual'!I149+parametros_recargas!$F$93*'Plan mensual'!I150+parametros_recargas!$G$93*'Plan mensual'!I151+parametros_recargas!$H$93*'Plan mensual'!I152+parametros_recargas!$I$93*'Plan mensual'!I153+parametros_recargas!$J$93*'Plan mensual'!I154+parametros_recargas!$K$93*'Plan mensual'!I155+parametros_recargas!$L$93*'Plan mensual'!I156</f>
        <v>3607.96360317543</v>
      </c>
      <c r="H151" s="21" t="n">
        <f aca="false">parametros_recargas!$E$93*'Plan mensual'!J149+parametros_recargas!$F$93*'Plan mensual'!J150+parametros_recargas!$G$93*'Plan mensual'!J151+parametros_recargas!$H$93*'Plan mensual'!J152+parametros_recargas!$I$93*'Plan mensual'!J153+parametros_recargas!$J$93*'Plan mensual'!J154+parametros_recargas!$K$93*'Plan mensual'!J155+parametros_recargas!$L$93*'Plan mensual'!J156</f>
        <v>3607.96360317543</v>
      </c>
      <c r="I151" s="21" t="n">
        <f aca="false">parametros_recargas!$E$93*'Plan mensual'!K149+parametros_recargas!$F$93*'Plan mensual'!K150+parametros_recargas!$G$93*'Plan mensual'!K151+parametros_recargas!$H$93*'Plan mensual'!K152+parametros_recargas!$I$93*'Plan mensual'!K153+parametros_recargas!$J$93*'Plan mensual'!K154+parametros_recargas!$K$93*'Plan mensual'!K155+parametros_recargas!$L$93*'Plan mensual'!K156</f>
        <v>3607.96360317543</v>
      </c>
      <c r="J151" s="21" t="n">
        <f aca="false">parametros_recargas!$E$93*'Plan mensual'!L149+parametros_recargas!$F$93*'Plan mensual'!L150+parametros_recargas!$G$93*'Plan mensual'!L151+parametros_recargas!$H$93*'Plan mensual'!L152+parametros_recargas!$I$93*'Plan mensual'!L153+parametros_recargas!$J$93*'Plan mensual'!L154+parametros_recargas!$K$93*'Plan mensual'!L155+parametros_recargas!$L$93*'Plan mensual'!L156</f>
        <v>3607.96360317543</v>
      </c>
      <c r="K151" s="21" t="n">
        <f aca="false">parametros_recargas!$E$93*'Plan mensual'!M149+parametros_recargas!$F$93*'Plan mensual'!M150+parametros_recargas!$G$93*'Plan mensual'!M151+parametros_recargas!$H$93*'Plan mensual'!M152+parametros_recargas!$I$93*'Plan mensual'!M153+parametros_recargas!$J$93*'Plan mensual'!M154+parametros_recargas!$K$93*'Plan mensual'!M155+parametros_recargas!$L$93*'Plan mensual'!M156</f>
        <v>3607.96360317543</v>
      </c>
      <c r="L151" s="21" t="n">
        <f aca="false">parametros_recargas!$E$93*'Plan mensual'!N149+parametros_recargas!$F$93*'Plan mensual'!N150+parametros_recargas!$G$93*'Plan mensual'!N151+parametros_recargas!$H$93*'Plan mensual'!N152+parametros_recargas!$I$93*'Plan mensual'!N153+parametros_recargas!$J$93*'Plan mensual'!N154+parametros_recargas!$K$93*'Plan mensual'!N155+parametros_recargas!$L$93*'Plan mensual'!N156</f>
        <v>3607.96360317543</v>
      </c>
      <c r="M151" s="21" t="n">
        <f aca="false">parametros_recargas!$E$93*'Plan mensual'!O149+parametros_recargas!$F$93*'Plan mensual'!O150+parametros_recargas!$G$93*'Plan mensual'!O151+parametros_recargas!$H$93*'Plan mensual'!O152+parametros_recargas!$I$93*'Plan mensual'!O153+parametros_recargas!$J$93*'Plan mensual'!O154+parametros_recargas!$K$93*'Plan mensual'!O155+parametros_recargas!$L$93*'Plan mensual'!O156</f>
        <v>3607.96360317543</v>
      </c>
      <c r="N151" s="6" t="n">
        <f aca="false">SUM(B151:M151)</f>
        <v>43295.5632381051</v>
      </c>
      <c r="O151" s="22" t="n">
        <f aca="false">MAX(B151:M151)</f>
        <v>3607.96360317543</v>
      </c>
      <c r="P151" s="12" t="n">
        <f aca="false">O151/parametros_recargas!$B$6</f>
        <v>24.0530906878362</v>
      </c>
    </row>
    <row r="152" customFormat="false" ht="15" hidden="false" customHeight="false" outlineLevel="0" collapsed="false">
      <c r="A152" s="8" t="str">
        <f aca="false">parametros_recargas!$B$94</f>
        <v>Ensamblaje y presurización — zona general</v>
      </c>
      <c r="B152" s="21" t="n">
        <f aca="false">parametros_recargas!$E$94*'Plan mensual'!D149+parametros_recargas!$F$94*'Plan mensual'!D150+parametros_recargas!$G$94*'Plan mensual'!D151+parametros_recargas!$H$94*'Plan mensual'!D152+parametros_recargas!$I$94*'Plan mensual'!D153+parametros_recargas!$J$94*'Plan mensual'!D154+parametros_recargas!$K$94*'Plan mensual'!D155+parametros_recargas!$L$94*'Plan mensual'!D156</f>
        <v>282.632389368822</v>
      </c>
      <c r="C152" s="21" t="n">
        <f aca="false">parametros_recargas!$E$94*'Plan mensual'!E149+parametros_recargas!$F$94*'Plan mensual'!E150+parametros_recargas!$G$94*'Plan mensual'!E151+parametros_recargas!$H$94*'Plan mensual'!E152+parametros_recargas!$I$94*'Plan mensual'!E153+parametros_recargas!$J$94*'Plan mensual'!E154+parametros_recargas!$K$94*'Plan mensual'!E155+parametros_recargas!$L$94*'Plan mensual'!E156</f>
        <v>282.632389368822</v>
      </c>
      <c r="D152" s="21" t="n">
        <f aca="false">parametros_recargas!$E$94*'Plan mensual'!F149+parametros_recargas!$F$94*'Plan mensual'!F150+parametros_recargas!$G$94*'Plan mensual'!F151+parametros_recargas!$H$94*'Plan mensual'!F152+parametros_recargas!$I$94*'Plan mensual'!F153+parametros_recargas!$J$94*'Plan mensual'!F154+parametros_recargas!$K$94*'Plan mensual'!F155+parametros_recargas!$L$94*'Plan mensual'!F156</f>
        <v>282.632389368822</v>
      </c>
      <c r="E152" s="21" t="n">
        <f aca="false">parametros_recargas!$E$94*'Plan mensual'!G149+parametros_recargas!$F$94*'Plan mensual'!G150+parametros_recargas!$G$94*'Plan mensual'!G151+parametros_recargas!$H$94*'Plan mensual'!G152+parametros_recargas!$I$94*'Plan mensual'!G153+parametros_recargas!$J$94*'Plan mensual'!G154+parametros_recargas!$K$94*'Plan mensual'!G155+parametros_recargas!$L$94*'Plan mensual'!G156</f>
        <v>282.632389368822</v>
      </c>
      <c r="F152" s="21" t="n">
        <f aca="false">parametros_recargas!$E$94*'Plan mensual'!H149+parametros_recargas!$F$94*'Plan mensual'!H150+parametros_recargas!$G$94*'Plan mensual'!H151+parametros_recargas!$H$94*'Plan mensual'!H152+parametros_recargas!$I$94*'Plan mensual'!H153+parametros_recargas!$J$94*'Plan mensual'!H154+parametros_recargas!$K$94*'Plan mensual'!H155+parametros_recargas!$L$94*'Plan mensual'!H156</f>
        <v>282.632389368822</v>
      </c>
      <c r="G152" s="21" t="n">
        <f aca="false">parametros_recargas!$E$94*'Plan mensual'!I149+parametros_recargas!$F$94*'Plan mensual'!I150+parametros_recargas!$G$94*'Plan mensual'!I151+parametros_recargas!$H$94*'Plan mensual'!I152+parametros_recargas!$I$94*'Plan mensual'!I153+parametros_recargas!$J$94*'Plan mensual'!I154+parametros_recargas!$K$94*'Plan mensual'!I155+parametros_recargas!$L$94*'Plan mensual'!I156</f>
        <v>282.632389368822</v>
      </c>
      <c r="H152" s="21" t="n">
        <f aca="false">parametros_recargas!$E$94*'Plan mensual'!J149+parametros_recargas!$F$94*'Plan mensual'!J150+parametros_recargas!$G$94*'Plan mensual'!J151+parametros_recargas!$H$94*'Plan mensual'!J152+parametros_recargas!$I$94*'Plan mensual'!J153+parametros_recargas!$J$94*'Plan mensual'!J154+parametros_recargas!$K$94*'Plan mensual'!J155+parametros_recargas!$L$94*'Plan mensual'!J156</f>
        <v>282.632389368822</v>
      </c>
      <c r="I152" s="21" t="n">
        <f aca="false">parametros_recargas!$E$94*'Plan mensual'!K149+parametros_recargas!$F$94*'Plan mensual'!K150+parametros_recargas!$G$94*'Plan mensual'!K151+parametros_recargas!$H$94*'Plan mensual'!K152+parametros_recargas!$I$94*'Plan mensual'!K153+parametros_recargas!$J$94*'Plan mensual'!K154+parametros_recargas!$K$94*'Plan mensual'!K155+parametros_recargas!$L$94*'Plan mensual'!K156</f>
        <v>282.632389368822</v>
      </c>
      <c r="J152" s="21" t="n">
        <f aca="false">parametros_recargas!$E$94*'Plan mensual'!L149+parametros_recargas!$F$94*'Plan mensual'!L150+parametros_recargas!$G$94*'Plan mensual'!L151+parametros_recargas!$H$94*'Plan mensual'!L152+parametros_recargas!$I$94*'Plan mensual'!L153+parametros_recargas!$J$94*'Plan mensual'!L154+parametros_recargas!$K$94*'Plan mensual'!L155+parametros_recargas!$L$94*'Plan mensual'!L156</f>
        <v>282.632389368822</v>
      </c>
      <c r="K152" s="21" t="n">
        <f aca="false">parametros_recargas!$E$94*'Plan mensual'!M149+parametros_recargas!$F$94*'Plan mensual'!M150+parametros_recargas!$G$94*'Plan mensual'!M151+parametros_recargas!$H$94*'Plan mensual'!M152+parametros_recargas!$I$94*'Plan mensual'!M153+parametros_recargas!$J$94*'Plan mensual'!M154+parametros_recargas!$K$94*'Plan mensual'!M155+parametros_recargas!$L$94*'Plan mensual'!M156</f>
        <v>282.632389368822</v>
      </c>
      <c r="L152" s="21" t="n">
        <f aca="false">parametros_recargas!$E$94*'Plan mensual'!N149+parametros_recargas!$F$94*'Plan mensual'!N150+parametros_recargas!$G$94*'Plan mensual'!N151+parametros_recargas!$H$94*'Plan mensual'!N152+parametros_recargas!$I$94*'Plan mensual'!N153+parametros_recargas!$J$94*'Plan mensual'!N154+parametros_recargas!$K$94*'Plan mensual'!N155+parametros_recargas!$L$94*'Plan mensual'!N156</f>
        <v>282.632389368822</v>
      </c>
      <c r="M152" s="21" t="n">
        <f aca="false">parametros_recargas!$E$94*'Plan mensual'!O149+parametros_recargas!$F$94*'Plan mensual'!O150+parametros_recargas!$G$94*'Plan mensual'!O151+parametros_recargas!$H$94*'Plan mensual'!O152+parametros_recargas!$I$94*'Plan mensual'!O153+parametros_recargas!$J$94*'Plan mensual'!O154+parametros_recargas!$K$94*'Plan mensual'!O155+parametros_recargas!$L$94*'Plan mensual'!O156</f>
        <v>282.632389368822</v>
      </c>
      <c r="N152" s="6" t="n">
        <f aca="false">SUM(B152:M152)</f>
        <v>3391.58867242586</v>
      </c>
      <c r="O152" s="22" t="n">
        <f aca="false">MAX(B152:M152)</f>
        <v>282.632389368822</v>
      </c>
      <c r="P152" s="12" t="n">
        <f aca="false">O152/parametros_recargas!$B$6</f>
        <v>1.88421592912548</v>
      </c>
    </row>
    <row r="153" customFormat="false" ht="15" hidden="false" customHeight="false" outlineLevel="0" collapsed="false">
      <c r="A153" s="8" t="str">
        <f aca="false">parametros_recargas!$B$95</f>
        <v>Carga y presurización de halogenado</v>
      </c>
      <c r="B153" s="21" t="n">
        <f aca="false">parametros_recargas!$E$95*'Plan mensual'!D149+parametros_recargas!$F$95*'Plan mensual'!D150+parametros_recargas!$G$95*'Plan mensual'!D151+parametros_recargas!$H$95*'Plan mensual'!D152+parametros_recargas!$I$95*'Plan mensual'!D153+parametros_recargas!$J$95*'Plan mensual'!D154+parametros_recargas!$K$95*'Plan mensual'!D155+parametros_recargas!$L$95*'Plan mensual'!D156</f>
        <v>3.49154411424774</v>
      </c>
      <c r="C153" s="21" t="n">
        <f aca="false">parametros_recargas!$E$95*'Plan mensual'!E149+parametros_recargas!$F$95*'Plan mensual'!E150+parametros_recargas!$G$95*'Plan mensual'!E151+parametros_recargas!$H$95*'Plan mensual'!E152+parametros_recargas!$I$95*'Plan mensual'!E153+parametros_recargas!$J$95*'Plan mensual'!E154+parametros_recargas!$K$95*'Plan mensual'!E155+parametros_recargas!$L$95*'Plan mensual'!E156</f>
        <v>3.49154411424774</v>
      </c>
      <c r="D153" s="21" t="n">
        <f aca="false">parametros_recargas!$E$95*'Plan mensual'!F149+parametros_recargas!$F$95*'Plan mensual'!F150+parametros_recargas!$G$95*'Plan mensual'!F151+parametros_recargas!$H$95*'Plan mensual'!F152+parametros_recargas!$I$95*'Plan mensual'!F153+parametros_recargas!$J$95*'Plan mensual'!F154+parametros_recargas!$K$95*'Plan mensual'!F155+parametros_recargas!$L$95*'Plan mensual'!F156</f>
        <v>3.49154411424774</v>
      </c>
      <c r="E153" s="21" t="n">
        <f aca="false">parametros_recargas!$E$95*'Plan mensual'!G149+parametros_recargas!$F$95*'Plan mensual'!G150+parametros_recargas!$G$95*'Plan mensual'!G151+parametros_recargas!$H$95*'Plan mensual'!G152+parametros_recargas!$I$95*'Plan mensual'!G153+parametros_recargas!$J$95*'Plan mensual'!G154+parametros_recargas!$K$95*'Plan mensual'!G155+parametros_recargas!$L$95*'Plan mensual'!G156</f>
        <v>3.49154411424774</v>
      </c>
      <c r="F153" s="21" t="n">
        <f aca="false">parametros_recargas!$E$95*'Plan mensual'!H149+parametros_recargas!$F$95*'Plan mensual'!H150+parametros_recargas!$G$95*'Plan mensual'!H151+parametros_recargas!$H$95*'Plan mensual'!H152+parametros_recargas!$I$95*'Plan mensual'!H153+parametros_recargas!$J$95*'Plan mensual'!H154+parametros_recargas!$K$95*'Plan mensual'!H155+parametros_recargas!$L$95*'Plan mensual'!H156</f>
        <v>3.49154411424774</v>
      </c>
      <c r="G153" s="21" t="n">
        <f aca="false">parametros_recargas!$E$95*'Plan mensual'!I149+parametros_recargas!$F$95*'Plan mensual'!I150+parametros_recargas!$G$95*'Plan mensual'!I151+parametros_recargas!$H$95*'Plan mensual'!I152+parametros_recargas!$I$95*'Plan mensual'!I153+parametros_recargas!$J$95*'Plan mensual'!I154+parametros_recargas!$K$95*'Plan mensual'!I155+parametros_recargas!$L$95*'Plan mensual'!I156</f>
        <v>3.49154411424774</v>
      </c>
      <c r="H153" s="21" t="n">
        <f aca="false">parametros_recargas!$E$95*'Plan mensual'!J149+parametros_recargas!$F$95*'Plan mensual'!J150+parametros_recargas!$G$95*'Plan mensual'!J151+parametros_recargas!$H$95*'Plan mensual'!J152+parametros_recargas!$I$95*'Plan mensual'!J153+parametros_recargas!$J$95*'Plan mensual'!J154+parametros_recargas!$K$95*'Plan mensual'!J155+parametros_recargas!$L$95*'Plan mensual'!J156</f>
        <v>3.49154411424774</v>
      </c>
      <c r="I153" s="21" t="n">
        <f aca="false">parametros_recargas!$E$95*'Plan mensual'!K149+parametros_recargas!$F$95*'Plan mensual'!K150+parametros_recargas!$G$95*'Plan mensual'!K151+parametros_recargas!$H$95*'Plan mensual'!K152+parametros_recargas!$I$95*'Plan mensual'!K153+parametros_recargas!$J$95*'Plan mensual'!K154+parametros_recargas!$K$95*'Plan mensual'!K155+parametros_recargas!$L$95*'Plan mensual'!K156</f>
        <v>3.49154411424774</v>
      </c>
      <c r="J153" s="21" t="n">
        <f aca="false">parametros_recargas!$E$95*'Plan mensual'!L149+parametros_recargas!$F$95*'Plan mensual'!L150+parametros_recargas!$G$95*'Plan mensual'!L151+parametros_recargas!$H$95*'Plan mensual'!L152+parametros_recargas!$I$95*'Plan mensual'!L153+parametros_recargas!$J$95*'Plan mensual'!L154+parametros_recargas!$K$95*'Plan mensual'!L155+parametros_recargas!$L$95*'Plan mensual'!L156</f>
        <v>3.49154411424774</v>
      </c>
      <c r="K153" s="21" t="n">
        <f aca="false">parametros_recargas!$E$95*'Plan mensual'!M149+parametros_recargas!$F$95*'Plan mensual'!M150+parametros_recargas!$G$95*'Plan mensual'!M151+parametros_recargas!$H$95*'Plan mensual'!M152+parametros_recargas!$I$95*'Plan mensual'!M153+parametros_recargas!$J$95*'Plan mensual'!M154+parametros_recargas!$K$95*'Plan mensual'!M155+parametros_recargas!$L$95*'Plan mensual'!M156</f>
        <v>3.49154411424774</v>
      </c>
      <c r="L153" s="21" t="n">
        <f aca="false">parametros_recargas!$E$95*'Plan mensual'!N149+parametros_recargas!$F$95*'Plan mensual'!N150+parametros_recargas!$G$95*'Plan mensual'!N151+parametros_recargas!$H$95*'Plan mensual'!N152+parametros_recargas!$I$95*'Plan mensual'!N153+parametros_recargas!$J$95*'Plan mensual'!N154+parametros_recargas!$K$95*'Plan mensual'!N155+parametros_recargas!$L$95*'Plan mensual'!N156</f>
        <v>3.49154411424774</v>
      </c>
      <c r="M153" s="21" t="n">
        <f aca="false">parametros_recargas!$E$95*'Plan mensual'!O149+parametros_recargas!$F$95*'Plan mensual'!O150+parametros_recargas!$G$95*'Plan mensual'!O151+parametros_recargas!$H$95*'Plan mensual'!O152+parametros_recargas!$I$95*'Plan mensual'!O153+parametros_recargas!$J$95*'Plan mensual'!O154+parametros_recargas!$K$95*'Plan mensual'!O155+parametros_recargas!$L$95*'Plan mensual'!O156</f>
        <v>3.49154411424774</v>
      </c>
      <c r="N153" s="6" t="n">
        <f aca="false">SUM(B153:M153)</f>
        <v>41.8985293709728</v>
      </c>
      <c r="O153" s="22" t="n">
        <f aca="false">MAX(B153:M153)</f>
        <v>3.49154411424774</v>
      </c>
      <c r="P153" s="12" t="n">
        <f aca="false">O153/parametros_recargas!$B$6</f>
        <v>0.0232769607616516</v>
      </c>
    </row>
    <row r="154" customFormat="false" ht="15" hidden="false" customHeight="false" outlineLevel="0" collapsed="false">
      <c r="A154" s="8" t="str">
        <f aca="false">parametros_recargas!$B$96</f>
        <v>Control de peso (CO₂ y halogenados sin recarga)</v>
      </c>
      <c r="B154" s="21" t="n">
        <f aca="false">parametros_recargas!$E$96*'Plan mensual'!D149+parametros_recargas!$F$96*'Plan mensual'!D150+parametros_recargas!$G$96*'Plan mensual'!D151+parametros_recargas!$H$96*'Plan mensual'!D152+parametros_recargas!$I$96*'Plan mensual'!D153+parametros_recargas!$J$96*'Plan mensual'!D154+parametros_recargas!$K$96*'Plan mensual'!D155+parametros_recargas!$L$96*'Plan mensual'!D156</f>
        <v>255.851294481353</v>
      </c>
      <c r="C154" s="21" t="n">
        <f aca="false">parametros_recargas!$E$96*'Plan mensual'!E149+parametros_recargas!$F$96*'Plan mensual'!E150+parametros_recargas!$G$96*'Plan mensual'!E151+parametros_recargas!$H$96*'Plan mensual'!E152+parametros_recargas!$I$96*'Plan mensual'!E153+parametros_recargas!$J$96*'Plan mensual'!E154+parametros_recargas!$K$96*'Plan mensual'!E155+parametros_recargas!$L$96*'Plan mensual'!E156</f>
        <v>255.851294481353</v>
      </c>
      <c r="D154" s="21" t="n">
        <f aca="false">parametros_recargas!$E$96*'Plan mensual'!F149+parametros_recargas!$F$96*'Plan mensual'!F150+parametros_recargas!$G$96*'Plan mensual'!F151+parametros_recargas!$H$96*'Plan mensual'!F152+parametros_recargas!$I$96*'Plan mensual'!F153+parametros_recargas!$J$96*'Plan mensual'!F154+parametros_recargas!$K$96*'Plan mensual'!F155+parametros_recargas!$L$96*'Plan mensual'!F156</f>
        <v>255.851294481353</v>
      </c>
      <c r="E154" s="21" t="n">
        <f aca="false">parametros_recargas!$E$96*'Plan mensual'!G149+parametros_recargas!$F$96*'Plan mensual'!G150+parametros_recargas!$G$96*'Plan mensual'!G151+parametros_recargas!$H$96*'Plan mensual'!G152+parametros_recargas!$I$96*'Plan mensual'!G153+parametros_recargas!$J$96*'Plan mensual'!G154+parametros_recargas!$K$96*'Plan mensual'!G155+parametros_recargas!$L$96*'Plan mensual'!G156</f>
        <v>255.851294481353</v>
      </c>
      <c r="F154" s="21" t="n">
        <f aca="false">parametros_recargas!$E$96*'Plan mensual'!H149+parametros_recargas!$F$96*'Plan mensual'!H150+parametros_recargas!$G$96*'Plan mensual'!H151+parametros_recargas!$H$96*'Plan mensual'!H152+parametros_recargas!$I$96*'Plan mensual'!H153+parametros_recargas!$J$96*'Plan mensual'!H154+parametros_recargas!$K$96*'Plan mensual'!H155+parametros_recargas!$L$96*'Plan mensual'!H156</f>
        <v>255.851294481353</v>
      </c>
      <c r="G154" s="21" t="n">
        <f aca="false">parametros_recargas!$E$96*'Plan mensual'!I149+parametros_recargas!$F$96*'Plan mensual'!I150+parametros_recargas!$G$96*'Plan mensual'!I151+parametros_recargas!$H$96*'Plan mensual'!I152+parametros_recargas!$I$96*'Plan mensual'!I153+parametros_recargas!$J$96*'Plan mensual'!I154+parametros_recargas!$K$96*'Plan mensual'!I155+parametros_recargas!$L$96*'Plan mensual'!I156</f>
        <v>255.851294481353</v>
      </c>
      <c r="H154" s="21" t="n">
        <f aca="false">parametros_recargas!$E$96*'Plan mensual'!J149+parametros_recargas!$F$96*'Plan mensual'!J150+parametros_recargas!$G$96*'Plan mensual'!J151+parametros_recargas!$H$96*'Plan mensual'!J152+parametros_recargas!$I$96*'Plan mensual'!J153+parametros_recargas!$J$96*'Plan mensual'!J154+parametros_recargas!$K$96*'Plan mensual'!J155+parametros_recargas!$L$96*'Plan mensual'!J156</f>
        <v>255.851294481353</v>
      </c>
      <c r="I154" s="21" t="n">
        <f aca="false">parametros_recargas!$E$96*'Plan mensual'!K149+parametros_recargas!$F$96*'Plan mensual'!K150+parametros_recargas!$G$96*'Plan mensual'!K151+parametros_recargas!$H$96*'Plan mensual'!K152+parametros_recargas!$I$96*'Plan mensual'!K153+parametros_recargas!$J$96*'Plan mensual'!K154+parametros_recargas!$K$96*'Plan mensual'!K155+parametros_recargas!$L$96*'Plan mensual'!K156</f>
        <v>255.851294481353</v>
      </c>
      <c r="J154" s="21" t="n">
        <f aca="false">parametros_recargas!$E$96*'Plan mensual'!L149+parametros_recargas!$F$96*'Plan mensual'!L150+parametros_recargas!$G$96*'Plan mensual'!L151+parametros_recargas!$H$96*'Plan mensual'!L152+parametros_recargas!$I$96*'Plan mensual'!L153+parametros_recargas!$J$96*'Plan mensual'!L154+parametros_recargas!$K$96*'Plan mensual'!L155+parametros_recargas!$L$96*'Plan mensual'!L156</f>
        <v>255.851294481353</v>
      </c>
      <c r="K154" s="21" t="n">
        <f aca="false">parametros_recargas!$E$96*'Plan mensual'!M149+parametros_recargas!$F$96*'Plan mensual'!M150+parametros_recargas!$G$96*'Plan mensual'!M151+parametros_recargas!$H$96*'Plan mensual'!M152+parametros_recargas!$I$96*'Plan mensual'!M153+parametros_recargas!$J$96*'Plan mensual'!M154+parametros_recargas!$K$96*'Plan mensual'!M155+parametros_recargas!$L$96*'Plan mensual'!M156</f>
        <v>255.851294481353</v>
      </c>
      <c r="L154" s="21" t="n">
        <f aca="false">parametros_recargas!$E$96*'Plan mensual'!N149+parametros_recargas!$F$96*'Plan mensual'!N150+parametros_recargas!$G$96*'Plan mensual'!N151+parametros_recargas!$H$96*'Plan mensual'!N152+parametros_recargas!$I$96*'Plan mensual'!N153+parametros_recargas!$J$96*'Plan mensual'!N154+parametros_recargas!$K$96*'Plan mensual'!N155+parametros_recargas!$L$96*'Plan mensual'!N156</f>
        <v>255.851294481353</v>
      </c>
      <c r="M154" s="21" t="n">
        <f aca="false">parametros_recargas!$E$96*'Plan mensual'!O149+parametros_recargas!$F$96*'Plan mensual'!O150+parametros_recargas!$G$96*'Plan mensual'!O151+parametros_recargas!$H$96*'Plan mensual'!O152+parametros_recargas!$I$96*'Plan mensual'!O153+parametros_recargas!$J$96*'Plan mensual'!O154+parametros_recargas!$K$96*'Plan mensual'!O155+parametros_recargas!$L$96*'Plan mensual'!O156</f>
        <v>255.851294481353</v>
      </c>
      <c r="N154" s="6" t="n">
        <f aca="false">SUM(B154:M154)</f>
        <v>3070.21553377623</v>
      </c>
      <c r="O154" s="22" t="n">
        <f aca="false">MAX(B154:M154)</f>
        <v>255.851294481353</v>
      </c>
      <c r="P154" s="12" t="n">
        <f aca="false">O154/parametros_recargas!$B$6</f>
        <v>1.70567529654235</v>
      </c>
    </row>
    <row r="155" customFormat="false" ht="15" hidden="false" customHeight="false" outlineLevel="0" collapsed="false">
      <c r="A155" s="8" t="str">
        <f aca="false">parametros_recargas!$B$97</f>
        <v>Ensayo de pérdidas</v>
      </c>
      <c r="B155" s="21" t="n">
        <f aca="false">parametros_recargas!$E$97*'Plan mensual'!D149+parametros_recargas!$F$97*'Plan mensual'!D150+parametros_recargas!$G$97*'Plan mensual'!D151+parametros_recargas!$H$97*'Plan mensual'!D152+parametros_recargas!$I$97*'Plan mensual'!D153+parametros_recargas!$J$97*'Plan mensual'!D154+parametros_recargas!$K$97*'Plan mensual'!D155+parametros_recargas!$L$97*'Plan mensual'!D156</f>
        <v>4163.97419146407</v>
      </c>
      <c r="C155" s="21" t="n">
        <f aca="false">parametros_recargas!$E$97*'Plan mensual'!E149+parametros_recargas!$F$97*'Plan mensual'!E150+parametros_recargas!$G$97*'Plan mensual'!E151+parametros_recargas!$H$97*'Plan mensual'!E152+parametros_recargas!$I$97*'Plan mensual'!E153+parametros_recargas!$J$97*'Plan mensual'!E154+parametros_recargas!$K$97*'Plan mensual'!E155+parametros_recargas!$L$97*'Plan mensual'!E156</f>
        <v>4163.97419146407</v>
      </c>
      <c r="D155" s="21" t="n">
        <f aca="false">parametros_recargas!$E$97*'Plan mensual'!F149+parametros_recargas!$F$97*'Plan mensual'!F150+parametros_recargas!$G$97*'Plan mensual'!F151+parametros_recargas!$H$97*'Plan mensual'!F152+parametros_recargas!$I$97*'Plan mensual'!F153+parametros_recargas!$J$97*'Plan mensual'!F154+parametros_recargas!$K$97*'Plan mensual'!F155+parametros_recargas!$L$97*'Plan mensual'!F156</f>
        <v>4163.97419146407</v>
      </c>
      <c r="E155" s="21" t="n">
        <f aca="false">parametros_recargas!$E$97*'Plan mensual'!G149+parametros_recargas!$F$97*'Plan mensual'!G150+parametros_recargas!$G$97*'Plan mensual'!G151+parametros_recargas!$H$97*'Plan mensual'!G152+parametros_recargas!$I$97*'Plan mensual'!G153+parametros_recargas!$J$97*'Plan mensual'!G154+parametros_recargas!$K$97*'Plan mensual'!G155+parametros_recargas!$L$97*'Plan mensual'!G156</f>
        <v>4163.97419146407</v>
      </c>
      <c r="F155" s="21" t="n">
        <f aca="false">parametros_recargas!$E$97*'Plan mensual'!H149+parametros_recargas!$F$97*'Plan mensual'!H150+parametros_recargas!$G$97*'Plan mensual'!H151+parametros_recargas!$H$97*'Plan mensual'!H152+parametros_recargas!$I$97*'Plan mensual'!H153+parametros_recargas!$J$97*'Plan mensual'!H154+parametros_recargas!$K$97*'Plan mensual'!H155+parametros_recargas!$L$97*'Plan mensual'!H156</f>
        <v>4163.97419146407</v>
      </c>
      <c r="G155" s="21" t="n">
        <f aca="false">parametros_recargas!$E$97*'Plan mensual'!I149+parametros_recargas!$F$97*'Plan mensual'!I150+parametros_recargas!$G$97*'Plan mensual'!I151+parametros_recargas!$H$97*'Plan mensual'!I152+parametros_recargas!$I$97*'Plan mensual'!I153+parametros_recargas!$J$97*'Plan mensual'!I154+parametros_recargas!$K$97*'Plan mensual'!I155+parametros_recargas!$L$97*'Plan mensual'!I156</f>
        <v>4163.97419146407</v>
      </c>
      <c r="H155" s="21" t="n">
        <f aca="false">parametros_recargas!$E$97*'Plan mensual'!J149+parametros_recargas!$F$97*'Plan mensual'!J150+parametros_recargas!$G$97*'Plan mensual'!J151+parametros_recargas!$H$97*'Plan mensual'!J152+parametros_recargas!$I$97*'Plan mensual'!J153+parametros_recargas!$J$97*'Plan mensual'!J154+parametros_recargas!$K$97*'Plan mensual'!J155+parametros_recargas!$L$97*'Plan mensual'!J156</f>
        <v>4163.97419146407</v>
      </c>
      <c r="I155" s="21" t="n">
        <f aca="false">parametros_recargas!$E$97*'Plan mensual'!K149+parametros_recargas!$F$97*'Plan mensual'!K150+parametros_recargas!$G$97*'Plan mensual'!K151+parametros_recargas!$H$97*'Plan mensual'!K152+parametros_recargas!$I$97*'Plan mensual'!K153+parametros_recargas!$J$97*'Plan mensual'!K154+parametros_recargas!$K$97*'Plan mensual'!K155+parametros_recargas!$L$97*'Plan mensual'!K156</f>
        <v>4163.97419146407</v>
      </c>
      <c r="J155" s="21" t="n">
        <f aca="false">parametros_recargas!$E$97*'Plan mensual'!L149+parametros_recargas!$F$97*'Plan mensual'!L150+parametros_recargas!$G$97*'Plan mensual'!L151+parametros_recargas!$H$97*'Plan mensual'!L152+parametros_recargas!$I$97*'Plan mensual'!L153+parametros_recargas!$J$97*'Plan mensual'!L154+parametros_recargas!$K$97*'Plan mensual'!L155+parametros_recargas!$L$97*'Plan mensual'!L156</f>
        <v>4163.97419146407</v>
      </c>
      <c r="K155" s="21" t="n">
        <f aca="false">parametros_recargas!$E$97*'Plan mensual'!M149+parametros_recargas!$F$97*'Plan mensual'!M150+parametros_recargas!$G$97*'Plan mensual'!M151+parametros_recargas!$H$97*'Plan mensual'!M152+parametros_recargas!$I$97*'Plan mensual'!M153+parametros_recargas!$J$97*'Plan mensual'!M154+parametros_recargas!$K$97*'Plan mensual'!M155+parametros_recargas!$L$97*'Plan mensual'!M156</f>
        <v>4163.97419146407</v>
      </c>
      <c r="L155" s="21" t="n">
        <f aca="false">parametros_recargas!$E$97*'Plan mensual'!N149+parametros_recargas!$F$97*'Plan mensual'!N150+parametros_recargas!$G$97*'Plan mensual'!N151+parametros_recargas!$H$97*'Plan mensual'!N152+parametros_recargas!$I$97*'Plan mensual'!N153+parametros_recargas!$J$97*'Plan mensual'!N154+parametros_recargas!$K$97*'Plan mensual'!N155+parametros_recargas!$L$97*'Plan mensual'!N156</f>
        <v>4163.97419146407</v>
      </c>
      <c r="M155" s="21" t="n">
        <f aca="false">parametros_recargas!$E$97*'Plan mensual'!O149+parametros_recargas!$F$97*'Plan mensual'!O150+parametros_recargas!$G$97*'Plan mensual'!O151+parametros_recargas!$H$97*'Plan mensual'!O152+parametros_recargas!$I$97*'Plan mensual'!O153+parametros_recargas!$J$97*'Plan mensual'!O154+parametros_recargas!$K$97*'Plan mensual'!O155+parametros_recargas!$L$97*'Plan mensual'!O156</f>
        <v>4163.97419146407</v>
      </c>
      <c r="N155" s="6" t="n">
        <f aca="false">SUM(B155:M155)</f>
        <v>49967.6902975689</v>
      </c>
      <c r="O155" s="22" t="n">
        <f aca="false">MAX(B155:M155)</f>
        <v>4163.97419146407</v>
      </c>
      <c r="P155" s="12" t="n">
        <f aca="false">O155/parametros_recargas!$B$6</f>
        <v>27.7598279430938</v>
      </c>
    </row>
    <row r="156" customFormat="false" ht="15" hidden="false" customHeight="false" outlineLevel="0" collapsed="false">
      <c r="A156" s="8" t="str">
        <f aca="false">parametros_recargas!$B$98</f>
        <v>Precinto, etiqueta y despacho</v>
      </c>
      <c r="B156" s="21" t="n">
        <f aca="false">parametros_recargas!$E$98*'Plan mensual'!D149+parametros_recargas!$F$98*'Plan mensual'!D150+parametros_recargas!$G$98*'Plan mensual'!D151+parametros_recargas!$H$98*'Plan mensual'!D152+parametros_recargas!$I$98*'Plan mensual'!D153+parametros_recargas!$J$98*'Plan mensual'!D154+parametros_recargas!$K$98*'Plan mensual'!D155+parametros_recargas!$L$98*'Plan mensual'!D156</f>
        <v>4163.97419146407</v>
      </c>
      <c r="C156" s="21" t="n">
        <f aca="false">parametros_recargas!$E$98*'Plan mensual'!E149+parametros_recargas!$F$98*'Plan mensual'!E150+parametros_recargas!$G$98*'Plan mensual'!E151+parametros_recargas!$H$98*'Plan mensual'!E152+parametros_recargas!$I$98*'Plan mensual'!E153+parametros_recargas!$J$98*'Plan mensual'!E154+parametros_recargas!$K$98*'Plan mensual'!E155+parametros_recargas!$L$98*'Plan mensual'!E156</f>
        <v>4163.97419146407</v>
      </c>
      <c r="D156" s="21" t="n">
        <f aca="false">parametros_recargas!$E$98*'Plan mensual'!F149+parametros_recargas!$F$98*'Plan mensual'!F150+parametros_recargas!$G$98*'Plan mensual'!F151+parametros_recargas!$H$98*'Plan mensual'!F152+parametros_recargas!$I$98*'Plan mensual'!F153+parametros_recargas!$J$98*'Plan mensual'!F154+parametros_recargas!$K$98*'Plan mensual'!F155+parametros_recargas!$L$98*'Plan mensual'!F156</f>
        <v>4163.97419146407</v>
      </c>
      <c r="E156" s="21" t="n">
        <f aca="false">parametros_recargas!$E$98*'Plan mensual'!G149+parametros_recargas!$F$98*'Plan mensual'!G150+parametros_recargas!$G$98*'Plan mensual'!G151+parametros_recargas!$H$98*'Plan mensual'!G152+parametros_recargas!$I$98*'Plan mensual'!G153+parametros_recargas!$J$98*'Plan mensual'!G154+parametros_recargas!$K$98*'Plan mensual'!G155+parametros_recargas!$L$98*'Plan mensual'!G156</f>
        <v>4163.97419146407</v>
      </c>
      <c r="F156" s="21" t="n">
        <f aca="false">parametros_recargas!$E$98*'Plan mensual'!H149+parametros_recargas!$F$98*'Plan mensual'!H150+parametros_recargas!$G$98*'Plan mensual'!H151+parametros_recargas!$H$98*'Plan mensual'!H152+parametros_recargas!$I$98*'Plan mensual'!H153+parametros_recargas!$J$98*'Plan mensual'!H154+parametros_recargas!$K$98*'Plan mensual'!H155+parametros_recargas!$L$98*'Plan mensual'!H156</f>
        <v>4163.97419146407</v>
      </c>
      <c r="G156" s="21" t="n">
        <f aca="false">parametros_recargas!$E$98*'Plan mensual'!I149+parametros_recargas!$F$98*'Plan mensual'!I150+parametros_recargas!$G$98*'Plan mensual'!I151+parametros_recargas!$H$98*'Plan mensual'!I152+parametros_recargas!$I$98*'Plan mensual'!I153+parametros_recargas!$J$98*'Plan mensual'!I154+parametros_recargas!$K$98*'Plan mensual'!I155+parametros_recargas!$L$98*'Plan mensual'!I156</f>
        <v>4163.97419146407</v>
      </c>
      <c r="H156" s="21" t="n">
        <f aca="false">parametros_recargas!$E$98*'Plan mensual'!J149+parametros_recargas!$F$98*'Plan mensual'!J150+parametros_recargas!$G$98*'Plan mensual'!J151+parametros_recargas!$H$98*'Plan mensual'!J152+parametros_recargas!$I$98*'Plan mensual'!J153+parametros_recargas!$J$98*'Plan mensual'!J154+parametros_recargas!$K$98*'Plan mensual'!J155+parametros_recargas!$L$98*'Plan mensual'!J156</f>
        <v>4163.97419146407</v>
      </c>
      <c r="I156" s="21" t="n">
        <f aca="false">parametros_recargas!$E$98*'Plan mensual'!K149+parametros_recargas!$F$98*'Plan mensual'!K150+parametros_recargas!$G$98*'Plan mensual'!K151+parametros_recargas!$H$98*'Plan mensual'!K152+parametros_recargas!$I$98*'Plan mensual'!K153+parametros_recargas!$J$98*'Plan mensual'!K154+parametros_recargas!$K$98*'Plan mensual'!K155+parametros_recargas!$L$98*'Plan mensual'!K156</f>
        <v>4163.97419146407</v>
      </c>
      <c r="J156" s="21" t="n">
        <f aca="false">parametros_recargas!$E$98*'Plan mensual'!L149+parametros_recargas!$F$98*'Plan mensual'!L150+parametros_recargas!$G$98*'Plan mensual'!L151+parametros_recargas!$H$98*'Plan mensual'!L152+parametros_recargas!$I$98*'Plan mensual'!L153+parametros_recargas!$J$98*'Plan mensual'!L154+parametros_recargas!$K$98*'Plan mensual'!L155+parametros_recargas!$L$98*'Plan mensual'!L156</f>
        <v>4163.97419146407</v>
      </c>
      <c r="K156" s="21" t="n">
        <f aca="false">parametros_recargas!$E$98*'Plan mensual'!M149+parametros_recargas!$F$98*'Plan mensual'!M150+parametros_recargas!$G$98*'Plan mensual'!M151+parametros_recargas!$H$98*'Plan mensual'!M152+parametros_recargas!$I$98*'Plan mensual'!M153+parametros_recargas!$J$98*'Plan mensual'!M154+parametros_recargas!$K$98*'Plan mensual'!M155+parametros_recargas!$L$98*'Plan mensual'!M156</f>
        <v>4163.97419146407</v>
      </c>
      <c r="L156" s="21" t="n">
        <f aca="false">parametros_recargas!$E$98*'Plan mensual'!N149+parametros_recargas!$F$98*'Plan mensual'!N150+parametros_recargas!$G$98*'Plan mensual'!N151+parametros_recargas!$H$98*'Plan mensual'!N152+parametros_recargas!$I$98*'Plan mensual'!N153+parametros_recargas!$J$98*'Plan mensual'!N154+parametros_recargas!$K$98*'Plan mensual'!N155+parametros_recargas!$L$98*'Plan mensual'!N156</f>
        <v>4163.97419146407</v>
      </c>
      <c r="M156" s="21" t="n">
        <f aca="false">parametros_recargas!$E$98*'Plan mensual'!O149+parametros_recargas!$F$98*'Plan mensual'!O150+parametros_recargas!$G$98*'Plan mensual'!O151+parametros_recargas!$H$98*'Plan mensual'!O152+parametros_recargas!$I$98*'Plan mensual'!O153+parametros_recargas!$J$98*'Plan mensual'!O154+parametros_recargas!$K$98*'Plan mensual'!O155+parametros_recargas!$L$98*'Plan mensual'!O156</f>
        <v>4163.97419146407</v>
      </c>
      <c r="N156" s="6" t="n">
        <f aca="false">SUM(B156:M156)</f>
        <v>49967.6902975689</v>
      </c>
      <c r="O156" s="22" t="n">
        <f aca="false">MAX(B156:M156)</f>
        <v>4163.97419146407</v>
      </c>
      <c r="P156" s="12" t="n">
        <f aca="false">O156/parametros_recargas!$B$6</f>
        <v>27.7598279430938</v>
      </c>
    </row>
    <row r="157" customFormat="false" ht="15" hidden="false" customHeight="false" outlineLevel="0" collapsed="false">
      <c r="A157" s="8" t="str">
        <f aca="false">parametros_recargas!$B$99</f>
        <v>Inutilización y disposición final</v>
      </c>
      <c r="B157" s="21" t="n">
        <f aca="false">parametros_recargas!$E$99*'Plan mensual'!D149+parametros_recargas!$F$99*'Plan mensual'!D150+parametros_recargas!$G$99*'Plan mensual'!D151+parametros_recargas!$H$99*'Plan mensual'!D152+parametros_recargas!$I$99*'Plan mensual'!D153+parametros_recargas!$J$99*'Plan mensual'!D154+parametros_recargas!$K$99*'Plan mensual'!D155+parametros_recargas!$L$99*'Plan mensual'!D156</f>
        <v>327.275633837635</v>
      </c>
      <c r="C157" s="21" t="n">
        <f aca="false">parametros_recargas!$E$99*'Plan mensual'!E149+parametros_recargas!$F$99*'Plan mensual'!E150+parametros_recargas!$G$99*'Plan mensual'!E151+parametros_recargas!$H$99*'Plan mensual'!E152+parametros_recargas!$I$99*'Plan mensual'!E153+parametros_recargas!$J$99*'Plan mensual'!E154+parametros_recargas!$K$99*'Plan mensual'!E155+parametros_recargas!$L$99*'Plan mensual'!E156</f>
        <v>327.275633837635</v>
      </c>
      <c r="D157" s="21" t="n">
        <f aca="false">parametros_recargas!$E$99*'Plan mensual'!F149+parametros_recargas!$F$99*'Plan mensual'!F150+parametros_recargas!$G$99*'Plan mensual'!F151+parametros_recargas!$H$99*'Plan mensual'!F152+parametros_recargas!$I$99*'Plan mensual'!F153+parametros_recargas!$J$99*'Plan mensual'!F154+parametros_recargas!$K$99*'Plan mensual'!F155+parametros_recargas!$L$99*'Plan mensual'!F156</f>
        <v>327.275633837635</v>
      </c>
      <c r="E157" s="21" t="n">
        <f aca="false">parametros_recargas!$E$99*'Plan mensual'!G149+parametros_recargas!$F$99*'Plan mensual'!G150+parametros_recargas!$G$99*'Plan mensual'!G151+parametros_recargas!$H$99*'Plan mensual'!G152+parametros_recargas!$I$99*'Plan mensual'!G153+parametros_recargas!$J$99*'Plan mensual'!G154+parametros_recargas!$K$99*'Plan mensual'!G155+parametros_recargas!$L$99*'Plan mensual'!G156</f>
        <v>327.275633837635</v>
      </c>
      <c r="F157" s="21" t="n">
        <f aca="false">parametros_recargas!$E$99*'Plan mensual'!H149+parametros_recargas!$F$99*'Plan mensual'!H150+parametros_recargas!$G$99*'Plan mensual'!H151+parametros_recargas!$H$99*'Plan mensual'!H152+parametros_recargas!$I$99*'Plan mensual'!H153+parametros_recargas!$J$99*'Plan mensual'!H154+parametros_recargas!$K$99*'Plan mensual'!H155+parametros_recargas!$L$99*'Plan mensual'!H156</f>
        <v>327.275633837635</v>
      </c>
      <c r="G157" s="21" t="n">
        <f aca="false">parametros_recargas!$E$99*'Plan mensual'!I149+parametros_recargas!$F$99*'Plan mensual'!I150+parametros_recargas!$G$99*'Plan mensual'!I151+parametros_recargas!$H$99*'Plan mensual'!I152+parametros_recargas!$I$99*'Plan mensual'!I153+parametros_recargas!$J$99*'Plan mensual'!I154+parametros_recargas!$K$99*'Plan mensual'!I155+parametros_recargas!$L$99*'Plan mensual'!I156</f>
        <v>327.275633837635</v>
      </c>
      <c r="H157" s="21" t="n">
        <f aca="false">parametros_recargas!$E$99*'Plan mensual'!J149+parametros_recargas!$F$99*'Plan mensual'!J150+parametros_recargas!$G$99*'Plan mensual'!J151+parametros_recargas!$H$99*'Plan mensual'!J152+parametros_recargas!$I$99*'Plan mensual'!J153+parametros_recargas!$J$99*'Plan mensual'!J154+parametros_recargas!$K$99*'Plan mensual'!J155+parametros_recargas!$L$99*'Plan mensual'!J156</f>
        <v>327.275633837635</v>
      </c>
      <c r="I157" s="21" t="n">
        <f aca="false">parametros_recargas!$E$99*'Plan mensual'!K149+parametros_recargas!$F$99*'Plan mensual'!K150+parametros_recargas!$G$99*'Plan mensual'!K151+parametros_recargas!$H$99*'Plan mensual'!K152+parametros_recargas!$I$99*'Plan mensual'!K153+parametros_recargas!$J$99*'Plan mensual'!K154+parametros_recargas!$K$99*'Plan mensual'!K155+parametros_recargas!$L$99*'Plan mensual'!K156</f>
        <v>327.275633837635</v>
      </c>
      <c r="J157" s="21" t="n">
        <f aca="false">parametros_recargas!$E$99*'Plan mensual'!L149+parametros_recargas!$F$99*'Plan mensual'!L150+parametros_recargas!$G$99*'Plan mensual'!L151+parametros_recargas!$H$99*'Plan mensual'!L152+parametros_recargas!$I$99*'Plan mensual'!L153+parametros_recargas!$J$99*'Plan mensual'!L154+parametros_recargas!$K$99*'Plan mensual'!L155+parametros_recargas!$L$99*'Plan mensual'!L156</f>
        <v>327.275633837635</v>
      </c>
      <c r="K157" s="21" t="n">
        <f aca="false">parametros_recargas!$E$99*'Plan mensual'!M149+parametros_recargas!$F$99*'Plan mensual'!M150+parametros_recargas!$G$99*'Plan mensual'!M151+parametros_recargas!$H$99*'Plan mensual'!M152+parametros_recargas!$I$99*'Plan mensual'!M153+parametros_recargas!$J$99*'Plan mensual'!M154+parametros_recargas!$K$99*'Plan mensual'!M155+parametros_recargas!$L$99*'Plan mensual'!M156</f>
        <v>327.275633837635</v>
      </c>
      <c r="L157" s="21" t="n">
        <f aca="false">parametros_recargas!$E$99*'Plan mensual'!N149+parametros_recargas!$F$99*'Plan mensual'!N150+parametros_recargas!$G$99*'Plan mensual'!N151+parametros_recargas!$H$99*'Plan mensual'!N152+parametros_recargas!$I$99*'Plan mensual'!N153+parametros_recargas!$J$99*'Plan mensual'!N154+parametros_recargas!$K$99*'Plan mensual'!N155+parametros_recargas!$L$99*'Plan mensual'!N156</f>
        <v>327.275633837635</v>
      </c>
      <c r="M157" s="21" t="n">
        <f aca="false">parametros_recargas!$E$99*'Plan mensual'!O149+parametros_recargas!$F$99*'Plan mensual'!O150+parametros_recargas!$G$99*'Plan mensual'!O151+parametros_recargas!$H$99*'Plan mensual'!O152+parametros_recargas!$I$99*'Plan mensual'!O153+parametros_recargas!$J$99*'Plan mensual'!O154+parametros_recargas!$K$99*'Plan mensual'!O155+parametros_recargas!$L$99*'Plan mensual'!O156</f>
        <v>327.275633837635</v>
      </c>
      <c r="N157" s="6" t="n">
        <f aca="false">SUM(B157:M157)</f>
        <v>3927.30760605162</v>
      </c>
      <c r="O157" s="22" t="n">
        <f aca="false">MAX(B157:M157)</f>
        <v>327.275633837635</v>
      </c>
      <c r="P157" s="12" t="n">
        <f aca="false">O157/parametros_recargas!$B$6</f>
        <v>2.18183755891757</v>
      </c>
    </row>
    <row r="158" customFormat="false" ht="15" hidden="false" customHeight="false" outlineLevel="0" collapsed="false">
      <c r="A158" s="8" t="str">
        <f aca="false">parametros_recargas!$B$100</f>
        <v>PH de mangueras (CO₂ y rodantes)</v>
      </c>
      <c r="B158" s="21" t="n">
        <f aca="false">'Plan mensual'!D157</f>
        <v>142.752475297556</v>
      </c>
      <c r="C158" s="21" t="n">
        <f aca="false">'Plan mensual'!E157</f>
        <v>142.752475297556</v>
      </c>
      <c r="D158" s="21" t="n">
        <f aca="false">'Plan mensual'!F157</f>
        <v>142.752475297556</v>
      </c>
      <c r="E158" s="21" t="n">
        <f aca="false">'Plan mensual'!G157</f>
        <v>142.752475297556</v>
      </c>
      <c r="F158" s="21" t="n">
        <f aca="false">'Plan mensual'!H157</f>
        <v>142.752475297556</v>
      </c>
      <c r="G158" s="21" t="n">
        <f aca="false">'Plan mensual'!I157</f>
        <v>142.752475297556</v>
      </c>
      <c r="H158" s="21" t="n">
        <f aca="false">'Plan mensual'!J157</f>
        <v>142.752475297556</v>
      </c>
      <c r="I158" s="21" t="n">
        <f aca="false">'Plan mensual'!K157</f>
        <v>142.752475297556</v>
      </c>
      <c r="J158" s="21" t="n">
        <f aca="false">'Plan mensual'!L157</f>
        <v>142.752475297556</v>
      </c>
      <c r="K158" s="21" t="n">
        <f aca="false">'Plan mensual'!M157</f>
        <v>142.752475297556</v>
      </c>
      <c r="L158" s="21" t="n">
        <f aca="false">'Plan mensual'!N157</f>
        <v>142.752475297556</v>
      </c>
      <c r="M158" s="21" t="n">
        <f aca="false">'Plan mensual'!O157</f>
        <v>142.752475297556</v>
      </c>
      <c r="N158" s="6" t="n">
        <f aca="false">SUM(B158:M158)</f>
        <v>1713.02970357068</v>
      </c>
      <c r="O158" s="22" t="n">
        <f aca="false">MAX(B158:M158)</f>
        <v>142.752475297556</v>
      </c>
      <c r="P158" s="12" t="n">
        <f aca="false">O158/parametros_recargas!$B$6</f>
        <v>0.951683168650376</v>
      </c>
    </row>
    <row r="161" customFormat="false" ht="23.85" hidden="false" customHeight="false" outlineLevel="0" collapsed="false">
      <c r="A161" s="2" t="s">
        <v>317</v>
      </c>
      <c r="B161" s="2" t="s">
        <v>130</v>
      </c>
      <c r="C161" s="2" t="s">
        <v>131</v>
      </c>
      <c r="D161" s="2" t="s">
        <v>132</v>
      </c>
      <c r="E161" s="2" t="s">
        <v>133</v>
      </c>
      <c r="F161" s="2" t="s">
        <v>134</v>
      </c>
      <c r="G161" s="2" t="s">
        <v>135</v>
      </c>
      <c r="H161" s="2" t="s">
        <v>136</v>
      </c>
      <c r="I161" s="2" t="s">
        <v>137</v>
      </c>
      <c r="J161" s="2" t="s">
        <v>138</v>
      </c>
      <c r="K161" s="2" t="s">
        <v>139</v>
      </c>
      <c r="L161" s="2" t="s">
        <v>140</v>
      </c>
      <c r="M161" s="2" t="s">
        <v>141</v>
      </c>
      <c r="N161" s="2" t="s">
        <v>310</v>
      </c>
      <c r="O161" s="2" t="s">
        <v>311</v>
      </c>
      <c r="P161" s="2" t="s">
        <v>312</v>
      </c>
    </row>
    <row r="162" customFormat="false" ht="15" hidden="false" customHeight="false" outlineLevel="0" collapsed="false">
      <c r="A162" s="8" t="str">
        <f aca="false">parametros_recargas!$B$72</f>
        <v>Recepción y registro</v>
      </c>
      <c r="B162" s="21" t="n">
        <f aca="false">parametros_recargas!$E$72*'Plan mensual'!D181+parametros_recargas!$F$72*'Plan mensual'!D182+parametros_recargas!$G$72*'Plan mensual'!D183+parametros_recargas!$H$72*'Plan mensual'!D184+parametros_recargas!$I$72*'Plan mensual'!D185+parametros_recargas!$J$72*'Plan mensual'!D186+parametros_recargas!$K$72*'Plan mensual'!D187+parametros_recargas!$L$72*'Plan mensual'!D188</f>
        <v>5663.99984701592</v>
      </c>
      <c r="C162" s="21" t="n">
        <f aca="false">parametros_recargas!$E$72*'Plan mensual'!E181+parametros_recargas!$F$72*'Plan mensual'!E182+parametros_recargas!$G$72*'Plan mensual'!E183+parametros_recargas!$H$72*'Plan mensual'!E184+parametros_recargas!$I$72*'Plan mensual'!E185+parametros_recargas!$J$72*'Plan mensual'!E186+parametros_recargas!$K$72*'Plan mensual'!E187+parametros_recargas!$L$72*'Plan mensual'!E188</f>
        <v>5663.99984701592</v>
      </c>
      <c r="D162" s="21" t="n">
        <f aca="false">parametros_recargas!$E$72*'Plan mensual'!F181+parametros_recargas!$F$72*'Plan mensual'!F182+parametros_recargas!$G$72*'Plan mensual'!F183+parametros_recargas!$H$72*'Plan mensual'!F184+parametros_recargas!$I$72*'Plan mensual'!F185+parametros_recargas!$J$72*'Plan mensual'!F186+parametros_recargas!$K$72*'Plan mensual'!F187+parametros_recargas!$L$72*'Plan mensual'!F188</f>
        <v>5663.99984701592</v>
      </c>
      <c r="E162" s="21" t="n">
        <f aca="false">parametros_recargas!$E$72*'Plan mensual'!G181+parametros_recargas!$F$72*'Plan mensual'!G182+parametros_recargas!$G$72*'Plan mensual'!G183+parametros_recargas!$H$72*'Plan mensual'!G184+parametros_recargas!$I$72*'Plan mensual'!G185+parametros_recargas!$J$72*'Plan mensual'!G186+parametros_recargas!$K$72*'Plan mensual'!G187+parametros_recargas!$L$72*'Plan mensual'!G188</f>
        <v>5663.99984701592</v>
      </c>
      <c r="F162" s="21" t="n">
        <f aca="false">parametros_recargas!$E$72*'Plan mensual'!H181+parametros_recargas!$F$72*'Plan mensual'!H182+parametros_recargas!$G$72*'Plan mensual'!H183+parametros_recargas!$H$72*'Plan mensual'!H184+parametros_recargas!$I$72*'Plan mensual'!H185+parametros_recargas!$J$72*'Plan mensual'!H186+parametros_recargas!$K$72*'Plan mensual'!H187+parametros_recargas!$L$72*'Plan mensual'!H188</f>
        <v>5663.99984701592</v>
      </c>
      <c r="G162" s="21" t="n">
        <f aca="false">parametros_recargas!$E$72*'Plan mensual'!I181+parametros_recargas!$F$72*'Plan mensual'!I182+parametros_recargas!$G$72*'Plan mensual'!I183+parametros_recargas!$H$72*'Plan mensual'!I184+parametros_recargas!$I$72*'Plan mensual'!I185+parametros_recargas!$J$72*'Plan mensual'!I186+parametros_recargas!$K$72*'Plan mensual'!I187+parametros_recargas!$L$72*'Plan mensual'!I188</f>
        <v>5663.99984701592</v>
      </c>
      <c r="H162" s="21" t="n">
        <f aca="false">parametros_recargas!$E$72*'Plan mensual'!J181+parametros_recargas!$F$72*'Plan mensual'!J182+parametros_recargas!$G$72*'Plan mensual'!J183+parametros_recargas!$H$72*'Plan mensual'!J184+parametros_recargas!$I$72*'Plan mensual'!J185+parametros_recargas!$J$72*'Plan mensual'!J186+parametros_recargas!$K$72*'Plan mensual'!J187+parametros_recargas!$L$72*'Plan mensual'!J188</f>
        <v>5663.99984701592</v>
      </c>
      <c r="I162" s="21" t="n">
        <f aca="false">parametros_recargas!$E$72*'Plan mensual'!K181+parametros_recargas!$F$72*'Plan mensual'!K182+parametros_recargas!$G$72*'Plan mensual'!K183+parametros_recargas!$H$72*'Plan mensual'!K184+parametros_recargas!$I$72*'Plan mensual'!K185+parametros_recargas!$J$72*'Plan mensual'!K186+parametros_recargas!$K$72*'Plan mensual'!K187+parametros_recargas!$L$72*'Plan mensual'!K188</f>
        <v>5663.99984701592</v>
      </c>
      <c r="J162" s="21" t="n">
        <f aca="false">parametros_recargas!$E$72*'Plan mensual'!L181+parametros_recargas!$F$72*'Plan mensual'!L182+parametros_recargas!$G$72*'Plan mensual'!L183+parametros_recargas!$H$72*'Plan mensual'!L184+parametros_recargas!$I$72*'Plan mensual'!L185+parametros_recargas!$J$72*'Plan mensual'!L186+parametros_recargas!$K$72*'Plan mensual'!L187+parametros_recargas!$L$72*'Plan mensual'!L188</f>
        <v>5663.99984701592</v>
      </c>
      <c r="K162" s="21" t="n">
        <f aca="false">parametros_recargas!$E$72*'Plan mensual'!M181+parametros_recargas!$F$72*'Plan mensual'!M182+parametros_recargas!$G$72*'Plan mensual'!M183+parametros_recargas!$H$72*'Plan mensual'!M184+parametros_recargas!$I$72*'Plan mensual'!M185+parametros_recargas!$J$72*'Plan mensual'!M186+parametros_recargas!$K$72*'Plan mensual'!M187+parametros_recargas!$L$72*'Plan mensual'!M188</f>
        <v>5663.99984701592</v>
      </c>
      <c r="L162" s="21" t="n">
        <f aca="false">parametros_recargas!$E$72*'Plan mensual'!N181+parametros_recargas!$F$72*'Plan mensual'!N182+parametros_recargas!$G$72*'Plan mensual'!N183+parametros_recargas!$H$72*'Plan mensual'!N184+parametros_recargas!$I$72*'Plan mensual'!N185+parametros_recargas!$J$72*'Plan mensual'!N186+parametros_recargas!$K$72*'Plan mensual'!N187+parametros_recargas!$L$72*'Plan mensual'!N188</f>
        <v>5663.99984701592</v>
      </c>
      <c r="M162" s="21" t="n">
        <f aca="false">parametros_recargas!$E$72*'Plan mensual'!O181+parametros_recargas!$F$72*'Plan mensual'!O182+parametros_recargas!$G$72*'Plan mensual'!O183+parametros_recargas!$H$72*'Plan mensual'!O184+parametros_recargas!$I$72*'Plan mensual'!O185+parametros_recargas!$J$72*'Plan mensual'!O186+parametros_recargas!$K$72*'Plan mensual'!O187+parametros_recargas!$L$72*'Plan mensual'!O188</f>
        <v>5663.99984701592</v>
      </c>
      <c r="N162" s="6" t="n">
        <f aca="false">SUM(B162:M162)</f>
        <v>67967.9981641911</v>
      </c>
      <c r="O162" s="22" t="n">
        <f aca="false">MAX(B162:M162)</f>
        <v>5663.99984701592</v>
      </c>
      <c r="P162" s="12" t="n">
        <f aca="false">O162/parametros_recargas!$B$6</f>
        <v>37.7599989801062</v>
      </c>
    </row>
    <row r="163" customFormat="false" ht="15" hidden="false" customHeight="false" outlineLevel="0" collapsed="false">
      <c r="A163" s="8" t="str">
        <f aca="false">parametros_recargas!$B$73</f>
        <v>Inspección visual</v>
      </c>
      <c r="B163" s="21" t="n">
        <f aca="false">parametros_recargas!$E$73*'Plan mensual'!D181+parametros_recargas!$F$73*'Plan mensual'!D182+parametros_recargas!$G$73*'Plan mensual'!D183+parametros_recargas!$H$73*'Plan mensual'!D184+parametros_recargas!$I$73*'Plan mensual'!D185+parametros_recargas!$J$73*'Plan mensual'!D186+parametros_recargas!$K$73*'Plan mensual'!D187+parametros_recargas!$L$73*'Plan mensual'!D188</f>
        <v>5663.99984701592</v>
      </c>
      <c r="C163" s="21" t="n">
        <f aca="false">parametros_recargas!$E$73*'Plan mensual'!E181+parametros_recargas!$F$73*'Plan mensual'!E182+parametros_recargas!$G$73*'Plan mensual'!E183+parametros_recargas!$H$73*'Plan mensual'!E184+parametros_recargas!$I$73*'Plan mensual'!E185+parametros_recargas!$J$73*'Plan mensual'!E186+parametros_recargas!$K$73*'Plan mensual'!E187+parametros_recargas!$L$73*'Plan mensual'!E188</f>
        <v>5663.99984701592</v>
      </c>
      <c r="D163" s="21" t="n">
        <f aca="false">parametros_recargas!$E$73*'Plan mensual'!F181+parametros_recargas!$F$73*'Plan mensual'!F182+parametros_recargas!$G$73*'Plan mensual'!F183+parametros_recargas!$H$73*'Plan mensual'!F184+parametros_recargas!$I$73*'Plan mensual'!F185+parametros_recargas!$J$73*'Plan mensual'!F186+parametros_recargas!$K$73*'Plan mensual'!F187+parametros_recargas!$L$73*'Plan mensual'!F188</f>
        <v>5663.99984701592</v>
      </c>
      <c r="E163" s="21" t="n">
        <f aca="false">parametros_recargas!$E$73*'Plan mensual'!G181+parametros_recargas!$F$73*'Plan mensual'!G182+parametros_recargas!$G$73*'Plan mensual'!G183+parametros_recargas!$H$73*'Plan mensual'!G184+parametros_recargas!$I$73*'Plan mensual'!G185+parametros_recargas!$J$73*'Plan mensual'!G186+parametros_recargas!$K$73*'Plan mensual'!G187+parametros_recargas!$L$73*'Plan mensual'!G188</f>
        <v>5663.99984701592</v>
      </c>
      <c r="F163" s="21" t="n">
        <f aca="false">parametros_recargas!$E$73*'Plan mensual'!H181+parametros_recargas!$F$73*'Plan mensual'!H182+parametros_recargas!$G$73*'Plan mensual'!H183+parametros_recargas!$H$73*'Plan mensual'!H184+parametros_recargas!$I$73*'Plan mensual'!H185+parametros_recargas!$J$73*'Plan mensual'!H186+parametros_recargas!$K$73*'Plan mensual'!H187+parametros_recargas!$L$73*'Plan mensual'!H188</f>
        <v>5663.99984701592</v>
      </c>
      <c r="G163" s="21" t="n">
        <f aca="false">parametros_recargas!$E$73*'Plan mensual'!I181+parametros_recargas!$F$73*'Plan mensual'!I182+parametros_recargas!$G$73*'Plan mensual'!I183+parametros_recargas!$H$73*'Plan mensual'!I184+parametros_recargas!$I$73*'Plan mensual'!I185+parametros_recargas!$J$73*'Plan mensual'!I186+parametros_recargas!$K$73*'Plan mensual'!I187+parametros_recargas!$L$73*'Plan mensual'!I188</f>
        <v>5663.99984701592</v>
      </c>
      <c r="H163" s="21" t="n">
        <f aca="false">parametros_recargas!$E$73*'Plan mensual'!J181+parametros_recargas!$F$73*'Plan mensual'!J182+parametros_recargas!$G$73*'Plan mensual'!J183+parametros_recargas!$H$73*'Plan mensual'!J184+parametros_recargas!$I$73*'Plan mensual'!J185+parametros_recargas!$J$73*'Plan mensual'!J186+parametros_recargas!$K$73*'Plan mensual'!J187+parametros_recargas!$L$73*'Plan mensual'!J188</f>
        <v>5663.99984701592</v>
      </c>
      <c r="I163" s="21" t="n">
        <f aca="false">parametros_recargas!$E$73*'Plan mensual'!K181+parametros_recargas!$F$73*'Plan mensual'!K182+parametros_recargas!$G$73*'Plan mensual'!K183+parametros_recargas!$H$73*'Plan mensual'!K184+parametros_recargas!$I$73*'Plan mensual'!K185+parametros_recargas!$J$73*'Plan mensual'!K186+parametros_recargas!$K$73*'Plan mensual'!K187+parametros_recargas!$L$73*'Plan mensual'!K188</f>
        <v>5663.99984701592</v>
      </c>
      <c r="J163" s="21" t="n">
        <f aca="false">parametros_recargas!$E$73*'Plan mensual'!L181+parametros_recargas!$F$73*'Plan mensual'!L182+parametros_recargas!$G$73*'Plan mensual'!L183+parametros_recargas!$H$73*'Plan mensual'!L184+parametros_recargas!$I$73*'Plan mensual'!L185+parametros_recargas!$J$73*'Plan mensual'!L186+parametros_recargas!$K$73*'Plan mensual'!L187+parametros_recargas!$L$73*'Plan mensual'!L188</f>
        <v>5663.99984701592</v>
      </c>
      <c r="K163" s="21" t="n">
        <f aca="false">parametros_recargas!$E$73*'Plan mensual'!M181+parametros_recargas!$F$73*'Plan mensual'!M182+parametros_recargas!$G$73*'Plan mensual'!M183+parametros_recargas!$H$73*'Plan mensual'!M184+parametros_recargas!$I$73*'Plan mensual'!M185+parametros_recargas!$J$73*'Plan mensual'!M186+parametros_recargas!$K$73*'Plan mensual'!M187+parametros_recargas!$L$73*'Plan mensual'!M188</f>
        <v>5663.99984701592</v>
      </c>
      <c r="L163" s="21" t="n">
        <f aca="false">parametros_recargas!$E$73*'Plan mensual'!N181+parametros_recargas!$F$73*'Plan mensual'!N182+parametros_recargas!$G$73*'Plan mensual'!N183+parametros_recargas!$H$73*'Plan mensual'!N184+parametros_recargas!$I$73*'Plan mensual'!N185+parametros_recargas!$J$73*'Plan mensual'!N186+parametros_recargas!$K$73*'Plan mensual'!N187+parametros_recargas!$L$73*'Plan mensual'!N188</f>
        <v>5663.99984701592</v>
      </c>
      <c r="M163" s="21" t="n">
        <f aca="false">parametros_recargas!$E$73*'Plan mensual'!O181+parametros_recargas!$F$73*'Plan mensual'!O182+parametros_recargas!$G$73*'Plan mensual'!O183+parametros_recargas!$H$73*'Plan mensual'!O184+parametros_recargas!$I$73*'Plan mensual'!O185+parametros_recargas!$J$73*'Plan mensual'!O186+parametros_recargas!$K$73*'Plan mensual'!O187+parametros_recargas!$L$73*'Plan mensual'!O188</f>
        <v>5663.99984701592</v>
      </c>
      <c r="N163" s="6" t="n">
        <f aca="false">SUM(B163:M163)</f>
        <v>67967.9981641911</v>
      </c>
      <c r="O163" s="22" t="n">
        <f aca="false">MAX(B163:M163)</f>
        <v>5663.99984701592</v>
      </c>
      <c r="P163" s="12" t="n">
        <f aca="false">O163/parametros_recargas!$B$6</f>
        <v>37.7599989801062</v>
      </c>
    </row>
    <row r="164" customFormat="false" ht="15" hidden="false" customHeight="false" outlineLevel="0" collapsed="false">
      <c r="A164" s="8" t="str">
        <f aca="false">parametros_recargas!$B$74</f>
        <v>Descarga ABC — ruta recuperable</v>
      </c>
      <c r="B164" s="21" t="n">
        <f aca="false">parametros_recargas!$E$74*'Plan mensual'!D181+parametros_recargas!$F$74*'Plan mensual'!D182+parametros_recargas!$G$74*'Plan mensual'!D183+parametros_recargas!$H$74*'Plan mensual'!D184+parametros_recargas!$I$74*'Plan mensual'!D185+parametros_recargas!$J$74*'Plan mensual'!D186+parametros_recargas!$K$74*'Plan mensual'!D187+parametros_recargas!$L$74*'Plan mensual'!D188</f>
        <v>4175.49180776149</v>
      </c>
      <c r="C164" s="21" t="n">
        <f aca="false">parametros_recargas!$E$74*'Plan mensual'!E181+parametros_recargas!$F$74*'Plan mensual'!E182+parametros_recargas!$G$74*'Plan mensual'!E183+parametros_recargas!$H$74*'Plan mensual'!E184+parametros_recargas!$I$74*'Plan mensual'!E185+parametros_recargas!$J$74*'Plan mensual'!E186+parametros_recargas!$K$74*'Plan mensual'!E187+parametros_recargas!$L$74*'Plan mensual'!E188</f>
        <v>4175.49180776149</v>
      </c>
      <c r="D164" s="21" t="n">
        <f aca="false">parametros_recargas!$E$74*'Plan mensual'!F181+parametros_recargas!$F$74*'Plan mensual'!F182+parametros_recargas!$G$74*'Plan mensual'!F183+parametros_recargas!$H$74*'Plan mensual'!F184+parametros_recargas!$I$74*'Plan mensual'!F185+parametros_recargas!$J$74*'Plan mensual'!F186+parametros_recargas!$K$74*'Plan mensual'!F187+parametros_recargas!$L$74*'Plan mensual'!F188</f>
        <v>4175.49180776149</v>
      </c>
      <c r="E164" s="21" t="n">
        <f aca="false">parametros_recargas!$E$74*'Plan mensual'!G181+parametros_recargas!$F$74*'Plan mensual'!G182+parametros_recargas!$G$74*'Plan mensual'!G183+parametros_recargas!$H$74*'Plan mensual'!G184+parametros_recargas!$I$74*'Plan mensual'!G185+parametros_recargas!$J$74*'Plan mensual'!G186+parametros_recargas!$K$74*'Plan mensual'!G187+parametros_recargas!$L$74*'Plan mensual'!G188</f>
        <v>4175.49180776149</v>
      </c>
      <c r="F164" s="21" t="n">
        <f aca="false">parametros_recargas!$E$74*'Plan mensual'!H181+parametros_recargas!$F$74*'Plan mensual'!H182+parametros_recargas!$G$74*'Plan mensual'!H183+parametros_recargas!$H$74*'Plan mensual'!H184+parametros_recargas!$I$74*'Plan mensual'!H185+parametros_recargas!$J$74*'Plan mensual'!H186+parametros_recargas!$K$74*'Plan mensual'!H187+parametros_recargas!$L$74*'Plan mensual'!H188</f>
        <v>4175.49180776149</v>
      </c>
      <c r="G164" s="21" t="n">
        <f aca="false">parametros_recargas!$E$74*'Plan mensual'!I181+parametros_recargas!$F$74*'Plan mensual'!I182+parametros_recargas!$G$74*'Plan mensual'!I183+parametros_recargas!$H$74*'Plan mensual'!I184+parametros_recargas!$I$74*'Plan mensual'!I185+parametros_recargas!$J$74*'Plan mensual'!I186+parametros_recargas!$K$74*'Plan mensual'!I187+parametros_recargas!$L$74*'Plan mensual'!I188</f>
        <v>4175.49180776149</v>
      </c>
      <c r="H164" s="21" t="n">
        <f aca="false">parametros_recargas!$E$74*'Plan mensual'!J181+parametros_recargas!$F$74*'Plan mensual'!J182+parametros_recargas!$G$74*'Plan mensual'!J183+parametros_recargas!$H$74*'Plan mensual'!J184+parametros_recargas!$I$74*'Plan mensual'!J185+parametros_recargas!$J$74*'Plan mensual'!J186+parametros_recargas!$K$74*'Plan mensual'!J187+parametros_recargas!$L$74*'Plan mensual'!J188</f>
        <v>4175.49180776149</v>
      </c>
      <c r="I164" s="21" t="n">
        <f aca="false">parametros_recargas!$E$74*'Plan mensual'!K181+parametros_recargas!$F$74*'Plan mensual'!K182+parametros_recargas!$G$74*'Plan mensual'!K183+parametros_recargas!$H$74*'Plan mensual'!K184+parametros_recargas!$I$74*'Plan mensual'!K185+parametros_recargas!$J$74*'Plan mensual'!K186+parametros_recargas!$K$74*'Plan mensual'!K187+parametros_recargas!$L$74*'Plan mensual'!K188</f>
        <v>4175.49180776149</v>
      </c>
      <c r="J164" s="21" t="n">
        <f aca="false">parametros_recargas!$E$74*'Plan mensual'!L181+parametros_recargas!$F$74*'Plan mensual'!L182+parametros_recargas!$G$74*'Plan mensual'!L183+parametros_recargas!$H$74*'Plan mensual'!L184+parametros_recargas!$I$74*'Plan mensual'!L185+parametros_recargas!$J$74*'Plan mensual'!L186+parametros_recargas!$K$74*'Plan mensual'!L187+parametros_recargas!$L$74*'Plan mensual'!L188</f>
        <v>4175.49180776149</v>
      </c>
      <c r="K164" s="21" t="n">
        <f aca="false">parametros_recargas!$E$74*'Plan mensual'!M181+parametros_recargas!$F$74*'Plan mensual'!M182+parametros_recargas!$G$74*'Plan mensual'!M183+parametros_recargas!$H$74*'Plan mensual'!M184+parametros_recargas!$I$74*'Plan mensual'!M185+parametros_recargas!$J$74*'Plan mensual'!M186+parametros_recargas!$K$74*'Plan mensual'!M187+parametros_recargas!$L$74*'Plan mensual'!M188</f>
        <v>4175.49180776149</v>
      </c>
      <c r="L164" s="21" t="n">
        <f aca="false">parametros_recargas!$E$74*'Plan mensual'!N181+parametros_recargas!$F$74*'Plan mensual'!N182+parametros_recargas!$G$74*'Plan mensual'!N183+parametros_recargas!$H$74*'Plan mensual'!N184+parametros_recargas!$I$74*'Plan mensual'!N185+parametros_recargas!$J$74*'Plan mensual'!N186+parametros_recargas!$K$74*'Plan mensual'!N187+parametros_recargas!$L$74*'Plan mensual'!N188</f>
        <v>4175.49180776149</v>
      </c>
      <c r="M164" s="21" t="n">
        <f aca="false">parametros_recargas!$E$74*'Plan mensual'!O181+parametros_recargas!$F$74*'Plan mensual'!O182+parametros_recargas!$G$74*'Plan mensual'!O183+parametros_recargas!$H$74*'Plan mensual'!O184+parametros_recargas!$I$74*'Plan mensual'!O185+parametros_recargas!$J$74*'Plan mensual'!O186+parametros_recargas!$K$74*'Plan mensual'!O187+parametros_recargas!$L$74*'Plan mensual'!O188</f>
        <v>4175.49180776149</v>
      </c>
      <c r="N164" s="6" t="n">
        <f aca="false">SUM(B164:M164)</f>
        <v>50105.9016931378</v>
      </c>
      <c r="O164" s="22" t="n">
        <f aca="false">MAX(B164:M164)</f>
        <v>4175.49180776149</v>
      </c>
      <c r="P164" s="12" t="n">
        <f aca="false">O164/parametros_recargas!$B$6</f>
        <v>27.8366120517432</v>
      </c>
    </row>
    <row r="165" customFormat="false" ht="15" hidden="false" customHeight="false" outlineLevel="0" collapsed="false">
      <c r="A165" s="8" t="str">
        <f aca="false">parametros_recargas!$B$75</f>
        <v>Descarga ABC — ruta descarte</v>
      </c>
      <c r="B165" s="21" t="n">
        <f aca="false">parametros_recargas!$E$75*'Plan mensual'!D181+parametros_recargas!$F$75*'Plan mensual'!D182+parametros_recargas!$G$75*'Plan mensual'!D183+parametros_recargas!$H$75*'Plan mensual'!D184+parametros_recargas!$I$75*'Plan mensual'!D185+parametros_recargas!$J$75*'Plan mensual'!D186+parametros_recargas!$K$75*'Plan mensual'!D187+parametros_recargas!$L$75*'Plan mensual'!D188</f>
        <v>491.234330324881</v>
      </c>
      <c r="C165" s="21" t="n">
        <f aca="false">parametros_recargas!$E$75*'Plan mensual'!E181+parametros_recargas!$F$75*'Plan mensual'!E182+parametros_recargas!$G$75*'Plan mensual'!E183+parametros_recargas!$H$75*'Plan mensual'!E184+parametros_recargas!$I$75*'Plan mensual'!E185+parametros_recargas!$J$75*'Plan mensual'!E186+parametros_recargas!$K$75*'Plan mensual'!E187+parametros_recargas!$L$75*'Plan mensual'!E188</f>
        <v>491.234330324881</v>
      </c>
      <c r="D165" s="21" t="n">
        <f aca="false">parametros_recargas!$E$75*'Plan mensual'!F181+parametros_recargas!$F$75*'Plan mensual'!F182+parametros_recargas!$G$75*'Plan mensual'!F183+parametros_recargas!$H$75*'Plan mensual'!F184+parametros_recargas!$I$75*'Plan mensual'!F185+parametros_recargas!$J$75*'Plan mensual'!F186+parametros_recargas!$K$75*'Plan mensual'!F187+parametros_recargas!$L$75*'Plan mensual'!F188</f>
        <v>491.234330324881</v>
      </c>
      <c r="E165" s="21" t="n">
        <f aca="false">parametros_recargas!$E$75*'Plan mensual'!G181+parametros_recargas!$F$75*'Plan mensual'!G182+parametros_recargas!$G$75*'Plan mensual'!G183+parametros_recargas!$H$75*'Plan mensual'!G184+parametros_recargas!$I$75*'Plan mensual'!G185+parametros_recargas!$J$75*'Plan mensual'!G186+parametros_recargas!$K$75*'Plan mensual'!G187+parametros_recargas!$L$75*'Plan mensual'!G188</f>
        <v>491.234330324881</v>
      </c>
      <c r="F165" s="21" t="n">
        <f aca="false">parametros_recargas!$E$75*'Plan mensual'!H181+parametros_recargas!$F$75*'Plan mensual'!H182+parametros_recargas!$G$75*'Plan mensual'!H183+parametros_recargas!$H$75*'Plan mensual'!H184+parametros_recargas!$I$75*'Plan mensual'!H185+parametros_recargas!$J$75*'Plan mensual'!H186+parametros_recargas!$K$75*'Plan mensual'!H187+parametros_recargas!$L$75*'Plan mensual'!H188</f>
        <v>491.234330324881</v>
      </c>
      <c r="G165" s="21" t="n">
        <f aca="false">parametros_recargas!$E$75*'Plan mensual'!I181+parametros_recargas!$F$75*'Plan mensual'!I182+parametros_recargas!$G$75*'Plan mensual'!I183+parametros_recargas!$H$75*'Plan mensual'!I184+parametros_recargas!$I$75*'Plan mensual'!I185+parametros_recargas!$J$75*'Plan mensual'!I186+parametros_recargas!$K$75*'Plan mensual'!I187+parametros_recargas!$L$75*'Plan mensual'!I188</f>
        <v>491.234330324881</v>
      </c>
      <c r="H165" s="21" t="n">
        <f aca="false">parametros_recargas!$E$75*'Plan mensual'!J181+parametros_recargas!$F$75*'Plan mensual'!J182+parametros_recargas!$G$75*'Plan mensual'!J183+parametros_recargas!$H$75*'Plan mensual'!J184+parametros_recargas!$I$75*'Plan mensual'!J185+parametros_recargas!$J$75*'Plan mensual'!J186+parametros_recargas!$K$75*'Plan mensual'!J187+parametros_recargas!$L$75*'Plan mensual'!J188</f>
        <v>491.234330324881</v>
      </c>
      <c r="I165" s="21" t="n">
        <f aca="false">parametros_recargas!$E$75*'Plan mensual'!K181+parametros_recargas!$F$75*'Plan mensual'!K182+parametros_recargas!$G$75*'Plan mensual'!K183+parametros_recargas!$H$75*'Plan mensual'!K184+parametros_recargas!$I$75*'Plan mensual'!K185+parametros_recargas!$J$75*'Plan mensual'!K186+parametros_recargas!$K$75*'Plan mensual'!K187+parametros_recargas!$L$75*'Plan mensual'!K188</f>
        <v>491.234330324881</v>
      </c>
      <c r="J165" s="21" t="n">
        <f aca="false">parametros_recargas!$E$75*'Plan mensual'!L181+parametros_recargas!$F$75*'Plan mensual'!L182+parametros_recargas!$G$75*'Plan mensual'!L183+parametros_recargas!$H$75*'Plan mensual'!L184+parametros_recargas!$I$75*'Plan mensual'!L185+parametros_recargas!$J$75*'Plan mensual'!L186+parametros_recargas!$K$75*'Plan mensual'!L187+parametros_recargas!$L$75*'Plan mensual'!L188</f>
        <v>491.234330324881</v>
      </c>
      <c r="K165" s="21" t="n">
        <f aca="false">parametros_recargas!$E$75*'Plan mensual'!M181+parametros_recargas!$F$75*'Plan mensual'!M182+parametros_recargas!$G$75*'Plan mensual'!M183+parametros_recargas!$H$75*'Plan mensual'!M184+parametros_recargas!$I$75*'Plan mensual'!M185+parametros_recargas!$J$75*'Plan mensual'!M186+parametros_recargas!$K$75*'Plan mensual'!M187+parametros_recargas!$L$75*'Plan mensual'!M188</f>
        <v>491.234330324881</v>
      </c>
      <c r="L165" s="21" t="n">
        <f aca="false">parametros_recargas!$E$75*'Plan mensual'!N181+parametros_recargas!$F$75*'Plan mensual'!N182+parametros_recargas!$G$75*'Plan mensual'!N183+parametros_recargas!$H$75*'Plan mensual'!N184+parametros_recargas!$I$75*'Plan mensual'!N185+parametros_recargas!$J$75*'Plan mensual'!N186+parametros_recargas!$K$75*'Plan mensual'!N187+parametros_recargas!$L$75*'Plan mensual'!N188</f>
        <v>491.234330324881</v>
      </c>
      <c r="M165" s="21" t="n">
        <f aca="false">parametros_recargas!$E$75*'Plan mensual'!O181+parametros_recargas!$F$75*'Plan mensual'!O182+parametros_recargas!$G$75*'Plan mensual'!O183+parametros_recargas!$H$75*'Plan mensual'!O184+parametros_recargas!$I$75*'Plan mensual'!O185+parametros_recargas!$J$75*'Plan mensual'!O186+parametros_recargas!$K$75*'Plan mensual'!O187+parametros_recargas!$L$75*'Plan mensual'!O188</f>
        <v>491.234330324881</v>
      </c>
      <c r="N165" s="6" t="n">
        <f aca="false">SUM(B165:M165)</f>
        <v>5894.81196389857</v>
      </c>
      <c r="O165" s="22" t="n">
        <f aca="false">MAX(B165:M165)</f>
        <v>491.234330324881</v>
      </c>
      <c r="P165" s="12" t="n">
        <f aca="false">O165/parametros_recargas!$B$6</f>
        <v>3.27489553549921</v>
      </c>
    </row>
    <row r="166" customFormat="false" ht="15" hidden="false" customHeight="false" outlineLevel="0" collapsed="false">
      <c r="A166" s="8" t="str">
        <f aca="false">parametros_recargas!$B$76</f>
        <v>Descarga BC</v>
      </c>
      <c r="B166" s="21" t="n">
        <f aca="false">parametros_recargas!$E$76*'Plan mensual'!D181+parametros_recargas!$F$76*'Plan mensual'!D182+parametros_recargas!$G$76*'Plan mensual'!D183+parametros_recargas!$H$76*'Plan mensual'!D184+parametros_recargas!$I$76*'Plan mensual'!D185+parametros_recargas!$J$76*'Plan mensual'!D186+parametros_recargas!$K$76*'Plan mensual'!D187+parametros_recargas!$L$76*'Plan mensual'!D188</f>
        <v>7.09396220745989</v>
      </c>
      <c r="C166" s="21" t="n">
        <f aca="false">parametros_recargas!$E$76*'Plan mensual'!E181+parametros_recargas!$F$76*'Plan mensual'!E182+parametros_recargas!$G$76*'Plan mensual'!E183+parametros_recargas!$H$76*'Plan mensual'!E184+parametros_recargas!$I$76*'Plan mensual'!E185+parametros_recargas!$J$76*'Plan mensual'!E186+parametros_recargas!$K$76*'Plan mensual'!E187+parametros_recargas!$L$76*'Plan mensual'!E188</f>
        <v>7.09396220745989</v>
      </c>
      <c r="D166" s="21" t="n">
        <f aca="false">parametros_recargas!$E$76*'Plan mensual'!F181+parametros_recargas!$F$76*'Plan mensual'!F182+parametros_recargas!$G$76*'Plan mensual'!F183+parametros_recargas!$H$76*'Plan mensual'!F184+parametros_recargas!$I$76*'Plan mensual'!F185+parametros_recargas!$J$76*'Plan mensual'!F186+parametros_recargas!$K$76*'Plan mensual'!F187+parametros_recargas!$L$76*'Plan mensual'!F188</f>
        <v>7.09396220745989</v>
      </c>
      <c r="E166" s="21" t="n">
        <f aca="false">parametros_recargas!$E$76*'Plan mensual'!G181+parametros_recargas!$F$76*'Plan mensual'!G182+parametros_recargas!$G$76*'Plan mensual'!G183+parametros_recargas!$H$76*'Plan mensual'!G184+parametros_recargas!$I$76*'Plan mensual'!G185+parametros_recargas!$J$76*'Plan mensual'!G186+parametros_recargas!$K$76*'Plan mensual'!G187+parametros_recargas!$L$76*'Plan mensual'!G188</f>
        <v>7.09396220745989</v>
      </c>
      <c r="F166" s="21" t="n">
        <f aca="false">parametros_recargas!$E$76*'Plan mensual'!H181+parametros_recargas!$F$76*'Plan mensual'!H182+parametros_recargas!$G$76*'Plan mensual'!H183+parametros_recargas!$H$76*'Plan mensual'!H184+parametros_recargas!$I$76*'Plan mensual'!H185+parametros_recargas!$J$76*'Plan mensual'!H186+parametros_recargas!$K$76*'Plan mensual'!H187+parametros_recargas!$L$76*'Plan mensual'!H188</f>
        <v>7.09396220745989</v>
      </c>
      <c r="G166" s="21" t="n">
        <f aca="false">parametros_recargas!$E$76*'Plan mensual'!I181+parametros_recargas!$F$76*'Plan mensual'!I182+parametros_recargas!$G$76*'Plan mensual'!I183+parametros_recargas!$H$76*'Plan mensual'!I184+parametros_recargas!$I$76*'Plan mensual'!I185+parametros_recargas!$J$76*'Plan mensual'!I186+parametros_recargas!$K$76*'Plan mensual'!I187+parametros_recargas!$L$76*'Plan mensual'!I188</f>
        <v>7.09396220745989</v>
      </c>
      <c r="H166" s="21" t="n">
        <f aca="false">parametros_recargas!$E$76*'Plan mensual'!J181+parametros_recargas!$F$76*'Plan mensual'!J182+parametros_recargas!$G$76*'Plan mensual'!J183+parametros_recargas!$H$76*'Plan mensual'!J184+parametros_recargas!$I$76*'Plan mensual'!J185+parametros_recargas!$J$76*'Plan mensual'!J186+parametros_recargas!$K$76*'Plan mensual'!J187+parametros_recargas!$L$76*'Plan mensual'!J188</f>
        <v>7.09396220745989</v>
      </c>
      <c r="I166" s="21" t="n">
        <f aca="false">parametros_recargas!$E$76*'Plan mensual'!K181+parametros_recargas!$F$76*'Plan mensual'!K182+parametros_recargas!$G$76*'Plan mensual'!K183+parametros_recargas!$H$76*'Plan mensual'!K184+parametros_recargas!$I$76*'Plan mensual'!K185+parametros_recargas!$J$76*'Plan mensual'!K186+parametros_recargas!$K$76*'Plan mensual'!K187+parametros_recargas!$L$76*'Plan mensual'!K188</f>
        <v>7.09396220745989</v>
      </c>
      <c r="J166" s="21" t="n">
        <f aca="false">parametros_recargas!$E$76*'Plan mensual'!L181+parametros_recargas!$F$76*'Plan mensual'!L182+parametros_recargas!$G$76*'Plan mensual'!L183+parametros_recargas!$H$76*'Plan mensual'!L184+parametros_recargas!$I$76*'Plan mensual'!L185+parametros_recargas!$J$76*'Plan mensual'!L186+parametros_recargas!$K$76*'Plan mensual'!L187+parametros_recargas!$L$76*'Plan mensual'!L188</f>
        <v>7.09396220745989</v>
      </c>
      <c r="K166" s="21" t="n">
        <f aca="false">parametros_recargas!$E$76*'Plan mensual'!M181+parametros_recargas!$F$76*'Plan mensual'!M182+parametros_recargas!$G$76*'Plan mensual'!M183+parametros_recargas!$H$76*'Plan mensual'!M184+parametros_recargas!$I$76*'Plan mensual'!M185+parametros_recargas!$J$76*'Plan mensual'!M186+parametros_recargas!$K$76*'Plan mensual'!M187+parametros_recargas!$L$76*'Plan mensual'!M188</f>
        <v>7.09396220745989</v>
      </c>
      <c r="L166" s="21" t="n">
        <f aca="false">parametros_recargas!$E$76*'Plan mensual'!N181+parametros_recargas!$F$76*'Plan mensual'!N182+parametros_recargas!$G$76*'Plan mensual'!N183+parametros_recargas!$H$76*'Plan mensual'!N184+parametros_recargas!$I$76*'Plan mensual'!N185+parametros_recargas!$J$76*'Plan mensual'!N186+parametros_recargas!$K$76*'Plan mensual'!N187+parametros_recargas!$L$76*'Plan mensual'!N188</f>
        <v>7.09396220745989</v>
      </c>
      <c r="M166" s="21" t="n">
        <f aca="false">parametros_recargas!$E$76*'Plan mensual'!O181+parametros_recargas!$F$76*'Plan mensual'!O182+parametros_recargas!$G$76*'Plan mensual'!O183+parametros_recargas!$H$76*'Plan mensual'!O184+parametros_recargas!$I$76*'Plan mensual'!O185+parametros_recargas!$J$76*'Plan mensual'!O186+parametros_recargas!$K$76*'Plan mensual'!O187+parametros_recargas!$L$76*'Plan mensual'!O188</f>
        <v>7.09396220745989</v>
      </c>
      <c r="N166" s="6" t="n">
        <f aca="false">SUM(B166:M166)</f>
        <v>85.1275464895187</v>
      </c>
      <c r="O166" s="22" t="n">
        <f aca="false">MAX(B166:M166)</f>
        <v>7.09396220745989</v>
      </c>
      <c r="P166" s="12" t="n">
        <f aca="false">O166/parametros_recargas!$B$6</f>
        <v>0.0472930813830659</v>
      </c>
    </row>
    <row r="167" customFormat="false" ht="15" hidden="false" customHeight="false" outlineLevel="0" collapsed="false">
      <c r="A167" s="8" t="str">
        <f aca="false">parametros_recargas!$B$77</f>
        <v>Descarga de agua / AFFF / sales K</v>
      </c>
      <c r="B167" s="21" t="n">
        <f aca="false">parametros_recargas!$E$77*'Plan mensual'!D181+parametros_recargas!$F$77*'Plan mensual'!D182+parametros_recargas!$G$77*'Plan mensual'!D183+parametros_recargas!$H$77*'Plan mensual'!D184+parametros_recargas!$I$77*'Plan mensual'!D185+parametros_recargas!$J$77*'Plan mensual'!D186+parametros_recargas!$K$77*'Plan mensual'!D187+parametros_recargas!$L$77*'Plan mensual'!D188</f>
        <v>253.450522395856</v>
      </c>
      <c r="C167" s="21" t="n">
        <f aca="false">parametros_recargas!$E$77*'Plan mensual'!E181+parametros_recargas!$F$77*'Plan mensual'!E182+parametros_recargas!$G$77*'Plan mensual'!E183+parametros_recargas!$H$77*'Plan mensual'!E184+parametros_recargas!$I$77*'Plan mensual'!E185+parametros_recargas!$J$77*'Plan mensual'!E186+parametros_recargas!$K$77*'Plan mensual'!E187+parametros_recargas!$L$77*'Plan mensual'!E188</f>
        <v>253.450522395856</v>
      </c>
      <c r="D167" s="21" t="n">
        <f aca="false">parametros_recargas!$E$77*'Plan mensual'!F181+parametros_recargas!$F$77*'Plan mensual'!F182+parametros_recargas!$G$77*'Plan mensual'!F183+parametros_recargas!$H$77*'Plan mensual'!F184+parametros_recargas!$I$77*'Plan mensual'!F185+parametros_recargas!$J$77*'Plan mensual'!F186+parametros_recargas!$K$77*'Plan mensual'!F187+parametros_recargas!$L$77*'Plan mensual'!F188</f>
        <v>253.450522395856</v>
      </c>
      <c r="E167" s="21" t="n">
        <f aca="false">parametros_recargas!$E$77*'Plan mensual'!G181+parametros_recargas!$F$77*'Plan mensual'!G182+parametros_recargas!$G$77*'Plan mensual'!G183+parametros_recargas!$H$77*'Plan mensual'!G184+parametros_recargas!$I$77*'Plan mensual'!G185+parametros_recargas!$J$77*'Plan mensual'!G186+parametros_recargas!$K$77*'Plan mensual'!G187+parametros_recargas!$L$77*'Plan mensual'!G188</f>
        <v>253.450522395856</v>
      </c>
      <c r="F167" s="21" t="n">
        <f aca="false">parametros_recargas!$E$77*'Plan mensual'!H181+parametros_recargas!$F$77*'Plan mensual'!H182+parametros_recargas!$G$77*'Plan mensual'!H183+parametros_recargas!$H$77*'Plan mensual'!H184+parametros_recargas!$I$77*'Plan mensual'!H185+parametros_recargas!$J$77*'Plan mensual'!H186+parametros_recargas!$K$77*'Plan mensual'!H187+parametros_recargas!$L$77*'Plan mensual'!H188</f>
        <v>253.450522395856</v>
      </c>
      <c r="G167" s="21" t="n">
        <f aca="false">parametros_recargas!$E$77*'Plan mensual'!I181+parametros_recargas!$F$77*'Plan mensual'!I182+parametros_recargas!$G$77*'Plan mensual'!I183+parametros_recargas!$H$77*'Plan mensual'!I184+parametros_recargas!$I$77*'Plan mensual'!I185+parametros_recargas!$J$77*'Plan mensual'!I186+parametros_recargas!$K$77*'Plan mensual'!I187+parametros_recargas!$L$77*'Plan mensual'!I188</f>
        <v>253.450522395856</v>
      </c>
      <c r="H167" s="21" t="n">
        <f aca="false">parametros_recargas!$E$77*'Plan mensual'!J181+parametros_recargas!$F$77*'Plan mensual'!J182+parametros_recargas!$G$77*'Plan mensual'!J183+parametros_recargas!$H$77*'Plan mensual'!J184+parametros_recargas!$I$77*'Plan mensual'!J185+parametros_recargas!$J$77*'Plan mensual'!J186+parametros_recargas!$K$77*'Plan mensual'!J187+parametros_recargas!$L$77*'Plan mensual'!J188</f>
        <v>253.450522395856</v>
      </c>
      <c r="I167" s="21" t="n">
        <f aca="false">parametros_recargas!$E$77*'Plan mensual'!K181+parametros_recargas!$F$77*'Plan mensual'!K182+parametros_recargas!$G$77*'Plan mensual'!K183+parametros_recargas!$H$77*'Plan mensual'!K184+parametros_recargas!$I$77*'Plan mensual'!K185+parametros_recargas!$J$77*'Plan mensual'!K186+parametros_recargas!$K$77*'Plan mensual'!K187+parametros_recargas!$L$77*'Plan mensual'!K188</f>
        <v>253.450522395856</v>
      </c>
      <c r="J167" s="21" t="n">
        <f aca="false">parametros_recargas!$E$77*'Plan mensual'!L181+parametros_recargas!$F$77*'Plan mensual'!L182+parametros_recargas!$G$77*'Plan mensual'!L183+parametros_recargas!$H$77*'Plan mensual'!L184+parametros_recargas!$I$77*'Plan mensual'!L185+parametros_recargas!$J$77*'Plan mensual'!L186+parametros_recargas!$K$77*'Plan mensual'!L187+parametros_recargas!$L$77*'Plan mensual'!L188</f>
        <v>253.450522395856</v>
      </c>
      <c r="K167" s="21" t="n">
        <f aca="false">parametros_recargas!$E$77*'Plan mensual'!M181+parametros_recargas!$F$77*'Plan mensual'!M182+parametros_recargas!$G$77*'Plan mensual'!M183+parametros_recargas!$H$77*'Plan mensual'!M184+parametros_recargas!$I$77*'Plan mensual'!M185+parametros_recargas!$J$77*'Plan mensual'!M186+parametros_recargas!$K$77*'Plan mensual'!M187+parametros_recargas!$L$77*'Plan mensual'!M188</f>
        <v>253.450522395856</v>
      </c>
      <c r="L167" s="21" t="n">
        <f aca="false">parametros_recargas!$E$77*'Plan mensual'!N181+parametros_recargas!$F$77*'Plan mensual'!N182+parametros_recargas!$G$77*'Plan mensual'!N183+parametros_recargas!$H$77*'Plan mensual'!N184+parametros_recargas!$I$77*'Plan mensual'!N185+parametros_recargas!$J$77*'Plan mensual'!N186+parametros_recargas!$K$77*'Plan mensual'!N187+parametros_recargas!$L$77*'Plan mensual'!N188</f>
        <v>253.450522395856</v>
      </c>
      <c r="M167" s="21" t="n">
        <f aca="false">parametros_recargas!$E$77*'Plan mensual'!O181+parametros_recargas!$F$77*'Plan mensual'!O182+parametros_recargas!$G$77*'Plan mensual'!O183+parametros_recargas!$H$77*'Plan mensual'!O184+parametros_recargas!$I$77*'Plan mensual'!O185+parametros_recargas!$J$77*'Plan mensual'!O186+parametros_recargas!$K$77*'Plan mensual'!O187+parametros_recargas!$L$77*'Plan mensual'!O188</f>
        <v>253.450522395856</v>
      </c>
      <c r="N167" s="6" t="n">
        <f aca="false">SUM(B167:M167)</f>
        <v>3041.40626875028</v>
      </c>
      <c r="O167" s="22" t="n">
        <f aca="false">MAX(B167:M167)</f>
        <v>253.450522395856</v>
      </c>
      <c r="P167" s="12" t="n">
        <f aca="false">O167/parametros_recargas!$B$6</f>
        <v>1.68967014930571</v>
      </c>
    </row>
    <row r="168" customFormat="false" ht="15" hidden="false" customHeight="false" outlineLevel="0" collapsed="false">
      <c r="A168" s="8" t="str">
        <f aca="false">parametros_recargas!$B$78</f>
        <v>Recuperación de CO₂</v>
      </c>
      <c r="B168" s="21" t="n">
        <f aca="false">parametros_recargas!$E$78*'Plan mensual'!D181+parametros_recargas!$F$78*'Plan mensual'!D182+parametros_recargas!$G$78*'Plan mensual'!D183+parametros_recargas!$H$78*'Plan mensual'!D184+parametros_recargas!$I$78*'Plan mensual'!D185+parametros_recargas!$J$78*'Plan mensual'!D186+parametros_recargas!$K$78*'Plan mensual'!D187+parametros_recargas!$L$78*'Plan mensual'!D188</f>
        <v>116.629039833945</v>
      </c>
      <c r="C168" s="21" t="n">
        <f aca="false">parametros_recargas!$E$78*'Plan mensual'!E181+parametros_recargas!$F$78*'Plan mensual'!E182+parametros_recargas!$G$78*'Plan mensual'!E183+parametros_recargas!$H$78*'Plan mensual'!E184+parametros_recargas!$I$78*'Plan mensual'!E185+parametros_recargas!$J$78*'Plan mensual'!E186+parametros_recargas!$K$78*'Plan mensual'!E187+parametros_recargas!$L$78*'Plan mensual'!E188</f>
        <v>116.629039833945</v>
      </c>
      <c r="D168" s="21" t="n">
        <f aca="false">parametros_recargas!$E$78*'Plan mensual'!F181+parametros_recargas!$F$78*'Plan mensual'!F182+parametros_recargas!$G$78*'Plan mensual'!F183+parametros_recargas!$H$78*'Plan mensual'!F184+parametros_recargas!$I$78*'Plan mensual'!F185+parametros_recargas!$J$78*'Plan mensual'!F186+parametros_recargas!$K$78*'Plan mensual'!F187+parametros_recargas!$L$78*'Plan mensual'!F188</f>
        <v>116.629039833945</v>
      </c>
      <c r="E168" s="21" t="n">
        <f aca="false">parametros_recargas!$E$78*'Plan mensual'!G181+parametros_recargas!$F$78*'Plan mensual'!G182+parametros_recargas!$G$78*'Plan mensual'!G183+parametros_recargas!$H$78*'Plan mensual'!G184+parametros_recargas!$I$78*'Plan mensual'!G185+parametros_recargas!$J$78*'Plan mensual'!G186+parametros_recargas!$K$78*'Plan mensual'!G187+parametros_recargas!$L$78*'Plan mensual'!G188</f>
        <v>116.629039833945</v>
      </c>
      <c r="F168" s="21" t="n">
        <f aca="false">parametros_recargas!$E$78*'Plan mensual'!H181+parametros_recargas!$F$78*'Plan mensual'!H182+parametros_recargas!$G$78*'Plan mensual'!H183+parametros_recargas!$H$78*'Plan mensual'!H184+parametros_recargas!$I$78*'Plan mensual'!H185+parametros_recargas!$J$78*'Plan mensual'!H186+parametros_recargas!$K$78*'Plan mensual'!H187+parametros_recargas!$L$78*'Plan mensual'!H188</f>
        <v>116.629039833945</v>
      </c>
      <c r="G168" s="21" t="n">
        <f aca="false">parametros_recargas!$E$78*'Plan mensual'!I181+parametros_recargas!$F$78*'Plan mensual'!I182+parametros_recargas!$G$78*'Plan mensual'!I183+parametros_recargas!$H$78*'Plan mensual'!I184+parametros_recargas!$I$78*'Plan mensual'!I185+parametros_recargas!$J$78*'Plan mensual'!I186+parametros_recargas!$K$78*'Plan mensual'!I187+parametros_recargas!$L$78*'Plan mensual'!I188</f>
        <v>116.629039833945</v>
      </c>
      <c r="H168" s="21" t="n">
        <f aca="false">parametros_recargas!$E$78*'Plan mensual'!J181+parametros_recargas!$F$78*'Plan mensual'!J182+parametros_recargas!$G$78*'Plan mensual'!J183+parametros_recargas!$H$78*'Plan mensual'!J184+parametros_recargas!$I$78*'Plan mensual'!J185+parametros_recargas!$J$78*'Plan mensual'!J186+parametros_recargas!$K$78*'Plan mensual'!J187+parametros_recargas!$L$78*'Plan mensual'!J188</f>
        <v>116.629039833945</v>
      </c>
      <c r="I168" s="21" t="n">
        <f aca="false">parametros_recargas!$E$78*'Plan mensual'!K181+parametros_recargas!$F$78*'Plan mensual'!K182+parametros_recargas!$G$78*'Plan mensual'!K183+parametros_recargas!$H$78*'Plan mensual'!K184+parametros_recargas!$I$78*'Plan mensual'!K185+parametros_recargas!$J$78*'Plan mensual'!K186+parametros_recargas!$K$78*'Plan mensual'!K187+parametros_recargas!$L$78*'Plan mensual'!K188</f>
        <v>116.629039833945</v>
      </c>
      <c r="J168" s="21" t="n">
        <f aca="false">parametros_recargas!$E$78*'Plan mensual'!L181+parametros_recargas!$F$78*'Plan mensual'!L182+parametros_recargas!$G$78*'Plan mensual'!L183+parametros_recargas!$H$78*'Plan mensual'!L184+parametros_recargas!$I$78*'Plan mensual'!L185+parametros_recargas!$J$78*'Plan mensual'!L186+parametros_recargas!$K$78*'Plan mensual'!L187+parametros_recargas!$L$78*'Plan mensual'!L188</f>
        <v>116.629039833945</v>
      </c>
      <c r="K168" s="21" t="n">
        <f aca="false">parametros_recargas!$E$78*'Plan mensual'!M181+parametros_recargas!$F$78*'Plan mensual'!M182+parametros_recargas!$G$78*'Plan mensual'!M183+parametros_recargas!$H$78*'Plan mensual'!M184+parametros_recargas!$I$78*'Plan mensual'!M185+parametros_recargas!$J$78*'Plan mensual'!M186+parametros_recargas!$K$78*'Plan mensual'!M187+parametros_recargas!$L$78*'Plan mensual'!M188</f>
        <v>116.629039833945</v>
      </c>
      <c r="L168" s="21" t="n">
        <f aca="false">parametros_recargas!$E$78*'Plan mensual'!N181+parametros_recargas!$F$78*'Plan mensual'!N182+parametros_recargas!$G$78*'Plan mensual'!N183+parametros_recargas!$H$78*'Plan mensual'!N184+parametros_recargas!$I$78*'Plan mensual'!N185+parametros_recargas!$J$78*'Plan mensual'!N186+parametros_recargas!$K$78*'Plan mensual'!N187+parametros_recargas!$L$78*'Plan mensual'!N188</f>
        <v>116.629039833945</v>
      </c>
      <c r="M168" s="21" t="n">
        <f aca="false">parametros_recargas!$E$78*'Plan mensual'!O181+parametros_recargas!$F$78*'Plan mensual'!O182+parametros_recargas!$G$78*'Plan mensual'!O183+parametros_recargas!$H$78*'Plan mensual'!O184+parametros_recargas!$I$78*'Plan mensual'!O185+parametros_recargas!$J$78*'Plan mensual'!O186+parametros_recargas!$K$78*'Plan mensual'!O187+parametros_recargas!$L$78*'Plan mensual'!O188</f>
        <v>116.629039833945</v>
      </c>
      <c r="N168" s="6" t="n">
        <f aca="false">SUM(B168:M168)</f>
        <v>1399.54847800734</v>
      </c>
      <c r="O168" s="22" t="n">
        <f aca="false">MAX(B168:M168)</f>
        <v>116.629039833945</v>
      </c>
      <c r="P168" s="12" t="n">
        <f aca="false">O168/parametros_recargas!$B$6</f>
        <v>0.777526932226299</v>
      </c>
    </row>
    <row r="169" customFormat="false" ht="15" hidden="false" customHeight="false" outlineLevel="0" collapsed="false">
      <c r="A169" s="8" t="str">
        <f aca="false">parametros_recargas!$B$79</f>
        <v>Recuperación de halogenado</v>
      </c>
      <c r="B169" s="21" t="n">
        <f aca="false">parametros_recargas!$E$79*'Plan mensual'!D181+parametros_recargas!$F$79*'Plan mensual'!D182+parametros_recargas!$G$79*'Plan mensual'!D183+parametros_recargas!$H$79*'Plan mensual'!D184+parametros_recargas!$I$79*'Plan mensual'!D185+parametros_recargas!$J$79*'Plan mensual'!D186+parametros_recargas!$K$79*'Plan mensual'!D187+parametros_recargas!$L$79*'Plan mensual'!D188</f>
        <v>4.59229054818209</v>
      </c>
      <c r="C169" s="21" t="n">
        <f aca="false">parametros_recargas!$E$79*'Plan mensual'!E181+parametros_recargas!$F$79*'Plan mensual'!E182+parametros_recargas!$G$79*'Plan mensual'!E183+parametros_recargas!$H$79*'Plan mensual'!E184+parametros_recargas!$I$79*'Plan mensual'!E185+parametros_recargas!$J$79*'Plan mensual'!E186+parametros_recargas!$K$79*'Plan mensual'!E187+parametros_recargas!$L$79*'Plan mensual'!E188</f>
        <v>4.59229054818209</v>
      </c>
      <c r="D169" s="21" t="n">
        <f aca="false">parametros_recargas!$E$79*'Plan mensual'!F181+parametros_recargas!$F$79*'Plan mensual'!F182+parametros_recargas!$G$79*'Plan mensual'!F183+parametros_recargas!$H$79*'Plan mensual'!F184+parametros_recargas!$I$79*'Plan mensual'!F185+parametros_recargas!$J$79*'Plan mensual'!F186+parametros_recargas!$K$79*'Plan mensual'!F187+parametros_recargas!$L$79*'Plan mensual'!F188</f>
        <v>4.59229054818209</v>
      </c>
      <c r="E169" s="21" t="n">
        <f aca="false">parametros_recargas!$E$79*'Plan mensual'!G181+parametros_recargas!$F$79*'Plan mensual'!G182+parametros_recargas!$G$79*'Plan mensual'!G183+parametros_recargas!$H$79*'Plan mensual'!G184+parametros_recargas!$I$79*'Plan mensual'!G185+parametros_recargas!$J$79*'Plan mensual'!G186+parametros_recargas!$K$79*'Plan mensual'!G187+parametros_recargas!$L$79*'Plan mensual'!G188</f>
        <v>4.59229054818209</v>
      </c>
      <c r="F169" s="21" t="n">
        <f aca="false">parametros_recargas!$E$79*'Plan mensual'!H181+parametros_recargas!$F$79*'Plan mensual'!H182+parametros_recargas!$G$79*'Plan mensual'!H183+parametros_recargas!$H$79*'Plan mensual'!H184+parametros_recargas!$I$79*'Plan mensual'!H185+parametros_recargas!$J$79*'Plan mensual'!H186+parametros_recargas!$K$79*'Plan mensual'!H187+parametros_recargas!$L$79*'Plan mensual'!H188</f>
        <v>4.59229054818209</v>
      </c>
      <c r="G169" s="21" t="n">
        <f aca="false">parametros_recargas!$E$79*'Plan mensual'!I181+parametros_recargas!$F$79*'Plan mensual'!I182+parametros_recargas!$G$79*'Plan mensual'!I183+parametros_recargas!$H$79*'Plan mensual'!I184+parametros_recargas!$I$79*'Plan mensual'!I185+parametros_recargas!$J$79*'Plan mensual'!I186+parametros_recargas!$K$79*'Plan mensual'!I187+parametros_recargas!$L$79*'Plan mensual'!I188</f>
        <v>4.59229054818209</v>
      </c>
      <c r="H169" s="21" t="n">
        <f aca="false">parametros_recargas!$E$79*'Plan mensual'!J181+parametros_recargas!$F$79*'Plan mensual'!J182+parametros_recargas!$G$79*'Plan mensual'!J183+parametros_recargas!$H$79*'Plan mensual'!J184+parametros_recargas!$I$79*'Plan mensual'!J185+parametros_recargas!$J$79*'Plan mensual'!J186+parametros_recargas!$K$79*'Plan mensual'!J187+parametros_recargas!$L$79*'Plan mensual'!J188</f>
        <v>4.59229054818209</v>
      </c>
      <c r="I169" s="21" t="n">
        <f aca="false">parametros_recargas!$E$79*'Plan mensual'!K181+parametros_recargas!$F$79*'Plan mensual'!K182+parametros_recargas!$G$79*'Plan mensual'!K183+parametros_recargas!$H$79*'Plan mensual'!K184+parametros_recargas!$I$79*'Plan mensual'!K185+parametros_recargas!$J$79*'Plan mensual'!K186+parametros_recargas!$K$79*'Plan mensual'!K187+parametros_recargas!$L$79*'Plan mensual'!K188</f>
        <v>4.59229054818209</v>
      </c>
      <c r="J169" s="21" t="n">
        <f aca="false">parametros_recargas!$E$79*'Plan mensual'!L181+parametros_recargas!$F$79*'Plan mensual'!L182+parametros_recargas!$G$79*'Plan mensual'!L183+parametros_recargas!$H$79*'Plan mensual'!L184+parametros_recargas!$I$79*'Plan mensual'!L185+parametros_recargas!$J$79*'Plan mensual'!L186+parametros_recargas!$K$79*'Plan mensual'!L187+parametros_recargas!$L$79*'Plan mensual'!L188</f>
        <v>4.59229054818209</v>
      </c>
      <c r="K169" s="21" t="n">
        <f aca="false">parametros_recargas!$E$79*'Plan mensual'!M181+parametros_recargas!$F$79*'Plan mensual'!M182+parametros_recargas!$G$79*'Plan mensual'!M183+parametros_recargas!$H$79*'Plan mensual'!M184+parametros_recargas!$I$79*'Plan mensual'!M185+parametros_recargas!$J$79*'Plan mensual'!M186+parametros_recargas!$K$79*'Plan mensual'!M187+parametros_recargas!$L$79*'Plan mensual'!M188</f>
        <v>4.59229054818209</v>
      </c>
      <c r="L169" s="21" t="n">
        <f aca="false">parametros_recargas!$E$79*'Plan mensual'!N181+parametros_recargas!$F$79*'Plan mensual'!N182+parametros_recargas!$G$79*'Plan mensual'!N183+parametros_recargas!$H$79*'Plan mensual'!N184+parametros_recargas!$I$79*'Plan mensual'!N185+parametros_recargas!$J$79*'Plan mensual'!N186+parametros_recargas!$K$79*'Plan mensual'!N187+parametros_recargas!$L$79*'Plan mensual'!N188</f>
        <v>4.59229054818209</v>
      </c>
      <c r="M169" s="21" t="n">
        <f aca="false">parametros_recargas!$E$79*'Plan mensual'!O181+parametros_recargas!$F$79*'Plan mensual'!O182+parametros_recargas!$G$79*'Plan mensual'!O183+parametros_recargas!$H$79*'Plan mensual'!O184+parametros_recargas!$I$79*'Plan mensual'!O185+parametros_recargas!$J$79*'Plan mensual'!O186+parametros_recargas!$K$79*'Plan mensual'!O187+parametros_recargas!$L$79*'Plan mensual'!O188</f>
        <v>4.59229054818209</v>
      </c>
      <c r="N169" s="6" t="n">
        <f aca="false">SUM(B169:M169)</f>
        <v>55.1074865781851</v>
      </c>
      <c r="O169" s="22" t="n">
        <f aca="false">MAX(B169:M169)</f>
        <v>4.59229054818209</v>
      </c>
      <c r="P169" s="12" t="n">
        <f aca="false">O169/parametros_recargas!$B$6</f>
        <v>0.0306152703212139</v>
      </c>
    </row>
    <row r="170" customFormat="false" ht="15" hidden="false" customHeight="false" outlineLevel="0" collapsed="false">
      <c r="A170" s="8" t="str">
        <f aca="false">parametros_recargas!$B$80</f>
        <v>Desarme y limpieza — recinto</v>
      </c>
      <c r="B170" s="21" t="n">
        <f aca="false">parametros_recargas!$E$80*'Plan mensual'!D181+parametros_recargas!$F$80*'Plan mensual'!D182+parametros_recargas!$G$80*'Plan mensual'!D183+parametros_recargas!$H$80*'Plan mensual'!D184+parametros_recargas!$I$80*'Plan mensual'!D185+parametros_recargas!$J$80*'Plan mensual'!D186+parametros_recargas!$K$80*'Plan mensual'!D187+parametros_recargas!$L$80*'Plan mensual'!D188</f>
        <v>4925.66400309156</v>
      </c>
      <c r="C170" s="21" t="n">
        <f aca="false">parametros_recargas!$E$80*'Plan mensual'!E181+parametros_recargas!$F$80*'Plan mensual'!E182+parametros_recargas!$G$80*'Plan mensual'!E183+parametros_recargas!$H$80*'Plan mensual'!E184+parametros_recargas!$I$80*'Plan mensual'!E185+parametros_recargas!$J$80*'Plan mensual'!E186+parametros_recargas!$K$80*'Plan mensual'!E187+parametros_recargas!$L$80*'Plan mensual'!E188</f>
        <v>4925.66400309156</v>
      </c>
      <c r="D170" s="21" t="n">
        <f aca="false">parametros_recargas!$E$80*'Plan mensual'!F181+parametros_recargas!$F$80*'Plan mensual'!F182+parametros_recargas!$G$80*'Plan mensual'!F183+parametros_recargas!$H$80*'Plan mensual'!F184+parametros_recargas!$I$80*'Plan mensual'!F185+parametros_recargas!$J$80*'Plan mensual'!F186+parametros_recargas!$K$80*'Plan mensual'!F187+parametros_recargas!$L$80*'Plan mensual'!F188</f>
        <v>4925.66400309156</v>
      </c>
      <c r="E170" s="21" t="n">
        <f aca="false">parametros_recargas!$E$80*'Plan mensual'!G181+parametros_recargas!$F$80*'Plan mensual'!G182+parametros_recargas!$G$80*'Plan mensual'!G183+parametros_recargas!$H$80*'Plan mensual'!G184+parametros_recargas!$I$80*'Plan mensual'!G185+parametros_recargas!$J$80*'Plan mensual'!G186+parametros_recargas!$K$80*'Plan mensual'!G187+parametros_recargas!$L$80*'Plan mensual'!G188</f>
        <v>4925.66400309156</v>
      </c>
      <c r="F170" s="21" t="n">
        <f aca="false">parametros_recargas!$E$80*'Plan mensual'!H181+parametros_recargas!$F$80*'Plan mensual'!H182+parametros_recargas!$G$80*'Plan mensual'!H183+parametros_recargas!$H$80*'Plan mensual'!H184+parametros_recargas!$I$80*'Plan mensual'!H185+parametros_recargas!$J$80*'Plan mensual'!H186+parametros_recargas!$K$80*'Plan mensual'!H187+parametros_recargas!$L$80*'Plan mensual'!H188</f>
        <v>4925.66400309156</v>
      </c>
      <c r="G170" s="21" t="n">
        <f aca="false">parametros_recargas!$E$80*'Plan mensual'!I181+parametros_recargas!$F$80*'Plan mensual'!I182+parametros_recargas!$G$80*'Plan mensual'!I183+parametros_recargas!$H$80*'Plan mensual'!I184+parametros_recargas!$I$80*'Plan mensual'!I185+parametros_recargas!$J$80*'Plan mensual'!I186+parametros_recargas!$K$80*'Plan mensual'!I187+parametros_recargas!$L$80*'Plan mensual'!I188</f>
        <v>4925.66400309156</v>
      </c>
      <c r="H170" s="21" t="n">
        <f aca="false">parametros_recargas!$E$80*'Plan mensual'!J181+parametros_recargas!$F$80*'Plan mensual'!J182+parametros_recargas!$G$80*'Plan mensual'!J183+parametros_recargas!$H$80*'Plan mensual'!J184+parametros_recargas!$I$80*'Plan mensual'!J185+parametros_recargas!$J$80*'Plan mensual'!J186+parametros_recargas!$K$80*'Plan mensual'!J187+parametros_recargas!$L$80*'Plan mensual'!J188</f>
        <v>4925.66400309156</v>
      </c>
      <c r="I170" s="21" t="n">
        <f aca="false">parametros_recargas!$E$80*'Plan mensual'!K181+parametros_recargas!$F$80*'Plan mensual'!K182+parametros_recargas!$G$80*'Plan mensual'!K183+parametros_recargas!$H$80*'Plan mensual'!K184+parametros_recargas!$I$80*'Plan mensual'!K185+parametros_recargas!$J$80*'Plan mensual'!K186+parametros_recargas!$K$80*'Plan mensual'!K187+parametros_recargas!$L$80*'Plan mensual'!K188</f>
        <v>4925.66400309156</v>
      </c>
      <c r="J170" s="21" t="n">
        <f aca="false">parametros_recargas!$E$80*'Plan mensual'!L181+parametros_recargas!$F$80*'Plan mensual'!L182+parametros_recargas!$G$80*'Plan mensual'!L183+parametros_recargas!$H$80*'Plan mensual'!L184+parametros_recargas!$I$80*'Plan mensual'!L185+parametros_recargas!$J$80*'Plan mensual'!L186+parametros_recargas!$K$80*'Plan mensual'!L187+parametros_recargas!$L$80*'Plan mensual'!L188</f>
        <v>4925.66400309156</v>
      </c>
      <c r="K170" s="21" t="n">
        <f aca="false">parametros_recargas!$E$80*'Plan mensual'!M181+parametros_recargas!$F$80*'Plan mensual'!M182+parametros_recargas!$G$80*'Plan mensual'!M183+parametros_recargas!$H$80*'Plan mensual'!M184+parametros_recargas!$I$80*'Plan mensual'!M185+parametros_recargas!$J$80*'Plan mensual'!M186+parametros_recargas!$K$80*'Plan mensual'!M187+parametros_recargas!$L$80*'Plan mensual'!M188</f>
        <v>4925.66400309156</v>
      </c>
      <c r="L170" s="21" t="n">
        <f aca="false">parametros_recargas!$E$80*'Plan mensual'!N181+parametros_recargas!$F$80*'Plan mensual'!N182+parametros_recargas!$G$80*'Plan mensual'!N183+parametros_recargas!$H$80*'Plan mensual'!N184+parametros_recargas!$I$80*'Plan mensual'!N185+parametros_recargas!$J$80*'Plan mensual'!N186+parametros_recargas!$K$80*'Plan mensual'!N187+parametros_recargas!$L$80*'Plan mensual'!N188</f>
        <v>4925.66400309156</v>
      </c>
      <c r="M170" s="21" t="n">
        <f aca="false">parametros_recargas!$E$80*'Plan mensual'!O181+parametros_recargas!$F$80*'Plan mensual'!O182+parametros_recargas!$G$80*'Plan mensual'!O183+parametros_recargas!$H$80*'Plan mensual'!O184+parametros_recargas!$I$80*'Plan mensual'!O185+parametros_recargas!$J$80*'Plan mensual'!O186+parametros_recargas!$K$80*'Plan mensual'!O187+parametros_recargas!$L$80*'Plan mensual'!O188</f>
        <v>4925.66400309156</v>
      </c>
      <c r="N170" s="6" t="n">
        <f aca="false">SUM(B170:M170)</f>
        <v>59107.9680370987</v>
      </c>
      <c r="O170" s="22" t="n">
        <f aca="false">MAX(B170:M170)</f>
        <v>4925.66400309156</v>
      </c>
      <c r="P170" s="12" t="n">
        <f aca="false">O170/parametros_recargas!$B$6</f>
        <v>32.8377600206104</v>
      </c>
    </row>
    <row r="171" customFormat="false" ht="15" hidden="false" customHeight="false" outlineLevel="0" collapsed="false">
      <c r="A171" s="8" t="str">
        <f aca="false">parametros_recargas!$B$81</f>
        <v>Desarme e inspección interior — zona general</v>
      </c>
      <c r="B171" s="21" t="n">
        <f aca="false">parametros_recargas!$E$81*'Plan mensual'!D181+parametros_recargas!$F$81*'Plan mensual'!D182+parametros_recargas!$G$81*'Plan mensual'!D183+parametros_recargas!$H$81*'Plan mensual'!D184+parametros_recargas!$I$81*'Plan mensual'!D185+parametros_recargas!$J$81*'Plan mensual'!D186+parametros_recargas!$K$81*'Plan mensual'!D187+parametros_recargas!$L$81*'Plan mensual'!D188</f>
        <v>374.671852777983</v>
      </c>
      <c r="C171" s="21" t="n">
        <f aca="false">parametros_recargas!$E$81*'Plan mensual'!E181+parametros_recargas!$F$81*'Plan mensual'!E182+parametros_recargas!$G$81*'Plan mensual'!E183+parametros_recargas!$H$81*'Plan mensual'!E184+parametros_recargas!$I$81*'Plan mensual'!E185+parametros_recargas!$J$81*'Plan mensual'!E186+parametros_recargas!$K$81*'Plan mensual'!E187+parametros_recargas!$L$81*'Plan mensual'!E188</f>
        <v>374.671852777983</v>
      </c>
      <c r="D171" s="21" t="n">
        <f aca="false">parametros_recargas!$E$81*'Plan mensual'!F181+parametros_recargas!$F$81*'Plan mensual'!F182+parametros_recargas!$G$81*'Plan mensual'!F183+parametros_recargas!$H$81*'Plan mensual'!F184+parametros_recargas!$I$81*'Plan mensual'!F185+parametros_recargas!$J$81*'Plan mensual'!F186+parametros_recargas!$K$81*'Plan mensual'!F187+parametros_recargas!$L$81*'Plan mensual'!F188</f>
        <v>374.671852777983</v>
      </c>
      <c r="E171" s="21" t="n">
        <f aca="false">parametros_recargas!$E$81*'Plan mensual'!G181+parametros_recargas!$F$81*'Plan mensual'!G182+parametros_recargas!$G$81*'Plan mensual'!G183+parametros_recargas!$H$81*'Plan mensual'!G184+parametros_recargas!$I$81*'Plan mensual'!G185+parametros_recargas!$J$81*'Plan mensual'!G186+parametros_recargas!$K$81*'Plan mensual'!G187+parametros_recargas!$L$81*'Plan mensual'!G188</f>
        <v>374.671852777983</v>
      </c>
      <c r="F171" s="21" t="n">
        <f aca="false">parametros_recargas!$E$81*'Plan mensual'!H181+parametros_recargas!$F$81*'Plan mensual'!H182+parametros_recargas!$G$81*'Plan mensual'!H183+parametros_recargas!$H$81*'Plan mensual'!H184+parametros_recargas!$I$81*'Plan mensual'!H185+parametros_recargas!$J$81*'Plan mensual'!H186+parametros_recargas!$K$81*'Plan mensual'!H187+parametros_recargas!$L$81*'Plan mensual'!H188</f>
        <v>374.671852777983</v>
      </c>
      <c r="G171" s="21" t="n">
        <f aca="false">parametros_recargas!$E$81*'Plan mensual'!I181+parametros_recargas!$F$81*'Plan mensual'!I182+parametros_recargas!$G$81*'Plan mensual'!I183+parametros_recargas!$H$81*'Plan mensual'!I184+parametros_recargas!$I$81*'Plan mensual'!I185+parametros_recargas!$J$81*'Plan mensual'!I186+parametros_recargas!$K$81*'Plan mensual'!I187+parametros_recargas!$L$81*'Plan mensual'!I188</f>
        <v>374.671852777983</v>
      </c>
      <c r="H171" s="21" t="n">
        <f aca="false">parametros_recargas!$E$81*'Plan mensual'!J181+parametros_recargas!$F$81*'Plan mensual'!J182+parametros_recargas!$G$81*'Plan mensual'!J183+parametros_recargas!$H$81*'Plan mensual'!J184+parametros_recargas!$I$81*'Plan mensual'!J185+parametros_recargas!$J$81*'Plan mensual'!J186+parametros_recargas!$K$81*'Plan mensual'!J187+parametros_recargas!$L$81*'Plan mensual'!J188</f>
        <v>374.671852777983</v>
      </c>
      <c r="I171" s="21" t="n">
        <f aca="false">parametros_recargas!$E$81*'Plan mensual'!K181+parametros_recargas!$F$81*'Plan mensual'!K182+parametros_recargas!$G$81*'Plan mensual'!K183+parametros_recargas!$H$81*'Plan mensual'!K184+parametros_recargas!$I$81*'Plan mensual'!K185+parametros_recargas!$J$81*'Plan mensual'!K186+parametros_recargas!$K$81*'Plan mensual'!K187+parametros_recargas!$L$81*'Plan mensual'!K188</f>
        <v>374.671852777983</v>
      </c>
      <c r="J171" s="21" t="n">
        <f aca="false">parametros_recargas!$E$81*'Plan mensual'!L181+parametros_recargas!$F$81*'Plan mensual'!L182+parametros_recargas!$G$81*'Plan mensual'!L183+parametros_recargas!$H$81*'Plan mensual'!L184+parametros_recargas!$I$81*'Plan mensual'!L185+parametros_recargas!$J$81*'Plan mensual'!L186+parametros_recargas!$K$81*'Plan mensual'!L187+parametros_recargas!$L$81*'Plan mensual'!L188</f>
        <v>374.671852777983</v>
      </c>
      <c r="K171" s="21" t="n">
        <f aca="false">parametros_recargas!$E$81*'Plan mensual'!M181+parametros_recargas!$F$81*'Plan mensual'!M182+parametros_recargas!$G$81*'Plan mensual'!M183+parametros_recargas!$H$81*'Plan mensual'!M184+parametros_recargas!$I$81*'Plan mensual'!M185+parametros_recargas!$J$81*'Plan mensual'!M186+parametros_recargas!$K$81*'Plan mensual'!M187+parametros_recargas!$L$81*'Plan mensual'!M188</f>
        <v>374.671852777983</v>
      </c>
      <c r="L171" s="21" t="n">
        <f aca="false">parametros_recargas!$E$81*'Plan mensual'!N181+parametros_recargas!$F$81*'Plan mensual'!N182+parametros_recargas!$G$81*'Plan mensual'!N183+parametros_recargas!$H$81*'Plan mensual'!N184+parametros_recargas!$I$81*'Plan mensual'!N185+parametros_recargas!$J$81*'Plan mensual'!N186+parametros_recargas!$K$81*'Plan mensual'!N187+parametros_recargas!$L$81*'Plan mensual'!N188</f>
        <v>374.671852777983</v>
      </c>
      <c r="M171" s="21" t="n">
        <f aca="false">parametros_recargas!$E$81*'Plan mensual'!O181+parametros_recargas!$F$81*'Plan mensual'!O182+parametros_recargas!$G$81*'Plan mensual'!O183+parametros_recargas!$H$81*'Plan mensual'!O184+parametros_recargas!$I$81*'Plan mensual'!O185+parametros_recargas!$J$81*'Plan mensual'!O186+parametros_recargas!$K$81*'Plan mensual'!O187+parametros_recargas!$L$81*'Plan mensual'!O188</f>
        <v>374.671852777983</v>
      </c>
      <c r="N171" s="6" t="n">
        <f aca="false">SUM(B171:M171)</f>
        <v>4496.0622333358</v>
      </c>
      <c r="O171" s="22" t="n">
        <f aca="false">MAX(B171:M171)</f>
        <v>374.671852777983</v>
      </c>
      <c r="P171" s="12" t="n">
        <f aca="false">O171/parametros_recargas!$B$6</f>
        <v>2.49781235185322</v>
      </c>
    </row>
    <row r="172" customFormat="false" ht="15" hidden="false" customHeight="false" outlineLevel="0" collapsed="false">
      <c r="A172" s="8" t="str">
        <f aca="false">parametros_recargas!$B$82</f>
        <v>Laboratorio — Puffer y mufla</v>
      </c>
      <c r="B172" s="21" t="n">
        <f aca="false">parametros_recargas!$E$82*'Plan mensual'!D181+parametros_recargas!$F$82*'Plan mensual'!D182+parametros_recargas!$G$82*'Plan mensual'!D183+parametros_recargas!$H$82*'Plan mensual'!D184+parametros_recargas!$I$82*'Plan mensual'!D185+parametros_recargas!$J$82*'Plan mensual'!D186+parametros_recargas!$K$82*'Plan mensual'!D187+parametros_recargas!$L$82*'Plan mensual'!D188</f>
        <v>4.91943726545627</v>
      </c>
      <c r="C172" s="21" t="n">
        <f aca="false">parametros_recargas!$E$82*'Plan mensual'!E181+parametros_recargas!$F$82*'Plan mensual'!E182+parametros_recargas!$G$82*'Plan mensual'!E183+parametros_recargas!$H$82*'Plan mensual'!E184+parametros_recargas!$I$82*'Plan mensual'!E185+parametros_recargas!$J$82*'Plan mensual'!E186+parametros_recargas!$K$82*'Plan mensual'!E187+parametros_recargas!$L$82*'Plan mensual'!E188</f>
        <v>4.91943726545627</v>
      </c>
      <c r="D172" s="21" t="n">
        <f aca="false">parametros_recargas!$E$82*'Plan mensual'!F181+parametros_recargas!$F$82*'Plan mensual'!F182+parametros_recargas!$G$82*'Plan mensual'!F183+parametros_recargas!$H$82*'Plan mensual'!F184+parametros_recargas!$I$82*'Plan mensual'!F185+parametros_recargas!$J$82*'Plan mensual'!F186+parametros_recargas!$K$82*'Plan mensual'!F187+parametros_recargas!$L$82*'Plan mensual'!F188</f>
        <v>4.91943726545627</v>
      </c>
      <c r="E172" s="21" t="n">
        <f aca="false">parametros_recargas!$E$82*'Plan mensual'!G181+parametros_recargas!$F$82*'Plan mensual'!G182+parametros_recargas!$G$82*'Plan mensual'!G183+parametros_recargas!$H$82*'Plan mensual'!G184+parametros_recargas!$I$82*'Plan mensual'!G185+parametros_recargas!$J$82*'Plan mensual'!G186+parametros_recargas!$K$82*'Plan mensual'!G187+parametros_recargas!$L$82*'Plan mensual'!G188</f>
        <v>4.91943726545627</v>
      </c>
      <c r="F172" s="21" t="n">
        <f aca="false">parametros_recargas!$E$82*'Plan mensual'!H181+parametros_recargas!$F$82*'Plan mensual'!H182+parametros_recargas!$G$82*'Plan mensual'!H183+parametros_recargas!$H$82*'Plan mensual'!H184+parametros_recargas!$I$82*'Plan mensual'!H185+parametros_recargas!$J$82*'Plan mensual'!H186+parametros_recargas!$K$82*'Plan mensual'!H187+parametros_recargas!$L$82*'Plan mensual'!H188</f>
        <v>4.91943726545627</v>
      </c>
      <c r="G172" s="21" t="n">
        <f aca="false">parametros_recargas!$E$82*'Plan mensual'!I181+parametros_recargas!$F$82*'Plan mensual'!I182+parametros_recargas!$G$82*'Plan mensual'!I183+parametros_recargas!$H$82*'Plan mensual'!I184+parametros_recargas!$I$82*'Plan mensual'!I185+parametros_recargas!$J$82*'Plan mensual'!I186+parametros_recargas!$K$82*'Plan mensual'!I187+parametros_recargas!$L$82*'Plan mensual'!I188</f>
        <v>4.91943726545627</v>
      </c>
      <c r="H172" s="21" t="n">
        <f aca="false">parametros_recargas!$E$82*'Plan mensual'!J181+parametros_recargas!$F$82*'Plan mensual'!J182+parametros_recargas!$G$82*'Plan mensual'!J183+parametros_recargas!$H$82*'Plan mensual'!J184+parametros_recargas!$I$82*'Plan mensual'!J185+parametros_recargas!$J$82*'Plan mensual'!J186+parametros_recargas!$K$82*'Plan mensual'!J187+parametros_recargas!$L$82*'Plan mensual'!J188</f>
        <v>4.91943726545627</v>
      </c>
      <c r="I172" s="21" t="n">
        <f aca="false">parametros_recargas!$E$82*'Plan mensual'!K181+parametros_recargas!$F$82*'Plan mensual'!K182+parametros_recargas!$G$82*'Plan mensual'!K183+parametros_recargas!$H$82*'Plan mensual'!K184+parametros_recargas!$I$82*'Plan mensual'!K185+parametros_recargas!$J$82*'Plan mensual'!K186+parametros_recargas!$K$82*'Plan mensual'!K187+parametros_recargas!$L$82*'Plan mensual'!K188</f>
        <v>4.91943726545627</v>
      </c>
      <c r="J172" s="21" t="n">
        <f aca="false">parametros_recargas!$E$82*'Plan mensual'!L181+parametros_recargas!$F$82*'Plan mensual'!L182+parametros_recargas!$G$82*'Plan mensual'!L183+parametros_recargas!$H$82*'Plan mensual'!L184+parametros_recargas!$I$82*'Plan mensual'!L185+parametros_recargas!$J$82*'Plan mensual'!L186+parametros_recargas!$K$82*'Plan mensual'!L187+parametros_recargas!$L$82*'Plan mensual'!L188</f>
        <v>4.91943726545627</v>
      </c>
      <c r="K172" s="21" t="n">
        <f aca="false">parametros_recargas!$E$82*'Plan mensual'!M181+parametros_recargas!$F$82*'Plan mensual'!M182+parametros_recargas!$G$82*'Plan mensual'!M183+parametros_recargas!$H$82*'Plan mensual'!M184+parametros_recargas!$I$82*'Plan mensual'!M185+parametros_recargas!$J$82*'Plan mensual'!M186+parametros_recargas!$K$82*'Plan mensual'!M187+parametros_recargas!$L$82*'Plan mensual'!M188</f>
        <v>4.91943726545627</v>
      </c>
      <c r="L172" s="21" t="n">
        <f aca="false">parametros_recargas!$E$82*'Plan mensual'!N181+parametros_recargas!$F$82*'Plan mensual'!N182+parametros_recargas!$G$82*'Plan mensual'!N183+parametros_recargas!$H$82*'Plan mensual'!N184+parametros_recargas!$I$82*'Plan mensual'!N185+parametros_recargas!$J$82*'Plan mensual'!N186+parametros_recargas!$K$82*'Plan mensual'!N187+parametros_recargas!$L$82*'Plan mensual'!N188</f>
        <v>4.91943726545627</v>
      </c>
      <c r="M172" s="21" t="n">
        <f aca="false">parametros_recargas!$E$82*'Plan mensual'!O181+parametros_recargas!$F$82*'Plan mensual'!O182+parametros_recargas!$G$82*'Plan mensual'!O183+parametros_recargas!$H$82*'Plan mensual'!O184+parametros_recargas!$I$82*'Plan mensual'!O185+parametros_recargas!$J$82*'Plan mensual'!O186+parametros_recargas!$K$82*'Plan mensual'!O187+parametros_recargas!$L$82*'Plan mensual'!O188</f>
        <v>4.91943726545627</v>
      </c>
      <c r="N172" s="6" t="n">
        <f aca="false">SUM(B172:M172)</f>
        <v>59.0332471854752</v>
      </c>
      <c r="O172" s="22" t="n">
        <f aca="false">MAX(B172:M172)</f>
        <v>4.91943726545627</v>
      </c>
      <c r="P172" s="12" t="n">
        <f aca="false">O172/parametros_recargas!$B$6</f>
        <v>0.0327962484363751</v>
      </c>
    </row>
    <row r="173" customFormat="false" ht="15" hidden="false" customHeight="false" outlineLevel="0" collapsed="false">
      <c r="A173" s="8" t="str">
        <f aca="false">parametros_recargas!$B$83</f>
        <v>Prueba hidráulica</v>
      </c>
      <c r="B173" s="21" t="n">
        <f aca="false">parametros_recargas!$E$83*'Plan mensual'!D181+parametros_recargas!$F$83*'Plan mensual'!D182+parametros_recargas!$G$83*'Plan mensual'!D183+parametros_recargas!$H$83*'Plan mensual'!D184+parametros_recargas!$I$83*'Plan mensual'!D185+parametros_recargas!$J$83*'Plan mensual'!D186+parametros_recargas!$K$83*'Plan mensual'!D187+parametros_recargas!$L$83*'Plan mensual'!D188</f>
        <v>1208.83512612194</v>
      </c>
      <c r="C173" s="21" t="n">
        <f aca="false">parametros_recargas!$E$83*'Plan mensual'!E181+parametros_recargas!$F$83*'Plan mensual'!E182+parametros_recargas!$G$83*'Plan mensual'!E183+parametros_recargas!$H$83*'Plan mensual'!E184+parametros_recargas!$I$83*'Plan mensual'!E185+parametros_recargas!$J$83*'Plan mensual'!E186+parametros_recargas!$K$83*'Plan mensual'!E187+parametros_recargas!$L$83*'Plan mensual'!E188</f>
        <v>1208.83512612194</v>
      </c>
      <c r="D173" s="21" t="n">
        <f aca="false">parametros_recargas!$E$83*'Plan mensual'!F181+parametros_recargas!$F$83*'Plan mensual'!F182+parametros_recargas!$G$83*'Plan mensual'!F183+parametros_recargas!$H$83*'Plan mensual'!F184+parametros_recargas!$I$83*'Plan mensual'!F185+parametros_recargas!$J$83*'Plan mensual'!F186+parametros_recargas!$K$83*'Plan mensual'!F187+parametros_recargas!$L$83*'Plan mensual'!F188</f>
        <v>1208.83512612194</v>
      </c>
      <c r="E173" s="21" t="n">
        <f aca="false">parametros_recargas!$E$83*'Plan mensual'!G181+parametros_recargas!$F$83*'Plan mensual'!G182+parametros_recargas!$G$83*'Plan mensual'!G183+parametros_recargas!$H$83*'Plan mensual'!G184+parametros_recargas!$I$83*'Plan mensual'!G185+parametros_recargas!$J$83*'Plan mensual'!G186+parametros_recargas!$K$83*'Plan mensual'!G187+parametros_recargas!$L$83*'Plan mensual'!G188</f>
        <v>1208.83512612194</v>
      </c>
      <c r="F173" s="21" t="n">
        <f aca="false">parametros_recargas!$E$83*'Plan mensual'!H181+parametros_recargas!$F$83*'Plan mensual'!H182+parametros_recargas!$G$83*'Plan mensual'!H183+parametros_recargas!$H$83*'Plan mensual'!H184+parametros_recargas!$I$83*'Plan mensual'!H185+parametros_recargas!$J$83*'Plan mensual'!H186+parametros_recargas!$K$83*'Plan mensual'!H187+parametros_recargas!$L$83*'Plan mensual'!H188</f>
        <v>1208.83512612194</v>
      </c>
      <c r="G173" s="21" t="n">
        <f aca="false">parametros_recargas!$E$83*'Plan mensual'!I181+parametros_recargas!$F$83*'Plan mensual'!I182+parametros_recargas!$G$83*'Plan mensual'!I183+parametros_recargas!$H$83*'Plan mensual'!I184+parametros_recargas!$I$83*'Plan mensual'!I185+parametros_recargas!$J$83*'Plan mensual'!I186+parametros_recargas!$K$83*'Plan mensual'!I187+parametros_recargas!$L$83*'Plan mensual'!I188</f>
        <v>1208.83512612194</v>
      </c>
      <c r="H173" s="21" t="n">
        <f aca="false">parametros_recargas!$E$83*'Plan mensual'!J181+parametros_recargas!$F$83*'Plan mensual'!J182+parametros_recargas!$G$83*'Plan mensual'!J183+parametros_recargas!$H$83*'Plan mensual'!J184+parametros_recargas!$I$83*'Plan mensual'!J185+parametros_recargas!$J$83*'Plan mensual'!J186+parametros_recargas!$K$83*'Plan mensual'!J187+parametros_recargas!$L$83*'Plan mensual'!J188</f>
        <v>1208.83512612194</v>
      </c>
      <c r="I173" s="21" t="n">
        <f aca="false">parametros_recargas!$E$83*'Plan mensual'!K181+parametros_recargas!$F$83*'Plan mensual'!K182+parametros_recargas!$G$83*'Plan mensual'!K183+parametros_recargas!$H$83*'Plan mensual'!K184+parametros_recargas!$I$83*'Plan mensual'!K185+parametros_recargas!$J$83*'Plan mensual'!K186+parametros_recargas!$K$83*'Plan mensual'!K187+parametros_recargas!$L$83*'Plan mensual'!K188</f>
        <v>1208.83512612194</v>
      </c>
      <c r="J173" s="21" t="n">
        <f aca="false">parametros_recargas!$E$83*'Plan mensual'!L181+parametros_recargas!$F$83*'Plan mensual'!L182+parametros_recargas!$G$83*'Plan mensual'!L183+parametros_recargas!$H$83*'Plan mensual'!L184+parametros_recargas!$I$83*'Plan mensual'!L185+parametros_recargas!$J$83*'Plan mensual'!L186+parametros_recargas!$K$83*'Plan mensual'!L187+parametros_recargas!$L$83*'Plan mensual'!L188</f>
        <v>1208.83512612194</v>
      </c>
      <c r="K173" s="21" t="n">
        <f aca="false">parametros_recargas!$E$83*'Plan mensual'!M181+parametros_recargas!$F$83*'Plan mensual'!M182+parametros_recargas!$G$83*'Plan mensual'!M183+parametros_recargas!$H$83*'Plan mensual'!M184+parametros_recargas!$I$83*'Plan mensual'!M185+parametros_recargas!$J$83*'Plan mensual'!M186+parametros_recargas!$K$83*'Plan mensual'!M187+parametros_recargas!$L$83*'Plan mensual'!M188</f>
        <v>1208.83512612194</v>
      </c>
      <c r="L173" s="21" t="n">
        <f aca="false">parametros_recargas!$E$83*'Plan mensual'!N181+parametros_recargas!$F$83*'Plan mensual'!N182+parametros_recargas!$G$83*'Plan mensual'!N183+parametros_recargas!$H$83*'Plan mensual'!N184+parametros_recargas!$I$83*'Plan mensual'!N185+parametros_recargas!$J$83*'Plan mensual'!N186+parametros_recargas!$K$83*'Plan mensual'!N187+parametros_recargas!$L$83*'Plan mensual'!N188</f>
        <v>1208.83512612194</v>
      </c>
      <c r="M173" s="21" t="n">
        <f aca="false">parametros_recargas!$E$83*'Plan mensual'!O181+parametros_recargas!$F$83*'Plan mensual'!O182+parametros_recargas!$G$83*'Plan mensual'!O183+parametros_recargas!$H$83*'Plan mensual'!O184+parametros_recargas!$I$83*'Plan mensual'!O185+parametros_recargas!$J$83*'Plan mensual'!O186+parametros_recargas!$K$83*'Plan mensual'!O187+parametros_recargas!$L$83*'Plan mensual'!O188</f>
        <v>1208.83512612194</v>
      </c>
      <c r="N173" s="6" t="n">
        <f aca="false">SUM(B173:M173)</f>
        <v>14506.0215134633</v>
      </c>
      <c r="O173" s="22" t="n">
        <f aca="false">MAX(B173:M173)</f>
        <v>1208.83512612194</v>
      </c>
      <c r="P173" s="12" t="n">
        <f aca="false">O173/parametros_recargas!$B$6</f>
        <v>8.05890084081295</v>
      </c>
    </row>
    <row r="174" customFormat="false" ht="15" hidden="false" customHeight="false" outlineLevel="0" collapsed="false">
      <c r="A174" s="8" t="str">
        <f aca="false">parametros_recargas!$B$84</f>
        <v>Secado</v>
      </c>
      <c r="B174" s="21" t="n">
        <f aca="false">parametros_recargas!$E$84*'Plan mensual'!D181+parametros_recargas!$F$84*'Plan mensual'!D182+parametros_recargas!$G$84*'Plan mensual'!D183+parametros_recargas!$H$84*'Plan mensual'!D184+parametros_recargas!$I$84*'Plan mensual'!D185+parametros_recargas!$J$84*'Plan mensual'!D186+parametros_recargas!$K$84*'Plan mensual'!D187+parametros_recargas!$L$84*'Plan mensual'!D188</f>
        <v>1131.36650495493</v>
      </c>
      <c r="C174" s="21" t="n">
        <f aca="false">parametros_recargas!$E$84*'Plan mensual'!E181+parametros_recargas!$F$84*'Plan mensual'!E182+parametros_recargas!$G$84*'Plan mensual'!E183+parametros_recargas!$H$84*'Plan mensual'!E184+parametros_recargas!$I$84*'Plan mensual'!E185+parametros_recargas!$J$84*'Plan mensual'!E186+parametros_recargas!$K$84*'Plan mensual'!E187+parametros_recargas!$L$84*'Plan mensual'!E188</f>
        <v>1131.36650495493</v>
      </c>
      <c r="D174" s="21" t="n">
        <f aca="false">parametros_recargas!$E$84*'Plan mensual'!F181+parametros_recargas!$F$84*'Plan mensual'!F182+parametros_recargas!$G$84*'Plan mensual'!F183+parametros_recargas!$H$84*'Plan mensual'!F184+parametros_recargas!$I$84*'Plan mensual'!F185+parametros_recargas!$J$84*'Plan mensual'!F186+parametros_recargas!$K$84*'Plan mensual'!F187+parametros_recargas!$L$84*'Plan mensual'!F188</f>
        <v>1131.36650495493</v>
      </c>
      <c r="E174" s="21" t="n">
        <f aca="false">parametros_recargas!$E$84*'Plan mensual'!G181+parametros_recargas!$F$84*'Plan mensual'!G182+parametros_recargas!$G$84*'Plan mensual'!G183+parametros_recargas!$H$84*'Plan mensual'!G184+parametros_recargas!$I$84*'Plan mensual'!G185+parametros_recargas!$J$84*'Plan mensual'!G186+parametros_recargas!$K$84*'Plan mensual'!G187+parametros_recargas!$L$84*'Plan mensual'!G188</f>
        <v>1131.36650495493</v>
      </c>
      <c r="F174" s="21" t="n">
        <f aca="false">parametros_recargas!$E$84*'Plan mensual'!H181+parametros_recargas!$F$84*'Plan mensual'!H182+parametros_recargas!$G$84*'Plan mensual'!H183+parametros_recargas!$H$84*'Plan mensual'!H184+parametros_recargas!$I$84*'Plan mensual'!H185+parametros_recargas!$J$84*'Plan mensual'!H186+parametros_recargas!$K$84*'Plan mensual'!H187+parametros_recargas!$L$84*'Plan mensual'!H188</f>
        <v>1131.36650495493</v>
      </c>
      <c r="G174" s="21" t="n">
        <f aca="false">parametros_recargas!$E$84*'Plan mensual'!I181+parametros_recargas!$F$84*'Plan mensual'!I182+parametros_recargas!$G$84*'Plan mensual'!I183+parametros_recargas!$H$84*'Plan mensual'!I184+parametros_recargas!$I$84*'Plan mensual'!I185+parametros_recargas!$J$84*'Plan mensual'!I186+parametros_recargas!$K$84*'Plan mensual'!I187+parametros_recargas!$L$84*'Plan mensual'!I188</f>
        <v>1131.36650495493</v>
      </c>
      <c r="H174" s="21" t="n">
        <f aca="false">parametros_recargas!$E$84*'Plan mensual'!J181+parametros_recargas!$F$84*'Plan mensual'!J182+parametros_recargas!$G$84*'Plan mensual'!J183+parametros_recargas!$H$84*'Plan mensual'!J184+parametros_recargas!$I$84*'Plan mensual'!J185+parametros_recargas!$J$84*'Plan mensual'!J186+parametros_recargas!$K$84*'Plan mensual'!J187+parametros_recargas!$L$84*'Plan mensual'!J188</f>
        <v>1131.36650495493</v>
      </c>
      <c r="I174" s="21" t="n">
        <f aca="false">parametros_recargas!$E$84*'Plan mensual'!K181+parametros_recargas!$F$84*'Plan mensual'!K182+parametros_recargas!$G$84*'Plan mensual'!K183+parametros_recargas!$H$84*'Plan mensual'!K184+parametros_recargas!$I$84*'Plan mensual'!K185+parametros_recargas!$J$84*'Plan mensual'!K186+parametros_recargas!$K$84*'Plan mensual'!K187+parametros_recargas!$L$84*'Plan mensual'!K188</f>
        <v>1131.36650495493</v>
      </c>
      <c r="J174" s="21" t="n">
        <f aca="false">parametros_recargas!$E$84*'Plan mensual'!L181+parametros_recargas!$F$84*'Plan mensual'!L182+parametros_recargas!$G$84*'Plan mensual'!L183+parametros_recargas!$H$84*'Plan mensual'!L184+parametros_recargas!$I$84*'Plan mensual'!L185+parametros_recargas!$J$84*'Plan mensual'!L186+parametros_recargas!$K$84*'Plan mensual'!L187+parametros_recargas!$L$84*'Plan mensual'!L188</f>
        <v>1131.36650495493</v>
      </c>
      <c r="K174" s="21" t="n">
        <f aca="false">parametros_recargas!$E$84*'Plan mensual'!M181+parametros_recargas!$F$84*'Plan mensual'!M182+parametros_recargas!$G$84*'Plan mensual'!M183+parametros_recargas!$H$84*'Plan mensual'!M184+parametros_recargas!$I$84*'Plan mensual'!M185+parametros_recargas!$J$84*'Plan mensual'!M186+parametros_recargas!$K$84*'Plan mensual'!M187+parametros_recargas!$L$84*'Plan mensual'!M188</f>
        <v>1131.36650495493</v>
      </c>
      <c r="L174" s="21" t="n">
        <f aca="false">parametros_recargas!$E$84*'Plan mensual'!N181+parametros_recargas!$F$84*'Plan mensual'!N182+parametros_recargas!$G$84*'Plan mensual'!N183+parametros_recargas!$H$84*'Plan mensual'!N184+parametros_recargas!$I$84*'Plan mensual'!N185+parametros_recargas!$J$84*'Plan mensual'!N186+parametros_recargas!$K$84*'Plan mensual'!N187+parametros_recargas!$L$84*'Plan mensual'!N188</f>
        <v>1131.36650495493</v>
      </c>
      <c r="M174" s="21" t="n">
        <f aca="false">parametros_recargas!$E$84*'Plan mensual'!O181+parametros_recargas!$F$84*'Plan mensual'!O182+parametros_recargas!$G$84*'Plan mensual'!O183+parametros_recargas!$H$84*'Plan mensual'!O184+parametros_recargas!$I$84*'Plan mensual'!O185+parametros_recargas!$J$84*'Plan mensual'!O186+parametros_recargas!$K$84*'Plan mensual'!O187+parametros_recargas!$L$84*'Plan mensual'!O188</f>
        <v>1131.36650495493</v>
      </c>
      <c r="N174" s="6" t="n">
        <f aca="false">SUM(B174:M174)</f>
        <v>13576.3980594592</v>
      </c>
      <c r="O174" s="22" t="n">
        <f aca="false">MAX(B174:M174)</f>
        <v>1131.36650495493</v>
      </c>
      <c r="P174" s="12" t="n">
        <f aca="false">O174/parametros_recargas!$B$6</f>
        <v>7.5424433663662</v>
      </c>
    </row>
    <row r="175" customFormat="false" ht="15" hidden="false" customHeight="false" outlineLevel="0" collapsed="false">
      <c r="A175" s="8" t="str">
        <f aca="false">parametros_recargas!$B$85</f>
        <v>Inspección interior con videoscopio</v>
      </c>
      <c r="B175" s="21" t="n">
        <f aca="false">parametros_recargas!$E$85*'Plan mensual'!D181+parametros_recargas!$F$85*'Plan mensual'!D182+parametros_recargas!$G$85*'Plan mensual'!D183+parametros_recargas!$H$85*'Plan mensual'!D184+parametros_recargas!$I$85*'Plan mensual'!D185+parametros_recargas!$J$85*'Plan mensual'!D186+parametros_recargas!$K$85*'Plan mensual'!D187+parametros_recargas!$L$85*'Plan mensual'!D188</f>
        <v>1131.36650495493</v>
      </c>
      <c r="C175" s="21" t="n">
        <f aca="false">parametros_recargas!$E$85*'Plan mensual'!E181+parametros_recargas!$F$85*'Plan mensual'!E182+parametros_recargas!$G$85*'Plan mensual'!E183+parametros_recargas!$H$85*'Plan mensual'!E184+parametros_recargas!$I$85*'Plan mensual'!E185+parametros_recargas!$J$85*'Plan mensual'!E186+parametros_recargas!$K$85*'Plan mensual'!E187+parametros_recargas!$L$85*'Plan mensual'!E188</f>
        <v>1131.36650495493</v>
      </c>
      <c r="D175" s="21" t="n">
        <f aca="false">parametros_recargas!$E$85*'Plan mensual'!F181+parametros_recargas!$F$85*'Plan mensual'!F182+parametros_recargas!$G$85*'Plan mensual'!F183+parametros_recargas!$H$85*'Plan mensual'!F184+parametros_recargas!$I$85*'Plan mensual'!F185+parametros_recargas!$J$85*'Plan mensual'!F186+parametros_recargas!$K$85*'Plan mensual'!F187+parametros_recargas!$L$85*'Plan mensual'!F188</f>
        <v>1131.36650495493</v>
      </c>
      <c r="E175" s="21" t="n">
        <f aca="false">parametros_recargas!$E$85*'Plan mensual'!G181+parametros_recargas!$F$85*'Plan mensual'!G182+parametros_recargas!$G$85*'Plan mensual'!G183+parametros_recargas!$H$85*'Plan mensual'!G184+parametros_recargas!$I$85*'Plan mensual'!G185+parametros_recargas!$J$85*'Plan mensual'!G186+parametros_recargas!$K$85*'Plan mensual'!G187+parametros_recargas!$L$85*'Plan mensual'!G188</f>
        <v>1131.36650495493</v>
      </c>
      <c r="F175" s="21" t="n">
        <f aca="false">parametros_recargas!$E$85*'Plan mensual'!H181+parametros_recargas!$F$85*'Plan mensual'!H182+parametros_recargas!$G$85*'Plan mensual'!H183+parametros_recargas!$H$85*'Plan mensual'!H184+parametros_recargas!$I$85*'Plan mensual'!H185+parametros_recargas!$J$85*'Plan mensual'!H186+parametros_recargas!$K$85*'Plan mensual'!H187+parametros_recargas!$L$85*'Plan mensual'!H188</f>
        <v>1131.36650495493</v>
      </c>
      <c r="G175" s="21" t="n">
        <f aca="false">parametros_recargas!$E$85*'Plan mensual'!I181+parametros_recargas!$F$85*'Plan mensual'!I182+parametros_recargas!$G$85*'Plan mensual'!I183+parametros_recargas!$H$85*'Plan mensual'!I184+parametros_recargas!$I$85*'Plan mensual'!I185+parametros_recargas!$J$85*'Plan mensual'!I186+parametros_recargas!$K$85*'Plan mensual'!I187+parametros_recargas!$L$85*'Plan mensual'!I188</f>
        <v>1131.36650495493</v>
      </c>
      <c r="H175" s="21" t="n">
        <f aca="false">parametros_recargas!$E$85*'Plan mensual'!J181+parametros_recargas!$F$85*'Plan mensual'!J182+parametros_recargas!$G$85*'Plan mensual'!J183+parametros_recargas!$H$85*'Plan mensual'!J184+parametros_recargas!$I$85*'Plan mensual'!J185+parametros_recargas!$J$85*'Plan mensual'!J186+parametros_recargas!$K$85*'Plan mensual'!J187+parametros_recargas!$L$85*'Plan mensual'!J188</f>
        <v>1131.36650495493</v>
      </c>
      <c r="I175" s="21" t="n">
        <f aca="false">parametros_recargas!$E$85*'Plan mensual'!K181+parametros_recargas!$F$85*'Plan mensual'!K182+parametros_recargas!$G$85*'Plan mensual'!K183+parametros_recargas!$H$85*'Plan mensual'!K184+parametros_recargas!$I$85*'Plan mensual'!K185+parametros_recargas!$J$85*'Plan mensual'!K186+parametros_recargas!$K$85*'Plan mensual'!K187+parametros_recargas!$L$85*'Plan mensual'!K188</f>
        <v>1131.36650495493</v>
      </c>
      <c r="J175" s="21" t="n">
        <f aca="false">parametros_recargas!$E$85*'Plan mensual'!L181+parametros_recargas!$F$85*'Plan mensual'!L182+parametros_recargas!$G$85*'Plan mensual'!L183+parametros_recargas!$H$85*'Plan mensual'!L184+parametros_recargas!$I$85*'Plan mensual'!L185+parametros_recargas!$J$85*'Plan mensual'!L186+parametros_recargas!$K$85*'Plan mensual'!L187+parametros_recargas!$L$85*'Plan mensual'!L188</f>
        <v>1131.36650495493</v>
      </c>
      <c r="K175" s="21" t="n">
        <f aca="false">parametros_recargas!$E$85*'Plan mensual'!M181+parametros_recargas!$F$85*'Plan mensual'!M182+parametros_recargas!$G$85*'Plan mensual'!M183+parametros_recargas!$H$85*'Plan mensual'!M184+parametros_recargas!$I$85*'Plan mensual'!M185+parametros_recargas!$J$85*'Plan mensual'!M186+parametros_recargas!$K$85*'Plan mensual'!M187+parametros_recargas!$L$85*'Plan mensual'!M188</f>
        <v>1131.36650495493</v>
      </c>
      <c r="L175" s="21" t="n">
        <f aca="false">parametros_recargas!$E$85*'Plan mensual'!N181+parametros_recargas!$F$85*'Plan mensual'!N182+parametros_recargas!$G$85*'Plan mensual'!N183+parametros_recargas!$H$85*'Plan mensual'!N184+parametros_recargas!$I$85*'Plan mensual'!N185+parametros_recargas!$J$85*'Plan mensual'!N186+parametros_recargas!$K$85*'Plan mensual'!N187+parametros_recargas!$L$85*'Plan mensual'!N188</f>
        <v>1131.36650495493</v>
      </c>
      <c r="M175" s="21" t="n">
        <f aca="false">parametros_recargas!$E$85*'Plan mensual'!O181+parametros_recargas!$F$85*'Plan mensual'!O182+parametros_recargas!$G$85*'Plan mensual'!O183+parametros_recargas!$H$85*'Plan mensual'!O184+parametros_recargas!$I$85*'Plan mensual'!O185+parametros_recargas!$J$85*'Plan mensual'!O186+parametros_recargas!$K$85*'Plan mensual'!O187+parametros_recargas!$L$85*'Plan mensual'!O188</f>
        <v>1131.36650495493</v>
      </c>
      <c r="N175" s="6" t="n">
        <f aca="false">SUM(B175:M175)</f>
        <v>13576.3980594592</v>
      </c>
      <c r="O175" s="22" t="n">
        <f aca="false">MAX(B175:M175)</f>
        <v>1131.36650495493</v>
      </c>
      <c r="P175" s="12" t="n">
        <f aca="false">O175/parametros_recargas!$B$6</f>
        <v>7.5424433663662</v>
      </c>
    </row>
    <row r="176" customFormat="false" ht="15" hidden="false" customHeight="false" outlineLevel="0" collapsed="false">
      <c r="A176" s="8" t="str">
        <f aca="false">parametros_recargas!$B$86</f>
        <v>Pintura</v>
      </c>
      <c r="B176" s="21" t="n">
        <f aca="false">parametros_recargas!$E$86*'Plan mensual'!D181+parametros_recargas!$F$86*'Plan mensual'!D182+parametros_recargas!$G$86*'Plan mensual'!D183+parametros_recargas!$H$86*'Plan mensual'!D184+parametros_recargas!$I$86*'Plan mensual'!D185+parametros_recargas!$J$86*'Plan mensual'!D186+parametros_recargas!$K$86*'Plan mensual'!D187+parametros_recargas!$L$86*'Plan mensual'!D188</f>
        <v>566.399984701593</v>
      </c>
      <c r="C176" s="21" t="n">
        <f aca="false">parametros_recargas!$E$86*'Plan mensual'!E181+parametros_recargas!$F$86*'Plan mensual'!E182+parametros_recargas!$G$86*'Plan mensual'!E183+parametros_recargas!$H$86*'Plan mensual'!E184+parametros_recargas!$I$86*'Plan mensual'!E185+parametros_recargas!$J$86*'Plan mensual'!E186+parametros_recargas!$K$86*'Plan mensual'!E187+parametros_recargas!$L$86*'Plan mensual'!E188</f>
        <v>566.399984701593</v>
      </c>
      <c r="D176" s="21" t="n">
        <f aca="false">parametros_recargas!$E$86*'Plan mensual'!F181+parametros_recargas!$F$86*'Plan mensual'!F182+parametros_recargas!$G$86*'Plan mensual'!F183+parametros_recargas!$H$86*'Plan mensual'!F184+parametros_recargas!$I$86*'Plan mensual'!F185+parametros_recargas!$J$86*'Plan mensual'!F186+parametros_recargas!$K$86*'Plan mensual'!F187+parametros_recargas!$L$86*'Plan mensual'!F188</f>
        <v>566.399984701593</v>
      </c>
      <c r="E176" s="21" t="n">
        <f aca="false">parametros_recargas!$E$86*'Plan mensual'!G181+parametros_recargas!$F$86*'Plan mensual'!G182+parametros_recargas!$G$86*'Plan mensual'!G183+parametros_recargas!$H$86*'Plan mensual'!G184+parametros_recargas!$I$86*'Plan mensual'!G185+parametros_recargas!$J$86*'Plan mensual'!G186+parametros_recargas!$K$86*'Plan mensual'!G187+parametros_recargas!$L$86*'Plan mensual'!G188</f>
        <v>566.399984701593</v>
      </c>
      <c r="F176" s="21" t="n">
        <f aca="false">parametros_recargas!$E$86*'Plan mensual'!H181+parametros_recargas!$F$86*'Plan mensual'!H182+parametros_recargas!$G$86*'Plan mensual'!H183+parametros_recargas!$H$86*'Plan mensual'!H184+parametros_recargas!$I$86*'Plan mensual'!H185+parametros_recargas!$J$86*'Plan mensual'!H186+parametros_recargas!$K$86*'Plan mensual'!H187+parametros_recargas!$L$86*'Plan mensual'!H188</f>
        <v>566.399984701593</v>
      </c>
      <c r="G176" s="21" t="n">
        <f aca="false">parametros_recargas!$E$86*'Plan mensual'!I181+parametros_recargas!$F$86*'Plan mensual'!I182+parametros_recargas!$G$86*'Plan mensual'!I183+parametros_recargas!$H$86*'Plan mensual'!I184+parametros_recargas!$I$86*'Plan mensual'!I185+parametros_recargas!$J$86*'Plan mensual'!I186+parametros_recargas!$K$86*'Plan mensual'!I187+parametros_recargas!$L$86*'Plan mensual'!I188</f>
        <v>566.399984701593</v>
      </c>
      <c r="H176" s="21" t="n">
        <f aca="false">parametros_recargas!$E$86*'Plan mensual'!J181+parametros_recargas!$F$86*'Plan mensual'!J182+parametros_recargas!$G$86*'Plan mensual'!J183+parametros_recargas!$H$86*'Plan mensual'!J184+parametros_recargas!$I$86*'Plan mensual'!J185+parametros_recargas!$J$86*'Plan mensual'!J186+parametros_recargas!$K$86*'Plan mensual'!J187+parametros_recargas!$L$86*'Plan mensual'!J188</f>
        <v>566.399984701593</v>
      </c>
      <c r="I176" s="21" t="n">
        <f aca="false">parametros_recargas!$E$86*'Plan mensual'!K181+parametros_recargas!$F$86*'Plan mensual'!K182+parametros_recargas!$G$86*'Plan mensual'!K183+parametros_recargas!$H$86*'Plan mensual'!K184+parametros_recargas!$I$86*'Plan mensual'!K185+parametros_recargas!$J$86*'Plan mensual'!K186+parametros_recargas!$K$86*'Plan mensual'!K187+parametros_recargas!$L$86*'Plan mensual'!K188</f>
        <v>566.399984701593</v>
      </c>
      <c r="J176" s="21" t="n">
        <f aca="false">parametros_recargas!$E$86*'Plan mensual'!L181+parametros_recargas!$F$86*'Plan mensual'!L182+parametros_recargas!$G$86*'Plan mensual'!L183+parametros_recargas!$H$86*'Plan mensual'!L184+parametros_recargas!$I$86*'Plan mensual'!L185+parametros_recargas!$J$86*'Plan mensual'!L186+parametros_recargas!$K$86*'Plan mensual'!L187+parametros_recargas!$L$86*'Plan mensual'!L188</f>
        <v>566.399984701593</v>
      </c>
      <c r="K176" s="21" t="n">
        <f aca="false">parametros_recargas!$E$86*'Plan mensual'!M181+parametros_recargas!$F$86*'Plan mensual'!M182+parametros_recargas!$G$86*'Plan mensual'!M183+parametros_recargas!$H$86*'Plan mensual'!M184+parametros_recargas!$I$86*'Plan mensual'!M185+parametros_recargas!$J$86*'Plan mensual'!M186+parametros_recargas!$K$86*'Plan mensual'!M187+parametros_recargas!$L$86*'Plan mensual'!M188</f>
        <v>566.399984701593</v>
      </c>
      <c r="L176" s="21" t="n">
        <f aca="false">parametros_recargas!$E$86*'Plan mensual'!N181+parametros_recargas!$F$86*'Plan mensual'!N182+parametros_recargas!$G$86*'Plan mensual'!N183+parametros_recargas!$H$86*'Plan mensual'!N184+parametros_recargas!$I$86*'Plan mensual'!N185+parametros_recargas!$J$86*'Plan mensual'!N186+parametros_recargas!$K$86*'Plan mensual'!N187+parametros_recargas!$L$86*'Plan mensual'!N188</f>
        <v>566.399984701593</v>
      </c>
      <c r="M176" s="21" t="n">
        <f aca="false">parametros_recargas!$E$86*'Plan mensual'!O181+parametros_recargas!$F$86*'Plan mensual'!O182+parametros_recargas!$G$86*'Plan mensual'!O183+parametros_recargas!$H$86*'Plan mensual'!O184+parametros_recargas!$I$86*'Plan mensual'!O185+parametros_recargas!$J$86*'Plan mensual'!O186+parametros_recargas!$K$86*'Plan mensual'!O187+parametros_recargas!$L$86*'Plan mensual'!O188</f>
        <v>566.399984701593</v>
      </c>
      <c r="N176" s="6" t="n">
        <f aca="false">SUM(B176:M176)</f>
        <v>6796.79981641911</v>
      </c>
      <c r="O176" s="22" t="n">
        <f aca="false">MAX(B176:M176)</f>
        <v>566.399984701593</v>
      </c>
      <c r="P176" s="12" t="n">
        <f aca="false">O176/parametros_recargas!$B$6</f>
        <v>3.77599989801062</v>
      </c>
    </row>
    <row r="177" customFormat="false" ht="15" hidden="false" customHeight="false" outlineLevel="0" collapsed="false">
      <c r="A177" s="8" t="str">
        <f aca="false">parametros_recargas!$B$87</f>
        <v>Carga de polvo ABC</v>
      </c>
      <c r="B177" s="21" t="n">
        <f aca="false">parametros_recargas!$E$87*'Plan mensual'!D181+parametros_recargas!$F$87*'Plan mensual'!D182+parametros_recargas!$G$87*'Plan mensual'!D183+parametros_recargas!$H$87*'Plan mensual'!D184+parametros_recargas!$I$87*'Plan mensual'!D185+parametros_recargas!$J$87*'Plan mensual'!D186+parametros_recargas!$K$87*'Plan mensual'!D187+parametros_recargas!$L$87*'Plan mensual'!D188</f>
        <v>4912.34330324881</v>
      </c>
      <c r="C177" s="21" t="n">
        <f aca="false">parametros_recargas!$E$87*'Plan mensual'!E181+parametros_recargas!$F$87*'Plan mensual'!E182+parametros_recargas!$G$87*'Plan mensual'!E183+parametros_recargas!$H$87*'Plan mensual'!E184+parametros_recargas!$I$87*'Plan mensual'!E185+parametros_recargas!$J$87*'Plan mensual'!E186+parametros_recargas!$K$87*'Plan mensual'!E187+parametros_recargas!$L$87*'Plan mensual'!E188</f>
        <v>4912.34330324881</v>
      </c>
      <c r="D177" s="21" t="n">
        <f aca="false">parametros_recargas!$E$87*'Plan mensual'!F181+parametros_recargas!$F$87*'Plan mensual'!F182+parametros_recargas!$G$87*'Plan mensual'!F183+parametros_recargas!$H$87*'Plan mensual'!F184+parametros_recargas!$I$87*'Plan mensual'!F185+parametros_recargas!$J$87*'Plan mensual'!F186+parametros_recargas!$K$87*'Plan mensual'!F187+parametros_recargas!$L$87*'Plan mensual'!F188</f>
        <v>4912.34330324881</v>
      </c>
      <c r="E177" s="21" t="n">
        <f aca="false">parametros_recargas!$E$87*'Plan mensual'!G181+parametros_recargas!$F$87*'Plan mensual'!G182+parametros_recargas!$G$87*'Plan mensual'!G183+parametros_recargas!$H$87*'Plan mensual'!G184+parametros_recargas!$I$87*'Plan mensual'!G185+parametros_recargas!$J$87*'Plan mensual'!G186+parametros_recargas!$K$87*'Plan mensual'!G187+parametros_recargas!$L$87*'Plan mensual'!G188</f>
        <v>4912.34330324881</v>
      </c>
      <c r="F177" s="21" t="n">
        <f aca="false">parametros_recargas!$E$87*'Plan mensual'!H181+parametros_recargas!$F$87*'Plan mensual'!H182+parametros_recargas!$G$87*'Plan mensual'!H183+parametros_recargas!$H$87*'Plan mensual'!H184+parametros_recargas!$I$87*'Plan mensual'!H185+parametros_recargas!$J$87*'Plan mensual'!H186+parametros_recargas!$K$87*'Plan mensual'!H187+parametros_recargas!$L$87*'Plan mensual'!H188</f>
        <v>4912.34330324881</v>
      </c>
      <c r="G177" s="21" t="n">
        <f aca="false">parametros_recargas!$E$87*'Plan mensual'!I181+parametros_recargas!$F$87*'Plan mensual'!I182+parametros_recargas!$G$87*'Plan mensual'!I183+parametros_recargas!$H$87*'Plan mensual'!I184+parametros_recargas!$I$87*'Plan mensual'!I185+parametros_recargas!$J$87*'Plan mensual'!I186+parametros_recargas!$K$87*'Plan mensual'!I187+parametros_recargas!$L$87*'Plan mensual'!I188</f>
        <v>4912.34330324881</v>
      </c>
      <c r="H177" s="21" t="n">
        <f aca="false">parametros_recargas!$E$87*'Plan mensual'!J181+parametros_recargas!$F$87*'Plan mensual'!J182+parametros_recargas!$G$87*'Plan mensual'!J183+parametros_recargas!$H$87*'Plan mensual'!J184+parametros_recargas!$I$87*'Plan mensual'!J185+parametros_recargas!$J$87*'Plan mensual'!J186+parametros_recargas!$K$87*'Plan mensual'!J187+parametros_recargas!$L$87*'Plan mensual'!J188</f>
        <v>4912.34330324881</v>
      </c>
      <c r="I177" s="21" t="n">
        <f aca="false">parametros_recargas!$E$87*'Plan mensual'!K181+parametros_recargas!$F$87*'Plan mensual'!K182+parametros_recargas!$G$87*'Plan mensual'!K183+parametros_recargas!$H$87*'Plan mensual'!K184+parametros_recargas!$I$87*'Plan mensual'!K185+parametros_recargas!$J$87*'Plan mensual'!K186+parametros_recargas!$K$87*'Plan mensual'!K187+parametros_recargas!$L$87*'Plan mensual'!K188</f>
        <v>4912.34330324881</v>
      </c>
      <c r="J177" s="21" t="n">
        <f aca="false">parametros_recargas!$E$87*'Plan mensual'!L181+parametros_recargas!$F$87*'Plan mensual'!L182+parametros_recargas!$G$87*'Plan mensual'!L183+parametros_recargas!$H$87*'Plan mensual'!L184+parametros_recargas!$I$87*'Plan mensual'!L185+parametros_recargas!$J$87*'Plan mensual'!L186+parametros_recargas!$K$87*'Plan mensual'!L187+parametros_recargas!$L$87*'Plan mensual'!L188</f>
        <v>4912.34330324881</v>
      </c>
      <c r="K177" s="21" t="n">
        <f aca="false">parametros_recargas!$E$87*'Plan mensual'!M181+parametros_recargas!$F$87*'Plan mensual'!M182+parametros_recargas!$G$87*'Plan mensual'!M183+parametros_recargas!$H$87*'Plan mensual'!M184+parametros_recargas!$I$87*'Plan mensual'!M185+parametros_recargas!$J$87*'Plan mensual'!M186+parametros_recargas!$K$87*'Plan mensual'!M187+parametros_recargas!$L$87*'Plan mensual'!M188</f>
        <v>4912.34330324881</v>
      </c>
      <c r="L177" s="21" t="n">
        <f aca="false">parametros_recargas!$E$87*'Plan mensual'!N181+parametros_recargas!$F$87*'Plan mensual'!N182+parametros_recargas!$G$87*'Plan mensual'!N183+parametros_recargas!$H$87*'Plan mensual'!N184+parametros_recargas!$I$87*'Plan mensual'!N185+parametros_recargas!$J$87*'Plan mensual'!N186+parametros_recargas!$K$87*'Plan mensual'!N187+parametros_recargas!$L$87*'Plan mensual'!N188</f>
        <v>4912.34330324881</v>
      </c>
      <c r="M177" s="21" t="n">
        <f aca="false">parametros_recargas!$E$87*'Plan mensual'!O181+parametros_recargas!$F$87*'Plan mensual'!O182+parametros_recargas!$G$87*'Plan mensual'!O183+parametros_recargas!$H$87*'Plan mensual'!O184+parametros_recargas!$I$87*'Plan mensual'!O185+parametros_recargas!$J$87*'Plan mensual'!O186+parametros_recargas!$K$87*'Plan mensual'!O187+parametros_recargas!$L$87*'Plan mensual'!O188</f>
        <v>4912.34330324881</v>
      </c>
      <c r="N177" s="6" t="n">
        <f aca="false">SUM(B177:M177)</f>
        <v>58948.1196389857</v>
      </c>
      <c r="O177" s="22" t="n">
        <f aca="false">MAX(B177:M177)</f>
        <v>4912.34330324881</v>
      </c>
      <c r="P177" s="12" t="n">
        <f aca="false">O177/parametros_recargas!$B$6</f>
        <v>32.7489553549921</v>
      </c>
    </row>
    <row r="178" customFormat="false" ht="15" hidden="false" customHeight="false" outlineLevel="0" collapsed="false">
      <c r="A178" s="8" t="str">
        <f aca="false">parametros_recargas!$B$88</f>
        <v>Carga de polvo BC</v>
      </c>
      <c r="B178" s="21" t="n">
        <f aca="false">parametros_recargas!$E$88*'Plan mensual'!D181+parametros_recargas!$F$88*'Plan mensual'!D182+parametros_recargas!$G$88*'Plan mensual'!D183+parametros_recargas!$H$88*'Plan mensual'!D184+parametros_recargas!$I$88*'Plan mensual'!D185+parametros_recargas!$J$88*'Plan mensual'!D186+parametros_recargas!$K$88*'Plan mensual'!D187+parametros_recargas!$L$88*'Plan mensual'!D188</f>
        <v>7.09396220745989</v>
      </c>
      <c r="C178" s="21" t="n">
        <f aca="false">parametros_recargas!$E$88*'Plan mensual'!E181+parametros_recargas!$F$88*'Plan mensual'!E182+parametros_recargas!$G$88*'Plan mensual'!E183+parametros_recargas!$H$88*'Plan mensual'!E184+parametros_recargas!$I$88*'Plan mensual'!E185+parametros_recargas!$J$88*'Plan mensual'!E186+parametros_recargas!$K$88*'Plan mensual'!E187+parametros_recargas!$L$88*'Plan mensual'!E188</f>
        <v>7.09396220745989</v>
      </c>
      <c r="D178" s="21" t="n">
        <f aca="false">parametros_recargas!$E$88*'Plan mensual'!F181+parametros_recargas!$F$88*'Plan mensual'!F182+parametros_recargas!$G$88*'Plan mensual'!F183+parametros_recargas!$H$88*'Plan mensual'!F184+parametros_recargas!$I$88*'Plan mensual'!F185+parametros_recargas!$J$88*'Plan mensual'!F186+parametros_recargas!$K$88*'Plan mensual'!F187+parametros_recargas!$L$88*'Plan mensual'!F188</f>
        <v>7.09396220745989</v>
      </c>
      <c r="E178" s="21" t="n">
        <f aca="false">parametros_recargas!$E$88*'Plan mensual'!G181+parametros_recargas!$F$88*'Plan mensual'!G182+parametros_recargas!$G$88*'Plan mensual'!G183+parametros_recargas!$H$88*'Plan mensual'!G184+parametros_recargas!$I$88*'Plan mensual'!G185+parametros_recargas!$J$88*'Plan mensual'!G186+parametros_recargas!$K$88*'Plan mensual'!G187+parametros_recargas!$L$88*'Plan mensual'!G188</f>
        <v>7.09396220745989</v>
      </c>
      <c r="F178" s="21" t="n">
        <f aca="false">parametros_recargas!$E$88*'Plan mensual'!H181+parametros_recargas!$F$88*'Plan mensual'!H182+parametros_recargas!$G$88*'Plan mensual'!H183+parametros_recargas!$H$88*'Plan mensual'!H184+parametros_recargas!$I$88*'Plan mensual'!H185+parametros_recargas!$J$88*'Plan mensual'!H186+parametros_recargas!$K$88*'Plan mensual'!H187+parametros_recargas!$L$88*'Plan mensual'!H188</f>
        <v>7.09396220745989</v>
      </c>
      <c r="G178" s="21" t="n">
        <f aca="false">parametros_recargas!$E$88*'Plan mensual'!I181+parametros_recargas!$F$88*'Plan mensual'!I182+parametros_recargas!$G$88*'Plan mensual'!I183+parametros_recargas!$H$88*'Plan mensual'!I184+parametros_recargas!$I$88*'Plan mensual'!I185+parametros_recargas!$J$88*'Plan mensual'!I186+parametros_recargas!$K$88*'Plan mensual'!I187+parametros_recargas!$L$88*'Plan mensual'!I188</f>
        <v>7.09396220745989</v>
      </c>
      <c r="H178" s="21" t="n">
        <f aca="false">parametros_recargas!$E$88*'Plan mensual'!J181+parametros_recargas!$F$88*'Plan mensual'!J182+parametros_recargas!$G$88*'Plan mensual'!J183+parametros_recargas!$H$88*'Plan mensual'!J184+parametros_recargas!$I$88*'Plan mensual'!J185+parametros_recargas!$J$88*'Plan mensual'!J186+parametros_recargas!$K$88*'Plan mensual'!J187+parametros_recargas!$L$88*'Plan mensual'!J188</f>
        <v>7.09396220745989</v>
      </c>
      <c r="I178" s="21" t="n">
        <f aca="false">parametros_recargas!$E$88*'Plan mensual'!K181+parametros_recargas!$F$88*'Plan mensual'!K182+parametros_recargas!$G$88*'Plan mensual'!K183+parametros_recargas!$H$88*'Plan mensual'!K184+parametros_recargas!$I$88*'Plan mensual'!K185+parametros_recargas!$J$88*'Plan mensual'!K186+parametros_recargas!$K$88*'Plan mensual'!K187+parametros_recargas!$L$88*'Plan mensual'!K188</f>
        <v>7.09396220745989</v>
      </c>
      <c r="J178" s="21" t="n">
        <f aca="false">parametros_recargas!$E$88*'Plan mensual'!L181+parametros_recargas!$F$88*'Plan mensual'!L182+parametros_recargas!$G$88*'Plan mensual'!L183+parametros_recargas!$H$88*'Plan mensual'!L184+parametros_recargas!$I$88*'Plan mensual'!L185+parametros_recargas!$J$88*'Plan mensual'!L186+parametros_recargas!$K$88*'Plan mensual'!L187+parametros_recargas!$L$88*'Plan mensual'!L188</f>
        <v>7.09396220745989</v>
      </c>
      <c r="K178" s="21" t="n">
        <f aca="false">parametros_recargas!$E$88*'Plan mensual'!M181+parametros_recargas!$F$88*'Plan mensual'!M182+parametros_recargas!$G$88*'Plan mensual'!M183+parametros_recargas!$H$88*'Plan mensual'!M184+parametros_recargas!$I$88*'Plan mensual'!M185+parametros_recargas!$J$88*'Plan mensual'!M186+parametros_recargas!$K$88*'Plan mensual'!M187+parametros_recargas!$L$88*'Plan mensual'!M188</f>
        <v>7.09396220745989</v>
      </c>
      <c r="L178" s="21" t="n">
        <f aca="false">parametros_recargas!$E$88*'Plan mensual'!N181+parametros_recargas!$F$88*'Plan mensual'!N182+parametros_recargas!$G$88*'Plan mensual'!N183+parametros_recargas!$H$88*'Plan mensual'!N184+parametros_recargas!$I$88*'Plan mensual'!N185+parametros_recargas!$J$88*'Plan mensual'!N186+parametros_recargas!$K$88*'Plan mensual'!N187+parametros_recargas!$L$88*'Plan mensual'!N188</f>
        <v>7.09396220745989</v>
      </c>
      <c r="M178" s="21" t="n">
        <f aca="false">parametros_recargas!$E$88*'Plan mensual'!O181+parametros_recargas!$F$88*'Plan mensual'!O182+parametros_recargas!$G$88*'Plan mensual'!O183+parametros_recargas!$H$88*'Plan mensual'!O184+parametros_recargas!$I$88*'Plan mensual'!O185+parametros_recargas!$J$88*'Plan mensual'!O186+parametros_recargas!$K$88*'Plan mensual'!O187+parametros_recargas!$L$88*'Plan mensual'!O188</f>
        <v>7.09396220745989</v>
      </c>
      <c r="N178" s="6" t="n">
        <f aca="false">SUM(B178:M178)</f>
        <v>85.1275464895187</v>
      </c>
      <c r="O178" s="22" t="n">
        <f aca="false">MAX(B178:M178)</f>
        <v>7.09396220745989</v>
      </c>
      <c r="P178" s="12" t="n">
        <f aca="false">O178/parametros_recargas!$B$6</f>
        <v>0.0472930813830659</v>
      </c>
    </row>
    <row r="179" customFormat="false" ht="15" hidden="false" customHeight="false" outlineLevel="0" collapsed="false">
      <c r="A179" s="8" t="str">
        <f aca="false">parametros_recargas!$B$89</f>
        <v>Descarga y carga Clase D</v>
      </c>
      <c r="B179" s="21" t="n">
        <f aca="false">parametros_recargas!$E$89*'Plan mensual'!D181+parametros_recargas!$F$89*'Plan mensual'!D182+parametros_recargas!$G$89*'Plan mensual'!D183+parametros_recargas!$H$89*'Plan mensual'!D184+parametros_recargas!$I$89*'Plan mensual'!D185+parametros_recargas!$J$89*'Plan mensual'!D186+parametros_recargas!$K$89*'Plan mensual'!D187+parametros_recargas!$L$89*'Plan mensual'!D188</f>
        <v>6.22673763529173</v>
      </c>
      <c r="C179" s="21" t="n">
        <f aca="false">parametros_recargas!$E$89*'Plan mensual'!E181+parametros_recargas!$F$89*'Plan mensual'!E182+parametros_recargas!$G$89*'Plan mensual'!E183+parametros_recargas!$H$89*'Plan mensual'!E184+parametros_recargas!$I$89*'Plan mensual'!E185+parametros_recargas!$J$89*'Plan mensual'!E186+parametros_recargas!$K$89*'Plan mensual'!E187+parametros_recargas!$L$89*'Plan mensual'!E188</f>
        <v>6.22673763529173</v>
      </c>
      <c r="D179" s="21" t="n">
        <f aca="false">parametros_recargas!$E$89*'Plan mensual'!F181+parametros_recargas!$F$89*'Plan mensual'!F182+parametros_recargas!$G$89*'Plan mensual'!F183+parametros_recargas!$H$89*'Plan mensual'!F184+parametros_recargas!$I$89*'Plan mensual'!F185+parametros_recargas!$J$89*'Plan mensual'!F186+parametros_recargas!$K$89*'Plan mensual'!F187+parametros_recargas!$L$89*'Plan mensual'!F188</f>
        <v>6.22673763529173</v>
      </c>
      <c r="E179" s="21" t="n">
        <f aca="false">parametros_recargas!$E$89*'Plan mensual'!G181+parametros_recargas!$F$89*'Plan mensual'!G182+parametros_recargas!$G$89*'Plan mensual'!G183+parametros_recargas!$H$89*'Plan mensual'!G184+parametros_recargas!$I$89*'Plan mensual'!G185+parametros_recargas!$J$89*'Plan mensual'!G186+parametros_recargas!$K$89*'Plan mensual'!G187+parametros_recargas!$L$89*'Plan mensual'!G188</f>
        <v>6.22673763529173</v>
      </c>
      <c r="F179" s="21" t="n">
        <f aca="false">parametros_recargas!$E$89*'Plan mensual'!H181+parametros_recargas!$F$89*'Plan mensual'!H182+parametros_recargas!$G$89*'Plan mensual'!H183+parametros_recargas!$H$89*'Plan mensual'!H184+parametros_recargas!$I$89*'Plan mensual'!H185+parametros_recargas!$J$89*'Plan mensual'!H186+parametros_recargas!$K$89*'Plan mensual'!H187+parametros_recargas!$L$89*'Plan mensual'!H188</f>
        <v>6.22673763529173</v>
      </c>
      <c r="G179" s="21" t="n">
        <f aca="false">parametros_recargas!$E$89*'Plan mensual'!I181+parametros_recargas!$F$89*'Plan mensual'!I182+parametros_recargas!$G$89*'Plan mensual'!I183+parametros_recargas!$H$89*'Plan mensual'!I184+parametros_recargas!$I$89*'Plan mensual'!I185+parametros_recargas!$J$89*'Plan mensual'!I186+parametros_recargas!$K$89*'Plan mensual'!I187+parametros_recargas!$L$89*'Plan mensual'!I188</f>
        <v>6.22673763529173</v>
      </c>
      <c r="H179" s="21" t="n">
        <f aca="false">parametros_recargas!$E$89*'Plan mensual'!J181+parametros_recargas!$F$89*'Plan mensual'!J182+parametros_recargas!$G$89*'Plan mensual'!J183+parametros_recargas!$H$89*'Plan mensual'!J184+parametros_recargas!$I$89*'Plan mensual'!J185+parametros_recargas!$J$89*'Plan mensual'!J186+parametros_recargas!$K$89*'Plan mensual'!J187+parametros_recargas!$L$89*'Plan mensual'!J188</f>
        <v>6.22673763529173</v>
      </c>
      <c r="I179" s="21" t="n">
        <f aca="false">parametros_recargas!$E$89*'Plan mensual'!K181+parametros_recargas!$F$89*'Plan mensual'!K182+parametros_recargas!$G$89*'Plan mensual'!K183+parametros_recargas!$H$89*'Plan mensual'!K184+parametros_recargas!$I$89*'Plan mensual'!K185+parametros_recargas!$J$89*'Plan mensual'!K186+parametros_recargas!$K$89*'Plan mensual'!K187+parametros_recargas!$L$89*'Plan mensual'!K188</f>
        <v>6.22673763529173</v>
      </c>
      <c r="J179" s="21" t="n">
        <f aca="false">parametros_recargas!$E$89*'Plan mensual'!L181+parametros_recargas!$F$89*'Plan mensual'!L182+parametros_recargas!$G$89*'Plan mensual'!L183+parametros_recargas!$H$89*'Plan mensual'!L184+parametros_recargas!$I$89*'Plan mensual'!L185+parametros_recargas!$J$89*'Plan mensual'!L186+parametros_recargas!$K$89*'Plan mensual'!L187+parametros_recargas!$L$89*'Plan mensual'!L188</f>
        <v>6.22673763529173</v>
      </c>
      <c r="K179" s="21" t="n">
        <f aca="false">parametros_recargas!$E$89*'Plan mensual'!M181+parametros_recargas!$F$89*'Plan mensual'!M182+parametros_recargas!$G$89*'Plan mensual'!M183+parametros_recargas!$H$89*'Plan mensual'!M184+parametros_recargas!$I$89*'Plan mensual'!M185+parametros_recargas!$J$89*'Plan mensual'!M186+parametros_recargas!$K$89*'Plan mensual'!M187+parametros_recargas!$L$89*'Plan mensual'!M188</f>
        <v>6.22673763529173</v>
      </c>
      <c r="L179" s="21" t="n">
        <f aca="false">parametros_recargas!$E$89*'Plan mensual'!N181+parametros_recargas!$F$89*'Plan mensual'!N182+parametros_recargas!$G$89*'Plan mensual'!N183+parametros_recargas!$H$89*'Plan mensual'!N184+parametros_recargas!$I$89*'Plan mensual'!N185+parametros_recargas!$J$89*'Plan mensual'!N186+parametros_recargas!$K$89*'Plan mensual'!N187+parametros_recargas!$L$89*'Plan mensual'!N188</f>
        <v>6.22673763529173</v>
      </c>
      <c r="M179" s="21" t="n">
        <f aca="false">parametros_recargas!$E$89*'Plan mensual'!O181+parametros_recargas!$F$89*'Plan mensual'!O182+parametros_recargas!$G$89*'Plan mensual'!O183+parametros_recargas!$H$89*'Plan mensual'!O184+parametros_recargas!$I$89*'Plan mensual'!O185+parametros_recargas!$J$89*'Plan mensual'!O186+parametros_recargas!$K$89*'Plan mensual'!O187+parametros_recargas!$L$89*'Plan mensual'!O188</f>
        <v>6.22673763529173</v>
      </c>
      <c r="N179" s="6" t="n">
        <f aca="false">SUM(B179:M179)</f>
        <v>74.7208516235008</v>
      </c>
      <c r="O179" s="22" t="n">
        <f aca="false">MAX(B179:M179)</f>
        <v>6.22673763529173</v>
      </c>
      <c r="P179" s="12" t="n">
        <f aca="false">O179/parametros_recargas!$B$6</f>
        <v>0.0415115842352782</v>
      </c>
    </row>
    <row r="180" customFormat="false" ht="15" hidden="false" customHeight="false" outlineLevel="0" collapsed="false">
      <c r="A180" s="8" t="str">
        <f aca="false">parametros_recargas!$B$90</f>
        <v>Carga de agua / AFFF / sales K</v>
      </c>
      <c r="B180" s="21" t="n">
        <f aca="false">parametros_recargas!$E$90*'Plan mensual'!D181+parametros_recargas!$F$90*'Plan mensual'!D182+parametros_recargas!$G$90*'Plan mensual'!D183+parametros_recargas!$H$90*'Plan mensual'!D184+parametros_recargas!$I$90*'Plan mensual'!D185+parametros_recargas!$J$90*'Plan mensual'!D186+parametros_recargas!$K$90*'Plan mensual'!D187+parametros_recargas!$L$90*'Plan mensual'!D188</f>
        <v>253.450522395856</v>
      </c>
      <c r="C180" s="21" t="n">
        <f aca="false">parametros_recargas!$E$90*'Plan mensual'!E181+parametros_recargas!$F$90*'Plan mensual'!E182+parametros_recargas!$G$90*'Plan mensual'!E183+parametros_recargas!$H$90*'Plan mensual'!E184+parametros_recargas!$I$90*'Plan mensual'!E185+parametros_recargas!$J$90*'Plan mensual'!E186+parametros_recargas!$K$90*'Plan mensual'!E187+parametros_recargas!$L$90*'Plan mensual'!E188</f>
        <v>253.450522395856</v>
      </c>
      <c r="D180" s="21" t="n">
        <f aca="false">parametros_recargas!$E$90*'Plan mensual'!F181+parametros_recargas!$F$90*'Plan mensual'!F182+parametros_recargas!$G$90*'Plan mensual'!F183+parametros_recargas!$H$90*'Plan mensual'!F184+parametros_recargas!$I$90*'Plan mensual'!F185+parametros_recargas!$J$90*'Plan mensual'!F186+parametros_recargas!$K$90*'Plan mensual'!F187+parametros_recargas!$L$90*'Plan mensual'!F188</f>
        <v>253.450522395856</v>
      </c>
      <c r="E180" s="21" t="n">
        <f aca="false">parametros_recargas!$E$90*'Plan mensual'!G181+parametros_recargas!$F$90*'Plan mensual'!G182+parametros_recargas!$G$90*'Plan mensual'!G183+parametros_recargas!$H$90*'Plan mensual'!G184+parametros_recargas!$I$90*'Plan mensual'!G185+parametros_recargas!$J$90*'Plan mensual'!G186+parametros_recargas!$K$90*'Plan mensual'!G187+parametros_recargas!$L$90*'Plan mensual'!G188</f>
        <v>253.450522395856</v>
      </c>
      <c r="F180" s="21" t="n">
        <f aca="false">parametros_recargas!$E$90*'Plan mensual'!H181+parametros_recargas!$F$90*'Plan mensual'!H182+parametros_recargas!$G$90*'Plan mensual'!H183+parametros_recargas!$H$90*'Plan mensual'!H184+parametros_recargas!$I$90*'Plan mensual'!H185+parametros_recargas!$J$90*'Plan mensual'!H186+parametros_recargas!$K$90*'Plan mensual'!H187+parametros_recargas!$L$90*'Plan mensual'!H188</f>
        <v>253.450522395856</v>
      </c>
      <c r="G180" s="21" t="n">
        <f aca="false">parametros_recargas!$E$90*'Plan mensual'!I181+parametros_recargas!$F$90*'Plan mensual'!I182+parametros_recargas!$G$90*'Plan mensual'!I183+parametros_recargas!$H$90*'Plan mensual'!I184+parametros_recargas!$I$90*'Plan mensual'!I185+parametros_recargas!$J$90*'Plan mensual'!I186+parametros_recargas!$K$90*'Plan mensual'!I187+parametros_recargas!$L$90*'Plan mensual'!I188</f>
        <v>253.450522395856</v>
      </c>
      <c r="H180" s="21" t="n">
        <f aca="false">parametros_recargas!$E$90*'Plan mensual'!J181+parametros_recargas!$F$90*'Plan mensual'!J182+parametros_recargas!$G$90*'Plan mensual'!J183+parametros_recargas!$H$90*'Plan mensual'!J184+parametros_recargas!$I$90*'Plan mensual'!J185+parametros_recargas!$J$90*'Plan mensual'!J186+parametros_recargas!$K$90*'Plan mensual'!J187+parametros_recargas!$L$90*'Plan mensual'!J188</f>
        <v>253.450522395856</v>
      </c>
      <c r="I180" s="21" t="n">
        <f aca="false">parametros_recargas!$E$90*'Plan mensual'!K181+parametros_recargas!$F$90*'Plan mensual'!K182+parametros_recargas!$G$90*'Plan mensual'!K183+parametros_recargas!$H$90*'Plan mensual'!K184+parametros_recargas!$I$90*'Plan mensual'!K185+parametros_recargas!$J$90*'Plan mensual'!K186+parametros_recargas!$K$90*'Plan mensual'!K187+parametros_recargas!$L$90*'Plan mensual'!K188</f>
        <v>253.450522395856</v>
      </c>
      <c r="J180" s="21" t="n">
        <f aca="false">parametros_recargas!$E$90*'Plan mensual'!L181+parametros_recargas!$F$90*'Plan mensual'!L182+parametros_recargas!$G$90*'Plan mensual'!L183+parametros_recargas!$H$90*'Plan mensual'!L184+parametros_recargas!$I$90*'Plan mensual'!L185+parametros_recargas!$J$90*'Plan mensual'!L186+parametros_recargas!$K$90*'Plan mensual'!L187+parametros_recargas!$L$90*'Plan mensual'!L188</f>
        <v>253.450522395856</v>
      </c>
      <c r="K180" s="21" t="n">
        <f aca="false">parametros_recargas!$E$90*'Plan mensual'!M181+parametros_recargas!$F$90*'Plan mensual'!M182+parametros_recargas!$G$90*'Plan mensual'!M183+parametros_recargas!$H$90*'Plan mensual'!M184+parametros_recargas!$I$90*'Plan mensual'!M185+parametros_recargas!$J$90*'Plan mensual'!M186+parametros_recargas!$K$90*'Plan mensual'!M187+parametros_recargas!$L$90*'Plan mensual'!M188</f>
        <v>253.450522395856</v>
      </c>
      <c r="L180" s="21" t="n">
        <f aca="false">parametros_recargas!$E$90*'Plan mensual'!N181+parametros_recargas!$F$90*'Plan mensual'!N182+parametros_recargas!$G$90*'Plan mensual'!N183+parametros_recargas!$H$90*'Plan mensual'!N184+parametros_recargas!$I$90*'Plan mensual'!N185+parametros_recargas!$J$90*'Plan mensual'!N186+parametros_recargas!$K$90*'Plan mensual'!N187+parametros_recargas!$L$90*'Plan mensual'!N188</f>
        <v>253.450522395856</v>
      </c>
      <c r="M180" s="21" t="n">
        <f aca="false">parametros_recargas!$E$90*'Plan mensual'!O181+parametros_recargas!$F$90*'Plan mensual'!O182+parametros_recargas!$G$90*'Plan mensual'!O183+parametros_recargas!$H$90*'Plan mensual'!O184+parametros_recargas!$I$90*'Plan mensual'!O185+parametros_recargas!$J$90*'Plan mensual'!O186+parametros_recargas!$K$90*'Plan mensual'!O187+parametros_recargas!$L$90*'Plan mensual'!O188</f>
        <v>253.450522395856</v>
      </c>
      <c r="N180" s="6" t="n">
        <f aca="false">SUM(B180:M180)</f>
        <v>3041.40626875028</v>
      </c>
      <c r="O180" s="22" t="n">
        <f aca="false">MAX(B180:M180)</f>
        <v>253.450522395856</v>
      </c>
      <c r="P180" s="12" t="n">
        <f aca="false">O180/parametros_recargas!$B$6</f>
        <v>1.68967014930571</v>
      </c>
    </row>
    <row r="181" customFormat="false" ht="15" hidden="false" customHeight="false" outlineLevel="0" collapsed="false">
      <c r="A181" s="8" t="str">
        <f aca="false">parametros_recargas!$B$91</f>
        <v>Carga de CO₂</v>
      </c>
      <c r="B181" s="21" t="n">
        <f aca="false">parametros_recargas!$E$91*'Plan mensual'!D181+parametros_recargas!$F$91*'Plan mensual'!D182+parametros_recargas!$G$91*'Plan mensual'!D183+parametros_recargas!$H$91*'Plan mensual'!D184+parametros_recargas!$I$91*'Plan mensual'!D185+parametros_recargas!$J$91*'Plan mensual'!D186+parametros_recargas!$K$91*'Plan mensual'!D187+parametros_recargas!$L$91*'Plan mensual'!D188</f>
        <v>139.954847800734</v>
      </c>
      <c r="C181" s="21" t="n">
        <f aca="false">parametros_recargas!$E$91*'Plan mensual'!E181+parametros_recargas!$F$91*'Plan mensual'!E182+parametros_recargas!$G$91*'Plan mensual'!E183+parametros_recargas!$H$91*'Plan mensual'!E184+parametros_recargas!$I$91*'Plan mensual'!E185+parametros_recargas!$J$91*'Plan mensual'!E186+parametros_recargas!$K$91*'Plan mensual'!E187+parametros_recargas!$L$91*'Plan mensual'!E188</f>
        <v>139.954847800734</v>
      </c>
      <c r="D181" s="21" t="n">
        <f aca="false">parametros_recargas!$E$91*'Plan mensual'!F181+parametros_recargas!$F$91*'Plan mensual'!F182+parametros_recargas!$G$91*'Plan mensual'!F183+parametros_recargas!$H$91*'Plan mensual'!F184+parametros_recargas!$I$91*'Plan mensual'!F185+parametros_recargas!$J$91*'Plan mensual'!F186+parametros_recargas!$K$91*'Plan mensual'!F187+parametros_recargas!$L$91*'Plan mensual'!F188</f>
        <v>139.954847800734</v>
      </c>
      <c r="E181" s="21" t="n">
        <f aca="false">parametros_recargas!$E$91*'Plan mensual'!G181+parametros_recargas!$F$91*'Plan mensual'!G182+parametros_recargas!$G$91*'Plan mensual'!G183+parametros_recargas!$H$91*'Plan mensual'!G184+parametros_recargas!$I$91*'Plan mensual'!G185+parametros_recargas!$J$91*'Plan mensual'!G186+parametros_recargas!$K$91*'Plan mensual'!G187+parametros_recargas!$L$91*'Plan mensual'!G188</f>
        <v>139.954847800734</v>
      </c>
      <c r="F181" s="21" t="n">
        <f aca="false">parametros_recargas!$E$91*'Plan mensual'!H181+parametros_recargas!$F$91*'Plan mensual'!H182+parametros_recargas!$G$91*'Plan mensual'!H183+parametros_recargas!$H$91*'Plan mensual'!H184+parametros_recargas!$I$91*'Plan mensual'!H185+parametros_recargas!$J$91*'Plan mensual'!H186+parametros_recargas!$K$91*'Plan mensual'!H187+parametros_recargas!$L$91*'Plan mensual'!H188</f>
        <v>139.954847800734</v>
      </c>
      <c r="G181" s="21" t="n">
        <f aca="false">parametros_recargas!$E$91*'Plan mensual'!I181+parametros_recargas!$F$91*'Plan mensual'!I182+parametros_recargas!$G$91*'Plan mensual'!I183+parametros_recargas!$H$91*'Plan mensual'!I184+parametros_recargas!$I$91*'Plan mensual'!I185+parametros_recargas!$J$91*'Plan mensual'!I186+parametros_recargas!$K$91*'Plan mensual'!I187+parametros_recargas!$L$91*'Plan mensual'!I188</f>
        <v>139.954847800734</v>
      </c>
      <c r="H181" s="21" t="n">
        <f aca="false">parametros_recargas!$E$91*'Plan mensual'!J181+parametros_recargas!$F$91*'Plan mensual'!J182+parametros_recargas!$G$91*'Plan mensual'!J183+parametros_recargas!$H$91*'Plan mensual'!J184+parametros_recargas!$I$91*'Plan mensual'!J185+parametros_recargas!$J$91*'Plan mensual'!J186+parametros_recargas!$K$91*'Plan mensual'!J187+parametros_recargas!$L$91*'Plan mensual'!J188</f>
        <v>139.954847800734</v>
      </c>
      <c r="I181" s="21" t="n">
        <f aca="false">parametros_recargas!$E$91*'Plan mensual'!K181+parametros_recargas!$F$91*'Plan mensual'!K182+parametros_recargas!$G$91*'Plan mensual'!K183+parametros_recargas!$H$91*'Plan mensual'!K184+parametros_recargas!$I$91*'Plan mensual'!K185+parametros_recargas!$J$91*'Plan mensual'!K186+parametros_recargas!$K$91*'Plan mensual'!K187+parametros_recargas!$L$91*'Plan mensual'!K188</f>
        <v>139.954847800734</v>
      </c>
      <c r="J181" s="21" t="n">
        <f aca="false">parametros_recargas!$E$91*'Plan mensual'!L181+parametros_recargas!$F$91*'Plan mensual'!L182+parametros_recargas!$G$91*'Plan mensual'!L183+parametros_recargas!$H$91*'Plan mensual'!L184+parametros_recargas!$I$91*'Plan mensual'!L185+parametros_recargas!$J$91*'Plan mensual'!L186+parametros_recargas!$K$91*'Plan mensual'!L187+parametros_recargas!$L$91*'Plan mensual'!L188</f>
        <v>139.954847800734</v>
      </c>
      <c r="K181" s="21" t="n">
        <f aca="false">parametros_recargas!$E$91*'Plan mensual'!M181+parametros_recargas!$F$91*'Plan mensual'!M182+parametros_recargas!$G$91*'Plan mensual'!M183+parametros_recargas!$H$91*'Plan mensual'!M184+parametros_recargas!$I$91*'Plan mensual'!M185+parametros_recargas!$J$91*'Plan mensual'!M186+parametros_recargas!$K$91*'Plan mensual'!M187+parametros_recargas!$L$91*'Plan mensual'!M188</f>
        <v>139.954847800734</v>
      </c>
      <c r="L181" s="21" t="n">
        <f aca="false">parametros_recargas!$E$91*'Plan mensual'!N181+parametros_recargas!$F$91*'Plan mensual'!N182+parametros_recargas!$G$91*'Plan mensual'!N183+parametros_recargas!$H$91*'Plan mensual'!N184+parametros_recargas!$I$91*'Plan mensual'!N185+parametros_recargas!$J$91*'Plan mensual'!N186+parametros_recargas!$K$91*'Plan mensual'!N187+parametros_recargas!$L$91*'Plan mensual'!N188</f>
        <v>139.954847800734</v>
      </c>
      <c r="M181" s="21" t="n">
        <f aca="false">parametros_recargas!$E$91*'Plan mensual'!O181+parametros_recargas!$F$91*'Plan mensual'!O182+parametros_recargas!$G$91*'Plan mensual'!O183+parametros_recargas!$H$91*'Plan mensual'!O184+parametros_recargas!$I$91*'Plan mensual'!O185+parametros_recargas!$J$91*'Plan mensual'!O186+parametros_recargas!$K$91*'Plan mensual'!O187+parametros_recargas!$L$91*'Plan mensual'!O188</f>
        <v>139.954847800734</v>
      </c>
      <c r="N181" s="6" t="n">
        <f aca="false">SUM(B181:M181)</f>
        <v>1679.45817360881</v>
      </c>
      <c r="O181" s="22" t="n">
        <f aca="false">MAX(B181:M181)</f>
        <v>139.954847800734</v>
      </c>
      <c r="P181" s="12" t="n">
        <f aca="false">O181/parametros_recargas!$B$6</f>
        <v>0.933032318671559</v>
      </c>
    </row>
    <row r="182" customFormat="false" ht="15" hidden="false" customHeight="false" outlineLevel="0" collapsed="false">
      <c r="A182" s="8" t="str">
        <f aca="false">parametros_recargas!$B$92</f>
        <v>Ensamblaje y marbete — recinto</v>
      </c>
      <c r="B182" s="21" t="n">
        <f aca="false">parametros_recargas!$E$92*'Plan mensual'!D181+parametros_recargas!$F$92*'Plan mensual'!D182+parametros_recargas!$G$92*'Plan mensual'!D183+parametros_recargas!$H$92*'Plan mensual'!D184+parametros_recargas!$I$92*'Plan mensual'!D185+parametros_recargas!$J$92*'Plan mensual'!D186+parametros_recargas!$K$92*'Plan mensual'!D187+parametros_recargas!$L$92*'Plan mensual'!D188</f>
        <v>4925.66400309156</v>
      </c>
      <c r="C182" s="21" t="n">
        <f aca="false">parametros_recargas!$E$92*'Plan mensual'!E181+parametros_recargas!$F$92*'Plan mensual'!E182+parametros_recargas!$G$92*'Plan mensual'!E183+parametros_recargas!$H$92*'Plan mensual'!E184+parametros_recargas!$I$92*'Plan mensual'!E185+parametros_recargas!$J$92*'Plan mensual'!E186+parametros_recargas!$K$92*'Plan mensual'!E187+parametros_recargas!$L$92*'Plan mensual'!E188</f>
        <v>4925.66400309156</v>
      </c>
      <c r="D182" s="21" t="n">
        <f aca="false">parametros_recargas!$E$92*'Plan mensual'!F181+parametros_recargas!$F$92*'Plan mensual'!F182+parametros_recargas!$G$92*'Plan mensual'!F183+parametros_recargas!$H$92*'Plan mensual'!F184+parametros_recargas!$I$92*'Plan mensual'!F185+parametros_recargas!$J$92*'Plan mensual'!F186+parametros_recargas!$K$92*'Plan mensual'!F187+parametros_recargas!$L$92*'Plan mensual'!F188</f>
        <v>4925.66400309156</v>
      </c>
      <c r="E182" s="21" t="n">
        <f aca="false">parametros_recargas!$E$92*'Plan mensual'!G181+parametros_recargas!$F$92*'Plan mensual'!G182+parametros_recargas!$G$92*'Plan mensual'!G183+parametros_recargas!$H$92*'Plan mensual'!G184+parametros_recargas!$I$92*'Plan mensual'!G185+parametros_recargas!$J$92*'Plan mensual'!G186+parametros_recargas!$K$92*'Plan mensual'!G187+parametros_recargas!$L$92*'Plan mensual'!G188</f>
        <v>4925.66400309156</v>
      </c>
      <c r="F182" s="21" t="n">
        <f aca="false">parametros_recargas!$E$92*'Plan mensual'!H181+parametros_recargas!$F$92*'Plan mensual'!H182+parametros_recargas!$G$92*'Plan mensual'!H183+parametros_recargas!$H$92*'Plan mensual'!H184+parametros_recargas!$I$92*'Plan mensual'!H185+parametros_recargas!$J$92*'Plan mensual'!H186+parametros_recargas!$K$92*'Plan mensual'!H187+parametros_recargas!$L$92*'Plan mensual'!H188</f>
        <v>4925.66400309156</v>
      </c>
      <c r="G182" s="21" t="n">
        <f aca="false">parametros_recargas!$E$92*'Plan mensual'!I181+parametros_recargas!$F$92*'Plan mensual'!I182+parametros_recargas!$G$92*'Plan mensual'!I183+parametros_recargas!$H$92*'Plan mensual'!I184+parametros_recargas!$I$92*'Plan mensual'!I185+parametros_recargas!$J$92*'Plan mensual'!I186+parametros_recargas!$K$92*'Plan mensual'!I187+parametros_recargas!$L$92*'Plan mensual'!I188</f>
        <v>4925.66400309156</v>
      </c>
      <c r="H182" s="21" t="n">
        <f aca="false">parametros_recargas!$E$92*'Plan mensual'!J181+parametros_recargas!$F$92*'Plan mensual'!J182+parametros_recargas!$G$92*'Plan mensual'!J183+parametros_recargas!$H$92*'Plan mensual'!J184+parametros_recargas!$I$92*'Plan mensual'!J185+parametros_recargas!$J$92*'Plan mensual'!J186+parametros_recargas!$K$92*'Plan mensual'!J187+parametros_recargas!$L$92*'Plan mensual'!J188</f>
        <v>4925.66400309156</v>
      </c>
      <c r="I182" s="21" t="n">
        <f aca="false">parametros_recargas!$E$92*'Plan mensual'!K181+parametros_recargas!$F$92*'Plan mensual'!K182+parametros_recargas!$G$92*'Plan mensual'!K183+parametros_recargas!$H$92*'Plan mensual'!K184+parametros_recargas!$I$92*'Plan mensual'!K185+parametros_recargas!$J$92*'Plan mensual'!K186+parametros_recargas!$K$92*'Plan mensual'!K187+parametros_recargas!$L$92*'Plan mensual'!K188</f>
        <v>4925.66400309156</v>
      </c>
      <c r="J182" s="21" t="n">
        <f aca="false">parametros_recargas!$E$92*'Plan mensual'!L181+parametros_recargas!$F$92*'Plan mensual'!L182+parametros_recargas!$G$92*'Plan mensual'!L183+parametros_recargas!$H$92*'Plan mensual'!L184+parametros_recargas!$I$92*'Plan mensual'!L185+parametros_recargas!$J$92*'Plan mensual'!L186+parametros_recargas!$K$92*'Plan mensual'!L187+parametros_recargas!$L$92*'Plan mensual'!L188</f>
        <v>4925.66400309156</v>
      </c>
      <c r="K182" s="21" t="n">
        <f aca="false">parametros_recargas!$E$92*'Plan mensual'!M181+parametros_recargas!$F$92*'Plan mensual'!M182+parametros_recargas!$G$92*'Plan mensual'!M183+parametros_recargas!$H$92*'Plan mensual'!M184+parametros_recargas!$I$92*'Plan mensual'!M185+parametros_recargas!$J$92*'Plan mensual'!M186+parametros_recargas!$K$92*'Plan mensual'!M187+parametros_recargas!$L$92*'Plan mensual'!M188</f>
        <v>4925.66400309156</v>
      </c>
      <c r="L182" s="21" t="n">
        <f aca="false">parametros_recargas!$E$92*'Plan mensual'!N181+parametros_recargas!$F$92*'Plan mensual'!N182+parametros_recargas!$G$92*'Plan mensual'!N183+parametros_recargas!$H$92*'Plan mensual'!N184+parametros_recargas!$I$92*'Plan mensual'!N185+parametros_recargas!$J$92*'Plan mensual'!N186+parametros_recargas!$K$92*'Plan mensual'!N187+parametros_recargas!$L$92*'Plan mensual'!N188</f>
        <v>4925.66400309156</v>
      </c>
      <c r="M182" s="21" t="n">
        <f aca="false">parametros_recargas!$E$92*'Plan mensual'!O181+parametros_recargas!$F$92*'Plan mensual'!O182+parametros_recargas!$G$92*'Plan mensual'!O183+parametros_recargas!$H$92*'Plan mensual'!O184+parametros_recargas!$I$92*'Plan mensual'!O185+parametros_recargas!$J$92*'Plan mensual'!O186+parametros_recargas!$K$92*'Plan mensual'!O187+parametros_recargas!$L$92*'Plan mensual'!O188</f>
        <v>4925.66400309156</v>
      </c>
      <c r="N182" s="6" t="n">
        <f aca="false">SUM(B182:M182)</f>
        <v>59107.9680370987</v>
      </c>
      <c r="O182" s="22" t="n">
        <f aca="false">MAX(B182:M182)</f>
        <v>4925.66400309156</v>
      </c>
      <c r="P182" s="12" t="n">
        <f aca="false">O182/parametros_recargas!$B$6</f>
        <v>32.8377600206104</v>
      </c>
    </row>
    <row r="183" customFormat="false" ht="15" hidden="false" customHeight="false" outlineLevel="0" collapsed="false">
      <c r="A183" s="8" t="str">
        <f aca="false">parametros_recargas!$B$93</f>
        <v>Presurización — recinto</v>
      </c>
      <c r="B183" s="21" t="n">
        <f aca="false">parametros_recargas!$E$93*'Plan mensual'!D181+parametros_recargas!$F$93*'Plan mensual'!D182+parametros_recargas!$G$93*'Plan mensual'!D183+parametros_recargas!$H$93*'Plan mensual'!D184+parametros_recargas!$I$93*'Plan mensual'!D185+parametros_recargas!$J$93*'Plan mensual'!D186+parametros_recargas!$K$93*'Plan mensual'!D187+parametros_recargas!$L$93*'Plan mensual'!D188</f>
        <v>4925.66400309156</v>
      </c>
      <c r="C183" s="21" t="n">
        <f aca="false">parametros_recargas!$E$93*'Plan mensual'!E181+parametros_recargas!$F$93*'Plan mensual'!E182+parametros_recargas!$G$93*'Plan mensual'!E183+parametros_recargas!$H$93*'Plan mensual'!E184+parametros_recargas!$I$93*'Plan mensual'!E185+parametros_recargas!$J$93*'Plan mensual'!E186+parametros_recargas!$K$93*'Plan mensual'!E187+parametros_recargas!$L$93*'Plan mensual'!E188</f>
        <v>4925.66400309156</v>
      </c>
      <c r="D183" s="21" t="n">
        <f aca="false">parametros_recargas!$E$93*'Plan mensual'!F181+parametros_recargas!$F$93*'Plan mensual'!F182+parametros_recargas!$G$93*'Plan mensual'!F183+parametros_recargas!$H$93*'Plan mensual'!F184+parametros_recargas!$I$93*'Plan mensual'!F185+parametros_recargas!$J$93*'Plan mensual'!F186+parametros_recargas!$K$93*'Plan mensual'!F187+parametros_recargas!$L$93*'Plan mensual'!F188</f>
        <v>4925.66400309156</v>
      </c>
      <c r="E183" s="21" t="n">
        <f aca="false">parametros_recargas!$E$93*'Plan mensual'!G181+parametros_recargas!$F$93*'Plan mensual'!G182+parametros_recargas!$G$93*'Plan mensual'!G183+parametros_recargas!$H$93*'Plan mensual'!G184+parametros_recargas!$I$93*'Plan mensual'!G185+parametros_recargas!$J$93*'Plan mensual'!G186+parametros_recargas!$K$93*'Plan mensual'!G187+parametros_recargas!$L$93*'Plan mensual'!G188</f>
        <v>4925.66400309156</v>
      </c>
      <c r="F183" s="21" t="n">
        <f aca="false">parametros_recargas!$E$93*'Plan mensual'!H181+parametros_recargas!$F$93*'Plan mensual'!H182+parametros_recargas!$G$93*'Plan mensual'!H183+parametros_recargas!$H$93*'Plan mensual'!H184+parametros_recargas!$I$93*'Plan mensual'!H185+parametros_recargas!$J$93*'Plan mensual'!H186+parametros_recargas!$K$93*'Plan mensual'!H187+parametros_recargas!$L$93*'Plan mensual'!H188</f>
        <v>4925.66400309156</v>
      </c>
      <c r="G183" s="21" t="n">
        <f aca="false">parametros_recargas!$E$93*'Plan mensual'!I181+parametros_recargas!$F$93*'Plan mensual'!I182+parametros_recargas!$G$93*'Plan mensual'!I183+parametros_recargas!$H$93*'Plan mensual'!I184+parametros_recargas!$I$93*'Plan mensual'!I185+parametros_recargas!$J$93*'Plan mensual'!I186+parametros_recargas!$K$93*'Plan mensual'!I187+parametros_recargas!$L$93*'Plan mensual'!I188</f>
        <v>4925.66400309156</v>
      </c>
      <c r="H183" s="21" t="n">
        <f aca="false">parametros_recargas!$E$93*'Plan mensual'!J181+parametros_recargas!$F$93*'Plan mensual'!J182+parametros_recargas!$G$93*'Plan mensual'!J183+parametros_recargas!$H$93*'Plan mensual'!J184+parametros_recargas!$I$93*'Plan mensual'!J185+parametros_recargas!$J$93*'Plan mensual'!J186+parametros_recargas!$K$93*'Plan mensual'!J187+parametros_recargas!$L$93*'Plan mensual'!J188</f>
        <v>4925.66400309156</v>
      </c>
      <c r="I183" s="21" t="n">
        <f aca="false">parametros_recargas!$E$93*'Plan mensual'!K181+parametros_recargas!$F$93*'Plan mensual'!K182+parametros_recargas!$G$93*'Plan mensual'!K183+parametros_recargas!$H$93*'Plan mensual'!K184+parametros_recargas!$I$93*'Plan mensual'!K185+parametros_recargas!$J$93*'Plan mensual'!K186+parametros_recargas!$K$93*'Plan mensual'!K187+parametros_recargas!$L$93*'Plan mensual'!K188</f>
        <v>4925.66400309156</v>
      </c>
      <c r="J183" s="21" t="n">
        <f aca="false">parametros_recargas!$E$93*'Plan mensual'!L181+parametros_recargas!$F$93*'Plan mensual'!L182+parametros_recargas!$G$93*'Plan mensual'!L183+parametros_recargas!$H$93*'Plan mensual'!L184+parametros_recargas!$I$93*'Plan mensual'!L185+parametros_recargas!$J$93*'Plan mensual'!L186+parametros_recargas!$K$93*'Plan mensual'!L187+parametros_recargas!$L$93*'Plan mensual'!L188</f>
        <v>4925.66400309156</v>
      </c>
      <c r="K183" s="21" t="n">
        <f aca="false">parametros_recargas!$E$93*'Plan mensual'!M181+parametros_recargas!$F$93*'Plan mensual'!M182+parametros_recargas!$G$93*'Plan mensual'!M183+parametros_recargas!$H$93*'Plan mensual'!M184+parametros_recargas!$I$93*'Plan mensual'!M185+parametros_recargas!$J$93*'Plan mensual'!M186+parametros_recargas!$K$93*'Plan mensual'!M187+parametros_recargas!$L$93*'Plan mensual'!M188</f>
        <v>4925.66400309156</v>
      </c>
      <c r="L183" s="21" t="n">
        <f aca="false">parametros_recargas!$E$93*'Plan mensual'!N181+parametros_recargas!$F$93*'Plan mensual'!N182+parametros_recargas!$G$93*'Plan mensual'!N183+parametros_recargas!$H$93*'Plan mensual'!N184+parametros_recargas!$I$93*'Plan mensual'!N185+parametros_recargas!$J$93*'Plan mensual'!N186+parametros_recargas!$K$93*'Plan mensual'!N187+parametros_recargas!$L$93*'Plan mensual'!N188</f>
        <v>4925.66400309156</v>
      </c>
      <c r="M183" s="21" t="n">
        <f aca="false">parametros_recargas!$E$93*'Plan mensual'!O181+parametros_recargas!$F$93*'Plan mensual'!O182+parametros_recargas!$G$93*'Plan mensual'!O183+parametros_recargas!$H$93*'Plan mensual'!O184+parametros_recargas!$I$93*'Plan mensual'!O185+parametros_recargas!$J$93*'Plan mensual'!O186+parametros_recargas!$K$93*'Plan mensual'!O187+parametros_recargas!$L$93*'Plan mensual'!O188</f>
        <v>4925.66400309156</v>
      </c>
      <c r="N183" s="6" t="n">
        <f aca="false">SUM(B183:M183)</f>
        <v>59107.9680370987</v>
      </c>
      <c r="O183" s="22" t="n">
        <f aca="false">MAX(B183:M183)</f>
        <v>4925.66400309156</v>
      </c>
      <c r="P183" s="12" t="n">
        <f aca="false">O183/parametros_recargas!$B$6</f>
        <v>32.8377600206104</v>
      </c>
    </row>
    <row r="184" customFormat="false" ht="15" hidden="false" customHeight="false" outlineLevel="0" collapsed="false">
      <c r="A184" s="8" t="str">
        <f aca="false">parametros_recargas!$B$94</f>
        <v>Ensamblaje y presurización — zona general</v>
      </c>
      <c r="B184" s="21" t="n">
        <f aca="false">parametros_recargas!$E$94*'Plan mensual'!D181+parametros_recargas!$F$94*'Plan mensual'!D182+parametros_recargas!$G$94*'Plan mensual'!D183+parametros_recargas!$H$94*'Plan mensual'!D184+parametros_recargas!$I$94*'Plan mensual'!D185+parametros_recargas!$J$94*'Plan mensual'!D186+parametros_recargas!$K$94*'Plan mensual'!D187+parametros_recargas!$L$94*'Plan mensual'!D188</f>
        <v>374.671852777983</v>
      </c>
      <c r="C184" s="21" t="n">
        <f aca="false">parametros_recargas!$E$94*'Plan mensual'!E181+parametros_recargas!$F$94*'Plan mensual'!E182+parametros_recargas!$G$94*'Plan mensual'!E183+parametros_recargas!$H$94*'Plan mensual'!E184+parametros_recargas!$I$94*'Plan mensual'!E185+parametros_recargas!$J$94*'Plan mensual'!E186+parametros_recargas!$K$94*'Plan mensual'!E187+parametros_recargas!$L$94*'Plan mensual'!E188</f>
        <v>374.671852777983</v>
      </c>
      <c r="D184" s="21" t="n">
        <f aca="false">parametros_recargas!$E$94*'Plan mensual'!F181+parametros_recargas!$F$94*'Plan mensual'!F182+parametros_recargas!$G$94*'Plan mensual'!F183+parametros_recargas!$H$94*'Plan mensual'!F184+parametros_recargas!$I$94*'Plan mensual'!F185+parametros_recargas!$J$94*'Plan mensual'!F186+parametros_recargas!$K$94*'Plan mensual'!F187+parametros_recargas!$L$94*'Plan mensual'!F188</f>
        <v>374.671852777983</v>
      </c>
      <c r="E184" s="21" t="n">
        <f aca="false">parametros_recargas!$E$94*'Plan mensual'!G181+parametros_recargas!$F$94*'Plan mensual'!G182+parametros_recargas!$G$94*'Plan mensual'!G183+parametros_recargas!$H$94*'Plan mensual'!G184+parametros_recargas!$I$94*'Plan mensual'!G185+parametros_recargas!$J$94*'Plan mensual'!G186+parametros_recargas!$K$94*'Plan mensual'!G187+parametros_recargas!$L$94*'Plan mensual'!G188</f>
        <v>374.671852777983</v>
      </c>
      <c r="F184" s="21" t="n">
        <f aca="false">parametros_recargas!$E$94*'Plan mensual'!H181+parametros_recargas!$F$94*'Plan mensual'!H182+parametros_recargas!$G$94*'Plan mensual'!H183+parametros_recargas!$H$94*'Plan mensual'!H184+parametros_recargas!$I$94*'Plan mensual'!H185+parametros_recargas!$J$94*'Plan mensual'!H186+parametros_recargas!$K$94*'Plan mensual'!H187+parametros_recargas!$L$94*'Plan mensual'!H188</f>
        <v>374.671852777983</v>
      </c>
      <c r="G184" s="21" t="n">
        <f aca="false">parametros_recargas!$E$94*'Plan mensual'!I181+parametros_recargas!$F$94*'Plan mensual'!I182+parametros_recargas!$G$94*'Plan mensual'!I183+parametros_recargas!$H$94*'Plan mensual'!I184+parametros_recargas!$I$94*'Plan mensual'!I185+parametros_recargas!$J$94*'Plan mensual'!I186+parametros_recargas!$K$94*'Plan mensual'!I187+parametros_recargas!$L$94*'Plan mensual'!I188</f>
        <v>374.671852777983</v>
      </c>
      <c r="H184" s="21" t="n">
        <f aca="false">parametros_recargas!$E$94*'Plan mensual'!J181+parametros_recargas!$F$94*'Plan mensual'!J182+parametros_recargas!$G$94*'Plan mensual'!J183+parametros_recargas!$H$94*'Plan mensual'!J184+parametros_recargas!$I$94*'Plan mensual'!J185+parametros_recargas!$J$94*'Plan mensual'!J186+parametros_recargas!$K$94*'Plan mensual'!J187+parametros_recargas!$L$94*'Plan mensual'!J188</f>
        <v>374.671852777983</v>
      </c>
      <c r="I184" s="21" t="n">
        <f aca="false">parametros_recargas!$E$94*'Plan mensual'!K181+parametros_recargas!$F$94*'Plan mensual'!K182+parametros_recargas!$G$94*'Plan mensual'!K183+parametros_recargas!$H$94*'Plan mensual'!K184+parametros_recargas!$I$94*'Plan mensual'!K185+parametros_recargas!$J$94*'Plan mensual'!K186+parametros_recargas!$K$94*'Plan mensual'!K187+parametros_recargas!$L$94*'Plan mensual'!K188</f>
        <v>374.671852777983</v>
      </c>
      <c r="J184" s="21" t="n">
        <f aca="false">parametros_recargas!$E$94*'Plan mensual'!L181+parametros_recargas!$F$94*'Plan mensual'!L182+parametros_recargas!$G$94*'Plan mensual'!L183+parametros_recargas!$H$94*'Plan mensual'!L184+parametros_recargas!$I$94*'Plan mensual'!L185+parametros_recargas!$J$94*'Plan mensual'!L186+parametros_recargas!$K$94*'Plan mensual'!L187+parametros_recargas!$L$94*'Plan mensual'!L188</f>
        <v>374.671852777983</v>
      </c>
      <c r="K184" s="21" t="n">
        <f aca="false">parametros_recargas!$E$94*'Plan mensual'!M181+parametros_recargas!$F$94*'Plan mensual'!M182+parametros_recargas!$G$94*'Plan mensual'!M183+parametros_recargas!$H$94*'Plan mensual'!M184+parametros_recargas!$I$94*'Plan mensual'!M185+parametros_recargas!$J$94*'Plan mensual'!M186+parametros_recargas!$K$94*'Plan mensual'!M187+parametros_recargas!$L$94*'Plan mensual'!M188</f>
        <v>374.671852777983</v>
      </c>
      <c r="L184" s="21" t="n">
        <f aca="false">parametros_recargas!$E$94*'Plan mensual'!N181+parametros_recargas!$F$94*'Plan mensual'!N182+parametros_recargas!$G$94*'Plan mensual'!N183+parametros_recargas!$H$94*'Plan mensual'!N184+parametros_recargas!$I$94*'Plan mensual'!N185+parametros_recargas!$J$94*'Plan mensual'!N186+parametros_recargas!$K$94*'Plan mensual'!N187+parametros_recargas!$L$94*'Plan mensual'!N188</f>
        <v>374.671852777983</v>
      </c>
      <c r="M184" s="21" t="n">
        <f aca="false">parametros_recargas!$E$94*'Plan mensual'!O181+parametros_recargas!$F$94*'Plan mensual'!O182+parametros_recargas!$G$94*'Plan mensual'!O183+parametros_recargas!$H$94*'Plan mensual'!O184+parametros_recargas!$I$94*'Plan mensual'!O185+parametros_recargas!$J$94*'Plan mensual'!O186+parametros_recargas!$K$94*'Plan mensual'!O187+parametros_recargas!$L$94*'Plan mensual'!O188</f>
        <v>374.671852777983</v>
      </c>
      <c r="N184" s="6" t="n">
        <f aca="false">SUM(B184:M184)</f>
        <v>4496.0622333358</v>
      </c>
      <c r="O184" s="22" t="n">
        <f aca="false">MAX(B184:M184)</f>
        <v>374.671852777983</v>
      </c>
      <c r="P184" s="12" t="n">
        <f aca="false">O184/parametros_recargas!$B$6</f>
        <v>2.49781235185322</v>
      </c>
    </row>
    <row r="185" customFormat="false" ht="15" hidden="false" customHeight="false" outlineLevel="0" collapsed="false">
      <c r="A185" s="8" t="str">
        <f aca="false">parametros_recargas!$B$95</f>
        <v>Carga y presurización de halogenado</v>
      </c>
      <c r="B185" s="21" t="n">
        <f aca="false">parametros_recargas!$E$95*'Plan mensual'!D181+parametros_recargas!$F$95*'Plan mensual'!D182+parametros_recargas!$G$95*'Plan mensual'!D183+parametros_recargas!$H$95*'Plan mensual'!D184+parametros_recargas!$I$95*'Plan mensual'!D185+parametros_recargas!$J$95*'Plan mensual'!D186+parametros_recargas!$K$95*'Plan mensual'!D187+parametros_recargas!$L$95*'Plan mensual'!D188</f>
        <v>4.59229054818209</v>
      </c>
      <c r="C185" s="21" t="n">
        <f aca="false">parametros_recargas!$E$95*'Plan mensual'!E181+parametros_recargas!$F$95*'Plan mensual'!E182+parametros_recargas!$G$95*'Plan mensual'!E183+parametros_recargas!$H$95*'Plan mensual'!E184+parametros_recargas!$I$95*'Plan mensual'!E185+parametros_recargas!$J$95*'Plan mensual'!E186+parametros_recargas!$K$95*'Plan mensual'!E187+parametros_recargas!$L$95*'Plan mensual'!E188</f>
        <v>4.59229054818209</v>
      </c>
      <c r="D185" s="21" t="n">
        <f aca="false">parametros_recargas!$E$95*'Plan mensual'!F181+parametros_recargas!$F$95*'Plan mensual'!F182+parametros_recargas!$G$95*'Plan mensual'!F183+parametros_recargas!$H$95*'Plan mensual'!F184+parametros_recargas!$I$95*'Plan mensual'!F185+parametros_recargas!$J$95*'Plan mensual'!F186+parametros_recargas!$K$95*'Plan mensual'!F187+parametros_recargas!$L$95*'Plan mensual'!F188</f>
        <v>4.59229054818209</v>
      </c>
      <c r="E185" s="21" t="n">
        <f aca="false">parametros_recargas!$E$95*'Plan mensual'!G181+parametros_recargas!$F$95*'Plan mensual'!G182+parametros_recargas!$G$95*'Plan mensual'!G183+parametros_recargas!$H$95*'Plan mensual'!G184+parametros_recargas!$I$95*'Plan mensual'!G185+parametros_recargas!$J$95*'Plan mensual'!G186+parametros_recargas!$K$95*'Plan mensual'!G187+parametros_recargas!$L$95*'Plan mensual'!G188</f>
        <v>4.59229054818209</v>
      </c>
      <c r="F185" s="21" t="n">
        <f aca="false">parametros_recargas!$E$95*'Plan mensual'!H181+parametros_recargas!$F$95*'Plan mensual'!H182+parametros_recargas!$G$95*'Plan mensual'!H183+parametros_recargas!$H$95*'Plan mensual'!H184+parametros_recargas!$I$95*'Plan mensual'!H185+parametros_recargas!$J$95*'Plan mensual'!H186+parametros_recargas!$K$95*'Plan mensual'!H187+parametros_recargas!$L$95*'Plan mensual'!H188</f>
        <v>4.59229054818209</v>
      </c>
      <c r="G185" s="21" t="n">
        <f aca="false">parametros_recargas!$E$95*'Plan mensual'!I181+parametros_recargas!$F$95*'Plan mensual'!I182+parametros_recargas!$G$95*'Plan mensual'!I183+parametros_recargas!$H$95*'Plan mensual'!I184+parametros_recargas!$I$95*'Plan mensual'!I185+parametros_recargas!$J$95*'Plan mensual'!I186+parametros_recargas!$K$95*'Plan mensual'!I187+parametros_recargas!$L$95*'Plan mensual'!I188</f>
        <v>4.59229054818209</v>
      </c>
      <c r="H185" s="21" t="n">
        <f aca="false">parametros_recargas!$E$95*'Plan mensual'!J181+parametros_recargas!$F$95*'Plan mensual'!J182+parametros_recargas!$G$95*'Plan mensual'!J183+parametros_recargas!$H$95*'Plan mensual'!J184+parametros_recargas!$I$95*'Plan mensual'!J185+parametros_recargas!$J$95*'Plan mensual'!J186+parametros_recargas!$K$95*'Plan mensual'!J187+parametros_recargas!$L$95*'Plan mensual'!J188</f>
        <v>4.59229054818209</v>
      </c>
      <c r="I185" s="21" t="n">
        <f aca="false">parametros_recargas!$E$95*'Plan mensual'!K181+parametros_recargas!$F$95*'Plan mensual'!K182+parametros_recargas!$G$95*'Plan mensual'!K183+parametros_recargas!$H$95*'Plan mensual'!K184+parametros_recargas!$I$95*'Plan mensual'!K185+parametros_recargas!$J$95*'Plan mensual'!K186+parametros_recargas!$K$95*'Plan mensual'!K187+parametros_recargas!$L$95*'Plan mensual'!K188</f>
        <v>4.59229054818209</v>
      </c>
      <c r="J185" s="21" t="n">
        <f aca="false">parametros_recargas!$E$95*'Plan mensual'!L181+parametros_recargas!$F$95*'Plan mensual'!L182+parametros_recargas!$G$95*'Plan mensual'!L183+parametros_recargas!$H$95*'Plan mensual'!L184+parametros_recargas!$I$95*'Plan mensual'!L185+parametros_recargas!$J$95*'Plan mensual'!L186+parametros_recargas!$K$95*'Plan mensual'!L187+parametros_recargas!$L$95*'Plan mensual'!L188</f>
        <v>4.59229054818209</v>
      </c>
      <c r="K185" s="21" t="n">
        <f aca="false">parametros_recargas!$E$95*'Plan mensual'!M181+parametros_recargas!$F$95*'Plan mensual'!M182+parametros_recargas!$G$95*'Plan mensual'!M183+parametros_recargas!$H$95*'Plan mensual'!M184+parametros_recargas!$I$95*'Plan mensual'!M185+parametros_recargas!$J$95*'Plan mensual'!M186+parametros_recargas!$K$95*'Plan mensual'!M187+parametros_recargas!$L$95*'Plan mensual'!M188</f>
        <v>4.59229054818209</v>
      </c>
      <c r="L185" s="21" t="n">
        <f aca="false">parametros_recargas!$E$95*'Plan mensual'!N181+parametros_recargas!$F$95*'Plan mensual'!N182+parametros_recargas!$G$95*'Plan mensual'!N183+parametros_recargas!$H$95*'Plan mensual'!N184+parametros_recargas!$I$95*'Plan mensual'!N185+parametros_recargas!$J$95*'Plan mensual'!N186+parametros_recargas!$K$95*'Plan mensual'!N187+parametros_recargas!$L$95*'Plan mensual'!N188</f>
        <v>4.59229054818209</v>
      </c>
      <c r="M185" s="21" t="n">
        <f aca="false">parametros_recargas!$E$95*'Plan mensual'!O181+parametros_recargas!$F$95*'Plan mensual'!O182+parametros_recargas!$G$95*'Plan mensual'!O183+parametros_recargas!$H$95*'Plan mensual'!O184+parametros_recargas!$I$95*'Plan mensual'!O185+parametros_recargas!$J$95*'Plan mensual'!O186+parametros_recargas!$K$95*'Plan mensual'!O187+parametros_recargas!$L$95*'Plan mensual'!O188</f>
        <v>4.59229054818209</v>
      </c>
      <c r="N185" s="6" t="n">
        <f aca="false">SUM(B185:M185)</f>
        <v>55.1074865781851</v>
      </c>
      <c r="O185" s="22" t="n">
        <f aca="false">MAX(B185:M185)</f>
        <v>4.59229054818209</v>
      </c>
      <c r="P185" s="12" t="n">
        <f aca="false">O185/parametros_recargas!$B$6</f>
        <v>0.0306152703212139</v>
      </c>
    </row>
    <row r="186" customFormat="false" ht="15" hidden="false" customHeight="false" outlineLevel="0" collapsed="false">
      <c r="A186" s="8" t="str">
        <f aca="false">parametros_recargas!$B$96</f>
        <v>Control de peso (CO₂ y halogenados sin recarga)</v>
      </c>
      <c r="B186" s="21" t="n">
        <f aca="false">parametros_recargas!$E$96*'Plan mensual'!D181+parametros_recargas!$F$96*'Plan mensual'!D182+parametros_recargas!$G$96*'Plan mensual'!D183+parametros_recargas!$H$96*'Plan mensual'!D184+parametros_recargas!$I$96*'Plan mensual'!D185+parametros_recargas!$J$96*'Plan mensual'!D186+parametros_recargas!$K$96*'Plan mensual'!D187+parametros_recargas!$L$96*'Plan mensual'!D188</f>
        <v>340.338183179592</v>
      </c>
      <c r="C186" s="21" t="n">
        <f aca="false">parametros_recargas!$E$96*'Plan mensual'!E181+parametros_recargas!$F$96*'Plan mensual'!E182+parametros_recargas!$G$96*'Plan mensual'!E183+parametros_recargas!$H$96*'Plan mensual'!E184+parametros_recargas!$I$96*'Plan mensual'!E185+parametros_recargas!$J$96*'Plan mensual'!E186+parametros_recargas!$K$96*'Plan mensual'!E187+parametros_recargas!$L$96*'Plan mensual'!E188</f>
        <v>340.338183179592</v>
      </c>
      <c r="D186" s="21" t="n">
        <f aca="false">parametros_recargas!$E$96*'Plan mensual'!F181+parametros_recargas!$F$96*'Plan mensual'!F182+parametros_recargas!$G$96*'Plan mensual'!F183+parametros_recargas!$H$96*'Plan mensual'!F184+parametros_recargas!$I$96*'Plan mensual'!F185+parametros_recargas!$J$96*'Plan mensual'!F186+parametros_recargas!$K$96*'Plan mensual'!F187+parametros_recargas!$L$96*'Plan mensual'!F188</f>
        <v>340.338183179592</v>
      </c>
      <c r="E186" s="21" t="n">
        <f aca="false">parametros_recargas!$E$96*'Plan mensual'!G181+parametros_recargas!$F$96*'Plan mensual'!G182+parametros_recargas!$G$96*'Plan mensual'!G183+parametros_recargas!$H$96*'Plan mensual'!G184+parametros_recargas!$I$96*'Plan mensual'!G185+parametros_recargas!$J$96*'Plan mensual'!G186+parametros_recargas!$K$96*'Plan mensual'!G187+parametros_recargas!$L$96*'Plan mensual'!G188</f>
        <v>340.338183179592</v>
      </c>
      <c r="F186" s="21" t="n">
        <f aca="false">parametros_recargas!$E$96*'Plan mensual'!H181+parametros_recargas!$F$96*'Plan mensual'!H182+parametros_recargas!$G$96*'Plan mensual'!H183+parametros_recargas!$H$96*'Plan mensual'!H184+parametros_recargas!$I$96*'Plan mensual'!H185+parametros_recargas!$J$96*'Plan mensual'!H186+parametros_recargas!$K$96*'Plan mensual'!H187+parametros_recargas!$L$96*'Plan mensual'!H188</f>
        <v>340.338183179592</v>
      </c>
      <c r="G186" s="21" t="n">
        <f aca="false">parametros_recargas!$E$96*'Plan mensual'!I181+parametros_recargas!$F$96*'Plan mensual'!I182+parametros_recargas!$G$96*'Plan mensual'!I183+parametros_recargas!$H$96*'Plan mensual'!I184+parametros_recargas!$I$96*'Plan mensual'!I185+parametros_recargas!$J$96*'Plan mensual'!I186+parametros_recargas!$K$96*'Plan mensual'!I187+parametros_recargas!$L$96*'Plan mensual'!I188</f>
        <v>340.338183179592</v>
      </c>
      <c r="H186" s="21" t="n">
        <f aca="false">parametros_recargas!$E$96*'Plan mensual'!J181+parametros_recargas!$F$96*'Plan mensual'!J182+parametros_recargas!$G$96*'Plan mensual'!J183+parametros_recargas!$H$96*'Plan mensual'!J184+parametros_recargas!$I$96*'Plan mensual'!J185+parametros_recargas!$J$96*'Plan mensual'!J186+parametros_recargas!$K$96*'Plan mensual'!J187+parametros_recargas!$L$96*'Plan mensual'!J188</f>
        <v>340.338183179592</v>
      </c>
      <c r="I186" s="21" t="n">
        <f aca="false">parametros_recargas!$E$96*'Plan mensual'!K181+parametros_recargas!$F$96*'Plan mensual'!K182+parametros_recargas!$G$96*'Plan mensual'!K183+parametros_recargas!$H$96*'Plan mensual'!K184+parametros_recargas!$I$96*'Plan mensual'!K185+parametros_recargas!$J$96*'Plan mensual'!K186+parametros_recargas!$K$96*'Plan mensual'!K187+parametros_recargas!$L$96*'Plan mensual'!K188</f>
        <v>340.338183179592</v>
      </c>
      <c r="J186" s="21" t="n">
        <f aca="false">parametros_recargas!$E$96*'Plan mensual'!L181+parametros_recargas!$F$96*'Plan mensual'!L182+parametros_recargas!$G$96*'Plan mensual'!L183+parametros_recargas!$H$96*'Plan mensual'!L184+parametros_recargas!$I$96*'Plan mensual'!L185+parametros_recargas!$J$96*'Plan mensual'!L186+parametros_recargas!$K$96*'Plan mensual'!L187+parametros_recargas!$L$96*'Plan mensual'!L188</f>
        <v>340.338183179592</v>
      </c>
      <c r="K186" s="21" t="n">
        <f aca="false">parametros_recargas!$E$96*'Plan mensual'!M181+parametros_recargas!$F$96*'Plan mensual'!M182+parametros_recargas!$G$96*'Plan mensual'!M183+parametros_recargas!$H$96*'Plan mensual'!M184+parametros_recargas!$I$96*'Plan mensual'!M185+parametros_recargas!$J$96*'Plan mensual'!M186+parametros_recargas!$K$96*'Plan mensual'!M187+parametros_recargas!$L$96*'Plan mensual'!M188</f>
        <v>340.338183179592</v>
      </c>
      <c r="L186" s="21" t="n">
        <f aca="false">parametros_recargas!$E$96*'Plan mensual'!N181+parametros_recargas!$F$96*'Plan mensual'!N182+parametros_recargas!$G$96*'Plan mensual'!N183+parametros_recargas!$H$96*'Plan mensual'!N184+parametros_recargas!$I$96*'Plan mensual'!N185+parametros_recargas!$J$96*'Plan mensual'!N186+parametros_recargas!$K$96*'Plan mensual'!N187+parametros_recargas!$L$96*'Plan mensual'!N188</f>
        <v>340.338183179592</v>
      </c>
      <c r="M186" s="21" t="n">
        <f aca="false">parametros_recargas!$E$96*'Plan mensual'!O181+parametros_recargas!$F$96*'Plan mensual'!O182+parametros_recargas!$G$96*'Plan mensual'!O183+parametros_recargas!$H$96*'Plan mensual'!O184+parametros_recargas!$I$96*'Plan mensual'!O185+parametros_recargas!$J$96*'Plan mensual'!O186+parametros_recargas!$K$96*'Plan mensual'!O187+parametros_recargas!$L$96*'Plan mensual'!O188</f>
        <v>340.338183179592</v>
      </c>
      <c r="N186" s="6" t="n">
        <f aca="false">SUM(B186:M186)</f>
        <v>4084.0581981551</v>
      </c>
      <c r="O186" s="22" t="n">
        <f aca="false">MAX(B186:M186)</f>
        <v>340.338183179592</v>
      </c>
      <c r="P186" s="12" t="n">
        <f aca="false">O186/parametros_recargas!$B$6</f>
        <v>2.26892122119728</v>
      </c>
    </row>
    <row r="187" customFormat="false" ht="15" hidden="false" customHeight="false" outlineLevel="0" collapsed="false">
      <c r="A187" s="8" t="str">
        <f aca="false">parametros_recargas!$B$97</f>
        <v>Ensayo de pérdidas</v>
      </c>
      <c r="B187" s="21" t="n">
        <f aca="false">parametros_recargas!$E$97*'Plan mensual'!D181+parametros_recargas!$F$97*'Plan mensual'!D182+parametros_recargas!$G$97*'Plan mensual'!D183+parametros_recargas!$H$97*'Plan mensual'!D184+parametros_recargas!$I$97*'Plan mensual'!D185+parametros_recargas!$J$97*'Plan mensual'!D186+parametros_recargas!$K$97*'Plan mensual'!D187+parametros_recargas!$L$97*'Plan mensual'!D188</f>
        <v>5663.99984701592</v>
      </c>
      <c r="C187" s="21" t="n">
        <f aca="false">parametros_recargas!$E$97*'Plan mensual'!E181+parametros_recargas!$F$97*'Plan mensual'!E182+parametros_recargas!$G$97*'Plan mensual'!E183+parametros_recargas!$H$97*'Plan mensual'!E184+parametros_recargas!$I$97*'Plan mensual'!E185+parametros_recargas!$J$97*'Plan mensual'!E186+parametros_recargas!$K$97*'Plan mensual'!E187+parametros_recargas!$L$97*'Plan mensual'!E188</f>
        <v>5663.99984701592</v>
      </c>
      <c r="D187" s="21" t="n">
        <f aca="false">parametros_recargas!$E$97*'Plan mensual'!F181+parametros_recargas!$F$97*'Plan mensual'!F182+parametros_recargas!$G$97*'Plan mensual'!F183+parametros_recargas!$H$97*'Plan mensual'!F184+parametros_recargas!$I$97*'Plan mensual'!F185+parametros_recargas!$J$97*'Plan mensual'!F186+parametros_recargas!$K$97*'Plan mensual'!F187+parametros_recargas!$L$97*'Plan mensual'!F188</f>
        <v>5663.99984701592</v>
      </c>
      <c r="E187" s="21" t="n">
        <f aca="false">parametros_recargas!$E$97*'Plan mensual'!G181+parametros_recargas!$F$97*'Plan mensual'!G182+parametros_recargas!$G$97*'Plan mensual'!G183+parametros_recargas!$H$97*'Plan mensual'!G184+parametros_recargas!$I$97*'Plan mensual'!G185+parametros_recargas!$J$97*'Plan mensual'!G186+parametros_recargas!$K$97*'Plan mensual'!G187+parametros_recargas!$L$97*'Plan mensual'!G188</f>
        <v>5663.99984701592</v>
      </c>
      <c r="F187" s="21" t="n">
        <f aca="false">parametros_recargas!$E$97*'Plan mensual'!H181+parametros_recargas!$F$97*'Plan mensual'!H182+parametros_recargas!$G$97*'Plan mensual'!H183+parametros_recargas!$H$97*'Plan mensual'!H184+parametros_recargas!$I$97*'Plan mensual'!H185+parametros_recargas!$J$97*'Plan mensual'!H186+parametros_recargas!$K$97*'Plan mensual'!H187+parametros_recargas!$L$97*'Plan mensual'!H188</f>
        <v>5663.99984701592</v>
      </c>
      <c r="G187" s="21" t="n">
        <f aca="false">parametros_recargas!$E$97*'Plan mensual'!I181+parametros_recargas!$F$97*'Plan mensual'!I182+parametros_recargas!$G$97*'Plan mensual'!I183+parametros_recargas!$H$97*'Plan mensual'!I184+parametros_recargas!$I$97*'Plan mensual'!I185+parametros_recargas!$J$97*'Plan mensual'!I186+parametros_recargas!$K$97*'Plan mensual'!I187+parametros_recargas!$L$97*'Plan mensual'!I188</f>
        <v>5663.99984701592</v>
      </c>
      <c r="H187" s="21" t="n">
        <f aca="false">parametros_recargas!$E$97*'Plan mensual'!J181+parametros_recargas!$F$97*'Plan mensual'!J182+parametros_recargas!$G$97*'Plan mensual'!J183+parametros_recargas!$H$97*'Plan mensual'!J184+parametros_recargas!$I$97*'Plan mensual'!J185+parametros_recargas!$J$97*'Plan mensual'!J186+parametros_recargas!$K$97*'Plan mensual'!J187+parametros_recargas!$L$97*'Plan mensual'!J188</f>
        <v>5663.99984701592</v>
      </c>
      <c r="I187" s="21" t="n">
        <f aca="false">parametros_recargas!$E$97*'Plan mensual'!K181+parametros_recargas!$F$97*'Plan mensual'!K182+parametros_recargas!$G$97*'Plan mensual'!K183+parametros_recargas!$H$97*'Plan mensual'!K184+parametros_recargas!$I$97*'Plan mensual'!K185+parametros_recargas!$J$97*'Plan mensual'!K186+parametros_recargas!$K$97*'Plan mensual'!K187+parametros_recargas!$L$97*'Plan mensual'!K188</f>
        <v>5663.99984701592</v>
      </c>
      <c r="J187" s="21" t="n">
        <f aca="false">parametros_recargas!$E$97*'Plan mensual'!L181+parametros_recargas!$F$97*'Plan mensual'!L182+parametros_recargas!$G$97*'Plan mensual'!L183+parametros_recargas!$H$97*'Plan mensual'!L184+parametros_recargas!$I$97*'Plan mensual'!L185+parametros_recargas!$J$97*'Plan mensual'!L186+parametros_recargas!$K$97*'Plan mensual'!L187+parametros_recargas!$L$97*'Plan mensual'!L188</f>
        <v>5663.99984701592</v>
      </c>
      <c r="K187" s="21" t="n">
        <f aca="false">parametros_recargas!$E$97*'Plan mensual'!M181+parametros_recargas!$F$97*'Plan mensual'!M182+parametros_recargas!$G$97*'Plan mensual'!M183+parametros_recargas!$H$97*'Plan mensual'!M184+parametros_recargas!$I$97*'Plan mensual'!M185+parametros_recargas!$J$97*'Plan mensual'!M186+parametros_recargas!$K$97*'Plan mensual'!M187+parametros_recargas!$L$97*'Plan mensual'!M188</f>
        <v>5663.99984701592</v>
      </c>
      <c r="L187" s="21" t="n">
        <f aca="false">parametros_recargas!$E$97*'Plan mensual'!N181+parametros_recargas!$F$97*'Plan mensual'!N182+parametros_recargas!$G$97*'Plan mensual'!N183+parametros_recargas!$H$97*'Plan mensual'!N184+parametros_recargas!$I$97*'Plan mensual'!N185+parametros_recargas!$J$97*'Plan mensual'!N186+parametros_recargas!$K$97*'Plan mensual'!N187+parametros_recargas!$L$97*'Plan mensual'!N188</f>
        <v>5663.99984701592</v>
      </c>
      <c r="M187" s="21" t="n">
        <f aca="false">parametros_recargas!$E$97*'Plan mensual'!O181+parametros_recargas!$F$97*'Plan mensual'!O182+parametros_recargas!$G$97*'Plan mensual'!O183+parametros_recargas!$H$97*'Plan mensual'!O184+parametros_recargas!$I$97*'Plan mensual'!O185+parametros_recargas!$J$97*'Plan mensual'!O186+parametros_recargas!$K$97*'Plan mensual'!O187+parametros_recargas!$L$97*'Plan mensual'!O188</f>
        <v>5663.99984701592</v>
      </c>
      <c r="N187" s="6" t="n">
        <f aca="false">SUM(B187:M187)</f>
        <v>67967.9981641911</v>
      </c>
      <c r="O187" s="22" t="n">
        <f aca="false">MAX(B187:M187)</f>
        <v>5663.99984701592</v>
      </c>
      <c r="P187" s="12" t="n">
        <f aca="false">O187/parametros_recargas!$B$6</f>
        <v>37.7599989801062</v>
      </c>
    </row>
    <row r="188" customFormat="false" ht="15" hidden="false" customHeight="false" outlineLevel="0" collapsed="false">
      <c r="A188" s="8" t="str">
        <f aca="false">parametros_recargas!$B$98</f>
        <v>Precinto, etiqueta y despacho</v>
      </c>
      <c r="B188" s="21" t="n">
        <f aca="false">parametros_recargas!$E$98*'Plan mensual'!D181+parametros_recargas!$F$98*'Plan mensual'!D182+parametros_recargas!$G$98*'Plan mensual'!D183+parametros_recargas!$H$98*'Plan mensual'!D184+parametros_recargas!$I$98*'Plan mensual'!D185+parametros_recargas!$J$98*'Plan mensual'!D186+parametros_recargas!$K$98*'Plan mensual'!D187+parametros_recargas!$L$98*'Plan mensual'!D188</f>
        <v>5663.99984701592</v>
      </c>
      <c r="C188" s="21" t="n">
        <f aca="false">parametros_recargas!$E$98*'Plan mensual'!E181+parametros_recargas!$F$98*'Plan mensual'!E182+parametros_recargas!$G$98*'Plan mensual'!E183+parametros_recargas!$H$98*'Plan mensual'!E184+parametros_recargas!$I$98*'Plan mensual'!E185+parametros_recargas!$J$98*'Plan mensual'!E186+parametros_recargas!$K$98*'Plan mensual'!E187+parametros_recargas!$L$98*'Plan mensual'!E188</f>
        <v>5663.99984701592</v>
      </c>
      <c r="D188" s="21" t="n">
        <f aca="false">parametros_recargas!$E$98*'Plan mensual'!F181+parametros_recargas!$F$98*'Plan mensual'!F182+parametros_recargas!$G$98*'Plan mensual'!F183+parametros_recargas!$H$98*'Plan mensual'!F184+parametros_recargas!$I$98*'Plan mensual'!F185+parametros_recargas!$J$98*'Plan mensual'!F186+parametros_recargas!$K$98*'Plan mensual'!F187+parametros_recargas!$L$98*'Plan mensual'!F188</f>
        <v>5663.99984701592</v>
      </c>
      <c r="E188" s="21" t="n">
        <f aca="false">parametros_recargas!$E$98*'Plan mensual'!G181+parametros_recargas!$F$98*'Plan mensual'!G182+parametros_recargas!$G$98*'Plan mensual'!G183+parametros_recargas!$H$98*'Plan mensual'!G184+parametros_recargas!$I$98*'Plan mensual'!G185+parametros_recargas!$J$98*'Plan mensual'!G186+parametros_recargas!$K$98*'Plan mensual'!G187+parametros_recargas!$L$98*'Plan mensual'!G188</f>
        <v>5663.99984701592</v>
      </c>
      <c r="F188" s="21" t="n">
        <f aca="false">parametros_recargas!$E$98*'Plan mensual'!H181+parametros_recargas!$F$98*'Plan mensual'!H182+parametros_recargas!$G$98*'Plan mensual'!H183+parametros_recargas!$H$98*'Plan mensual'!H184+parametros_recargas!$I$98*'Plan mensual'!H185+parametros_recargas!$J$98*'Plan mensual'!H186+parametros_recargas!$K$98*'Plan mensual'!H187+parametros_recargas!$L$98*'Plan mensual'!H188</f>
        <v>5663.99984701592</v>
      </c>
      <c r="G188" s="21" t="n">
        <f aca="false">parametros_recargas!$E$98*'Plan mensual'!I181+parametros_recargas!$F$98*'Plan mensual'!I182+parametros_recargas!$G$98*'Plan mensual'!I183+parametros_recargas!$H$98*'Plan mensual'!I184+parametros_recargas!$I$98*'Plan mensual'!I185+parametros_recargas!$J$98*'Plan mensual'!I186+parametros_recargas!$K$98*'Plan mensual'!I187+parametros_recargas!$L$98*'Plan mensual'!I188</f>
        <v>5663.99984701592</v>
      </c>
      <c r="H188" s="21" t="n">
        <f aca="false">parametros_recargas!$E$98*'Plan mensual'!J181+parametros_recargas!$F$98*'Plan mensual'!J182+parametros_recargas!$G$98*'Plan mensual'!J183+parametros_recargas!$H$98*'Plan mensual'!J184+parametros_recargas!$I$98*'Plan mensual'!J185+parametros_recargas!$J$98*'Plan mensual'!J186+parametros_recargas!$K$98*'Plan mensual'!J187+parametros_recargas!$L$98*'Plan mensual'!J188</f>
        <v>5663.99984701592</v>
      </c>
      <c r="I188" s="21" t="n">
        <f aca="false">parametros_recargas!$E$98*'Plan mensual'!K181+parametros_recargas!$F$98*'Plan mensual'!K182+parametros_recargas!$G$98*'Plan mensual'!K183+parametros_recargas!$H$98*'Plan mensual'!K184+parametros_recargas!$I$98*'Plan mensual'!K185+parametros_recargas!$J$98*'Plan mensual'!K186+parametros_recargas!$K$98*'Plan mensual'!K187+parametros_recargas!$L$98*'Plan mensual'!K188</f>
        <v>5663.99984701592</v>
      </c>
      <c r="J188" s="21" t="n">
        <f aca="false">parametros_recargas!$E$98*'Plan mensual'!L181+parametros_recargas!$F$98*'Plan mensual'!L182+parametros_recargas!$G$98*'Plan mensual'!L183+parametros_recargas!$H$98*'Plan mensual'!L184+parametros_recargas!$I$98*'Plan mensual'!L185+parametros_recargas!$J$98*'Plan mensual'!L186+parametros_recargas!$K$98*'Plan mensual'!L187+parametros_recargas!$L$98*'Plan mensual'!L188</f>
        <v>5663.99984701592</v>
      </c>
      <c r="K188" s="21" t="n">
        <f aca="false">parametros_recargas!$E$98*'Plan mensual'!M181+parametros_recargas!$F$98*'Plan mensual'!M182+parametros_recargas!$G$98*'Plan mensual'!M183+parametros_recargas!$H$98*'Plan mensual'!M184+parametros_recargas!$I$98*'Plan mensual'!M185+parametros_recargas!$J$98*'Plan mensual'!M186+parametros_recargas!$K$98*'Plan mensual'!M187+parametros_recargas!$L$98*'Plan mensual'!M188</f>
        <v>5663.99984701592</v>
      </c>
      <c r="L188" s="21" t="n">
        <f aca="false">parametros_recargas!$E$98*'Plan mensual'!N181+parametros_recargas!$F$98*'Plan mensual'!N182+parametros_recargas!$G$98*'Plan mensual'!N183+parametros_recargas!$H$98*'Plan mensual'!N184+parametros_recargas!$I$98*'Plan mensual'!N185+parametros_recargas!$J$98*'Plan mensual'!N186+parametros_recargas!$K$98*'Plan mensual'!N187+parametros_recargas!$L$98*'Plan mensual'!N188</f>
        <v>5663.99984701592</v>
      </c>
      <c r="M188" s="21" t="n">
        <f aca="false">parametros_recargas!$E$98*'Plan mensual'!O181+parametros_recargas!$F$98*'Plan mensual'!O182+parametros_recargas!$G$98*'Plan mensual'!O183+parametros_recargas!$H$98*'Plan mensual'!O184+parametros_recargas!$I$98*'Plan mensual'!O185+parametros_recargas!$J$98*'Plan mensual'!O186+parametros_recargas!$K$98*'Plan mensual'!O187+parametros_recargas!$L$98*'Plan mensual'!O188</f>
        <v>5663.99984701592</v>
      </c>
      <c r="N188" s="6" t="n">
        <f aca="false">SUM(B188:M188)</f>
        <v>67967.9981641911</v>
      </c>
      <c r="O188" s="22" t="n">
        <f aca="false">MAX(B188:M188)</f>
        <v>5663.99984701592</v>
      </c>
      <c r="P188" s="12" t="n">
        <f aca="false">O188/parametros_recargas!$B$6</f>
        <v>37.7599989801062</v>
      </c>
    </row>
    <row r="189" customFormat="false" ht="15" hidden="false" customHeight="false" outlineLevel="0" collapsed="false">
      <c r="A189" s="8" t="str">
        <f aca="false">parametros_recargas!$B$99</f>
        <v>Inutilización y disposición final</v>
      </c>
      <c r="B189" s="21" t="n">
        <f aca="false">parametros_recargas!$E$99*'Plan mensual'!D181+parametros_recargas!$F$99*'Plan mensual'!D182+parametros_recargas!$G$99*'Plan mensual'!D183+parametros_recargas!$H$99*'Plan mensual'!D184+parametros_recargas!$I$99*'Plan mensual'!D185+parametros_recargas!$J$99*'Plan mensual'!D186+parametros_recargas!$K$99*'Plan mensual'!D187+parametros_recargas!$L$99*'Plan mensual'!D188</f>
        <v>445.344718439011</v>
      </c>
      <c r="C189" s="21" t="n">
        <f aca="false">parametros_recargas!$E$99*'Plan mensual'!E181+parametros_recargas!$F$99*'Plan mensual'!E182+parametros_recargas!$G$99*'Plan mensual'!E183+parametros_recargas!$H$99*'Plan mensual'!E184+parametros_recargas!$I$99*'Plan mensual'!E185+parametros_recargas!$J$99*'Plan mensual'!E186+parametros_recargas!$K$99*'Plan mensual'!E187+parametros_recargas!$L$99*'Plan mensual'!E188</f>
        <v>445.344718439011</v>
      </c>
      <c r="D189" s="21" t="n">
        <f aca="false">parametros_recargas!$E$99*'Plan mensual'!F181+parametros_recargas!$F$99*'Plan mensual'!F182+parametros_recargas!$G$99*'Plan mensual'!F183+parametros_recargas!$H$99*'Plan mensual'!F184+parametros_recargas!$I$99*'Plan mensual'!F185+parametros_recargas!$J$99*'Plan mensual'!F186+parametros_recargas!$K$99*'Plan mensual'!F187+parametros_recargas!$L$99*'Plan mensual'!F188</f>
        <v>445.344718439011</v>
      </c>
      <c r="E189" s="21" t="n">
        <f aca="false">parametros_recargas!$E$99*'Plan mensual'!G181+parametros_recargas!$F$99*'Plan mensual'!G182+parametros_recargas!$G$99*'Plan mensual'!G183+parametros_recargas!$H$99*'Plan mensual'!G184+parametros_recargas!$I$99*'Plan mensual'!G185+parametros_recargas!$J$99*'Plan mensual'!G186+parametros_recargas!$K$99*'Plan mensual'!G187+parametros_recargas!$L$99*'Plan mensual'!G188</f>
        <v>445.344718439011</v>
      </c>
      <c r="F189" s="21" t="n">
        <f aca="false">parametros_recargas!$E$99*'Plan mensual'!H181+parametros_recargas!$F$99*'Plan mensual'!H182+parametros_recargas!$G$99*'Plan mensual'!H183+parametros_recargas!$H$99*'Plan mensual'!H184+parametros_recargas!$I$99*'Plan mensual'!H185+parametros_recargas!$J$99*'Plan mensual'!H186+parametros_recargas!$K$99*'Plan mensual'!H187+parametros_recargas!$L$99*'Plan mensual'!H188</f>
        <v>445.344718439011</v>
      </c>
      <c r="G189" s="21" t="n">
        <f aca="false">parametros_recargas!$E$99*'Plan mensual'!I181+parametros_recargas!$F$99*'Plan mensual'!I182+parametros_recargas!$G$99*'Plan mensual'!I183+parametros_recargas!$H$99*'Plan mensual'!I184+parametros_recargas!$I$99*'Plan mensual'!I185+parametros_recargas!$J$99*'Plan mensual'!I186+parametros_recargas!$K$99*'Plan mensual'!I187+parametros_recargas!$L$99*'Plan mensual'!I188</f>
        <v>445.344718439011</v>
      </c>
      <c r="H189" s="21" t="n">
        <f aca="false">parametros_recargas!$E$99*'Plan mensual'!J181+parametros_recargas!$F$99*'Plan mensual'!J182+parametros_recargas!$G$99*'Plan mensual'!J183+parametros_recargas!$H$99*'Plan mensual'!J184+parametros_recargas!$I$99*'Plan mensual'!J185+parametros_recargas!$J$99*'Plan mensual'!J186+parametros_recargas!$K$99*'Plan mensual'!J187+parametros_recargas!$L$99*'Plan mensual'!J188</f>
        <v>445.344718439011</v>
      </c>
      <c r="I189" s="21" t="n">
        <f aca="false">parametros_recargas!$E$99*'Plan mensual'!K181+parametros_recargas!$F$99*'Plan mensual'!K182+parametros_recargas!$G$99*'Plan mensual'!K183+parametros_recargas!$H$99*'Plan mensual'!K184+parametros_recargas!$I$99*'Plan mensual'!K185+parametros_recargas!$J$99*'Plan mensual'!K186+parametros_recargas!$K$99*'Plan mensual'!K187+parametros_recargas!$L$99*'Plan mensual'!K188</f>
        <v>445.344718439011</v>
      </c>
      <c r="J189" s="21" t="n">
        <f aca="false">parametros_recargas!$E$99*'Plan mensual'!L181+parametros_recargas!$F$99*'Plan mensual'!L182+parametros_recargas!$G$99*'Plan mensual'!L183+parametros_recargas!$H$99*'Plan mensual'!L184+parametros_recargas!$I$99*'Plan mensual'!L185+parametros_recargas!$J$99*'Plan mensual'!L186+parametros_recargas!$K$99*'Plan mensual'!L187+parametros_recargas!$L$99*'Plan mensual'!L188</f>
        <v>445.344718439011</v>
      </c>
      <c r="K189" s="21" t="n">
        <f aca="false">parametros_recargas!$E$99*'Plan mensual'!M181+parametros_recargas!$F$99*'Plan mensual'!M182+parametros_recargas!$G$99*'Plan mensual'!M183+parametros_recargas!$H$99*'Plan mensual'!M184+parametros_recargas!$I$99*'Plan mensual'!M185+parametros_recargas!$J$99*'Plan mensual'!M186+parametros_recargas!$K$99*'Plan mensual'!M187+parametros_recargas!$L$99*'Plan mensual'!M188</f>
        <v>445.344718439011</v>
      </c>
      <c r="L189" s="21" t="n">
        <f aca="false">parametros_recargas!$E$99*'Plan mensual'!N181+parametros_recargas!$F$99*'Plan mensual'!N182+parametros_recargas!$G$99*'Plan mensual'!N183+parametros_recargas!$H$99*'Plan mensual'!N184+parametros_recargas!$I$99*'Plan mensual'!N185+parametros_recargas!$J$99*'Plan mensual'!N186+parametros_recargas!$K$99*'Plan mensual'!N187+parametros_recargas!$L$99*'Plan mensual'!N188</f>
        <v>445.344718439011</v>
      </c>
      <c r="M189" s="21" t="n">
        <f aca="false">parametros_recargas!$E$99*'Plan mensual'!O181+parametros_recargas!$F$99*'Plan mensual'!O182+parametros_recargas!$G$99*'Plan mensual'!O183+parametros_recargas!$H$99*'Plan mensual'!O184+parametros_recargas!$I$99*'Plan mensual'!O185+parametros_recargas!$J$99*'Plan mensual'!O186+parametros_recargas!$K$99*'Plan mensual'!O187+parametros_recargas!$L$99*'Plan mensual'!O188</f>
        <v>445.344718439011</v>
      </c>
      <c r="N189" s="6" t="n">
        <f aca="false">SUM(B189:M189)</f>
        <v>5344.13662126813</v>
      </c>
      <c r="O189" s="22" t="n">
        <f aca="false">MAX(B189:M189)</f>
        <v>445.344718439011</v>
      </c>
      <c r="P189" s="12" t="n">
        <f aca="false">O189/parametros_recargas!$B$6</f>
        <v>2.96896478959341</v>
      </c>
    </row>
    <row r="190" customFormat="false" ht="15" hidden="false" customHeight="false" outlineLevel="0" collapsed="false">
      <c r="A190" s="8" t="str">
        <f aca="false">parametros_recargas!$B$100</f>
        <v>PH de mangueras (CO₂ y rodantes)</v>
      </c>
      <c r="B190" s="21" t="n">
        <f aca="false">'Plan mensual'!D189</f>
        <v>189.531504104235</v>
      </c>
      <c r="C190" s="21" t="n">
        <f aca="false">'Plan mensual'!E189</f>
        <v>189.531504104235</v>
      </c>
      <c r="D190" s="21" t="n">
        <f aca="false">'Plan mensual'!F189</f>
        <v>189.531504104235</v>
      </c>
      <c r="E190" s="21" t="n">
        <f aca="false">'Plan mensual'!G189</f>
        <v>189.531504104235</v>
      </c>
      <c r="F190" s="21" t="n">
        <f aca="false">'Plan mensual'!H189</f>
        <v>189.531504104235</v>
      </c>
      <c r="G190" s="21" t="n">
        <f aca="false">'Plan mensual'!I189</f>
        <v>189.531504104235</v>
      </c>
      <c r="H190" s="21" t="n">
        <f aca="false">'Plan mensual'!J189</f>
        <v>189.531504104235</v>
      </c>
      <c r="I190" s="21" t="n">
        <f aca="false">'Plan mensual'!K189</f>
        <v>189.531504104235</v>
      </c>
      <c r="J190" s="21" t="n">
        <f aca="false">'Plan mensual'!L189</f>
        <v>189.531504104235</v>
      </c>
      <c r="K190" s="21" t="n">
        <f aca="false">'Plan mensual'!M189</f>
        <v>189.531504104235</v>
      </c>
      <c r="L190" s="21" t="n">
        <f aca="false">'Plan mensual'!N189</f>
        <v>189.531504104235</v>
      </c>
      <c r="M190" s="21" t="n">
        <f aca="false">'Plan mensual'!O189</f>
        <v>189.531504104235</v>
      </c>
      <c r="N190" s="6" t="n">
        <f aca="false">SUM(B190:M190)</f>
        <v>2274.37804925082</v>
      </c>
      <c r="O190" s="22" t="n">
        <f aca="false">MAX(B190:M190)</f>
        <v>189.531504104235</v>
      </c>
      <c r="P190" s="12" t="n">
        <f aca="false">O190/parametros_recargas!$B$6</f>
        <v>1.2635433606949</v>
      </c>
    </row>
    <row r="193" customFormat="false" ht="23.85" hidden="false" customHeight="false" outlineLevel="0" collapsed="false">
      <c r="A193" s="2" t="s">
        <v>318</v>
      </c>
      <c r="B193" s="2" t="s">
        <v>130</v>
      </c>
      <c r="C193" s="2" t="s">
        <v>131</v>
      </c>
      <c r="D193" s="2" t="s">
        <v>132</v>
      </c>
      <c r="E193" s="2" t="s">
        <v>133</v>
      </c>
      <c r="F193" s="2" t="s">
        <v>134</v>
      </c>
      <c r="G193" s="2" t="s">
        <v>135</v>
      </c>
      <c r="H193" s="2" t="s">
        <v>136</v>
      </c>
      <c r="I193" s="2" t="s">
        <v>137</v>
      </c>
      <c r="J193" s="2" t="s">
        <v>138</v>
      </c>
      <c r="K193" s="2" t="s">
        <v>139</v>
      </c>
      <c r="L193" s="2" t="s">
        <v>140</v>
      </c>
      <c r="M193" s="2" t="s">
        <v>141</v>
      </c>
      <c r="N193" s="2" t="s">
        <v>310</v>
      </c>
      <c r="O193" s="2" t="s">
        <v>311</v>
      </c>
      <c r="P193" s="2" t="s">
        <v>312</v>
      </c>
    </row>
    <row r="194" customFormat="false" ht="15" hidden="false" customHeight="false" outlineLevel="0" collapsed="false">
      <c r="A194" s="8" t="str">
        <f aca="false">parametros_recargas!$B$72</f>
        <v>Recepción y registro</v>
      </c>
      <c r="B194" s="21" t="n">
        <f aca="false">parametros_recargas!$E$72*'Plan mensual'!D213+parametros_recargas!$F$72*'Plan mensual'!D214+parametros_recargas!$G$72*'Plan mensual'!D215+parametros_recargas!$H$72*'Plan mensual'!D216+parametros_recargas!$I$72*'Plan mensual'!D217+parametros_recargas!$J$72*'Plan mensual'!D218+parametros_recargas!$K$72*'Plan mensual'!D219+parametros_recargas!$L$72*'Plan mensual'!D220</f>
        <v>7035.16813400207</v>
      </c>
      <c r="C194" s="21" t="n">
        <f aca="false">parametros_recargas!$E$72*'Plan mensual'!E213+parametros_recargas!$F$72*'Plan mensual'!E214+parametros_recargas!$G$72*'Plan mensual'!E215+parametros_recargas!$H$72*'Plan mensual'!E216+parametros_recargas!$I$72*'Plan mensual'!E217+parametros_recargas!$J$72*'Plan mensual'!E218+parametros_recargas!$K$72*'Plan mensual'!E219+parametros_recargas!$L$72*'Plan mensual'!E220</f>
        <v>7035.16813400207</v>
      </c>
      <c r="D194" s="21" t="n">
        <f aca="false">parametros_recargas!$E$72*'Plan mensual'!F213+parametros_recargas!$F$72*'Plan mensual'!F214+parametros_recargas!$G$72*'Plan mensual'!F215+parametros_recargas!$H$72*'Plan mensual'!F216+parametros_recargas!$I$72*'Plan mensual'!F217+parametros_recargas!$J$72*'Plan mensual'!F218+parametros_recargas!$K$72*'Plan mensual'!F219+parametros_recargas!$L$72*'Plan mensual'!F220</f>
        <v>7035.16813400207</v>
      </c>
      <c r="E194" s="21" t="n">
        <f aca="false">parametros_recargas!$E$72*'Plan mensual'!G213+parametros_recargas!$F$72*'Plan mensual'!G214+parametros_recargas!$G$72*'Plan mensual'!G215+parametros_recargas!$H$72*'Plan mensual'!G216+parametros_recargas!$I$72*'Plan mensual'!G217+parametros_recargas!$J$72*'Plan mensual'!G218+parametros_recargas!$K$72*'Plan mensual'!G219+parametros_recargas!$L$72*'Plan mensual'!G220</f>
        <v>7035.16813400207</v>
      </c>
      <c r="F194" s="21" t="n">
        <f aca="false">parametros_recargas!$E$72*'Plan mensual'!H213+parametros_recargas!$F$72*'Plan mensual'!H214+parametros_recargas!$G$72*'Plan mensual'!H215+parametros_recargas!$H$72*'Plan mensual'!H216+parametros_recargas!$I$72*'Plan mensual'!H217+parametros_recargas!$J$72*'Plan mensual'!H218+parametros_recargas!$K$72*'Plan mensual'!H219+parametros_recargas!$L$72*'Plan mensual'!H220</f>
        <v>7035.16813400207</v>
      </c>
      <c r="G194" s="21" t="n">
        <f aca="false">parametros_recargas!$E$72*'Plan mensual'!I213+parametros_recargas!$F$72*'Plan mensual'!I214+parametros_recargas!$G$72*'Plan mensual'!I215+parametros_recargas!$H$72*'Plan mensual'!I216+parametros_recargas!$I$72*'Plan mensual'!I217+parametros_recargas!$J$72*'Plan mensual'!I218+parametros_recargas!$K$72*'Plan mensual'!I219+parametros_recargas!$L$72*'Plan mensual'!I220</f>
        <v>7035.16813400207</v>
      </c>
      <c r="H194" s="21" t="n">
        <f aca="false">parametros_recargas!$E$72*'Plan mensual'!J213+parametros_recargas!$F$72*'Plan mensual'!J214+parametros_recargas!$G$72*'Plan mensual'!J215+parametros_recargas!$H$72*'Plan mensual'!J216+parametros_recargas!$I$72*'Plan mensual'!J217+parametros_recargas!$J$72*'Plan mensual'!J218+parametros_recargas!$K$72*'Plan mensual'!J219+parametros_recargas!$L$72*'Plan mensual'!J220</f>
        <v>7035.16813400207</v>
      </c>
      <c r="I194" s="21" t="n">
        <f aca="false">parametros_recargas!$E$72*'Plan mensual'!K213+parametros_recargas!$F$72*'Plan mensual'!K214+parametros_recargas!$G$72*'Plan mensual'!K215+parametros_recargas!$H$72*'Plan mensual'!K216+parametros_recargas!$I$72*'Plan mensual'!K217+parametros_recargas!$J$72*'Plan mensual'!K218+parametros_recargas!$K$72*'Plan mensual'!K219+parametros_recargas!$L$72*'Plan mensual'!K220</f>
        <v>7035.16813400207</v>
      </c>
      <c r="J194" s="21" t="n">
        <f aca="false">parametros_recargas!$E$72*'Plan mensual'!L213+parametros_recargas!$F$72*'Plan mensual'!L214+parametros_recargas!$G$72*'Plan mensual'!L215+parametros_recargas!$H$72*'Plan mensual'!L216+parametros_recargas!$I$72*'Plan mensual'!L217+parametros_recargas!$J$72*'Plan mensual'!L218+parametros_recargas!$K$72*'Plan mensual'!L219+parametros_recargas!$L$72*'Plan mensual'!L220</f>
        <v>7035.16813400207</v>
      </c>
      <c r="K194" s="21" t="n">
        <f aca="false">parametros_recargas!$E$72*'Plan mensual'!M213+parametros_recargas!$F$72*'Plan mensual'!M214+parametros_recargas!$G$72*'Plan mensual'!M215+parametros_recargas!$H$72*'Plan mensual'!M216+parametros_recargas!$I$72*'Plan mensual'!M217+parametros_recargas!$J$72*'Plan mensual'!M218+parametros_recargas!$K$72*'Plan mensual'!M219+parametros_recargas!$L$72*'Plan mensual'!M220</f>
        <v>7035.16813400207</v>
      </c>
      <c r="L194" s="21" t="n">
        <f aca="false">parametros_recargas!$E$72*'Plan mensual'!N213+parametros_recargas!$F$72*'Plan mensual'!N214+parametros_recargas!$G$72*'Plan mensual'!N215+parametros_recargas!$H$72*'Plan mensual'!N216+parametros_recargas!$I$72*'Plan mensual'!N217+parametros_recargas!$J$72*'Plan mensual'!N218+parametros_recargas!$K$72*'Plan mensual'!N219+parametros_recargas!$L$72*'Plan mensual'!N220</f>
        <v>7035.16813400207</v>
      </c>
      <c r="M194" s="21" t="n">
        <f aca="false">parametros_recargas!$E$72*'Plan mensual'!O213+parametros_recargas!$F$72*'Plan mensual'!O214+parametros_recargas!$G$72*'Plan mensual'!O215+parametros_recargas!$H$72*'Plan mensual'!O216+parametros_recargas!$I$72*'Plan mensual'!O217+parametros_recargas!$J$72*'Plan mensual'!O218+parametros_recargas!$K$72*'Plan mensual'!O219+parametros_recargas!$L$72*'Plan mensual'!O220</f>
        <v>7035.16813400207</v>
      </c>
      <c r="N194" s="6" t="n">
        <f aca="false">SUM(B194:M194)</f>
        <v>84422.0176080249</v>
      </c>
      <c r="O194" s="22" t="n">
        <f aca="false">MAX(B194:M194)</f>
        <v>7035.16813400207</v>
      </c>
      <c r="P194" s="12" t="n">
        <f aca="false">O194/parametros_recargas!$B$6</f>
        <v>46.9011208933472</v>
      </c>
    </row>
    <row r="195" customFormat="false" ht="15" hidden="false" customHeight="false" outlineLevel="0" collapsed="false">
      <c r="A195" s="8" t="str">
        <f aca="false">parametros_recargas!$B$73</f>
        <v>Inspección visual</v>
      </c>
      <c r="B195" s="21" t="n">
        <f aca="false">parametros_recargas!$E$73*'Plan mensual'!D213+parametros_recargas!$F$73*'Plan mensual'!D214+parametros_recargas!$G$73*'Plan mensual'!D215+parametros_recargas!$H$73*'Plan mensual'!D216+parametros_recargas!$I$73*'Plan mensual'!D217+parametros_recargas!$J$73*'Plan mensual'!D218+parametros_recargas!$K$73*'Plan mensual'!D219+parametros_recargas!$L$73*'Plan mensual'!D220</f>
        <v>7035.16813400207</v>
      </c>
      <c r="C195" s="21" t="n">
        <f aca="false">parametros_recargas!$E$73*'Plan mensual'!E213+parametros_recargas!$F$73*'Plan mensual'!E214+parametros_recargas!$G$73*'Plan mensual'!E215+parametros_recargas!$H$73*'Plan mensual'!E216+parametros_recargas!$I$73*'Plan mensual'!E217+parametros_recargas!$J$73*'Plan mensual'!E218+parametros_recargas!$K$73*'Plan mensual'!E219+parametros_recargas!$L$73*'Plan mensual'!E220</f>
        <v>7035.16813400207</v>
      </c>
      <c r="D195" s="21" t="n">
        <f aca="false">parametros_recargas!$E$73*'Plan mensual'!F213+parametros_recargas!$F$73*'Plan mensual'!F214+parametros_recargas!$G$73*'Plan mensual'!F215+parametros_recargas!$H$73*'Plan mensual'!F216+parametros_recargas!$I$73*'Plan mensual'!F217+parametros_recargas!$J$73*'Plan mensual'!F218+parametros_recargas!$K$73*'Plan mensual'!F219+parametros_recargas!$L$73*'Plan mensual'!F220</f>
        <v>7035.16813400207</v>
      </c>
      <c r="E195" s="21" t="n">
        <f aca="false">parametros_recargas!$E$73*'Plan mensual'!G213+parametros_recargas!$F$73*'Plan mensual'!G214+parametros_recargas!$G$73*'Plan mensual'!G215+parametros_recargas!$H$73*'Plan mensual'!G216+parametros_recargas!$I$73*'Plan mensual'!G217+parametros_recargas!$J$73*'Plan mensual'!G218+parametros_recargas!$K$73*'Plan mensual'!G219+parametros_recargas!$L$73*'Plan mensual'!G220</f>
        <v>7035.16813400207</v>
      </c>
      <c r="F195" s="21" t="n">
        <f aca="false">parametros_recargas!$E$73*'Plan mensual'!H213+parametros_recargas!$F$73*'Plan mensual'!H214+parametros_recargas!$G$73*'Plan mensual'!H215+parametros_recargas!$H$73*'Plan mensual'!H216+parametros_recargas!$I$73*'Plan mensual'!H217+parametros_recargas!$J$73*'Plan mensual'!H218+parametros_recargas!$K$73*'Plan mensual'!H219+parametros_recargas!$L$73*'Plan mensual'!H220</f>
        <v>7035.16813400207</v>
      </c>
      <c r="G195" s="21" t="n">
        <f aca="false">parametros_recargas!$E$73*'Plan mensual'!I213+parametros_recargas!$F$73*'Plan mensual'!I214+parametros_recargas!$G$73*'Plan mensual'!I215+parametros_recargas!$H$73*'Plan mensual'!I216+parametros_recargas!$I$73*'Plan mensual'!I217+parametros_recargas!$J$73*'Plan mensual'!I218+parametros_recargas!$K$73*'Plan mensual'!I219+parametros_recargas!$L$73*'Plan mensual'!I220</f>
        <v>7035.16813400207</v>
      </c>
      <c r="H195" s="21" t="n">
        <f aca="false">parametros_recargas!$E$73*'Plan mensual'!J213+parametros_recargas!$F$73*'Plan mensual'!J214+parametros_recargas!$G$73*'Plan mensual'!J215+parametros_recargas!$H$73*'Plan mensual'!J216+parametros_recargas!$I$73*'Plan mensual'!J217+parametros_recargas!$J$73*'Plan mensual'!J218+parametros_recargas!$K$73*'Plan mensual'!J219+parametros_recargas!$L$73*'Plan mensual'!J220</f>
        <v>7035.16813400207</v>
      </c>
      <c r="I195" s="21" t="n">
        <f aca="false">parametros_recargas!$E$73*'Plan mensual'!K213+parametros_recargas!$F$73*'Plan mensual'!K214+parametros_recargas!$G$73*'Plan mensual'!K215+parametros_recargas!$H$73*'Plan mensual'!K216+parametros_recargas!$I$73*'Plan mensual'!K217+parametros_recargas!$J$73*'Plan mensual'!K218+parametros_recargas!$K$73*'Plan mensual'!K219+parametros_recargas!$L$73*'Plan mensual'!K220</f>
        <v>7035.16813400207</v>
      </c>
      <c r="J195" s="21" t="n">
        <f aca="false">parametros_recargas!$E$73*'Plan mensual'!L213+parametros_recargas!$F$73*'Plan mensual'!L214+parametros_recargas!$G$73*'Plan mensual'!L215+parametros_recargas!$H$73*'Plan mensual'!L216+parametros_recargas!$I$73*'Plan mensual'!L217+parametros_recargas!$J$73*'Plan mensual'!L218+parametros_recargas!$K$73*'Plan mensual'!L219+parametros_recargas!$L$73*'Plan mensual'!L220</f>
        <v>7035.16813400207</v>
      </c>
      <c r="K195" s="21" t="n">
        <f aca="false">parametros_recargas!$E$73*'Plan mensual'!M213+parametros_recargas!$F$73*'Plan mensual'!M214+parametros_recargas!$G$73*'Plan mensual'!M215+parametros_recargas!$H$73*'Plan mensual'!M216+parametros_recargas!$I$73*'Plan mensual'!M217+parametros_recargas!$J$73*'Plan mensual'!M218+parametros_recargas!$K$73*'Plan mensual'!M219+parametros_recargas!$L$73*'Plan mensual'!M220</f>
        <v>7035.16813400207</v>
      </c>
      <c r="L195" s="21" t="n">
        <f aca="false">parametros_recargas!$E$73*'Plan mensual'!N213+parametros_recargas!$F$73*'Plan mensual'!N214+parametros_recargas!$G$73*'Plan mensual'!N215+parametros_recargas!$H$73*'Plan mensual'!N216+parametros_recargas!$I$73*'Plan mensual'!N217+parametros_recargas!$J$73*'Plan mensual'!N218+parametros_recargas!$K$73*'Plan mensual'!N219+parametros_recargas!$L$73*'Plan mensual'!N220</f>
        <v>7035.16813400207</v>
      </c>
      <c r="M195" s="21" t="n">
        <f aca="false">parametros_recargas!$E$73*'Plan mensual'!O213+parametros_recargas!$F$73*'Plan mensual'!O214+parametros_recargas!$G$73*'Plan mensual'!O215+parametros_recargas!$H$73*'Plan mensual'!O216+parametros_recargas!$I$73*'Plan mensual'!O217+parametros_recargas!$J$73*'Plan mensual'!O218+parametros_recargas!$K$73*'Plan mensual'!O219+parametros_recargas!$L$73*'Plan mensual'!O220</f>
        <v>7035.16813400207</v>
      </c>
      <c r="N195" s="6" t="n">
        <f aca="false">SUM(B195:M195)</f>
        <v>84422.0176080249</v>
      </c>
      <c r="O195" s="22" t="n">
        <f aca="false">MAX(B195:M195)</f>
        <v>7035.16813400207</v>
      </c>
      <c r="P195" s="12" t="n">
        <f aca="false">O195/parametros_recargas!$B$6</f>
        <v>46.9011208933472</v>
      </c>
    </row>
    <row r="196" customFormat="false" ht="15" hidden="false" customHeight="false" outlineLevel="0" collapsed="false">
      <c r="A196" s="8" t="str">
        <f aca="false">parametros_recargas!$B$74</f>
        <v>Descarga ABC — ruta recuperable</v>
      </c>
      <c r="B196" s="21" t="n">
        <f aca="false">parametros_recargas!$E$74*'Plan mensual'!D213+parametros_recargas!$F$74*'Plan mensual'!D214+parametros_recargas!$G$74*'Plan mensual'!D215+parametros_recargas!$H$74*'Plan mensual'!D216+parametros_recargas!$I$74*'Plan mensual'!D217+parametros_recargas!$J$74*'Plan mensual'!D218+parametros_recargas!$K$74*'Plan mensual'!D219+parametros_recargas!$L$74*'Plan mensual'!D220</f>
        <v>5194.52592062193</v>
      </c>
      <c r="C196" s="21" t="n">
        <f aca="false">parametros_recargas!$E$74*'Plan mensual'!E213+parametros_recargas!$F$74*'Plan mensual'!E214+parametros_recargas!$G$74*'Plan mensual'!E215+parametros_recargas!$H$74*'Plan mensual'!E216+parametros_recargas!$I$74*'Plan mensual'!E217+parametros_recargas!$J$74*'Plan mensual'!E218+parametros_recargas!$K$74*'Plan mensual'!E219+parametros_recargas!$L$74*'Plan mensual'!E220</f>
        <v>5194.52592062193</v>
      </c>
      <c r="D196" s="21" t="n">
        <f aca="false">parametros_recargas!$E$74*'Plan mensual'!F213+parametros_recargas!$F$74*'Plan mensual'!F214+parametros_recargas!$G$74*'Plan mensual'!F215+parametros_recargas!$H$74*'Plan mensual'!F216+parametros_recargas!$I$74*'Plan mensual'!F217+parametros_recargas!$J$74*'Plan mensual'!F218+parametros_recargas!$K$74*'Plan mensual'!F219+parametros_recargas!$L$74*'Plan mensual'!F220</f>
        <v>5194.52592062193</v>
      </c>
      <c r="E196" s="21" t="n">
        <f aca="false">parametros_recargas!$E$74*'Plan mensual'!G213+parametros_recargas!$F$74*'Plan mensual'!G214+parametros_recargas!$G$74*'Plan mensual'!G215+parametros_recargas!$H$74*'Plan mensual'!G216+parametros_recargas!$I$74*'Plan mensual'!G217+parametros_recargas!$J$74*'Plan mensual'!G218+parametros_recargas!$K$74*'Plan mensual'!G219+parametros_recargas!$L$74*'Plan mensual'!G220</f>
        <v>5194.52592062193</v>
      </c>
      <c r="F196" s="21" t="n">
        <f aca="false">parametros_recargas!$E$74*'Plan mensual'!H213+parametros_recargas!$F$74*'Plan mensual'!H214+parametros_recargas!$G$74*'Plan mensual'!H215+parametros_recargas!$H$74*'Plan mensual'!H216+parametros_recargas!$I$74*'Plan mensual'!H217+parametros_recargas!$J$74*'Plan mensual'!H218+parametros_recargas!$K$74*'Plan mensual'!H219+parametros_recargas!$L$74*'Plan mensual'!H220</f>
        <v>5194.52592062193</v>
      </c>
      <c r="G196" s="21" t="n">
        <f aca="false">parametros_recargas!$E$74*'Plan mensual'!I213+parametros_recargas!$F$74*'Plan mensual'!I214+parametros_recargas!$G$74*'Plan mensual'!I215+parametros_recargas!$H$74*'Plan mensual'!I216+parametros_recargas!$I$74*'Plan mensual'!I217+parametros_recargas!$J$74*'Plan mensual'!I218+parametros_recargas!$K$74*'Plan mensual'!I219+parametros_recargas!$L$74*'Plan mensual'!I220</f>
        <v>5194.52592062193</v>
      </c>
      <c r="H196" s="21" t="n">
        <f aca="false">parametros_recargas!$E$74*'Plan mensual'!J213+parametros_recargas!$F$74*'Plan mensual'!J214+parametros_recargas!$G$74*'Plan mensual'!J215+parametros_recargas!$H$74*'Plan mensual'!J216+parametros_recargas!$I$74*'Plan mensual'!J217+parametros_recargas!$J$74*'Plan mensual'!J218+parametros_recargas!$K$74*'Plan mensual'!J219+parametros_recargas!$L$74*'Plan mensual'!J220</f>
        <v>5194.52592062193</v>
      </c>
      <c r="I196" s="21" t="n">
        <f aca="false">parametros_recargas!$E$74*'Plan mensual'!K213+parametros_recargas!$F$74*'Plan mensual'!K214+parametros_recargas!$G$74*'Plan mensual'!K215+parametros_recargas!$H$74*'Plan mensual'!K216+parametros_recargas!$I$74*'Plan mensual'!K217+parametros_recargas!$J$74*'Plan mensual'!K218+parametros_recargas!$K$74*'Plan mensual'!K219+parametros_recargas!$L$74*'Plan mensual'!K220</f>
        <v>5194.52592062193</v>
      </c>
      <c r="J196" s="21" t="n">
        <f aca="false">parametros_recargas!$E$74*'Plan mensual'!L213+parametros_recargas!$F$74*'Plan mensual'!L214+parametros_recargas!$G$74*'Plan mensual'!L215+parametros_recargas!$H$74*'Plan mensual'!L216+parametros_recargas!$I$74*'Plan mensual'!L217+parametros_recargas!$J$74*'Plan mensual'!L218+parametros_recargas!$K$74*'Plan mensual'!L219+parametros_recargas!$L$74*'Plan mensual'!L220</f>
        <v>5194.52592062193</v>
      </c>
      <c r="K196" s="21" t="n">
        <f aca="false">parametros_recargas!$E$74*'Plan mensual'!M213+parametros_recargas!$F$74*'Plan mensual'!M214+parametros_recargas!$G$74*'Plan mensual'!M215+parametros_recargas!$H$74*'Plan mensual'!M216+parametros_recargas!$I$74*'Plan mensual'!M217+parametros_recargas!$J$74*'Plan mensual'!M218+parametros_recargas!$K$74*'Plan mensual'!M219+parametros_recargas!$L$74*'Plan mensual'!M220</f>
        <v>5194.52592062193</v>
      </c>
      <c r="L196" s="21" t="n">
        <f aca="false">parametros_recargas!$E$74*'Plan mensual'!N213+parametros_recargas!$F$74*'Plan mensual'!N214+parametros_recargas!$G$74*'Plan mensual'!N215+parametros_recargas!$H$74*'Plan mensual'!N216+parametros_recargas!$I$74*'Plan mensual'!N217+parametros_recargas!$J$74*'Plan mensual'!N218+parametros_recargas!$K$74*'Plan mensual'!N219+parametros_recargas!$L$74*'Plan mensual'!N220</f>
        <v>5194.52592062193</v>
      </c>
      <c r="M196" s="21" t="n">
        <f aca="false">parametros_recargas!$E$74*'Plan mensual'!O213+parametros_recargas!$F$74*'Plan mensual'!O214+parametros_recargas!$G$74*'Plan mensual'!O215+parametros_recargas!$H$74*'Plan mensual'!O216+parametros_recargas!$I$74*'Plan mensual'!O217+parametros_recargas!$J$74*'Plan mensual'!O218+parametros_recargas!$K$74*'Plan mensual'!O219+parametros_recargas!$L$74*'Plan mensual'!O220</f>
        <v>5194.52592062193</v>
      </c>
      <c r="N196" s="6" t="n">
        <f aca="false">SUM(B196:M196)</f>
        <v>62334.3110474632</v>
      </c>
      <c r="O196" s="22" t="n">
        <f aca="false">MAX(B196:M196)</f>
        <v>5194.52592062193</v>
      </c>
      <c r="P196" s="12" t="n">
        <f aca="false">O196/parametros_recargas!$B$6</f>
        <v>34.6301728041462</v>
      </c>
    </row>
    <row r="197" customFormat="false" ht="15" hidden="false" customHeight="false" outlineLevel="0" collapsed="false">
      <c r="A197" s="8" t="str">
        <f aca="false">parametros_recargas!$B$75</f>
        <v>Descarga ABC — ruta descarte</v>
      </c>
      <c r="B197" s="21" t="n">
        <f aca="false">parametros_recargas!$E$75*'Plan mensual'!D213+parametros_recargas!$F$75*'Plan mensual'!D214+parametros_recargas!$G$75*'Plan mensual'!D215+parametros_recargas!$H$75*'Plan mensual'!D216+parametros_recargas!$I$75*'Plan mensual'!D217+parametros_recargas!$J$75*'Plan mensual'!D218+parametros_recargas!$K$75*'Plan mensual'!D219+parametros_recargas!$L$75*'Plan mensual'!D220</f>
        <v>611.120696543757</v>
      </c>
      <c r="C197" s="21" t="n">
        <f aca="false">parametros_recargas!$E$75*'Plan mensual'!E213+parametros_recargas!$F$75*'Plan mensual'!E214+parametros_recargas!$G$75*'Plan mensual'!E215+parametros_recargas!$H$75*'Plan mensual'!E216+parametros_recargas!$I$75*'Plan mensual'!E217+parametros_recargas!$J$75*'Plan mensual'!E218+parametros_recargas!$K$75*'Plan mensual'!E219+parametros_recargas!$L$75*'Plan mensual'!E220</f>
        <v>611.120696543757</v>
      </c>
      <c r="D197" s="21" t="n">
        <f aca="false">parametros_recargas!$E$75*'Plan mensual'!F213+parametros_recargas!$F$75*'Plan mensual'!F214+parametros_recargas!$G$75*'Plan mensual'!F215+parametros_recargas!$H$75*'Plan mensual'!F216+parametros_recargas!$I$75*'Plan mensual'!F217+parametros_recargas!$J$75*'Plan mensual'!F218+parametros_recargas!$K$75*'Plan mensual'!F219+parametros_recargas!$L$75*'Plan mensual'!F220</f>
        <v>611.120696543757</v>
      </c>
      <c r="E197" s="21" t="n">
        <f aca="false">parametros_recargas!$E$75*'Plan mensual'!G213+parametros_recargas!$F$75*'Plan mensual'!G214+parametros_recargas!$G$75*'Plan mensual'!G215+parametros_recargas!$H$75*'Plan mensual'!G216+parametros_recargas!$I$75*'Plan mensual'!G217+parametros_recargas!$J$75*'Plan mensual'!G218+parametros_recargas!$K$75*'Plan mensual'!G219+parametros_recargas!$L$75*'Plan mensual'!G220</f>
        <v>611.120696543757</v>
      </c>
      <c r="F197" s="21" t="n">
        <f aca="false">parametros_recargas!$E$75*'Plan mensual'!H213+parametros_recargas!$F$75*'Plan mensual'!H214+parametros_recargas!$G$75*'Plan mensual'!H215+parametros_recargas!$H$75*'Plan mensual'!H216+parametros_recargas!$I$75*'Plan mensual'!H217+parametros_recargas!$J$75*'Plan mensual'!H218+parametros_recargas!$K$75*'Plan mensual'!H219+parametros_recargas!$L$75*'Plan mensual'!H220</f>
        <v>611.120696543757</v>
      </c>
      <c r="G197" s="21" t="n">
        <f aca="false">parametros_recargas!$E$75*'Plan mensual'!I213+parametros_recargas!$F$75*'Plan mensual'!I214+parametros_recargas!$G$75*'Plan mensual'!I215+parametros_recargas!$H$75*'Plan mensual'!I216+parametros_recargas!$I$75*'Plan mensual'!I217+parametros_recargas!$J$75*'Plan mensual'!I218+parametros_recargas!$K$75*'Plan mensual'!I219+parametros_recargas!$L$75*'Plan mensual'!I220</f>
        <v>611.120696543757</v>
      </c>
      <c r="H197" s="21" t="n">
        <f aca="false">parametros_recargas!$E$75*'Plan mensual'!J213+parametros_recargas!$F$75*'Plan mensual'!J214+parametros_recargas!$G$75*'Plan mensual'!J215+parametros_recargas!$H$75*'Plan mensual'!J216+parametros_recargas!$I$75*'Plan mensual'!J217+parametros_recargas!$J$75*'Plan mensual'!J218+parametros_recargas!$K$75*'Plan mensual'!J219+parametros_recargas!$L$75*'Plan mensual'!J220</f>
        <v>611.120696543757</v>
      </c>
      <c r="I197" s="21" t="n">
        <f aca="false">parametros_recargas!$E$75*'Plan mensual'!K213+parametros_recargas!$F$75*'Plan mensual'!K214+parametros_recargas!$G$75*'Plan mensual'!K215+parametros_recargas!$H$75*'Plan mensual'!K216+parametros_recargas!$I$75*'Plan mensual'!K217+parametros_recargas!$J$75*'Plan mensual'!K218+parametros_recargas!$K$75*'Plan mensual'!K219+parametros_recargas!$L$75*'Plan mensual'!K220</f>
        <v>611.120696543757</v>
      </c>
      <c r="J197" s="21" t="n">
        <f aca="false">parametros_recargas!$E$75*'Plan mensual'!L213+parametros_recargas!$F$75*'Plan mensual'!L214+parametros_recargas!$G$75*'Plan mensual'!L215+parametros_recargas!$H$75*'Plan mensual'!L216+parametros_recargas!$I$75*'Plan mensual'!L217+parametros_recargas!$J$75*'Plan mensual'!L218+parametros_recargas!$K$75*'Plan mensual'!L219+parametros_recargas!$L$75*'Plan mensual'!L220</f>
        <v>611.120696543757</v>
      </c>
      <c r="K197" s="21" t="n">
        <f aca="false">parametros_recargas!$E$75*'Plan mensual'!M213+parametros_recargas!$F$75*'Plan mensual'!M214+parametros_recargas!$G$75*'Plan mensual'!M215+parametros_recargas!$H$75*'Plan mensual'!M216+parametros_recargas!$I$75*'Plan mensual'!M217+parametros_recargas!$J$75*'Plan mensual'!M218+parametros_recargas!$K$75*'Plan mensual'!M219+parametros_recargas!$L$75*'Plan mensual'!M220</f>
        <v>611.120696543757</v>
      </c>
      <c r="L197" s="21" t="n">
        <f aca="false">parametros_recargas!$E$75*'Plan mensual'!N213+parametros_recargas!$F$75*'Plan mensual'!N214+parametros_recargas!$G$75*'Plan mensual'!N215+parametros_recargas!$H$75*'Plan mensual'!N216+parametros_recargas!$I$75*'Plan mensual'!N217+parametros_recargas!$J$75*'Plan mensual'!N218+parametros_recargas!$K$75*'Plan mensual'!N219+parametros_recargas!$L$75*'Plan mensual'!N220</f>
        <v>611.120696543757</v>
      </c>
      <c r="M197" s="21" t="n">
        <f aca="false">parametros_recargas!$E$75*'Plan mensual'!O213+parametros_recargas!$F$75*'Plan mensual'!O214+parametros_recargas!$G$75*'Plan mensual'!O215+parametros_recargas!$H$75*'Plan mensual'!O216+parametros_recargas!$I$75*'Plan mensual'!O217+parametros_recargas!$J$75*'Plan mensual'!O218+parametros_recargas!$K$75*'Plan mensual'!O219+parametros_recargas!$L$75*'Plan mensual'!O220</f>
        <v>611.120696543757</v>
      </c>
      <c r="N197" s="6" t="n">
        <f aca="false">SUM(B197:M197)</f>
        <v>7333.44835852508</v>
      </c>
      <c r="O197" s="22" t="n">
        <f aca="false">MAX(B197:M197)</f>
        <v>611.120696543757</v>
      </c>
      <c r="P197" s="12" t="n">
        <f aca="false">O197/parametros_recargas!$B$6</f>
        <v>4.07413797695838</v>
      </c>
    </row>
    <row r="198" customFormat="false" ht="15" hidden="false" customHeight="false" outlineLevel="0" collapsed="false">
      <c r="A198" s="8" t="str">
        <f aca="false">parametros_recargas!$B$76</f>
        <v>Descarga BC</v>
      </c>
      <c r="B198" s="21" t="n">
        <f aca="false">parametros_recargas!$E$76*'Plan mensual'!D213+parametros_recargas!$F$76*'Plan mensual'!D214+parametros_recargas!$G$76*'Plan mensual'!D215+parametros_recargas!$H$76*'Plan mensual'!D216+parametros_recargas!$I$76*'Plan mensual'!D217+parametros_recargas!$J$76*'Plan mensual'!D218+parametros_recargas!$K$76*'Plan mensual'!D219+parametros_recargas!$L$76*'Plan mensual'!D220</f>
        <v>9.02619619555095</v>
      </c>
      <c r="C198" s="21" t="n">
        <f aca="false">parametros_recargas!$E$76*'Plan mensual'!E213+parametros_recargas!$F$76*'Plan mensual'!E214+parametros_recargas!$G$76*'Plan mensual'!E215+parametros_recargas!$H$76*'Plan mensual'!E216+parametros_recargas!$I$76*'Plan mensual'!E217+parametros_recargas!$J$76*'Plan mensual'!E218+parametros_recargas!$K$76*'Plan mensual'!E219+parametros_recargas!$L$76*'Plan mensual'!E220</f>
        <v>9.02619619555095</v>
      </c>
      <c r="D198" s="21" t="n">
        <f aca="false">parametros_recargas!$E$76*'Plan mensual'!F213+parametros_recargas!$F$76*'Plan mensual'!F214+parametros_recargas!$G$76*'Plan mensual'!F215+parametros_recargas!$H$76*'Plan mensual'!F216+parametros_recargas!$I$76*'Plan mensual'!F217+parametros_recargas!$J$76*'Plan mensual'!F218+parametros_recargas!$K$76*'Plan mensual'!F219+parametros_recargas!$L$76*'Plan mensual'!F220</f>
        <v>9.02619619555095</v>
      </c>
      <c r="E198" s="21" t="n">
        <f aca="false">parametros_recargas!$E$76*'Plan mensual'!G213+parametros_recargas!$F$76*'Plan mensual'!G214+parametros_recargas!$G$76*'Plan mensual'!G215+parametros_recargas!$H$76*'Plan mensual'!G216+parametros_recargas!$I$76*'Plan mensual'!G217+parametros_recargas!$J$76*'Plan mensual'!G218+parametros_recargas!$K$76*'Plan mensual'!G219+parametros_recargas!$L$76*'Plan mensual'!G220</f>
        <v>9.02619619555095</v>
      </c>
      <c r="F198" s="21" t="n">
        <f aca="false">parametros_recargas!$E$76*'Plan mensual'!H213+parametros_recargas!$F$76*'Plan mensual'!H214+parametros_recargas!$G$76*'Plan mensual'!H215+parametros_recargas!$H$76*'Plan mensual'!H216+parametros_recargas!$I$76*'Plan mensual'!H217+parametros_recargas!$J$76*'Plan mensual'!H218+parametros_recargas!$K$76*'Plan mensual'!H219+parametros_recargas!$L$76*'Plan mensual'!H220</f>
        <v>9.02619619555095</v>
      </c>
      <c r="G198" s="21" t="n">
        <f aca="false">parametros_recargas!$E$76*'Plan mensual'!I213+parametros_recargas!$F$76*'Plan mensual'!I214+parametros_recargas!$G$76*'Plan mensual'!I215+parametros_recargas!$H$76*'Plan mensual'!I216+parametros_recargas!$I$76*'Plan mensual'!I217+parametros_recargas!$J$76*'Plan mensual'!I218+parametros_recargas!$K$76*'Plan mensual'!I219+parametros_recargas!$L$76*'Plan mensual'!I220</f>
        <v>9.02619619555095</v>
      </c>
      <c r="H198" s="21" t="n">
        <f aca="false">parametros_recargas!$E$76*'Plan mensual'!J213+parametros_recargas!$F$76*'Plan mensual'!J214+parametros_recargas!$G$76*'Plan mensual'!J215+parametros_recargas!$H$76*'Plan mensual'!J216+parametros_recargas!$I$76*'Plan mensual'!J217+parametros_recargas!$J$76*'Plan mensual'!J218+parametros_recargas!$K$76*'Plan mensual'!J219+parametros_recargas!$L$76*'Plan mensual'!J220</f>
        <v>9.02619619555095</v>
      </c>
      <c r="I198" s="21" t="n">
        <f aca="false">parametros_recargas!$E$76*'Plan mensual'!K213+parametros_recargas!$F$76*'Plan mensual'!K214+parametros_recargas!$G$76*'Plan mensual'!K215+parametros_recargas!$H$76*'Plan mensual'!K216+parametros_recargas!$I$76*'Plan mensual'!K217+parametros_recargas!$J$76*'Plan mensual'!K218+parametros_recargas!$K$76*'Plan mensual'!K219+parametros_recargas!$L$76*'Plan mensual'!K220</f>
        <v>9.02619619555095</v>
      </c>
      <c r="J198" s="21" t="n">
        <f aca="false">parametros_recargas!$E$76*'Plan mensual'!L213+parametros_recargas!$F$76*'Plan mensual'!L214+parametros_recargas!$G$76*'Plan mensual'!L215+parametros_recargas!$H$76*'Plan mensual'!L216+parametros_recargas!$I$76*'Plan mensual'!L217+parametros_recargas!$J$76*'Plan mensual'!L218+parametros_recargas!$K$76*'Plan mensual'!L219+parametros_recargas!$L$76*'Plan mensual'!L220</f>
        <v>9.02619619555095</v>
      </c>
      <c r="K198" s="21" t="n">
        <f aca="false">parametros_recargas!$E$76*'Plan mensual'!M213+parametros_recargas!$F$76*'Plan mensual'!M214+parametros_recargas!$G$76*'Plan mensual'!M215+parametros_recargas!$H$76*'Plan mensual'!M216+parametros_recargas!$I$76*'Plan mensual'!M217+parametros_recargas!$J$76*'Plan mensual'!M218+parametros_recargas!$K$76*'Plan mensual'!M219+parametros_recargas!$L$76*'Plan mensual'!M220</f>
        <v>9.02619619555095</v>
      </c>
      <c r="L198" s="21" t="n">
        <f aca="false">parametros_recargas!$E$76*'Plan mensual'!N213+parametros_recargas!$F$76*'Plan mensual'!N214+parametros_recargas!$G$76*'Plan mensual'!N215+parametros_recargas!$H$76*'Plan mensual'!N216+parametros_recargas!$I$76*'Plan mensual'!N217+parametros_recargas!$J$76*'Plan mensual'!N218+parametros_recargas!$K$76*'Plan mensual'!N219+parametros_recargas!$L$76*'Plan mensual'!N220</f>
        <v>9.02619619555095</v>
      </c>
      <c r="M198" s="21" t="n">
        <f aca="false">parametros_recargas!$E$76*'Plan mensual'!O213+parametros_recargas!$F$76*'Plan mensual'!O214+parametros_recargas!$G$76*'Plan mensual'!O215+parametros_recargas!$H$76*'Plan mensual'!O216+parametros_recargas!$I$76*'Plan mensual'!O217+parametros_recargas!$J$76*'Plan mensual'!O218+parametros_recargas!$K$76*'Plan mensual'!O219+parametros_recargas!$L$76*'Plan mensual'!O220</f>
        <v>9.02619619555095</v>
      </c>
      <c r="N198" s="6" t="n">
        <f aca="false">SUM(B198:M198)</f>
        <v>108.314354346611</v>
      </c>
      <c r="O198" s="22" t="n">
        <f aca="false">MAX(B198:M198)</f>
        <v>9.02619619555095</v>
      </c>
      <c r="P198" s="12" t="n">
        <f aca="false">O198/parametros_recargas!$B$6</f>
        <v>0.060174641303673</v>
      </c>
    </row>
    <row r="199" customFormat="false" ht="15" hidden="false" customHeight="false" outlineLevel="0" collapsed="false">
      <c r="A199" s="8" t="str">
        <f aca="false">parametros_recargas!$B$77</f>
        <v>Descarga de agua / AFFF / sales K</v>
      </c>
      <c r="B199" s="21" t="n">
        <f aca="false">parametros_recargas!$E$77*'Plan mensual'!D213+parametros_recargas!$F$77*'Plan mensual'!D214+parametros_recargas!$G$77*'Plan mensual'!D215+parametros_recargas!$H$77*'Plan mensual'!D216+parametros_recargas!$I$77*'Plan mensual'!D217+parametros_recargas!$J$77*'Plan mensual'!D218+parametros_recargas!$K$77*'Plan mensual'!D219+parametros_recargas!$L$77*'Plan mensual'!D220</f>
        <v>311.226633805485</v>
      </c>
      <c r="C199" s="21" t="n">
        <f aca="false">parametros_recargas!$E$77*'Plan mensual'!E213+parametros_recargas!$F$77*'Plan mensual'!E214+parametros_recargas!$G$77*'Plan mensual'!E215+parametros_recargas!$H$77*'Plan mensual'!E216+parametros_recargas!$I$77*'Plan mensual'!E217+parametros_recargas!$J$77*'Plan mensual'!E218+parametros_recargas!$K$77*'Plan mensual'!E219+parametros_recargas!$L$77*'Plan mensual'!E220</f>
        <v>311.226633805485</v>
      </c>
      <c r="D199" s="21" t="n">
        <f aca="false">parametros_recargas!$E$77*'Plan mensual'!F213+parametros_recargas!$F$77*'Plan mensual'!F214+parametros_recargas!$G$77*'Plan mensual'!F215+parametros_recargas!$H$77*'Plan mensual'!F216+parametros_recargas!$I$77*'Plan mensual'!F217+parametros_recargas!$J$77*'Plan mensual'!F218+parametros_recargas!$K$77*'Plan mensual'!F219+parametros_recargas!$L$77*'Plan mensual'!F220</f>
        <v>311.226633805485</v>
      </c>
      <c r="E199" s="21" t="n">
        <f aca="false">parametros_recargas!$E$77*'Plan mensual'!G213+parametros_recargas!$F$77*'Plan mensual'!G214+parametros_recargas!$G$77*'Plan mensual'!G215+parametros_recargas!$H$77*'Plan mensual'!G216+parametros_recargas!$I$77*'Plan mensual'!G217+parametros_recargas!$J$77*'Plan mensual'!G218+parametros_recargas!$K$77*'Plan mensual'!G219+parametros_recargas!$L$77*'Plan mensual'!G220</f>
        <v>311.226633805485</v>
      </c>
      <c r="F199" s="21" t="n">
        <f aca="false">parametros_recargas!$E$77*'Plan mensual'!H213+parametros_recargas!$F$77*'Plan mensual'!H214+parametros_recargas!$G$77*'Plan mensual'!H215+parametros_recargas!$H$77*'Plan mensual'!H216+parametros_recargas!$I$77*'Plan mensual'!H217+parametros_recargas!$J$77*'Plan mensual'!H218+parametros_recargas!$K$77*'Plan mensual'!H219+parametros_recargas!$L$77*'Plan mensual'!H220</f>
        <v>311.226633805485</v>
      </c>
      <c r="G199" s="21" t="n">
        <f aca="false">parametros_recargas!$E$77*'Plan mensual'!I213+parametros_recargas!$F$77*'Plan mensual'!I214+parametros_recargas!$G$77*'Plan mensual'!I215+parametros_recargas!$H$77*'Plan mensual'!I216+parametros_recargas!$I$77*'Plan mensual'!I217+parametros_recargas!$J$77*'Plan mensual'!I218+parametros_recargas!$K$77*'Plan mensual'!I219+parametros_recargas!$L$77*'Plan mensual'!I220</f>
        <v>311.226633805485</v>
      </c>
      <c r="H199" s="21" t="n">
        <f aca="false">parametros_recargas!$E$77*'Plan mensual'!J213+parametros_recargas!$F$77*'Plan mensual'!J214+parametros_recargas!$G$77*'Plan mensual'!J215+parametros_recargas!$H$77*'Plan mensual'!J216+parametros_recargas!$I$77*'Plan mensual'!J217+parametros_recargas!$J$77*'Plan mensual'!J218+parametros_recargas!$K$77*'Plan mensual'!J219+parametros_recargas!$L$77*'Plan mensual'!J220</f>
        <v>311.226633805485</v>
      </c>
      <c r="I199" s="21" t="n">
        <f aca="false">parametros_recargas!$E$77*'Plan mensual'!K213+parametros_recargas!$F$77*'Plan mensual'!K214+parametros_recargas!$G$77*'Plan mensual'!K215+parametros_recargas!$H$77*'Plan mensual'!K216+parametros_recargas!$I$77*'Plan mensual'!K217+parametros_recargas!$J$77*'Plan mensual'!K218+parametros_recargas!$K$77*'Plan mensual'!K219+parametros_recargas!$L$77*'Plan mensual'!K220</f>
        <v>311.226633805485</v>
      </c>
      <c r="J199" s="21" t="n">
        <f aca="false">parametros_recargas!$E$77*'Plan mensual'!L213+parametros_recargas!$F$77*'Plan mensual'!L214+parametros_recargas!$G$77*'Plan mensual'!L215+parametros_recargas!$H$77*'Plan mensual'!L216+parametros_recargas!$I$77*'Plan mensual'!L217+parametros_recargas!$J$77*'Plan mensual'!L218+parametros_recargas!$K$77*'Plan mensual'!L219+parametros_recargas!$L$77*'Plan mensual'!L220</f>
        <v>311.226633805485</v>
      </c>
      <c r="K199" s="21" t="n">
        <f aca="false">parametros_recargas!$E$77*'Plan mensual'!M213+parametros_recargas!$F$77*'Plan mensual'!M214+parametros_recargas!$G$77*'Plan mensual'!M215+parametros_recargas!$H$77*'Plan mensual'!M216+parametros_recargas!$I$77*'Plan mensual'!M217+parametros_recargas!$J$77*'Plan mensual'!M218+parametros_recargas!$K$77*'Plan mensual'!M219+parametros_recargas!$L$77*'Plan mensual'!M220</f>
        <v>311.226633805485</v>
      </c>
      <c r="L199" s="21" t="n">
        <f aca="false">parametros_recargas!$E$77*'Plan mensual'!N213+parametros_recargas!$F$77*'Plan mensual'!N214+parametros_recargas!$G$77*'Plan mensual'!N215+parametros_recargas!$H$77*'Plan mensual'!N216+parametros_recargas!$I$77*'Plan mensual'!N217+parametros_recargas!$J$77*'Plan mensual'!N218+parametros_recargas!$K$77*'Plan mensual'!N219+parametros_recargas!$L$77*'Plan mensual'!N220</f>
        <v>311.226633805485</v>
      </c>
      <c r="M199" s="21" t="n">
        <f aca="false">parametros_recargas!$E$77*'Plan mensual'!O213+parametros_recargas!$F$77*'Plan mensual'!O214+parametros_recargas!$G$77*'Plan mensual'!O215+parametros_recargas!$H$77*'Plan mensual'!O216+parametros_recargas!$I$77*'Plan mensual'!O217+parametros_recargas!$J$77*'Plan mensual'!O218+parametros_recargas!$K$77*'Plan mensual'!O219+parametros_recargas!$L$77*'Plan mensual'!O220</f>
        <v>311.226633805485</v>
      </c>
      <c r="N199" s="6" t="n">
        <f aca="false">SUM(B199:M199)</f>
        <v>3734.71960566583</v>
      </c>
      <c r="O199" s="22" t="n">
        <f aca="false">MAX(B199:M199)</f>
        <v>311.226633805485</v>
      </c>
      <c r="P199" s="12" t="n">
        <f aca="false">O199/parametros_recargas!$B$6</f>
        <v>2.0748442253699</v>
      </c>
    </row>
    <row r="200" customFormat="false" ht="15" hidden="false" customHeight="false" outlineLevel="0" collapsed="false">
      <c r="A200" s="8" t="str">
        <f aca="false">parametros_recargas!$B$78</f>
        <v>Recuperación de CO₂</v>
      </c>
      <c r="B200" s="21" t="n">
        <f aca="false">parametros_recargas!$E$78*'Plan mensual'!D213+parametros_recargas!$F$78*'Plan mensual'!D214+parametros_recargas!$G$78*'Plan mensual'!D215+parametros_recargas!$H$78*'Plan mensual'!D216+parametros_recargas!$I$78*'Plan mensual'!D217+parametros_recargas!$J$78*'Plan mensual'!D218+parametros_recargas!$K$78*'Plan mensual'!D219+parametros_recargas!$L$78*'Plan mensual'!D220</f>
        <v>143.197877218295</v>
      </c>
      <c r="C200" s="21" t="n">
        <f aca="false">parametros_recargas!$E$78*'Plan mensual'!E213+parametros_recargas!$F$78*'Plan mensual'!E214+parametros_recargas!$G$78*'Plan mensual'!E215+parametros_recargas!$H$78*'Plan mensual'!E216+parametros_recargas!$I$78*'Plan mensual'!E217+parametros_recargas!$J$78*'Plan mensual'!E218+parametros_recargas!$K$78*'Plan mensual'!E219+parametros_recargas!$L$78*'Plan mensual'!E220</f>
        <v>143.197877218295</v>
      </c>
      <c r="D200" s="21" t="n">
        <f aca="false">parametros_recargas!$E$78*'Plan mensual'!F213+parametros_recargas!$F$78*'Plan mensual'!F214+parametros_recargas!$G$78*'Plan mensual'!F215+parametros_recargas!$H$78*'Plan mensual'!F216+parametros_recargas!$I$78*'Plan mensual'!F217+parametros_recargas!$J$78*'Plan mensual'!F218+parametros_recargas!$K$78*'Plan mensual'!F219+parametros_recargas!$L$78*'Plan mensual'!F220</f>
        <v>143.197877218295</v>
      </c>
      <c r="E200" s="21" t="n">
        <f aca="false">parametros_recargas!$E$78*'Plan mensual'!G213+parametros_recargas!$F$78*'Plan mensual'!G214+parametros_recargas!$G$78*'Plan mensual'!G215+parametros_recargas!$H$78*'Plan mensual'!G216+parametros_recargas!$I$78*'Plan mensual'!G217+parametros_recargas!$J$78*'Plan mensual'!G218+parametros_recargas!$K$78*'Plan mensual'!G219+parametros_recargas!$L$78*'Plan mensual'!G220</f>
        <v>143.197877218295</v>
      </c>
      <c r="F200" s="21" t="n">
        <f aca="false">parametros_recargas!$E$78*'Plan mensual'!H213+parametros_recargas!$F$78*'Plan mensual'!H214+parametros_recargas!$G$78*'Plan mensual'!H215+parametros_recargas!$H$78*'Plan mensual'!H216+parametros_recargas!$I$78*'Plan mensual'!H217+parametros_recargas!$J$78*'Plan mensual'!H218+parametros_recargas!$K$78*'Plan mensual'!H219+parametros_recargas!$L$78*'Plan mensual'!H220</f>
        <v>143.197877218295</v>
      </c>
      <c r="G200" s="21" t="n">
        <f aca="false">parametros_recargas!$E$78*'Plan mensual'!I213+parametros_recargas!$F$78*'Plan mensual'!I214+parametros_recargas!$G$78*'Plan mensual'!I215+parametros_recargas!$H$78*'Plan mensual'!I216+parametros_recargas!$I$78*'Plan mensual'!I217+parametros_recargas!$J$78*'Plan mensual'!I218+parametros_recargas!$K$78*'Plan mensual'!I219+parametros_recargas!$L$78*'Plan mensual'!I220</f>
        <v>143.197877218295</v>
      </c>
      <c r="H200" s="21" t="n">
        <f aca="false">parametros_recargas!$E$78*'Plan mensual'!J213+parametros_recargas!$F$78*'Plan mensual'!J214+parametros_recargas!$G$78*'Plan mensual'!J215+parametros_recargas!$H$78*'Plan mensual'!J216+parametros_recargas!$I$78*'Plan mensual'!J217+parametros_recargas!$J$78*'Plan mensual'!J218+parametros_recargas!$K$78*'Plan mensual'!J219+parametros_recargas!$L$78*'Plan mensual'!J220</f>
        <v>143.197877218295</v>
      </c>
      <c r="I200" s="21" t="n">
        <f aca="false">parametros_recargas!$E$78*'Plan mensual'!K213+parametros_recargas!$F$78*'Plan mensual'!K214+parametros_recargas!$G$78*'Plan mensual'!K215+parametros_recargas!$H$78*'Plan mensual'!K216+parametros_recargas!$I$78*'Plan mensual'!K217+parametros_recargas!$J$78*'Plan mensual'!K218+parametros_recargas!$K$78*'Plan mensual'!K219+parametros_recargas!$L$78*'Plan mensual'!K220</f>
        <v>143.197877218295</v>
      </c>
      <c r="J200" s="21" t="n">
        <f aca="false">parametros_recargas!$E$78*'Plan mensual'!L213+parametros_recargas!$F$78*'Plan mensual'!L214+parametros_recargas!$G$78*'Plan mensual'!L215+parametros_recargas!$H$78*'Plan mensual'!L216+parametros_recargas!$I$78*'Plan mensual'!L217+parametros_recargas!$J$78*'Plan mensual'!L218+parametros_recargas!$K$78*'Plan mensual'!L219+parametros_recargas!$L$78*'Plan mensual'!L220</f>
        <v>143.197877218295</v>
      </c>
      <c r="K200" s="21" t="n">
        <f aca="false">parametros_recargas!$E$78*'Plan mensual'!M213+parametros_recargas!$F$78*'Plan mensual'!M214+parametros_recargas!$G$78*'Plan mensual'!M215+parametros_recargas!$H$78*'Plan mensual'!M216+parametros_recargas!$I$78*'Plan mensual'!M217+parametros_recargas!$J$78*'Plan mensual'!M218+parametros_recargas!$K$78*'Plan mensual'!M219+parametros_recargas!$L$78*'Plan mensual'!M220</f>
        <v>143.197877218295</v>
      </c>
      <c r="L200" s="21" t="n">
        <f aca="false">parametros_recargas!$E$78*'Plan mensual'!N213+parametros_recargas!$F$78*'Plan mensual'!N214+parametros_recargas!$G$78*'Plan mensual'!N215+parametros_recargas!$H$78*'Plan mensual'!N216+parametros_recargas!$I$78*'Plan mensual'!N217+parametros_recargas!$J$78*'Plan mensual'!N218+parametros_recargas!$K$78*'Plan mensual'!N219+parametros_recargas!$L$78*'Plan mensual'!N220</f>
        <v>143.197877218295</v>
      </c>
      <c r="M200" s="21" t="n">
        <f aca="false">parametros_recargas!$E$78*'Plan mensual'!O213+parametros_recargas!$F$78*'Plan mensual'!O214+parametros_recargas!$G$78*'Plan mensual'!O215+parametros_recargas!$H$78*'Plan mensual'!O216+parametros_recargas!$I$78*'Plan mensual'!O217+parametros_recargas!$J$78*'Plan mensual'!O218+parametros_recargas!$K$78*'Plan mensual'!O219+parametros_recargas!$L$78*'Plan mensual'!O220</f>
        <v>143.197877218295</v>
      </c>
      <c r="N200" s="6" t="n">
        <f aca="false">SUM(B200:M200)</f>
        <v>1718.37452661954</v>
      </c>
      <c r="O200" s="22" t="n">
        <f aca="false">MAX(B200:M200)</f>
        <v>143.197877218295</v>
      </c>
      <c r="P200" s="12" t="n">
        <f aca="false">O200/parametros_recargas!$B$6</f>
        <v>0.954652514788636</v>
      </c>
    </row>
    <row r="201" customFormat="false" ht="15" hidden="false" customHeight="false" outlineLevel="0" collapsed="false">
      <c r="A201" s="8" t="str">
        <f aca="false">parametros_recargas!$B$79</f>
        <v>Recuperación de halogenado</v>
      </c>
      <c r="B201" s="21" t="n">
        <f aca="false">parametros_recargas!$E$79*'Plan mensual'!D213+parametros_recargas!$F$79*'Plan mensual'!D214+parametros_recargas!$G$79*'Plan mensual'!D215+parametros_recargas!$H$79*'Plan mensual'!D216+parametros_recargas!$I$79*'Plan mensual'!D217+parametros_recargas!$J$79*'Plan mensual'!D218+parametros_recargas!$K$79*'Plan mensual'!D219+parametros_recargas!$L$79*'Plan mensual'!D220</f>
        <v>5.73624849723601</v>
      </c>
      <c r="C201" s="21" t="n">
        <f aca="false">parametros_recargas!$E$79*'Plan mensual'!E213+parametros_recargas!$F$79*'Plan mensual'!E214+parametros_recargas!$G$79*'Plan mensual'!E215+parametros_recargas!$H$79*'Plan mensual'!E216+parametros_recargas!$I$79*'Plan mensual'!E217+parametros_recargas!$J$79*'Plan mensual'!E218+parametros_recargas!$K$79*'Plan mensual'!E219+parametros_recargas!$L$79*'Plan mensual'!E220</f>
        <v>5.73624849723601</v>
      </c>
      <c r="D201" s="21" t="n">
        <f aca="false">parametros_recargas!$E$79*'Plan mensual'!F213+parametros_recargas!$F$79*'Plan mensual'!F214+parametros_recargas!$G$79*'Plan mensual'!F215+parametros_recargas!$H$79*'Plan mensual'!F216+parametros_recargas!$I$79*'Plan mensual'!F217+parametros_recargas!$J$79*'Plan mensual'!F218+parametros_recargas!$K$79*'Plan mensual'!F219+parametros_recargas!$L$79*'Plan mensual'!F220</f>
        <v>5.73624849723601</v>
      </c>
      <c r="E201" s="21" t="n">
        <f aca="false">parametros_recargas!$E$79*'Plan mensual'!G213+parametros_recargas!$F$79*'Plan mensual'!G214+parametros_recargas!$G$79*'Plan mensual'!G215+parametros_recargas!$H$79*'Plan mensual'!G216+parametros_recargas!$I$79*'Plan mensual'!G217+parametros_recargas!$J$79*'Plan mensual'!G218+parametros_recargas!$K$79*'Plan mensual'!G219+parametros_recargas!$L$79*'Plan mensual'!G220</f>
        <v>5.73624849723601</v>
      </c>
      <c r="F201" s="21" t="n">
        <f aca="false">parametros_recargas!$E$79*'Plan mensual'!H213+parametros_recargas!$F$79*'Plan mensual'!H214+parametros_recargas!$G$79*'Plan mensual'!H215+parametros_recargas!$H$79*'Plan mensual'!H216+parametros_recargas!$I$79*'Plan mensual'!H217+parametros_recargas!$J$79*'Plan mensual'!H218+parametros_recargas!$K$79*'Plan mensual'!H219+parametros_recargas!$L$79*'Plan mensual'!H220</f>
        <v>5.73624849723601</v>
      </c>
      <c r="G201" s="21" t="n">
        <f aca="false">parametros_recargas!$E$79*'Plan mensual'!I213+parametros_recargas!$F$79*'Plan mensual'!I214+parametros_recargas!$G$79*'Plan mensual'!I215+parametros_recargas!$H$79*'Plan mensual'!I216+parametros_recargas!$I$79*'Plan mensual'!I217+parametros_recargas!$J$79*'Plan mensual'!I218+parametros_recargas!$K$79*'Plan mensual'!I219+parametros_recargas!$L$79*'Plan mensual'!I220</f>
        <v>5.73624849723601</v>
      </c>
      <c r="H201" s="21" t="n">
        <f aca="false">parametros_recargas!$E$79*'Plan mensual'!J213+parametros_recargas!$F$79*'Plan mensual'!J214+parametros_recargas!$G$79*'Plan mensual'!J215+parametros_recargas!$H$79*'Plan mensual'!J216+parametros_recargas!$I$79*'Plan mensual'!J217+parametros_recargas!$J$79*'Plan mensual'!J218+parametros_recargas!$K$79*'Plan mensual'!J219+parametros_recargas!$L$79*'Plan mensual'!J220</f>
        <v>5.73624849723601</v>
      </c>
      <c r="I201" s="21" t="n">
        <f aca="false">parametros_recargas!$E$79*'Plan mensual'!K213+parametros_recargas!$F$79*'Plan mensual'!K214+parametros_recargas!$G$79*'Plan mensual'!K215+parametros_recargas!$H$79*'Plan mensual'!K216+parametros_recargas!$I$79*'Plan mensual'!K217+parametros_recargas!$J$79*'Plan mensual'!K218+parametros_recargas!$K$79*'Plan mensual'!K219+parametros_recargas!$L$79*'Plan mensual'!K220</f>
        <v>5.73624849723601</v>
      </c>
      <c r="J201" s="21" t="n">
        <f aca="false">parametros_recargas!$E$79*'Plan mensual'!L213+parametros_recargas!$F$79*'Plan mensual'!L214+parametros_recargas!$G$79*'Plan mensual'!L215+parametros_recargas!$H$79*'Plan mensual'!L216+parametros_recargas!$I$79*'Plan mensual'!L217+parametros_recargas!$J$79*'Plan mensual'!L218+parametros_recargas!$K$79*'Plan mensual'!L219+parametros_recargas!$L$79*'Plan mensual'!L220</f>
        <v>5.73624849723601</v>
      </c>
      <c r="K201" s="21" t="n">
        <f aca="false">parametros_recargas!$E$79*'Plan mensual'!M213+parametros_recargas!$F$79*'Plan mensual'!M214+parametros_recargas!$G$79*'Plan mensual'!M215+parametros_recargas!$H$79*'Plan mensual'!M216+parametros_recargas!$I$79*'Plan mensual'!M217+parametros_recargas!$J$79*'Plan mensual'!M218+parametros_recargas!$K$79*'Plan mensual'!M219+parametros_recargas!$L$79*'Plan mensual'!M220</f>
        <v>5.73624849723601</v>
      </c>
      <c r="L201" s="21" t="n">
        <f aca="false">parametros_recargas!$E$79*'Plan mensual'!N213+parametros_recargas!$F$79*'Plan mensual'!N214+parametros_recargas!$G$79*'Plan mensual'!N215+parametros_recargas!$H$79*'Plan mensual'!N216+parametros_recargas!$I$79*'Plan mensual'!N217+parametros_recargas!$J$79*'Plan mensual'!N218+parametros_recargas!$K$79*'Plan mensual'!N219+parametros_recargas!$L$79*'Plan mensual'!N220</f>
        <v>5.73624849723601</v>
      </c>
      <c r="M201" s="21" t="n">
        <f aca="false">parametros_recargas!$E$79*'Plan mensual'!O213+parametros_recargas!$F$79*'Plan mensual'!O214+parametros_recargas!$G$79*'Plan mensual'!O215+parametros_recargas!$H$79*'Plan mensual'!O216+parametros_recargas!$I$79*'Plan mensual'!O217+parametros_recargas!$J$79*'Plan mensual'!O218+parametros_recargas!$K$79*'Plan mensual'!O219+parametros_recargas!$L$79*'Plan mensual'!O220</f>
        <v>5.73624849723601</v>
      </c>
      <c r="N201" s="6" t="n">
        <f aca="false">SUM(B201:M201)</f>
        <v>68.8349819668322</v>
      </c>
      <c r="O201" s="22" t="n">
        <f aca="false">MAX(B201:M201)</f>
        <v>5.73624849723601</v>
      </c>
      <c r="P201" s="12" t="n">
        <f aca="false">O201/parametros_recargas!$B$6</f>
        <v>0.0382416566482401</v>
      </c>
    </row>
    <row r="202" customFormat="false" ht="15" hidden="false" customHeight="false" outlineLevel="0" collapsed="false">
      <c r="A202" s="8" t="str">
        <f aca="false">parametros_recargas!$B$80</f>
        <v>Desarme y limpieza — recinto</v>
      </c>
      <c r="B202" s="21" t="n">
        <f aca="false">parametros_recargas!$E$80*'Plan mensual'!D213+parametros_recargas!$F$80*'Plan mensual'!D214+parametros_recargas!$G$80*'Plan mensual'!D215+parametros_recargas!$H$80*'Plan mensual'!D216+parametros_recargas!$I$80*'Plan mensual'!D217+parametros_recargas!$J$80*'Plan mensual'!D218+parametros_recargas!$K$80*'Plan mensual'!D219+parametros_recargas!$L$80*'Plan mensual'!D220</f>
        <v>6128.20499733446</v>
      </c>
      <c r="C202" s="21" t="n">
        <f aca="false">parametros_recargas!$E$80*'Plan mensual'!E213+parametros_recargas!$F$80*'Plan mensual'!E214+parametros_recargas!$G$80*'Plan mensual'!E215+parametros_recargas!$H$80*'Plan mensual'!E216+parametros_recargas!$I$80*'Plan mensual'!E217+parametros_recargas!$J$80*'Plan mensual'!E218+parametros_recargas!$K$80*'Plan mensual'!E219+parametros_recargas!$L$80*'Plan mensual'!E220</f>
        <v>6128.20499733446</v>
      </c>
      <c r="D202" s="21" t="n">
        <f aca="false">parametros_recargas!$E$80*'Plan mensual'!F213+parametros_recargas!$F$80*'Plan mensual'!F214+parametros_recargas!$G$80*'Plan mensual'!F215+parametros_recargas!$H$80*'Plan mensual'!F216+parametros_recargas!$I$80*'Plan mensual'!F217+parametros_recargas!$J$80*'Plan mensual'!F218+parametros_recargas!$K$80*'Plan mensual'!F219+parametros_recargas!$L$80*'Plan mensual'!F220</f>
        <v>6128.20499733446</v>
      </c>
      <c r="E202" s="21" t="n">
        <f aca="false">parametros_recargas!$E$80*'Plan mensual'!G213+parametros_recargas!$F$80*'Plan mensual'!G214+parametros_recargas!$G$80*'Plan mensual'!G215+parametros_recargas!$H$80*'Plan mensual'!G216+parametros_recargas!$I$80*'Plan mensual'!G217+parametros_recargas!$J$80*'Plan mensual'!G218+parametros_recargas!$K$80*'Plan mensual'!G219+parametros_recargas!$L$80*'Plan mensual'!G220</f>
        <v>6128.20499733446</v>
      </c>
      <c r="F202" s="21" t="n">
        <f aca="false">parametros_recargas!$E$80*'Plan mensual'!H213+parametros_recargas!$F$80*'Plan mensual'!H214+parametros_recargas!$G$80*'Plan mensual'!H215+parametros_recargas!$H$80*'Plan mensual'!H216+parametros_recargas!$I$80*'Plan mensual'!H217+parametros_recargas!$J$80*'Plan mensual'!H218+parametros_recargas!$K$80*'Plan mensual'!H219+parametros_recargas!$L$80*'Plan mensual'!H220</f>
        <v>6128.20499733446</v>
      </c>
      <c r="G202" s="21" t="n">
        <f aca="false">parametros_recargas!$E$80*'Plan mensual'!I213+parametros_recargas!$F$80*'Plan mensual'!I214+parametros_recargas!$G$80*'Plan mensual'!I215+parametros_recargas!$H$80*'Plan mensual'!I216+parametros_recargas!$I$80*'Plan mensual'!I217+parametros_recargas!$J$80*'Plan mensual'!I218+parametros_recargas!$K$80*'Plan mensual'!I219+parametros_recargas!$L$80*'Plan mensual'!I220</f>
        <v>6128.20499733446</v>
      </c>
      <c r="H202" s="21" t="n">
        <f aca="false">parametros_recargas!$E$80*'Plan mensual'!J213+parametros_recargas!$F$80*'Plan mensual'!J214+parametros_recargas!$G$80*'Plan mensual'!J215+parametros_recargas!$H$80*'Plan mensual'!J216+parametros_recargas!$I$80*'Plan mensual'!J217+parametros_recargas!$J$80*'Plan mensual'!J218+parametros_recargas!$K$80*'Plan mensual'!J219+parametros_recargas!$L$80*'Plan mensual'!J220</f>
        <v>6128.20499733446</v>
      </c>
      <c r="I202" s="21" t="n">
        <f aca="false">parametros_recargas!$E$80*'Plan mensual'!K213+parametros_recargas!$F$80*'Plan mensual'!K214+parametros_recargas!$G$80*'Plan mensual'!K215+parametros_recargas!$H$80*'Plan mensual'!K216+parametros_recargas!$I$80*'Plan mensual'!K217+parametros_recargas!$J$80*'Plan mensual'!K218+parametros_recargas!$K$80*'Plan mensual'!K219+parametros_recargas!$L$80*'Plan mensual'!K220</f>
        <v>6128.20499733446</v>
      </c>
      <c r="J202" s="21" t="n">
        <f aca="false">parametros_recargas!$E$80*'Plan mensual'!L213+parametros_recargas!$F$80*'Plan mensual'!L214+parametros_recargas!$G$80*'Plan mensual'!L215+parametros_recargas!$H$80*'Plan mensual'!L216+parametros_recargas!$I$80*'Plan mensual'!L217+parametros_recargas!$J$80*'Plan mensual'!L218+parametros_recargas!$K$80*'Plan mensual'!L219+parametros_recargas!$L$80*'Plan mensual'!L220</f>
        <v>6128.20499733446</v>
      </c>
      <c r="K202" s="21" t="n">
        <f aca="false">parametros_recargas!$E$80*'Plan mensual'!M213+parametros_recargas!$F$80*'Plan mensual'!M214+parametros_recargas!$G$80*'Plan mensual'!M215+parametros_recargas!$H$80*'Plan mensual'!M216+parametros_recargas!$I$80*'Plan mensual'!M217+parametros_recargas!$J$80*'Plan mensual'!M218+parametros_recargas!$K$80*'Plan mensual'!M219+parametros_recargas!$L$80*'Plan mensual'!M220</f>
        <v>6128.20499733446</v>
      </c>
      <c r="L202" s="21" t="n">
        <f aca="false">parametros_recargas!$E$80*'Plan mensual'!N213+parametros_recargas!$F$80*'Plan mensual'!N214+parametros_recargas!$G$80*'Plan mensual'!N215+parametros_recargas!$H$80*'Plan mensual'!N216+parametros_recargas!$I$80*'Plan mensual'!N217+parametros_recargas!$J$80*'Plan mensual'!N218+parametros_recargas!$K$80*'Plan mensual'!N219+parametros_recargas!$L$80*'Plan mensual'!N220</f>
        <v>6128.20499733446</v>
      </c>
      <c r="M202" s="21" t="n">
        <f aca="false">parametros_recargas!$E$80*'Plan mensual'!O213+parametros_recargas!$F$80*'Plan mensual'!O214+parametros_recargas!$G$80*'Plan mensual'!O215+parametros_recargas!$H$80*'Plan mensual'!O216+parametros_recargas!$I$80*'Plan mensual'!O217+parametros_recargas!$J$80*'Plan mensual'!O218+parametros_recargas!$K$80*'Plan mensual'!O219+parametros_recargas!$L$80*'Plan mensual'!O220</f>
        <v>6128.20499733446</v>
      </c>
      <c r="N202" s="6" t="n">
        <f aca="false">SUM(B202:M202)</f>
        <v>73538.4599680135</v>
      </c>
      <c r="O202" s="22" t="n">
        <f aca="false">MAX(B202:M202)</f>
        <v>6128.20499733446</v>
      </c>
      <c r="P202" s="12" t="n">
        <f aca="false">O202/parametros_recargas!$B$6</f>
        <v>40.8546999822298</v>
      </c>
    </row>
    <row r="203" customFormat="false" ht="15" hidden="false" customHeight="false" outlineLevel="0" collapsed="false">
      <c r="A203" s="8" t="str">
        <f aca="false">parametros_recargas!$B$81</f>
        <v>Desarme e inspección interior — zona general</v>
      </c>
      <c r="B203" s="21" t="n">
        <f aca="false">parametros_recargas!$E$81*'Plan mensual'!D213+parametros_recargas!$F$81*'Plan mensual'!D214+parametros_recargas!$G$81*'Plan mensual'!D215+parametros_recargas!$H$81*'Plan mensual'!D216+parametros_recargas!$I$81*'Plan mensual'!D217+parametros_recargas!$J$81*'Plan mensual'!D218+parametros_recargas!$K$81*'Plan mensual'!D219+parametros_recargas!$L$81*'Plan mensual'!D220</f>
        <v>460.160759521017</v>
      </c>
      <c r="C203" s="21" t="n">
        <f aca="false">parametros_recargas!$E$81*'Plan mensual'!E213+parametros_recargas!$F$81*'Plan mensual'!E214+parametros_recargas!$G$81*'Plan mensual'!E215+parametros_recargas!$H$81*'Plan mensual'!E216+parametros_recargas!$I$81*'Plan mensual'!E217+parametros_recargas!$J$81*'Plan mensual'!E218+parametros_recargas!$K$81*'Plan mensual'!E219+parametros_recargas!$L$81*'Plan mensual'!E220</f>
        <v>460.160759521017</v>
      </c>
      <c r="D203" s="21" t="n">
        <f aca="false">parametros_recargas!$E$81*'Plan mensual'!F213+parametros_recargas!$F$81*'Plan mensual'!F214+parametros_recargas!$G$81*'Plan mensual'!F215+parametros_recargas!$H$81*'Plan mensual'!F216+parametros_recargas!$I$81*'Plan mensual'!F217+parametros_recargas!$J$81*'Plan mensual'!F218+parametros_recargas!$K$81*'Plan mensual'!F219+parametros_recargas!$L$81*'Plan mensual'!F220</f>
        <v>460.160759521017</v>
      </c>
      <c r="E203" s="21" t="n">
        <f aca="false">parametros_recargas!$E$81*'Plan mensual'!G213+parametros_recargas!$F$81*'Plan mensual'!G214+parametros_recargas!$G$81*'Plan mensual'!G215+parametros_recargas!$H$81*'Plan mensual'!G216+parametros_recargas!$I$81*'Plan mensual'!G217+parametros_recargas!$J$81*'Plan mensual'!G218+parametros_recargas!$K$81*'Plan mensual'!G219+parametros_recargas!$L$81*'Plan mensual'!G220</f>
        <v>460.160759521017</v>
      </c>
      <c r="F203" s="21" t="n">
        <f aca="false">parametros_recargas!$E$81*'Plan mensual'!H213+parametros_recargas!$F$81*'Plan mensual'!H214+parametros_recargas!$G$81*'Plan mensual'!H215+parametros_recargas!$H$81*'Plan mensual'!H216+parametros_recargas!$I$81*'Plan mensual'!H217+parametros_recargas!$J$81*'Plan mensual'!H218+parametros_recargas!$K$81*'Plan mensual'!H219+parametros_recargas!$L$81*'Plan mensual'!H220</f>
        <v>460.160759521017</v>
      </c>
      <c r="G203" s="21" t="n">
        <f aca="false">parametros_recargas!$E$81*'Plan mensual'!I213+parametros_recargas!$F$81*'Plan mensual'!I214+parametros_recargas!$G$81*'Plan mensual'!I215+parametros_recargas!$H$81*'Plan mensual'!I216+parametros_recargas!$I$81*'Plan mensual'!I217+parametros_recargas!$J$81*'Plan mensual'!I218+parametros_recargas!$K$81*'Plan mensual'!I219+parametros_recargas!$L$81*'Plan mensual'!I220</f>
        <v>460.160759521017</v>
      </c>
      <c r="H203" s="21" t="n">
        <f aca="false">parametros_recargas!$E$81*'Plan mensual'!J213+parametros_recargas!$F$81*'Plan mensual'!J214+parametros_recargas!$G$81*'Plan mensual'!J215+parametros_recargas!$H$81*'Plan mensual'!J216+parametros_recargas!$I$81*'Plan mensual'!J217+parametros_recargas!$J$81*'Plan mensual'!J218+parametros_recargas!$K$81*'Plan mensual'!J219+parametros_recargas!$L$81*'Plan mensual'!J220</f>
        <v>460.160759521017</v>
      </c>
      <c r="I203" s="21" t="n">
        <f aca="false">parametros_recargas!$E$81*'Plan mensual'!K213+parametros_recargas!$F$81*'Plan mensual'!K214+parametros_recargas!$G$81*'Plan mensual'!K215+parametros_recargas!$H$81*'Plan mensual'!K216+parametros_recargas!$I$81*'Plan mensual'!K217+parametros_recargas!$J$81*'Plan mensual'!K218+parametros_recargas!$K$81*'Plan mensual'!K219+parametros_recargas!$L$81*'Plan mensual'!K220</f>
        <v>460.160759521017</v>
      </c>
      <c r="J203" s="21" t="n">
        <f aca="false">parametros_recargas!$E$81*'Plan mensual'!L213+parametros_recargas!$F$81*'Plan mensual'!L214+parametros_recargas!$G$81*'Plan mensual'!L215+parametros_recargas!$H$81*'Plan mensual'!L216+parametros_recargas!$I$81*'Plan mensual'!L217+parametros_recargas!$J$81*'Plan mensual'!L218+parametros_recargas!$K$81*'Plan mensual'!L219+parametros_recargas!$L$81*'Plan mensual'!L220</f>
        <v>460.160759521017</v>
      </c>
      <c r="K203" s="21" t="n">
        <f aca="false">parametros_recargas!$E$81*'Plan mensual'!M213+parametros_recargas!$F$81*'Plan mensual'!M214+parametros_recargas!$G$81*'Plan mensual'!M215+parametros_recargas!$H$81*'Plan mensual'!M216+parametros_recargas!$I$81*'Plan mensual'!M217+parametros_recargas!$J$81*'Plan mensual'!M218+parametros_recargas!$K$81*'Plan mensual'!M219+parametros_recargas!$L$81*'Plan mensual'!M220</f>
        <v>460.160759521017</v>
      </c>
      <c r="L203" s="21" t="n">
        <f aca="false">parametros_recargas!$E$81*'Plan mensual'!N213+parametros_recargas!$F$81*'Plan mensual'!N214+parametros_recargas!$G$81*'Plan mensual'!N215+parametros_recargas!$H$81*'Plan mensual'!N216+parametros_recargas!$I$81*'Plan mensual'!N217+parametros_recargas!$J$81*'Plan mensual'!N218+parametros_recargas!$K$81*'Plan mensual'!N219+parametros_recargas!$L$81*'Plan mensual'!N220</f>
        <v>460.160759521017</v>
      </c>
      <c r="M203" s="21" t="n">
        <f aca="false">parametros_recargas!$E$81*'Plan mensual'!O213+parametros_recargas!$F$81*'Plan mensual'!O214+parametros_recargas!$G$81*'Plan mensual'!O215+parametros_recargas!$H$81*'Plan mensual'!O216+parametros_recargas!$I$81*'Plan mensual'!O217+parametros_recargas!$J$81*'Plan mensual'!O218+parametros_recargas!$K$81*'Plan mensual'!O219+parametros_recargas!$L$81*'Plan mensual'!O220</f>
        <v>460.160759521017</v>
      </c>
      <c r="N203" s="6" t="n">
        <f aca="false">SUM(B203:M203)</f>
        <v>5521.9291142522</v>
      </c>
      <c r="O203" s="22" t="n">
        <f aca="false">MAX(B203:M203)</f>
        <v>460.160759521017</v>
      </c>
      <c r="P203" s="12" t="n">
        <f aca="false">O203/parametros_recargas!$B$6</f>
        <v>3.06773839680678</v>
      </c>
    </row>
    <row r="204" customFormat="false" ht="15" hidden="false" customHeight="false" outlineLevel="0" collapsed="false">
      <c r="A204" s="8" t="str">
        <f aca="false">parametros_recargas!$B$82</f>
        <v>Laboratorio — Puffer y mufla</v>
      </c>
      <c r="B204" s="21" t="n">
        <f aca="false">parametros_recargas!$E$82*'Plan mensual'!D213+parametros_recargas!$F$82*'Plan mensual'!D214+parametros_recargas!$G$82*'Plan mensual'!D215+parametros_recargas!$H$82*'Plan mensual'!D216+parametros_recargas!$I$82*'Plan mensual'!D217+parametros_recargas!$J$82*'Plan mensual'!D218+parametros_recargas!$K$82*'Plan mensual'!D219+parametros_recargas!$L$82*'Plan mensual'!D220</f>
        <v>6.12023316163312</v>
      </c>
      <c r="C204" s="21" t="n">
        <f aca="false">parametros_recargas!$E$82*'Plan mensual'!E213+parametros_recargas!$F$82*'Plan mensual'!E214+parametros_recargas!$G$82*'Plan mensual'!E215+parametros_recargas!$H$82*'Plan mensual'!E216+parametros_recargas!$I$82*'Plan mensual'!E217+parametros_recargas!$J$82*'Plan mensual'!E218+parametros_recargas!$K$82*'Plan mensual'!E219+parametros_recargas!$L$82*'Plan mensual'!E220</f>
        <v>6.12023316163312</v>
      </c>
      <c r="D204" s="21" t="n">
        <f aca="false">parametros_recargas!$E$82*'Plan mensual'!F213+parametros_recargas!$F$82*'Plan mensual'!F214+parametros_recargas!$G$82*'Plan mensual'!F215+parametros_recargas!$H$82*'Plan mensual'!F216+parametros_recargas!$I$82*'Plan mensual'!F217+parametros_recargas!$J$82*'Plan mensual'!F218+parametros_recargas!$K$82*'Plan mensual'!F219+parametros_recargas!$L$82*'Plan mensual'!F220</f>
        <v>6.12023316163312</v>
      </c>
      <c r="E204" s="21" t="n">
        <f aca="false">parametros_recargas!$E$82*'Plan mensual'!G213+parametros_recargas!$F$82*'Plan mensual'!G214+parametros_recargas!$G$82*'Plan mensual'!G215+parametros_recargas!$H$82*'Plan mensual'!G216+parametros_recargas!$I$82*'Plan mensual'!G217+parametros_recargas!$J$82*'Plan mensual'!G218+parametros_recargas!$K$82*'Plan mensual'!G219+parametros_recargas!$L$82*'Plan mensual'!G220</f>
        <v>6.12023316163312</v>
      </c>
      <c r="F204" s="21" t="n">
        <f aca="false">parametros_recargas!$E$82*'Plan mensual'!H213+parametros_recargas!$F$82*'Plan mensual'!H214+parametros_recargas!$G$82*'Plan mensual'!H215+parametros_recargas!$H$82*'Plan mensual'!H216+parametros_recargas!$I$82*'Plan mensual'!H217+parametros_recargas!$J$82*'Plan mensual'!H218+parametros_recargas!$K$82*'Plan mensual'!H219+parametros_recargas!$L$82*'Plan mensual'!H220</f>
        <v>6.12023316163312</v>
      </c>
      <c r="G204" s="21" t="n">
        <f aca="false">parametros_recargas!$E$82*'Plan mensual'!I213+parametros_recargas!$F$82*'Plan mensual'!I214+parametros_recargas!$G$82*'Plan mensual'!I215+parametros_recargas!$H$82*'Plan mensual'!I216+parametros_recargas!$I$82*'Plan mensual'!I217+parametros_recargas!$J$82*'Plan mensual'!I218+parametros_recargas!$K$82*'Plan mensual'!I219+parametros_recargas!$L$82*'Plan mensual'!I220</f>
        <v>6.12023316163312</v>
      </c>
      <c r="H204" s="21" t="n">
        <f aca="false">parametros_recargas!$E$82*'Plan mensual'!J213+parametros_recargas!$F$82*'Plan mensual'!J214+parametros_recargas!$G$82*'Plan mensual'!J215+parametros_recargas!$H$82*'Plan mensual'!J216+parametros_recargas!$I$82*'Plan mensual'!J217+parametros_recargas!$J$82*'Plan mensual'!J218+parametros_recargas!$K$82*'Plan mensual'!J219+parametros_recargas!$L$82*'Plan mensual'!J220</f>
        <v>6.12023316163312</v>
      </c>
      <c r="I204" s="21" t="n">
        <f aca="false">parametros_recargas!$E$82*'Plan mensual'!K213+parametros_recargas!$F$82*'Plan mensual'!K214+parametros_recargas!$G$82*'Plan mensual'!K215+parametros_recargas!$H$82*'Plan mensual'!K216+parametros_recargas!$I$82*'Plan mensual'!K217+parametros_recargas!$J$82*'Plan mensual'!K218+parametros_recargas!$K$82*'Plan mensual'!K219+parametros_recargas!$L$82*'Plan mensual'!K220</f>
        <v>6.12023316163312</v>
      </c>
      <c r="J204" s="21" t="n">
        <f aca="false">parametros_recargas!$E$82*'Plan mensual'!L213+parametros_recargas!$F$82*'Plan mensual'!L214+parametros_recargas!$G$82*'Plan mensual'!L215+parametros_recargas!$H$82*'Plan mensual'!L216+parametros_recargas!$I$82*'Plan mensual'!L217+parametros_recargas!$J$82*'Plan mensual'!L218+parametros_recargas!$K$82*'Plan mensual'!L219+parametros_recargas!$L$82*'Plan mensual'!L220</f>
        <v>6.12023316163312</v>
      </c>
      <c r="K204" s="21" t="n">
        <f aca="false">parametros_recargas!$E$82*'Plan mensual'!M213+parametros_recargas!$F$82*'Plan mensual'!M214+parametros_recargas!$G$82*'Plan mensual'!M215+parametros_recargas!$H$82*'Plan mensual'!M216+parametros_recargas!$I$82*'Plan mensual'!M217+parametros_recargas!$J$82*'Plan mensual'!M218+parametros_recargas!$K$82*'Plan mensual'!M219+parametros_recargas!$L$82*'Plan mensual'!M220</f>
        <v>6.12023316163312</v>
      </c>
      <c r="L204" s="21" t="n">
        <f aca="false">parametros_recargas!$E$82*'Plan mensual'!N213+parametros_recargas!$F$82*'Plan mensual'!N214+parametros_recargas!$G$82*'Plan mensual'!N215+parametros_recargas!$H$82*'Plan mensual'!N216+parametros_recargas!$I$82*'Plan mensual'!N217+parametros_recargas!$J$82*'Plan mensual'!N218+parametros_recargas!$K$82*'Plan mensual'!N219+parametros_recargas!$L$82*'Plan mensual'!N220</f>
        <v>6.12023316163312</v>
      </c>
      <c r="M204" s="21" t="n">
        <f aca="false">parametros_recargas!$E$82*'Plan mensual'!O213+parametros_recargas!$F$82*'Plan mensual'!O214+parametros_recargas!$G$82*'Plan mensual'!O215+parametros_recargas!$H$82*'Plan mensual'!O216+parametros_recargas!$I$82*'Plan mensual'!O217+parametros_recargas!$J$82*'Plan mensual'!O218+parametros_recargas!$K$82*'Plan mensual'!O219+parametros_recargas!$L$82*'Plan mensual'!O220</f>
        <v>6.12023316163312</v>
      </c>
      <c r="N204" s="6" t="n">
        <f aca="false">SUM(B204:M204)</f>
        <v>73.4427979395974</v>
      </c>
      <c r="O204" s="22" t="n">
        <f aca="false">MAX(B204:M204)</f>
        <v>6.12023316163312</v>
      </c>
      <c r="P204" s="12" t="n">
        <f aca="false">O204/parametros_recargas!$B$6</f>
        <v>0.0408015544108875</v>
      </c>
    </row>
    <row r="205" customFormat="false" ht="15" hidden="false" customHeight="false" outlineLevel="0" collapsed="false">
      <c r="A205" s="8" t="str">
        <f aca="false">parametros_recargas!$B$83</f>
        <v>Prueba hidráulica</v>
      </c>
      <c r="B205" s="21" t="n">
        <f aca="false">parametros_recargas!$E$83*'Plan mensual'!D213+parametros_recargas!$F$83*'Plan mensual'!D214+parametros_recargas!$G$83*'Plan mensual'!D215+parametros_recargas!$H$83*'Plan mensual'!D216+parametros_recargas!$I$83*'Plan mensual'!D217+parametros_recargas!$J$83*'Plan mensual'!D218+parametros_recargas!$K$83*'Plan mensual'!D219+parametros_recargas!$L$83*'Plan mensual'!D220</f>
        <v>1500.40161694206</v>
      </c>
      <c r="C205" s="21" t="n">
        <f aca="false">parametros_recargas!$E$83*'Plan mensual'!E213+parametros_recargas!$F$83*'Plan mensual'!E214+parametros_recargas!$G$83*'Plan mensual'!E215+parametros_recargas!$H$83*'Plan mensual'!E216+parametros_recargas!$I$83*'Plan mensual'!E217+parametros_recargas!$J$83*'Plan mensual'!E218+parametros_recargas!$K$83*'Plan mensual'!E219+parametros_recargas!$L$83*'Plan mensual'!E220</f>
        <v>1500.40161694206</v>
      </c>
      <c r="D205" s="21" t="n">
        <f aca="false">parametros_recargas!$E$83*'Plan mensual'!F213+parametros_recargas!$F$83*'Plan mensual'!F214+parametros_recargas!$G$83*'Plan mensual'!F215+parametros_recargas!$H$83*'Plan mensual'!F216+parametros_recargas!$I$83*'Plan mensual'!F217+parametros_recargas!$J$83*'Plan mensual'!F218+parametros_recargas!$K$83*'Plan mensual'!F219+parametros_recargas!$L$83*'Plan mensual'!F220</f>
        <v>1500.40161694206</v>
      </c>
      <c r="E205" s="21" t="n">
        <f aca="false">parametros_recargas!$E$83*'Plan mensual'!G213+parametros_recargas!$F$83*'Plan mensual'!G214+parametros_recargas!$G$83*'Plan mensual'!G215+parametros_recargas!$H$83*'Plan mensual'!G216+parametros_recargas!$I$83*'Plan mensual'!G217+parametros_recargas!$J$83*'Plan mensual'!G218+parametros_recargas!$K$83*'Plan mensual'!G219+parametros_recargas!$L$83*'Plan mensual'!G220</f>
        <v>1500.40161694206</v>
      </c>
      <c r="F205" s="21" t="n">
        <f aca="false">parametros_recargas!$E$83*'Plan mensual'!H213+parametros_recargas!$F$83*'Plan mensual'!H214+parametros_recargas!$G$83*'Plan mensual'!H215+parametros_recargas!$H$83*'Plan mensual'!H216+parametros_recargas!$I$83*'Plan mensual'!H217+parametros_recargas!$J$83*'Plan mensual'!H218+parametros_recargas!$K$83*'Plan mensual'!H219+parametros_recargas!$L$83*'Plan mensual'!H220</f>
        <v>1500.40161694206</v>
      </c>
      <c r="G205" s="21" t="n">
        <f aca="false">parametros_recargas!$E$83*'Plan mensual'!I213+parametros_recargas!$F$83*'Plan mensual'!I214+parametros_recargas!$G$83*'Plan mensual'!I215+parametros_recargas!$H$83*'Plan mensual'!I216+parametros_recargas!$I$83*'Plan mensual'!I217+parametros_recargas!$J$83*'Plan mensual'!I218+parametros_recargas!$K$83*'Plan mensual'!I219+parametros_recargas!$L$83*'Plan mensual'!I220</f>
        <v>1500.40161694206</v>
      </c>
      <c r="H205" s="21" t="n">
        <f aca="false">parametros_recargas!$E$83*'Plan mensual'!J213+parametros_recargas!$F$83*'Plan mensual'!J214+parametros_recargas!$G$83*'Plan mensual'!J215+parametros_recargas!$H$83*'Plan mensual'!J216+parametros_recargas!$I$83*'Plan mensual'!J217+parametros_recargas!$J$83*'Plan mensual'!J218+parametros_recargas!$K$83*'Plan mensual'!J219+parametros_recargas!$L$83*'Plan mensual'!J220</f>
        <v>1500.40161694206</v>
      </c>
      <c r="I205" s="21" t="n">
        <f aca="false">parametros_recargas!$E$83*'Plan mensual'!K213+parametros_recargas!$F$83*'Plan mensual'!K214+parametros_recargas!$G$83*'Plan mensual'!K215+parametros_recargas!$H$83*'Plan mensual'!K216+parametros_recargas!$I$83*'Plan mensual'!K217+parametros_recargas!$J$83*'Plan mensual'!K218+parametros_recargas!$K$83*'Plan mensual'!K219+parametros_recargas!$L$83*'Plan mensual'!K220</f>
        <v>1500.40161694206</v>
      </c>
      <c r="J205" s="21" t="n">
        <f aca="false">parametros_recargas!$E$83*'Plan mensual'!L213+parametros_recargas!$F$83*'Plan mensual'!L214+parametros_recargas!$G$83*'Plan mensual'!L215+parametros_recargas!$H$83*'Plan mensual'!L216+parametros_recargas!$I$83*'Plan mensual'!L217+parametros_recargas!$J$83*'Plan mensual'!L218+parametros_recargas!$K$83*'Plan mensual'!L219+parametros_recargas!$L$83*'Plan mensual'!L220</f>
        <v>1500.40161694206</v>
      </c>
      <c r="K205" s="21" t="n">
        <f aca="false">parametros_recargas!$E$83*'Plan mensual'!M213+parametros_recargas!$F$83*'Plan mensual'!M214+parametros_recargas!$G$83*'Plan mensual'!M215+parametros_recargas!$H$83*'Plan mensual'!M216+parametros_recargas!$I$83*'Plan mensual'!M217+parametros_recargas!$J$83*'Plan mensual'!M218+parametros_recargas!$K$83*'Plan mensual'!M219+parametros_recargas!$L$83*'Plan mensual'!M220</f>
        <v>1500.40161694206</v>
      </c>
      <c r="L205" s="21" t="n">
        <f aca="false">parametros_recargas!$E$83*'Plan mensual'!N213+parametros_recargas!$F$83*'Plan mensual'!N214+parametros_recargas!$G$83*'Plan mensual'!N215+parametros_recargas!$H$83*'Plan mensual'!N216+parametros_recargas!$I$83*'Plan mensual'!N217+parametros_recargas!$J$83*'Plan mensual'!N218+parametros_recargas!$K$83*'Plan mensual'!N219+parametros_recargas!$L$83*'Plan mensual'!N220</f>
        <v>1500.40161694206</v>
      </c>
      <c r="M205" s="21" t="n">
        <f aca="false">parametros_recargas!$E$83*'Plan mensual'!O213+parametros_recargas!$F$83*'Plan mensual'!O214+parametros_recargas!$G$83*'Plan mensual'!O215+parametros_recargas!$H$83*'Plan mensual'!O216+parametros_recargas!$I$83*'Plan mensual'!O217+parametros_recargas!$J$83*'Plan mensual'!O218+parametros_recargas!$K$83*'Plan mensual'!O219+parametros_recargas!$L$83*'Plan mensual'!O220</f>
        <v>1500.40161694206</v>
      </c>
      <c r="N205" s="6" t="n">
        <f aca="false">SUM(B205:M205)</f>
        <v>18004.8194033047</v>
      </c>
      <c r="O205" s="22" t="n">
        <f aca="false">MAX(B205:M205)</f>
        <v>1500.40161694206</v>
      </c>
      <c r="P205" s="12" t="n">
        <f aca="false">O205/parametros_recargas!$B$6</f>
        <v>10.0026774462804</v>
      </c>
    </row>
    <row r="206" customFormat="false" ht="15" hidden="false" customHeight="false" outlineLevel="0" collapsed="false">
      <c r="A206" s="8" t="str">
        <f aca="false">parametros_recargas!$B$84</f>
        <v>Secado</v>
      </c>
      <c r="B206" s="21" t="n">
        <f aca="false">parametros_recargas!$E$84*'Plan mensual'!D213+parametros_recargas!$F$84*'Plan mensual'!D214+parametros_recargas!$G$84*'Plan mensual'!D215+parametros_recargas!$H$84*'Plan mensual'!D216+parametros_recargas!$I$84*'Plan mensual'!D217+parametros_recargas!$J$84*'Plan mensual'!D218+parametros_recargas!$K$84*'Plan mensual'!D219+parametros_recargas!$L$84*'Plan mensual'!D220</f>
        <v>1406.07035001266</v>
      </c>
      <c r="C206" s="21" t="n">
        <f aca="false">parametros_recargas!$E$84*'Plan mensual'!E213+parametros_recargas!$F$84*'Plan mensual'!E214+parametros_recargas!$G$84*'Plan mensual'!E215+parametros_recargas!$H$84*'Plan mensual'!E216+parametros_recargas!$I$84*'Plan mensual'!E217+parametros_recargas!$J$84*'Plan mensual'!E218+parametros_recargas!$K$84*'Plan mensual'!E219+parametros_recargas!$L$84*'Plan mensual'!E220</f>
        <v>1406.07035001266</v>
      </c>
      <c r="D206" s="21" t="n">
        <f aca="false">parametros_recargas!$E$84*'Plan mensual'!F213+parametros_recargas!$F$84*'Plan mensual'!F214+parametros_recargas!$G$84*'Plan mensual'!F215+parametros_recargas!$H$84*'Plan mensual'!F216+parametros_recargas!$I$84*'Plan mensual'!F217+parametros_recargas!$J$84*'Plan mensual'!F218+parametros_recargas!$K$84*'Plan mensual'!F219+parametros_recargas!$L$84*'Plan mensual'!F220</f>
        <v>1406.07035001266</v>
      </c>
      <c r="E206" s="21" t="n">
        <f aca="false">parametros_recargas!$E$84*'Plan mensual'!G213+parametros_recargas!$F$84*'Plan mensual'!G214+parametros_recargas!$G$84*'Plan mensual'!G215+parametros_recargas!$H$84*'Plan mensual'!G216+parametros_recargas!$I$84*'Plan mensual'!G217+parametros_recargas!$J$84*'Plan mensual'!G218+parametros_recargas!$K$84*'Plan mensual'!G219+parametros_recargas!$L$84*'Plan mensual'!G220</f>
        <v>1406.07035001266</v>
      </c>
      <c r="F206" s="21" t="n">
        <f aca="false">parametros_recargas!$E$84*'Plan mensual'!H213+parametros_recargas!$F$84*'Plan mensual'!H214+parametros_recargas!$G$84*'Plan mensual'!H215+parametros_recargas!$H$84*'Plan mensual'!H216+parametros_recargas!$I$84*'Plan mensual'!H217+parametros_recargas!$J$84*'Plan mensual'!H218+parametros_recargas!$K$84*'Plan mensual'!H219+parametros_recargas!$L$84*'Plan mensual'!H220</f>
        <v>1406.07035001266</v>
      </c>
      <c r="G206" s="21" t="n">
        <f aca="false">parametros_recargas!$E$84*'Plan mensual'!I213+parametros_recargas!$F$84*'Plan mensual'!I214+parametros_recargas!$G$84*'Plan mensual'!I215+parametros_recargas!$H$84*'Plan mensual'!I216+parametros_recargas!$I$84*'Plan mensual'!I217+parametros_recargas!$J$84*'Plan mensual'!I218+parametros_recargas!$K$84*'Plan mensual'!I219+parametros_recargas!$L$84*'Plan mensual'!I220</f>
        <v>1406.07035001266</v>
      </c>
      <c r="H206" s="21" t="n">
        <f aca="false">parametros_recargas!$E$84*'Plan mensual'!J213+parametros_recargas!$F$84*'Plan mensual'!J214+parametros_recargas!$G$84*'Plan mensual'!J215+parametros_recargas!$H$84*'Plan mensual'!J216+parametros_recargas!$I$84*'Plan mensual'!J217+parametros_recargas!$J$84*'Plan mensual'!J218+parametros_recargas!$K$84*'Plan mensual'!J219+parametros_recargas!$L$84*'Plan mensual'!J220</f>
        <v>1406.07035001266</v>
      </c>
      <c r="I206" s="21" t="n">
        <f aca="false">parametros_recargas!$E$84*'Plan mensual'!K213+parametros_recargas!$F$84*'Plan mensual'!K214+parametros_recargas!$G$84*'Plan mensual'!K215+parametros_recargas!$H$84*'Plan mensual'!K216+parametros_recargas!$I$84*'Plan mensual'!K217+parametros_recargas!$J$84*'Plan mensual'!K218+parametros_recargas!$K$84*'Plan mensual'!K219+parametros_recargas!$L$84*'Plan mensual'!K220</f>
        <v>1406.07035001266</v>
      </c>
      <c r="J206" s="21" t="n">
        <f aca="false">parametros_recargas!$E$84*'Plan mensual'!L213+parametros_recargas!$F$84*'Plan mensual'!L214+parametros_recargas!$G$84*'Plan mensual'!L215+parametros_recargas!$H$84*'Plan mensual'!L216+parametros_recargas!$I$84*'Plan mensual'!L217+parametros_recargas!$J$84*'Plan mensual'!L218+parametros_recargas!$K$84*'Plan mensual'!L219+parametros_recargas!$L$84*'Plan mensual'!L220</f>
        <v>1406.07035001266</v>
      </c>
      <c r="K206" s="21" t="n">
        <f aca="false">parametros_recargas!$E$84*'Plan mensual'!M213+parametros_recargas!$F$84*'Plan mensual'!M214+parametros_recargas!$G$84*'Plan mensual'!M215+parametros_recargas!$H$84*'Plan mensual'!M216+parametros_recargas!$I$84*'Plan mensual'!M217+parametros_recargas!$J$84*'Plan mensual'!M218+parametros_recargas!$K$84*'Plan mensual'!M219+parametros_recargas!$L$84*'Plan mensual'!M220</f>
        <v>1406.07035001266</v>
      </c>
      <c r="L206" s="21" t="n">
        <f aca="false">parametros_recargas!$E$84*'Plan mensual'!N213+parametros_recargas!$F$84*'Plan mensual'!N214+parametros_recargas!$G$84*'Plan mensual'!N215+parametros_recargas!$H$84*'Plan mensual'!N216+parametros_recargas!$I$84*'Plan mensual'!N217+parametros_recargas!$J$84*'Plan mensual'!N218+parametros_recargas!$K$84*'Plan mensual'!N219+parametros_recargas!$L$84*'Plan mensual'!N220</f>
        <v>1406.07035001266</v>
      </c>
      <c r="M206" s="21" t="n">
        <f aca="false">parametros_recargas!$E$84*'Plan mensual'!O213+parametros_recargas!$F$84*'Plan mensual'!O214+parametros_recargas!$G$84*'Plan mensual'!O215+parametros_recargas!$H$84*'Plan mensual'!O216+parametros_recargas!$I$84*'Plan mensual'!O217+parametros_recargas!$J$84*'Plan mensual'!O218+parametros_recargas!$K$84*'Plan mensual'!O219+parametros_recargas!$L$84*'Plan mensual'!O220</f>
        <v>1406.07035001266</v>
      </c>
      <c r="N206" s="6" t="n">
        <f aca="false">SUM(B206:M206)</f>
        <v>16872.8442001519</v>
      </c>
      <c r="O206" s="22" t="n">
        <f aca="false">MAX(B206:M206)</f>
        <v>1406.07035001266</v>
      </c>
      <c r="P206" s="12" t="n">
        <f aca="false">O206/parametros_recargas!$B$6</f>
        <v>9.37380233341775</v>
      </c>
    </row>
    <row r="207" customFormat="false" ht="15" hidden="false" customHeight="false" outlineLevel="0" collapsed="false">
      <c r="A207" s="8" t="str">
        <f aca="false">parametros_recargas!$B$85</f>
        <v>Inspección interior con videoscopio</v>
      </c>
      <c r="B207" s="21" t="n">
        <f aca="false">parametros_recargas!$E$85*'Plan mensual'!D213+parametros_recargas!$F$85*'Plan mensual'!D214+parametros_recargas!$G$85*'Plan mensual'!D215+parametros_recargas!$H$85*'Plan mensual'!D216+parametros_recargas!$I$85*'Plan mensual'!D217+parametros_recargas!$J$85*'Plan mensual'!D218+parametros_recargas!$K$85*'Plan mensual'!D219+parametros_recargas!$L$85*'Plan mensual'!D220</f>
        <v>1406.07035001266</v>
      </c>
      <c r="C207" s="21" t="n">
        <f aca="false">parametros_recargas!$E$85*'Plan mensual'!E213+parametros_recargas!$F$85*'Plan mensual'!E214+parametros_recargas!$G$85*'Plan mensual'!E215+parametros_recargas!$H$85*'Plan mensual'!E216+parametros_recargas!$I$85*'Plan mensual'!E217+parametros_recargas!$J$85*'Plan mensual'!E218+parametros_recargas!$K$85*'Plan mensual'!E219+parametros_recargas!$L$85*'Plan mensual'!E220</f>
        <v>1406.07035001266</v>
      </c>
      <c r="D207" s="21" t="n">
        <f aca="false">parametros_recargas!$E$85*'Plan mensual'!F213+parametros_recargas!$F$85*'Plan mensual'!F214+parametros_recargas!$G$85*'Plan mensual'!F215+parametros_recargas!$H$85*'Plan mensual'!F216+parametros_recargas!$I$85*'Plan mensual'!F217+parametros_recargas!$J$85*'Plan mensual'!F218+parametros_recargas!$K$85*'Plan mensual'!F219+parametros_recargas!$L$85*'Plan mensual'!F220</f>
        <v>1406.07035001266</v>
      </c>
      <c r="E207" s="21" t="n">
        <f aca="false">parametros_recargas!$E$85*'Plan mensual'!G213+parametros_recargas!$F$85*'Plan mensual'!G214+parametros_recargas!$G$85*'Plan mensual'!G215+parametros_recargas!$H$85*'Plan mensual'!G216+parametros_recargas!$I$85*'Plan mensual'!G217+parametros_recargas!$J$85*'Plan mensual'!G218+parametros_recargas!$K$85*'Plan mensual'!G219+parametros_recargas!$L$85*'Plan mensual'!G220</f>
        <v>1406.07035001266</v>
      </c>
      <c r="F207" s="21" t="n">
        <f aca="false">parametros_recargas!$E$85*'Plan mensual'!H213+parametros_recargas!$F$85*'Plan mensual'!H214+parametros_recargas!$G$85*'Plan mensual'!H215+parametros_recargas!$H$85*'Plan mensual'!H216+parametros_recargas!$I$85*'Plan mensual'!H217+parametros_recargas!$J$85*'Plan mensual'!H218+parametros_recargas!$K$85*'Plan mensual'!H219+parametros_recargas!$L$85*'Plan mensual'!H220</f>
        <v>1406.07035001266</v>
      </c>
      <c r="G207" s="21" t="n">
        <f aca="false">parametros_recargas!$E$85*'Plan mensual'!I213+parametros_recargas!$F$85*'Plan mensual'!I214+parametros_recargas!$G$85*'Plan mensual'!I215+parametros_recargas!$H$85*'Plan mensual'!I216+parametros_recargas!$I$85*'Plan mensual'!I217+parametros_recargas!$J$85*'Plan mensual'!I218+parametros_recargas!$K$85*'Plan mensual'!I219+parametros_recargas!$L$85*'Plan mensual'!I220</f>
        <v>1406.07035001266</v>
      </c>
      <c r="H207" s="21" t="n">
        <f aca="false">parametros_recargas!$E$85*'Plan mensual'!J213+parametros_recargas!$F$85*'Plan mensual'!J214+parametros_recargas!$G$85*'Plan mensual'!J215+parametros_recargas!$H$85*'Plan mensual'!J216+parametros_recargas!$I$85*'Plan mensual'!J217+parametros_recargas!$J$85*'Plan mensual'!J218+parametros_recargas!$K$85*'Plan mensual'!J219+parametros_recargas!$L$85*'Plan mensual'!J220</f>
        <v>1406.07035001266</v>
      </c>
      <c r="I207" s="21" t="n">
        <f aca="false">parametros_recargas!$E$85*'Plan mensual'!K213+parametros_recargas!$F$85*'Plan mensual'!K214+parametros_recargas!$G$85*'Plan mensual'!K215+parametros_recargas!$H$85*'Plan mensual'!K216+parametros_recargas!$I$85*'Plan mensual'!K217+parametros_recargas!$J$85*'Plan mensual'!K218+parametros_recargas!$K$85*'Plan mensual'!K219+parametros_recargas!$L$85*'Plan mensual'!K220</f>
        <v>1406.07035001266</v>
      </c>
      <c r="J207" s="21" t="n">
        <f aca="false">parametros_recargas!$E$85*'Plan mensual'!L213+parametros_recargas!$F$85*'Plan mensual'!L214+parametros_recargas!$G$85*'Plan mensual'!L215+parametros_recargas!$H$85*'Plan mensual'!L216+parametros_recargas!$I$85*'Plan mensual'!L217+parametros_recargas!$J$85*'Plan mensual'!L218+parametros_recargas!$K$85*'Plan mensual'!L219+parametros_recargas!$L$85*'Plan mensual'!L220</f>
        <v>1406.07035001266</v>
      </c>
      <c r="K207" s="21" t="n">
        <f aca="false">parametros_recargas!$E$85*'Plan mensual'!M213+parametros_recargas!$F$85*'Plan mensual'!M214+parametros_recargas!$G$85*'Plan mensual'!M215+parametros_recargas!$H$85*'Plan mensual'!M216+parametros_recargas!$I$85*'Plan mensual'!M217+parametros_recargas!$J$85*'Plan mensual'!M218+parametros_recargas!$K$85*'Plan mensual'!M219+parametros_recargas!$L$85*'Plan mensual'!M220</f>
        <v>1406.07035001266</v>
      </c>
      <c r="L207" s="21" t="n">
        <f aca="false">parametros_recargas!$E$85*'Plan mensual'!N213+parametros_recargas!$F$85*'Plan mensual'!N214+parametros_recargas!$G$85*'Plan mensual'!N215+parametros_recargas!$H$85*'Plan mensual'!N216+parametros_recargas!$I$85*'Plan mensual'!N217+parametros_recargas!$J$85*'Plan mensual'!N218+parametros_recargas!$K$85*'Plan mensual'!N219+parametros_recargas!$L$85*'Plan mensual'!N220</f>
        <v>1406.07035001266</v>
      </c>
      <c r="M207" s="21" t="n">
        <f aca="false">parametros_recargas!$E$85*'Plan mensual'!O213+parametros_recargas!$F$85*'Plan mensual'!O214+parametros_recargas!$G$85*'Plan mensual'!O215+parametros_recargas!$H$85*'Plan mensual'!O216+parametros_recargas!$I$85*'Plan mensual'!O217+parametros_recargas!$J$85*'Plan mensual'!O218+parametros_recargas!$K$85*'Plan mensual'!O219+parametros_recargas!$L$85*'Plan mensual'!O220</f>
        <v>1406.07035001266</v>
      </c>
      <c r="N207" s="6" t="n">
        <f aca="false">SUM(B207:M207)</f>
        <v>16872.8442001519</v>
      </c>
      <c r="O207" s="22" t="n">
        <f aca="false">MAX(B207:M207)</f>
        <v>1406.07035001266</v>
      </c>
      <c r="P207" s="12" t="n">
        <f aca="false">O207/parametros_recargas!$B$6</f>
        <v>9.37380233341775</v>
      </c>
    </row>
    <row r="208" customFormat="false" ht="15" hidden="false" customHeight="false" outlineLevel="0" collapsed="false">
      <c r="A208" s="8" t="str">
        <f aca="false">parametros_recargas!$B$86</f>
        <v>Pintura</v>
      </c>
      <c r="B208" s="21" t="n">
        <f aca="false">parametros_recargas!$E$86*'Plan mensual'!D213+parametros_recargas!$F$86*'Plan mensual'!D214+parametros_recargas!$G$86*'Plan mensual'!D215+parametros_recargas!$H$86*'Plan mensual'!D216+parametros_recargas!$I$86*'Plan mensual'!D217+parametros_recargas!$J$86*'Plan mensual'!D218+parametros_recargas!$K$86*'Plan mensual'!D219+parametros_recargas!$L$86*'Plan mensual'!D220</f>
        <v>703.516813400207</v>
      </c>
      <c r="C208" s="21" t="n">
        <f aca="false">parametros_recargas!$E$86*'Plan mensual'!E213+parametros_recargas!$F$86*'Plan mensual'!E214+parametros_recargas!$G$86*'Plan mensual'!E215+parametros_recargas!$H$86*'Plan mensual'!E216+parametros_recargas!$I$86*'Plan mensual'!E217+parametros_recargas!$J$86*'Plan mensual'!E218+parametros_recargas!$K$86*'Plan mensual'!E219+parametros_recargas!$L$86*'Plan mensual'!E220</f>
        <v>703.516813400207</v>
      </c>
      <c r="D208" s="21" t="n">
        <f aca="false">parametros_recargas!$E$86*'Plan mensual'!F213+parametros_recargas!$F$86*'Plan mensual'!F214+parametros_recargas!$G$86*'Plan mensual'!F215+parametros_recargas!$H$86*'Plan mensual'!F216+parametros_recargas!$I$86*'Plan mensual'!F217+parametros_recargas!$J$86*'Plan mensual'!F218+parametros_recargas!$K$86*'Plan mensual'!F219+parametros_recargas!$L$86*'Plan mensual'!F220</f>
        <v>703.516813400207</v>
      </c>
      <c r="E208" s="21" t="n">
        <f aca="false">parametros_recargas!$E$86*'Plan mensual'!G213+parametros_recargas!$F$86*'Plan mensual'!G214+parametros_recargas!$G$86*'Plan mensual'!G215+parametros_recargas!$H$86*'Plan mensual'!G216+parametros_recargas!$I$86*'Plan mensual'!G217+parametros_recargas!$J$86*'Plan mensual'!G218+parametros_recargas!$K$86*'Plan mensual'!G219+parametros_recargas!$L$86*'Plan mensual'!G220</f>
        <v>703.516813400207</v>
      </c>
      <c r="F208" s="21" t="n">
        <f aca="false">parametros_recargas!$E$86*'Plan mensual'!H213+parametros_recargas!$F$86*'Plan mensual'!H214+parametros_recargas!$G$86*'Plan mensual'!H215+parametros_recargas!$H$86*'Plan mensual'!H216+parametros_recargas!$I$86*'Plan mensual'!H217+parametros_recargas!$J$86*'Plan mensual'!H218+parametros_recargas!$K$86*'Plan mensual'!H219+parametros_recargas!$L$86*'Plan mensual'!H220</f>
        <v>703.516813400207</v>
      </c>
      <c r="G208" s="21" t="n">
        <f aca="false">parametros_recargas!$E$86*'Plan mensual'!I213+parametros_recargas!$F$86*'Plan mensual'!I214+parametros_recargas!$G$86*'Plan mensual'!I215+parametros_recargas!$H$86*'Plan mensual'!I216+parametros_recargas!$I$86*'Plan mensual'!I217+parametros_recargas!$J$86*'Plan mensual'!I218+parametros_recargas!$K$86*'Plan mensual'!I219+parametros_recargas!$L$86*'Plan mensual'!I220</f>
        <v>703.516813400207</v>
      </c>
      <c r="H208" s="21" t="n">
        <f aca="false">parametros_recargas!$E$86*'Plan mensual'!J213+parametros_recargas!$F$86*'Plan mensual'!J214+parametros_recargas!$G$86*'Plan mensual'!J215+parametros_recargas!$H$86*'Plan mensual'!J216+parametros_recargas!$I$86*'Plan mensual'!J217+parametros_recargas!$J$86*'Plan mensual'!J218+parametros_recargas!$K$86*'Plan mensual'!J219+parametros_recargas!$L$86*'Plan mensual'!J220</f>
        <v>703.516813400207</v>
      </c>
      <c r="I208" s="21" t="n">
        <f aca="false">parametros_recargas!$E$86*'Plan mensual'!K213+parametros_recargas!$F$86*'Plan mensual'!K214+parametros_recargas!$G$86*'Plan mensual'!K215+parametros_recargas!$H$86*'Plan mensual'!K216+parametros_recargas!$I$86*'Plan mensual'!K217+parametros_recargas!$J$86*'Plan mensual'!K218+parametros_recargas!$K$86*'Plan mensual'!K219+parametros_recargas!$L$86*'Plan mensual'!K220</f>
        <v>703.516813400207</v>
      </c>
      <c r="J208" s="21" t="n">
        <f aca="false">parametros_recargas!$E$86*'Plan mensual'!L213+parametros_recargas!$F$86*'Plan mensual'!L214+parametros_recargas!$G$86*'Plan mensual'!L215+parametros_recargas!$H$86*'Plan mensual'!L216+parametros_recargas!$I$86*'Plan mensual'!L217+parametros_recargas!$J$86*'Plan mensual'!L218+parametros_recargas!$K$86*'Plan mensual'!L219+parametros_recargas!$L$86*'Plan mensual'!L220</f>
        <v>703.516813400207</v>
      </c>
      <c r="K208" s="21" t="n">
        <f aca="false">parametros_recargas!$E$86*'Plan mensual'!M213+parametros_recargas!$F$86*'Plan mensual'!M214+parametros_recargas!$G$86*'Plan mensual'!M215+parametros_recargas!$H$86*'Plan mensual'!M216+parametros_recargas!$I$86*'Plan mensual'!M217+parametros_recargas!$J$86*'Plan mensual'!M218+parametros_recargas!$K$86*'Plan mensual'!M219+parametros_recargas!$L$86*'Plan mensual'!M220</f>
        <v>703.516813400207</v>
      </c>
      <c r="L208" s="21" t="n">
        <f aca="false">parametros_recargas!$E$86*'Plan mensual'!N213+parametros_recargas!$F$86*'Plan mensual'!N214+parametros_recargas!$G$86*'Plan mensual'!N215+parametros_recargas!$H$86*'Plan mensual'!N216+parametros_recargas!$I$86*'Plan mensual'!N217+parametros_recargas!$J$86*'Plan mensual'!N218+parametros_recargas!$K$86*'Plan mensual'!N219+parametros_recargas!$L$86*'Plan mensual'!N220</f>
        <v>703.516813400207</v>
      </c>
      <c r="M208" s="21" t="n">
        <f aca="false">parametros_recargas!$E$86*'Plan mensual'!O213+parametros_recargas!$F$86*'Plan mensual'!O214+parametros_recargas!$G$86*'Plan mensual'!O215+parametros_recargas!$H$86*'Plan mensual'!O216+parametros_recargas!$I$86*'Plan mensual'!O217+parametros_recargas!$J$86*'Plan mensual'!O218+parametros_recargas!$K$86*'Plan mensual'!O219+parametros_recargas!$L$86*'Plan mensual'!O220</f>
        <v>703.516813400207</v>
      </c>
      <c r="N208" s="6" t="n">
        <f aca="false">SUM(B208:M208)</f>
        <v>8442.20176080249</v>
      </c>
      <c r="O208" s="22" t="n">
        <f aca="false">MAX(B208:M208)</f>
        <v>703.516813400207</v>
      </c>
      <c r="P208" s="12" t="n">
        <f aca="false">O208/parametros_recargas!$B$6</f>
        <v>4.69011208933472</v>
      </c>
    </row>
    <row r="209" customFormat="false" ht="15" hidden="false" customHeight="false" outlineLevel="0" collapsed="false">
      <c r="A209" s="8" t="str">
        <f aca="false">parametros_recargas!$B$87</f>
        <v>Carga de polvo ABC</v>
      </c>
      <c r="B209" s="21" t="n">
        <f aca="false">parametros_recargas!$E$87*'Plan mensual'!D213+parametros_recargas!$F$87*'Plan mensual'!D214+parametros_recargas!$G$87*'Plan mensual'!D215+parametros_recargas!$H$87*'Plan mensual'!D216+parametros_recargas!$I$87*'Plan mensual'!D217+parametros_recargas!$J$87*'Plan mensual'!D218+parametros_recargas!$K$87*'Plan mensual'!D219+parametros_recargas!$L$87*'Plan mensual'!D220</f>
        <v>6111.20696543757</v>
      </c>
      <c r="C209" s="21" t="n">
        <f aca="false">parametros_recargas!$E$87*'Plan mensual'!E213+parametros_recargas!$F$87*'Plan mensual'!E214+parametros_recargas!$G$87*'Plan mensual'!E215+parametros_recargas!$H$87*'Plan mensual'!E216+parametros_recargas!$I$87*'Plan mensual'!E217+parametros_recargas!$J$87*'Plan mensual'!E218+parametros_recargas!$K$87*'Plan mensual'!E219+parametros_recargas!$L$87*'Plan mensual'!E220</f>
        <v>6111.20696543757</v>
      </c>
      <c r="D209" s="21" t="n">
        <f aca="false">parametros_recargas!$E$87*'Plan mensual'!F213+parametros_recargas!$F$87*'Plan mensual'!F214+parametros_recargas!$G$87*'Plan mensual'!F215+parametros_recargas!$H$87*'Plan mensual'!F216+parametros_recargas!$I$87*'Plan mensual'!F217+parametros_recargas!$J$87*'Plan mensual'!F218+parametros_recargas!$K$87*'Plan mensual'!F219+parametros_recargas!$L$87*'Plan mensual'!F220</f>
        <v>6111.20696543757</v>
      </c>
      <c r="E209" s="21" t="n">
        <f aca="false">parametros_recargas!$E$87*'Plan mensual'!G213+parametros_recargas!$F$87*'Plan mensual'!G214+parametros_recargas!$G$87*'Plan mensual'!G215+parametros_recargas!$H$87*'Plan mensual'!G216+parametros_recargas!$I$87*'Plan mensual'!G217+parametros_recargas!$J$87*'Plan mensual'!G218+parametros_recargas!$K$87*'Plan mensual'!G219+parametros_recargas!$L$87*'Plan mensual'!G220</f>
        <v>6111.20696543757</v>
      </c>
      <c r="F209" s="21" t="n">
        <f aca="false">parametros_recargas!$E$87*'Plan mensual'!H213+parametros_recargas!$F$87*'Plan mensual'!H214+parametros_recargas!$G$87*'Plan mensual'!H215+parametros_recargas!$H$87*'Plan mensual'!H216+parametros_recargas!$I$87*'Plan mensual'!H217+parametros_recargas!$J$87*'Plan mensual'!H218+parametros_recargas!$K$87*'Plan mensual'!H219+parametros_recargas!$L$87*'Plan mensual'!H220</f>
        <v>6111.20696543757</v>
      </c>
      <c r="G209" s="21" t="n">
        <f aca="false">parametros_recargas!$E$87*'Plan mensual'!I213+parametros_recargas!$F$87*'Plan mensual'!I214+parametros_recargas!$G$87*'Plan mensual'!I215+parametros_recargas!$H$87*'Plan mensual'!I216+parametros_recargas!$I$87*'Plan mensual'!I217+parametros_recargas!$J$87*'Plan mensual'!I218+parametros_recargas!$K$87*'Plan mensual'!I219+parametros_recargas!$L$87*'Plan mensual'!I220</f>
        <v>6111.20696543757</v>
      </c>
      <c r="H209" s="21" t="n">
        <f aca="false">parametros_recargas!$E$87*'Plan mensual'!J213+parametros_recargas!$F$87*'Plan mensual'!J214+parametros_recargas!$G$87*'Plan mensual'!J215+parametros_recargas!$H$87*'Plan mensual'!J216+parametros_recargas!$I$87*'Plan mensual'!J217+parametros_recargas!$J$87*'Plan mensual'!J218+parametros_recargas!$K$87*'Plan mensual'!J219+parametros_recargas!$L$87*'Plan mensual'!J220</f>
        <v>6111.20696543757</v>
      </c>
      <c r="I209" s="21" t="n">
        <f aca="false">parametros_recargas!$E$87*'Plan mensual'!K213+parametros_recargas!$F$87*'Plan mensual'!K214+parametros_recargas!$G$87*'Plan mensual'!K215+parametros_recargas!$H$87*'Plan mensual'!K216+parametros_recargas!$I$87*'Plan mensual'!K217+parametros_recargas!$J$87*'Plan mensual'!K218+parametros_recargas!$K$87*'Plan mensual'!K219+parametros_recargas!$L$87*'Plan mensual'!K220</f>
        <v>6111.20696543757</v>
      </c>
      <c r="J209" s="21" t="n">
        <f aca="false">parametros_recargas!$E$87*'Plan mensual'!L213+parametros_recargas!$F$87*'Plan mensual'!L214+parametros_recargas!$G$87*'Plan mensual'!L215+parametros_recargas!$H$87*'Plan mensual'!L216+parametros_recargas!$I$87*'Plan mensual'!L217+parametros_recargas!$J$87*'Plan mensual'!L218+parametros_recargas!$K$87*'Plan mensual'!L219+parametros_recargas!$L$87*'Plan mensual'!L220</f>
        <v>6111.20696543757</v>
      </c>
      <c r="K209" s="21" t="n">
        <f aca="false">parametros_recargas!$E$87*'Plan mensual'!M213+parametros_recargas!$F$87*'Plan mensual'!M214+parametros_recargas!$G$87*'Plan mensual'!M215+parametros_recargas!$H$87*'Plan mensual'!M216+parametros_recargas!$I$87*'Plan mensual'!M217+parametros_recargas!$J$87*'Plan mensual'!M218+parametros_recargas!$K$87*'Plan mensual'!M219+parametros_recargas!$L$87*'Plan mensual'!M220</f>
        <v>6111.20696543757</v>
      </c>
      <c r="L209" s="21" t="n">
        <f aca="false">parametros_recargas!$E$87*'Plan mensual'!N213+parametros_recargas!$F$87*'Plan mensual'!N214+parametros_recargas!$G$87*'Plan mensual'!N215+parametros_recargas!$H$87*'Plan mensual'!N216+parametros_recargas!$I$87*'Plan mensual'!N217+parametros_recargas!$J$87*'Plan mensual'!N218+parametros_recargas!$K$87*'Plan mensual'!N219+parametros_recargas!$L$87*'Plan mensual'!N220</f>
        <v>6111.20696543757</v>
      </c>
      <c r="M209" s="21" t="n">
        <f aca="false">parametros_recargas!$E$87*'Plan mensual'!O213+parametros_recargas!$F$87*'Plan mensual'!O214+parametros_recargas!$G$87*'Plan mensual'!O215+parametros_recargas!$H$87*'Plan mensual'!O216+parametros_recargas!$I$87*'Plan mensual'!O217+parametros_recargas!$J$87*'Plan mensual'!O218+parametros_recargas!$K$87*'Plan mensual'!O219+parametros_recargas!$L$87*'Plan mensual'!O220</f>
        <v>6111.20696543757</v>
      </c>
      <c r="N209" s="6" t="n">
        <f aca="false">SUM(B209:M209)</f>
        <v>73334.4835852508</v>
      </c>
      <c r="O209" s="22" t="n">
        <f aca="false">MAX(B209:M209)</f>
        <v>6111.20696543757</v>
      </c>
      <c r="P209" s="12" t="n">
        <f aca="false">O209/parametros_recargas!$B$6</f>
        <v>40.7413797695838</v>
      </c>
    </row>
    <row r="210" customFormat="false" ht="15" hidden="false" customHeight="false" outlineLevel="0" collapsed="false">
      <c r="A210" s="8" t="str">
        <f aca="false">parametros_recargas!$B$88</f>
        <v>Carga de polvo BC</v>
      </c>
      <c r="B210" s="21" t="n">
        <f aca="false">parametros_recargas!$E$88*'Plan mensual'!D213+parametros_recargas!$F$88*'Plan mensual'!D214+parametros_recargas!$G$88*'Plan mensual'!D215+parametros_recargas!$H$88*'Plan mensual'!D216+parametros_recargas!$I$88*'Plan mensual'!D217+parametros_recargas!$J$88*'Plan mensual'!D218+parametros_recargas!$K$88*'Plan mensual'!D219+parametros_recargas!$L$88*'Plan mensual'!D220</f>
        <v>9.02619619555095</v>
      </c>
      <c r="C210" s="21" t="n">
        <f aca="false">parametros_recargas!$E$88*'Plan mensual'!E213+parametros_recargas!$F$88*'Plan mensual'!E214+parametros_recargas!$G$88*'Plan mensual'!E215+parametros_recargas!$H$88*'Plan mensual'!E216+parametros_recargas!$I$88*'Plan mensual'!E217+parametros_recargas!$J$88*'Plan mensual'!E218+parametros_recargas!$K$88*'Plan mensual'!E219+parametros_recargas!$L$88*'Plan mensual'!E220</f>
        <v>9.02619619555095</v>
      </c>
      <c r="D210" s="21" t="n">
        <f aca="false">parametros_recargas!$E$88*'Plan mensual'!F213+parametros_recargas!$F$88*'Plan mensual'!F214+parametros_recargas!$G$88*'Plan mensual'!F215+parametros_recargas!$H$88*'Plan mensual'!F216+parametros_recargas!$I$88*'Plan mensual'!F217+parametros_recargas!$J$88*'Plan mensual'!F218+parametros_recargas!$K$88*'Plan mensual'!F219+parametros_recargas!$L$88*'Plan mensual'!F220</f>
        <v>9.02619619555095</v>
      </c>
      <c r="E210" s="21" t="n">
        <f aca="false">parametros_recargas!$E$88*'Plan mensual'!G213+parametros_recargas!$F$88*'Plan mensual'!G214+parametros_recargas!$G$88*'Plan mensual'!G215+parametros_recargas!$H$88*'Plan mensual'!G216+parametros_recargas!$I$88*'Plan mensual'!G217+parametros_recargas!$J$88*'Plan mensual'!G218+parametros_recargas!$K$88*'Plan mensual'!G219+parametros_recargas!$L$88*'Plan mensual'!G220</f>
        <v>9.02619619555095</v>
      </c>
      <c r="F210" s="21" t="n">
        <f aca="false">parametros_recargas!$E$88*'Plan mensual'!H213+parametros_recargas!$F$88*'Plan mensual'!H214+parametros_recargas!$G$88*'Plan mensual'!H215+parametros_recargas!$H$88*'Plan mensual'!H216+parametros_recargas!$I$88*'Plan mensual'!H217+parametros_recargas!$J$88*'Plan mensual'!H218+parametros_recargas!$K$88*'Plan mensual'!H219+parametros_recargas!$L$88*'Plan mensual'!H220</f>
        <v>9.02619619555095</v>
      </c>
      <c r="G210" s="21" t="n">
        <f aca="false">parametros_recargas!$E$88*'Plan mensual'!I213+parametros_recargas!$F$88*'Plan mensual'!I214+parametros_recargas!$G$88*'Plan mensual'!I215+parametros_recargas!$H$88*'Plan mensual'!I216+parametros_recargas!$I$88*'Plan mensual'!I217+parametros_recargas!$J$88*'Plan mensual'!I218+parametros_recargas!$K$88*'Plan mensual'!I219+parametros_recargas!$L$88*'Plan mensual'!I220</f>
        <v>9.02619619555095</v>
      </c>
      <c r="H210" s="21" t="n">
        <f aca="false">parametros_recargas!$E$88*'Plan mensual'!J213+parametros_recargas!$F$88*'Plan mensual'!J214+parametros_recargas!$G$88*'Plan mensual'!J215+parametros_recargas!$H$88*'Plan mensual'!J216+parametros_recargas!$I$88*'Plan mensual'!J217+parametros_recargas!$J$88*'Plan mensual'!J218+parametros_recargas!$K$88*'Plan mensual'!J219+parametros_recargas!$L$88*'Plan mensual'!J220</f>
        <v>9.02619619555095</v>
      </c>
      <c r="I210" s="21" t="n">
        <f aca="false">parametros_recargas!$E$88*'Plan mensual'!K213+parametros_recargas!$F$88*'Plan mensual'!K214+parametros_recargas!$G$88*'Plan mensual'!K215+parametros_recargas!$H$88*'Plan mensual'!K216+parametros_recargas!$I$88*'Plan mensual'!K217+parametros_recargas!$J$88*'Plan mensual'!K218+parametros_recargas!$K$88*'Plan mensual'!K219+parametros_recargas!$L$88*'Plan mensual'!K220</f>
        <v>9.02619619555095</v>
      </c>
      <c r="J210" s="21" t="n">
        <f aca="false">parametros_recargas!$E$88*'Plan mensual'!L213+parametros_recargas!$F$88*'Plan mensual'!L214+parametros_recargas!$G$88*'Plan mensual'!L215+parametros_recargas!$H$88*'Plan mensual'!L216+parametros_recargas!$I$88*'Plan mensual'!L217+parametros_recargas!$J$88*'Plan mensual'!L218+parametros_recargas!$K$88*'Plan mensual'!L219+parametros_recargas!$L$88*'Plan mensual'!L220</f>
        <v>9.02619619555095</v>
      </c>
      <c r="K210" s="21" t="n">
        <f aca="false">parametros_recargas!$E$88*'Plan mensual'!M213+parametros_recargas!$F$88*'Plan mensual'!M214+parametros_recargas!$G$88*'Plan mensual'!M215+parametros_recargas!$H$88*'Plan mensual'!M216+parametros_recargas!$I$88*'Plan mensual'!M217+parametros_recargas!$J$88*'Plan mensual'!M218+parametros_recargas!$K$88*'Plan mensual'!M219+parametros_recargas!$L$88*'Plan mensual'!M220</f>
        <v>9.02619619555095</v>
      </c>
      <c r="L210" s="21" t="n">
        <f aca="false">parametros_recargas!$E$88*'Plan mensual'!N213+parametros_recargas!$F$88*'Plan mensual'!N214+parametros_recargas!$G$88*'Plan mensual'!N215+parametros_recargas!$H$88*'Plan mensual'!N216+parametros_recargas!$I$88*'Plan mensual'!N217+parametros_recargas!$J$88*'Plan mensual'!N218+parametros_recargas!$K$88*'Plan mensual'!N219+parametros_recargas!$L$88*'Plan mensual'!N220</f>
        <v>9.02619619555095</v>
      </c>
      <c r="M210" s="21" t="n">
        <f aca="false">parametros_recargas!$E$88*'Plan mensual'!O213+parametros_recargas!$F$88*'Plan mensual'!O214+parametros_recargas!$G$88*'Plan mensual'!O215+parametros_recargas!$H$88*'Plan mensual'!O216+parametros_recargas!$I$88*'Plan mensual'!O217+parametros_recargas!$J$88*'Plan mensual'!O218+parametros_recargas!$K$88*'Plan mensual'!O219+parametros_recargas!$L$88*'Plan mensual'!O220</f>
        <v>9.02619619555095</v>
      </c>
      <c r="N210" s="6" t="n">
        <f aca="false">SUM(B210:M210)</f>
        <v>108.314354346611</v>
      </c>
      <c r="O210" s="22" t="n">
        <f aca="false">MAX(B210:M210)</f>
        <v>9.02619619555095</v>
      </c>
      <c r="P210" s="12" t="n">
        <f aca="false">O210/parametros_recargas!$B$6</f>
        <v>0.060174641303673</v>
      </c>
    </row>
    <row r="211" customFormat="false" ht="15" hidden="false" customHeight="false" outlineLevel="0" collapsed="false">
      <c r="A211" s="8" t="str">
        <f aca="false">parametros_recargas!$B$89</f>
        <v>Descarga y carga Clase D</v>
      </c>
      <c r="B211" s="21" t="n">
        <f aca="false">parametros_recargas!$E$89*'Plan mensual'!D213+parametros_recargas!$F$89*'Plan mensual'!D214+parametros_recargas!$G$89*'Plan mensual'!D215+parametros_recargas!$H$89*'Plan mensual'!D216+parametros_recargas!$I$89*'Plan mensual'!D217+parametros_recargas!$J$89*'Plan mensual'!D218+parametros_recargas!$K$89*'Plan mensual'!D219+parametros_recargas!$L$89*'Plan mensual'!D220</f>
        <v>7.97183570134346</v>
      </c>
      <c r="C211" s="21" t="n">
        <f aca="false">parametros_recargas!$E$89*'Plan mensual'!E213+parametros_recargas!$F$89*'Plan mensual'!E214+parametros_recargas!$G$89*'Plan mensual'!E215+parametros_recargas!$H$89*'Plan mensual'!E216+parametros_recargas!$I$89*'Plan mensual'!E217+parametros_recargas!$J$89*'Plan mensual'!E218+parametros_recargas!$K$89*'Plan mensual'!E219+parametros_recargas!$L$89*'Plan mensual'!E220</f>
        <v>7.97183570134346</v>
      </c>
      <c r="D211" s="21" t="n">
        <f aca="false">parametros_recargas!$E$89*'Plan mensual'!F213+parametros_recargas!$F$89*'Plan mensual'!F214+parametros_recargas!$G$89*'Plan mensual'!F215+parametros_recargas!$H$89*'Plan mensual'!F216+parametros_recargas!$I$89*'Plan mensual'!F217+parametros_recargas!$J$89*'Plan mensual'!F218+parametros_recargas!$K$89*'Plan mensual'!F219+parametros_recargas!$L$89*'Plan mensual'!F220</f>
        <v>7.97183570134346</v>
      </c>
      <c r="E211" s="21" t="n">
        <f aca="false">parametros_recargas!$E$89*'Plan mensual'!G213+parametros_recargas!$F$89*'Plan mensual'!G214+parametros_recargas!$G$89*'Plan mensual'!G215+parametros_recargas!$H$89*'Plan mensual'!G216+parametros_recargas!$I$89*'Plan mensual'!G217+parametros_recargas!$J$89*'Plan mensual'!G218+parametros_recargas!$K$89*'Plan mensual'!G219+parametros_recargas!$L$89*'Plan mensual'!G220</f>
        <v>7.97183570134346</v>
      </c>
      <c r="F211" s="21" t="n">
        <f aca="false">parametros_recargas!$E$89*'Plan mensual'!H213+parametros_recargas!$F$89*'Plan mensual'!H214+parametros_recargas!$G$89*'Plan mensual'!H215+parametros_recargas!$H$89*'Plan mensual'!H216+parametros_recargas!$I$89*'Plan mensual'!H217+parametros_recargas!$J$89*'Plan mensual'!H218+parametros_recargas!$K$89*'Plan mensual'!H219+parametros_recargas!$L$89*'Plan mensual'!H220</f>
        <v>7.97183570134346</v>
      </c>
      <c r="G211" s="21" t="n">
        <f aca="false">parametros_recargas!$E$89*'Plan mensual'!I213+parametros_recargas!$F$89*'Plan mensual'!I214+parametros_recargas!$G$89*'Plan mensual'!I215+parametros_recargas!$H$89*'Plan mensual'!I216+parametros_recargas!$I$89*'Plan mensual'!I217+parametros_recargas!$J$89*'Plan mensual'!I218+parametros_recargas!$K$89*'Plan mensual'!I219+parametros_recargas!$L$89*'Plan mensual'!I220</f>
        <v>7.97183570134346</v>
      </c>
      <c r="H211" s="21" t="n">
        <f aca="false">parametros_recargas!$E$89*'Plan mensual'!J213+parametros_recargas!$F$89*'Plan mensual'!J214+parametros_recargas!$G$89*'Plan mensual'!J215+parametros_recargas!$H$89*'Plan mensual'!J216+parametros_recargas!$I$89*'Plan mensual'!J217+parametros_recargas!$J$89*'Plan mensual'!J218+parametros_recargas!$K$89*'Plan mensual'!J219+parametros_recargas!$L$89*'Plan mensual'!J220</f>
        <v>7.97183570134346</v>
      </c>
      <c r="I211" s="21" t="n">
        <f aca="false">parametros_recargas!$E$89*'Plan mensual'!K213+parametros_recargas!$F$89*'Plan mensual'!K214+parametros_recargas!$G$89*'Plan mensual'!K215+parametros_recargas!$H$89*'Plan mensual'!K216+parametros_recargas!$I$89*'Plan mensual'!K217+parametros_recargas!$J$89*'Plan mensual'!K218+parametros_recargas!$K$89*'Plan mensual'!K219+parametros_recargas!$L$89*'Plan mensual'!K220</f>
        <v>7.97183570134346</v>
      </c>
      <c r="J211" s="21" t="n">
        <f aca="false">parametros_recargas!$E$89*'Plan mensual'!L213+parametros_recargas!$F$89*'Plan mensual'!L214+parametros_recargas!$G$89*'Plan mensual'!L215+parametros_recargas!$H$89*'Plan mensual'!L216+parametros_recargas!$I$89*'Plan mensual'!L217+parametros_recargas!$J$89*'Plan mensual'!L218+parametros_recargas!$K$89*'Plan mensual'!L219+parametros_recargas!$L$89*'Plan mensual'!L220</f>
        <v>7.97183570134346</v>
      </c>
      <c r="K211" s="21" t="n">
        <f aca="false">parametros_recargas!$E$89*'Plan mensual'!M213+parametros_recargas!$F$89*'Plan mensual'!M214+parametros_recargas!$G$89*'Plan mensual'!M215+parametros_recargas!$H$89*'Plan mensual'!M216+parametros_recargas!$I$89*'Plan mensual'!M217+parametros_recargas!$J$89*'Plan mensual'!M218+parametros_recargas!$K$89*'Plan mensual'!M219+parametros_recargas!$L$89*'Plan mensual'!M220</f>
        <v>7.97183570134346</v>
      </c>
      <c r="L211" s="21" t="n">
        <f aca="false">parametros_recargas!$E$89*'Plan mensual'!N213+parametros_recargas!$F$89*'Plan mensual'!N214+parametros_recargas!$G$89*'Plan mensual'!N215+parametros_recargas!$H$89*'Plan mensual'!N216+parametros_recargas!$I$89*'Plan mensual'!N217+parametros_recargas!$J$89*'Plan mensual'!N218+parametros_recargas!$K$89*'Plan mensual'!N219+parametros_recargas!$L$89*'Plan mensual'!N220</f>
        <v>7.97183570134346</v>
      </c>
      <c r="M211" s="21" t="n">
        <f aca="false">parametros_recargas!$E$89*'Plan mensual'!O213+parametros_recargas!$F$89*'Plan mensual'!O214+parametros_recargas!$G$89*'Plan mensual'!O215+parametros_recargas!$H$89*'Plan mensual'!O216+parametros_recargas!$I$89*'Plan mensual'!O217+parametros_recargas!$J$89*'Plan mensual'!O218+parametros_recargas!$K$89*'Plan mensual'!O219+parametros_recargas!$L$89*'Plan mensual'!O220</f>
        <v>7.97183570134346</v>
      </c>
      <c r="N211" s="6" t="n">
        <f aca="false">SUM(B211:M211)</f>
        <v>95.6620284161215</v>
      </c>
      <c r="O211" s="22" t="n">
        <f aca="false">MAX(B211:M211)</f>
        <v>7.97183570134346</v>
      </c>
      <c r="P211" s="12" t="n">
        <f aca="false">O211/parametros_recargas!$B$6</f>
        <v>0.0531455713422897</v>
      </c>
    </row>
    <row r="212" customFormat="false" ht="15" hidden="false" customHeight="false" outlineLevel="0" collapsed="false">
      <c r="A212" s="8" t="str">
        <f aca="false">parametros_recargas!$B$90</f>
        <v>Carga de agua / AFFF / sales K</v>
      </c>
      <c r="B212" s="21" t="n">
        <f aca="false">parametros_recargas!$E$90*'Plan mensual'!D213+parametros_recargas!$F$90*'Plan mensual'!D214+parametros_recargas!$G$90*'Plan mensual'!D215+parametros_recargas!$H$90*'Plan mensual'!D216+parametros_recargas!$I$90*'Plan mensual'!D217+parametros_recargas!$J$90*'Plan mensual'!D218+parametros_recargas!$K$90*'Plan mensual'!D219+parametros_recargas!$L$90*'Plan mensual'!D220</f>
        <v>311.226633805485</v>
      </c>
      <c r="C212" s="21" t="n">
        <f aca="false">parametros_recargas!$E$90*'Plan mensual'!E213+parametros_recargas!$F$90*'Plan mensual'!E214+parametros_recargas!$G$90*'Plan mensual'!E215+parametros_recargas!$H$90*'Plan mensual'!E216+parametros_recargas!$I$90*'Plan mensual'!E217+parametros_recargas!$J$90*'Plan mensual'!E218+parametros_recargas!$K$90*'Plan mensual'!E219+parametros_recargas!$L$90*'Plan mensual'!E220</f>
        <v>311.226633805485</v>
      </c>
      <c r="D212" s="21" t="n">
        <f aca="false">parametros_recargas!$E$90*'Plan mensual'!F213+parametros_recargas!$F$90*'Plan mensual'!F214+parametros_recargas!$G$90*'Plan mensual'!F215+parametros_recargas!$H$90*'Plan mensual'!F216+parametros_recargas!$I$90*'Plan mensual'!F217+parametros_recargas!$J$90*'Plan mensual'!F218+parametros_recargas!$K$90*'Plan mensual'!F219+parametros_recargas!$L$90*'Plan mensual'!F220</f>
        <v>311.226633805485</v>
      </c>
      <c r="E212" s="21" t="n">
        <f aca="false">parametros_recargas!$E$90*'Plan mensual'!G213+parametros_recargas!$F$90*'Plan mensual'!G214+parametros_recargas!$G$90*'Plan mensual'!G215+parametros_recargas!$H$90*'Plan mensual'!G216+parametros_recargas!$I$90*'Plan mensual'!G217+parametros_recargas!$J$90*'Plan mensual'!G218+parametros_recargas!$K$90*'Plan mensual'!G219+parametros_recargas!$L$90*'Plan mensual'!G220</f>
        <v>311.226633805485</v>
      </c>
      <c r="F212" s="21" t="n">
        <f aca="false">parametros_recargas!$E$90*'Plan mensual'!H213+parametros_recargas!$F$90*'Plan mensual'!H214+parametros_recargas!$G$90*'Plan mensual'!H215+parametros_recargas!$H$90*'Plan mensual'!H216+parametros_recargas!$I$90*'Plan mensual'!H217+parametros_recargas!$J$90*'Plan mensual'!H218+parametros_recargas!$K$90*'Plan mensual'!H219+parametros_recargas!$L$90*'Plan mensual'!H220</f>
        <v>311.226633805485</v>
      </c>
      <c r="G212" s="21" t="n">
        <f aca="false">parametros_recargas!$E$90*'Plan mensual'!I213+parametros_recargas!$F$90*'Plan mensual'!I214+parametros_recargas!$G$90*'Plan mensual'!I215+parametros_recargas!$H$90*'Plan mensual'!I216+parametros_recargas!$I$90*'Plan mensual'!I217+parametros_recargas!$J$90*'Plan mensual'!I218+parametros_recargas!$K$90*'Plan mensual'!I219+parametros_recargas!$L$90*'Plan mensual'!I220</f>
        <v>311.226633805485</v>
      </c>
      <c r="H212" s="21" t="n">
        <f aca="false">parametros_recargas!$E$90*'Plan mensual'!J213+parametros_recargas!$F$90*'Plan mensual'!J214+parametros_recargas!$G$90*'Plan mensual'!J215+parametros_recargas!$H$90*'Plan mensual'!J216+parametros_recargas!$I$90*'Plan mensual'!J217+parametros_recargas!$J$90*'Plan mensual'!J218+parametros_recargas!$K$90*'Plan mensual'!J219+parametros_recargas!$L$90*'Plan mensual'!J220</f>
        <v>311.226633805485</v>
      </c>
      <c r="I212" s="21" t="n">
        <f aca="false">parametros_recargas!$E$90*'Plan mensual'!K213+parametros_recargas!$F$90*'Plan mensual'!K214+parametros_recargas!$G$90*'Plan mensual'!K215+parametros_recargas!$H$90*'Plan mensual'!K216+parametros_recargas!$I$90*'Plan mensual'!K217+parametros_recargas!$J$90*'Plan mensual'!K218+parametros_recargas!$K$90*'Plan mensual'!K219+parametros_recargas!$L$90*'Plan mensual'!K220</f>
        <v>311.226633805485</v>
      </c>
      <c r="J212" s="21" t="n">
        <f aca="false">parametros_recargas!$E$90*'Plan mensual'!L213+parametros_recargas!$F$90*'Plan mensual'!L214+parametros_recargas!$G$90*'Plan mensual'!L215+parametros_recargas!$H$90*'Plan mensual'!L216+parametros_recargas!$I$90*'Plan mensual'!L217+parametros_recargas!$J$90*'Plan mensual'!L218+parametros_recargas!$K$90*'Plan mensual'!L219+parametros_recargas!$L$90*'Plan mensual'!L220</f>
        <v>311.226633805485</v>
      </c>
      <c r="K212" s="21" t="n">
        <f aca="false">parametros_recargas!$E$90*'Plan mensual'!M213+parametros_recargas!$F$90*'Plan mensual'!M214+parametros_recargas!$G$90*'Plan mensual'!M215+parametros_recargas!$H$90*'Plan mensual'!M216+parametros_recargas!$I$90*'Plan mensual'!M217+parametros_recargas!$J$90*'Plan mensual'!M218+parametros_recargas!$K$90*'Plan mensual'!M219+parametros_recargas!$L$90*'Plan mensual'!M220</f>
        <v>311.226633805485</v>
      </c>
      <c r="L212" s="21" t="n">
        <f aca="false">parametros_recargas!$E$90*'Plan mensual'!N213+parametros_recargas!$F$90*'Plan mensual'!N214+parametros_recargas!$G$90*'Plan mensual'!N215+parametros_recargas!$H$90*'Plan mensual'!N216+parametros_recargas!$I$90*'Plan mensual'!N217+parametros_recargas!$J$90*'Plan mensual'!N218+parametros_recargas!$K$90*'Plan mensual'!N219+parametros_recargas!$L$90*'Plan mensual'!N220</f>
        <v>311.226633805485</v>
      </c>
      <c r="M212" s="21" t="n">
        <f aca="false">parametros_recargas!$E$90*'Plan mensual'!O213+parametros_recargas!$F$90*'Plan mensual'!O214+parametros_recargas!$G$90*'Plan mensual'!O215+parametros_recargas!$H$90*'Plan mensual'!O216+parametros_recargas!$I$90*'Plan mensual'!O217+parametros_recargas!$J$90*'Plan mensual'!O218+parametros_recargas!$K$90*'Plan mensual'!O219+parametros_recargas!$L$90*'Plan mensual'!O220</f>
        <v>311.226633805485</v>
      </c>
      <c r="N212" s="6" t="n">
        <f aca="false">SUM(B212:M212)</f>
        <v>3734.71960566583</v>
      </c>
      <c r="O212" s="22" t="n">
        <f aca="false">MAX(B212:M212)</f>
        <v>311.226633805485</v>
      </c>
      <c r="P212" s="12" t="n">
        <f aca="false">O212/parametros_recargas!$B$6</f>
        <v>2.0748442253699</v>
      </c>
    </row>
    <row r="213" customFormat="false" ht="15" hidden="false" customHeight="false" outlineLevel="0" collapsed="false">
      <c r="A213" s="8" t="str">
        <f aca="false">parametros_recargas!$B$91</f>
        <v>Carga de CO₂</v>
      </c>
      <c r="B213" s="21" t="n">
        <f aca="false">parametros_recargas!$E$91*'Plan mensual'!D213+parametros_recargas!$F$91*'Plan mensual'!D214+parametros_recargas!$G$91*'Plan mensual'!D215+parametros_recargas!$H$91*'Plan mensual'!D216+parametros_recargas!$I$91*'Plan mensual'!D217+parametros_recargas!$J$91*'Plan mensual'!D218+parametros_recargas!$K$91*'Plan mensual'!D219+parametros_recargas!$L$91*'Plan mensual'!D220</f>
        <v>171.837452661954</v>
      </c>
      <c r="C213" s="21" t="n">
        <f aca="false">parametros_recargas!$E$91*'Plan mensual'!E213+parametros_recargas!$F$91*'Plan mensual'!E214+parametros_recargas!$G$91*'Plan mensual'!E215+parametros_recargas!$H$91*'Plan mensual'!E216+parametros_recargas!$I$91*'Plan mensual'!E217+parametros_recargas!$J$91*'Plan mensual'!E218+parametros_recargas!$K$91*'Plan mensual'!E219+parametros_recargas!$L$91*'Plan mensual'!E220</f>
        <v>171.837452661954</v>
      </c>
      <c r="D213" s="21" t="n">
        <f aca="false">parametros_recargas!$E$91*'Plan mensual'!F213+parametros_recargas!$F$91*'Plan mensual'!F214+parametros_recargas!$G$91*'Plan mensual'!F215+parametros_recargas!$H$91*'Plan mensual'!F216+parametros_recargas!$I$91*'Plan mensual'!F217+parametros_recargas!$J$91*'Plan mensual'!F218+parametros_recargas!$K$91*'Plan mensual'!F219+parametros_recargas!$L$91*'Plan mensual'!F220</f>
        <v>171.837452661954</v>
      </c>
      <c r="E213" s="21" t="n">
        <f aca="false">parametros_recargas!$E$91*'Plan mensual'!G213+parametros_recargas!$F$91*'Plan mensual'!G214+parametros_recargas!$G$91*'Plan mensual'!G215+parametros_recargas!$H$91*'Plan mensual'!G216+parametros_recargas!$I$91*'Plan mensual'!G217+parametros_recargas!$J$91*'Plan mensual'!G218+parametros_recargas!$K$91*'Plan mensual'!G219+parametros_recargas!$L$91*'Plan mensual'!G220</f>
        <v>171.837452661954</v>
      </c>
      <c r="F213" s="21" t="n">
        <f aca="false">parametros_recargas!$E$91*'Plan mensual'!H213+parametros_recargas!$F$91*'Plan mensual'!H214+parametros_recargas!$G$91*'Plan mensual'!H215+parametros_recargas!$H$91*'Plan mensual'!H216+parametros_recargas!$I$91*'Plan mensual'!H217+parametros_recargas!$J$91*'Plan mensual'!H218+parametros_recargas!$K$91*'Plan mensual'!H219+parametros_recargas!$L$91*'Plan mensual'!H220</f>
        <v>171.837452661954</v>
      </c>
      <c r="G213" s="21" t="n">
        <f aca="false">parametros_recargas!$E$91*'Plan mensual'!I213+parametros_recargas!$F$91*'Plan mensual'!I214+parametros_recargas!$G$91*'Plan mensual'!I215+parametros_recargas!$H$91*'Plan mensual'!I216+parametros_recargas!$I$91*'Plan mensual'!I217+parametros_recargas!$J$91*'Plan mensual'!I218+parametros_recargas!$K$91*'Plan mensual'!I219+parametros_recargas!$L$91*'Plan mensual'!I220</f>
        <v>171.837452661954</v>
      </c>
      <c r="H213" s="21" t="n">
        <f aca="false">parametros_recargas!$E$91*'Plan mensual'!J213+parametros_recargas!$F$91*'Plan mensual'!J214+parametros_recargas!$G$91*'Plan mensual'!J215+parametros_recargas!$H$91*'Plan mensual'!J216+parametros_recargas!$I$91*'Plan mensual'!J217+parametros_recargas!$J$91*'Plan mensual'!J218+parametros_recargas!$K$91*'Plan mensual'!J219+parametros_recargas!$L$91*'Plan mensual'!J220</f>
        <v>171.837452661954</v>
      </c>
      <c r="I213" s="21" t="n">
        <f aca="false">parametros_recargas!$E$91*'Plan mensual'!K213+parametros_recargas!$F$91*'Plan mensual'!K214+parametros_recargas!$G$91*'Plan mensual'!K215+parametros_recargas!$H$91*'Plan mensual'!K216+parametros_recargas!$I$91*'Plan mensual'!K217+parametros_recargas!$J$91*'Plan mensual'!K218+parametros_recargas!$K$91*'Plan mensual'!K219+parametros_recargas!$L$91*'Plan mensual'!K220</f>
        <v>171.837452661954</v>
      </c>
      <c r="J213" s="21" t="n">
        <f aca="false">parametros_recargas!$E$91*'Plan mensual'!L213+parametros_recargas!$F$91*'Plan mensual'!L214+parametros_recargas!$G$91*'Plan mensual'!L215+parametros_recargas!$H$91*'Plan mensual'!L216+parametros_recargas!$I$91*'Plan mensual'!L217+parametros_recargas!$J$91*'Plan mensual'!L218+parametros_recargas!$K$91*'Plan mensual'!L219+parametros_recargas!$L$91*'Plan mensual'!L220</f>
        <v>171.837452661954</v>
      </c>
      <c r="K213" s="21" t="n">
        <f aca="false">parametros_recargas!$E$91*'Plan mensual'!M213+parametros_recargas!$F$91*'Plan mensual'!M214+parametros_recargas!$G$91*'Plan mensual'!M215+parametros_recargas!$H$91*'Plan mensual'!M216+parametros_recargas!$I$91*'Plan mensual'!M217+parametros_recargas!$J$91*'Plan mensual'!M218+parametros_recargas!$K$91*'Plan mensual'!M219+parametros_recargas!$L$91*'Plan mensual'!M220</f>
        <v>171.837452661954</v>
      </c>
      <c r="L213" s="21" t="n">
        <f aca="false">parametros_recargas!$E$91*'Plan mensual'!N213+parametros_recargas!$F$91*'Plan mensual'!N214+parametros_recargas!$G$91*'Plan mensual'!N215+parametros_recargas!$H$91*'Plan mensual'!N216+parametros_recargas!$I$91*'Plan mensual'!N217+parametros_recargas!$J$91*'Plan mensual'!N218+parametros_recargas!$K$91*'Plan mensual'!N219+parametros_recargas!$L$91*'Plan mensual'!N220</f>
        <v>171.837452661954</v>
      </c>
      <c r="M213" s="21" t="n">
        <f aca="false">parametros_recargas!$E$91*'Plan mensual'!O213+parametros_recargas!$F$91*'Plan mensual'!O214+parametros_recargas!$G$91*'Plan mensual'!O215+parametros_recargas!$H$91*'Plan mensual'!O216+parametros_recargas!$I$91*'Plan mensual'!O217+parametros_recargas!$J$91*'Plan mensual'!O218+parametros_recargas!$K$91*'Plan mensual'!O219+parametros_recargas!$L$91*'Plan mensual'!O220</f>
        <v>171.837452661954</v>
      </c>
      <c r="N213" s="6" t="n">
        <f aca="false">SUM(B213:M213)</f>
        <v>2062.04943194345</v>
      </c>
      <c r="O213" s="22" t="n">
        <f aca="false">MAX(B213:M213)</f>
        <v>171.837452661954</v>
      </c>
      <c r="P213" s="12" t="n">
        <f aca="false">O213/parametros_recargas!$B$6</f>
        <v>1.14558301774636</v>
      </c>
    </row>
    <row r="214" customFormat="false" ht="15" hidden="false" customHeight="false" outlineLevel="0" collapsed="false">
      <c r="A214" s="8" t="str">
        <f aca="false">parametros_recargas!$B$92</f>
        <v>Ensamblaje y marbete — recinto</v>
      </c>
      <c r="B214" s="21" t="n">
        <f aca="false">parametros_recargas!$E$92*'Plan mensual'!D213+parametros_recargas!$F$92*'Plan mensual'!D214+parametros_recargas!$G$92*'Plan mensual'!D215+parametros_recargas!$H$92*'Plan mensual'!D216+parametros_recargas!$I$92*'Plan mensual'!D217+parametros_recargas!$J$92*'Plan mensual'!D218+parametros_recargas!$K$92*'Plan mensual'!D219+parametros_recargas!$L$92*'Plan mensual'!D220</f>
        <v>6128.20499733446</v>
      </c>
      <c r="C214" s="21" t="n">
        <f aca="false">parametros_recargas!$E$92*'Plan mensual'!E213+parametros_recargas!$F$92*'Plan mensual'!E214+parametros_recargas!$G$92*'Plan mensual'!E215+parametros_recargas!$H$92*'Plan mensual'!E216+parametros_recargas!$I$92*'Plan mensual'!E217+parametros_recargas!$J$92*'Plan mensual'!E218+parametros_recargas!$K$92*'Plan mensual'!E219+parametros_recargas!$L$92*'Plan mensual'!E220</f>
        <v>6128.20499733446</v>
      </c>
      <c r="D214" s="21" t="n">
        <f aca="false">parametros_recargas!$E$92*'Plan mensual'!F213+parametros_recargas!$F$92*'Plan mensual'!F214+parametros_recargas!$G$92*'Plan mensual'!F215+parametros_recargas!$H$92*'Plan mensual'!F216+parametros_recargas!$I$92*'Plan mensual'!F217+parametros_recargas!$J$92*'Plan mensual'!F218+parametros_recargas!$K$92*'Plan mensual'!F219+parametros_recargas!$L$92*'Plan mensual'!F220</f>
        <v>6128.20499733446</v>
      </c>
      <c r="E214" s="21" t="n">
        <f aca="false">parametros_recargas!$E$92*'Plan mensual'!G213+parametros_recargas!$F$92*'Plan mensual'!G214+parametros_recargas!$G$92*'Plan mensual'!G215+parametros_recargas!$H$92*'Plan mensual'!G216+parametros_recargas!$I$92*'Plan mensual'!G217+parametros_recargas!$J$92*'Plan mensual'!G218+parametros_recargas!$K$92*'Plan mensual'!G219+parametros_recargas!$L$92*'Plan mensual'!G220</f>
        <v>6128.20499733446</v>
      </c>
      <c r="F214" s="21" t="n">
        <f aca="false">parametros_recargas!$E$92*'Plan mensual'!H213+parametros_recargas!$F$92*'Plan mensual'!H214+parametros_recargas!$G$92*'Plan mensual'!H215+parametros_recargas!$H$92*'Plan mensual'!H216+parametros_recargas!$I$92*'Plan mensual'!H217+parametros_recargas!$J$92*'Plan mensual'!H218+parametros_recargas!$K$92*'Plan mensual'!H219+parametros_recargas!$L$92*'Plan mensual'!H220</f>
        <v>6128.20499733446</v>
      </c>
      <c r="G214" s="21" t="n">
        <f aca="false">parametros_recargas!$E$92*'Plan mensual'!I213+parametros_recargas!$F$92*'Plan mensual'!I214+parametros_recargas!$G$92*'Plan mensual'!I215+parametros_recargas!$H$92*'Plan mensual'!I216+parametros_recargas!$I$92*'Plan mensual'!I217+parametros_recargas!$J$92*'Plan mensual'!I218+parametros_recargas!$K$92*'Plan mensual'!I219+parametros_recargas!$L$92*'Plan mensual'!I220</f>
        <v>6128.20499733446</v>
      </c>
      <c r="H214" s="21" t="n">
        <f aca="false">parametros_recargas!$E$92*'Plan mensual'!J213+parametros_recargas!$F$92*'Plan mensual'!J214+parametros_recargas!$G$92*'Plan mensual'!J215+parametros_recargas!$H$92*'Plan mensual'!J216+parametros_recargas!$I$92*'Plan mensual'!J217+parametros_recargas!$J$92*'Plan mensual'!J218+parametros_recargas!$K$92*'Plan mensual'!J219+parametros_recargas!$L$92*'Plan mensual'!J220</f>
        <v>6128.20499733446</v>
      </c>
      <c r="I214" s="21" t="n">
        <f aca="false">parametros_recargas!$E$92*'Plan mensual'!K213+parametros_recargas!$F$92*'Plan mensual'!K214+parametros_recargas!$G$92*'Plan mensual'!K215+parametros_recargas!$H$92*'Plan mensual'!K216+parametros_recargas!$I$92*'Plan mensual'!K217+parametros_recargas!$J$92*'Plan mensual'!K218+parametros_recargas!$K$92*'Plan mensual'!K219+parametros_recargas!$L$92*'Plan mensual'!K220</f>
        <v>6128.20499733446</v>
      </c>
      <c r="J214" s="21" t="n">
        <f aca="false">parametros_recargas!$E$92*'Plan mensual'!L213+parametros_recargas!$F$92*'Plan mensual'!L214+parametros_recargas!$G$92*'Plan mensual'!L215+parametros_recargas!$H$92*'Plan mensual'!L216+parametros_recargas!$I$92*'Plan mensual'!L217+parametros_recargas!$J$92*'Plan mensual'!L218+parametros_recargas!$K$92*'Plan mensual'!L219+parametros_recargas!$L$92*'Plan mensual'!L220</f>
        <v>6128.20499733446</v>
      </c>
      <c r="K214" s="21" t="n">
        <f aca="false">parametros_recargas!$E$92*'Plan mensual'!M213+parametros_recargas!$F$92*'Plan mensual'!M214+parametros_recargas!$G$92*'Plan mensual'!M215+parametros_recargas!$H$92*'Plan mensual'!M216+parametros_recargas!$I$92*'Plan mensual'!M217+parametros_recargas!$J$92*'Plan mensual'!M218+parametros_recargas!$K$92*'Plan mensual'!M219+parametros_recargas!$L$92*'Plan mensual'!M220</f>
        <v>6128.20499733446</v>
      </c>
      <c r="L214" s="21" t="n">
        <f aca="false">parametros_recargas!$E$92*'Plan mensual'!N213+parametros_recargas!$F$92*'Plan mensual'!N214+parametros_recargas!$G$92*'Plan mensual'!N215+parametros_recargas!$H$92*'Plan mensual'!N216+parametros_recargas!$I$92*'Plan mensual'!N217+parametros_recargas!$J$92*'Plan mensual'!N218+parametros_recargas!$K$92*'Plan mensual'!N219+parametros_recargas!$L$92*'Plan mensual'!N220</f>
        <v>6128.20499733446</v>
      </c>
      <c r="M214" s="21" t="n">
        <f aca="false">parametros_recargas!$E$92*'Plan mensual'!O213+parametros_recargas!$F$92*'Plan mensual'!O214+parametros_recargas!$G$92*'Plan mensual'!O215+parametros_recargas!$H$92*'Plan mensual'!O216+parametros_recargas!$I$92*'Plan mensual'!O217+parametros_recargas!$J$92*'Plan mensual'!O218+parametros_recargas!$K$92*'Plan mensual'!O219+parametros_recargas!$L$92*'Plan mensual'!O220</f>
        <v>6128.20499733446</v>
      </c>
      <c r="N214" s="6" t="n">
        <f aca="false">SUM(B214:M214)</f>
        <v>73538.4599680135</v>
      </c>
      <c r="O214" s="22" t="n">
        <f aca="false">MAX(B214:M214)</f>
        <v>6128.20499733446</v>
      </c>
      <c r="P214" s="12" t="n">
        <f aca="false">O214/parametros_recargas!$B$6</f>
        <v>40.8546999822298</v>
      </c>
    </row>
    <row r="215" customFormat="false" ht="15" hidden="false" customHeight="false" outlineLevel="0" collapsed="false">
      <c r="A215" s="8" t="str">
        <f aca="false">parametros_recargas!$B$93</f>
        <v>Presurización — recinto</v>
      </c>
      <c r="B215" s="21" t="n">
        <f aca="false">parametros_recargas!$E$93*'Plan mensual'!D213+parametros_recargas!$F$93*'Plan mensual'!D214+parametros_recargas!$G$93*'Plan mensual'!D215+parametros_recargas!$H$93*'Plan mensual'!D216+parametros_recargas!$I$93*'Plan mensual'!D217+parametros_recargas!$J$93*'Plan mensual'!D218+parametros_recargas!$K$93*'Plan mensual'!D219+parametros_recargas!$L$93*'Plan mensual'!D220</f>
        <v>6128.20499733446</v>
      </c>
      <c r="C215" s="21" t="n">
        <f aca="false">parametros_recargas!$E$93*'Plan mensual'!E213+parametros_recargas!$F$93*'Plan mensual'!E214+parametros_recargas!$G$93*'Plan mensual'!E215+parametros_recargas!$H$93*'Plan mensual'!E216+parametros_recargas!$I$93*'Plan mensual'!E217+parametros_recargas!$J$93*'Plan mensual'!E218+parametros_recargas!$K$93*'Plan mensual'!E219+parametros_recargas!$L$93*'Plan mensual'!E220</f>
        <v>6128.20499733446</v>
      </c>
      <c r="D215" s="21" t="n">
        <f aca="false">parametros_recargas!$E$93*'Plan mensual'!F213+parametros_recargas!$F$93*'Plan mensual'!F214+parametros_recargas!$G$93*'Plan mensual'!F215+parametros_recargas!$H$93*'Plan mensual'!F216+parametros_recargas!$I$93*'Plan mensual'!F217+parametros_recargas!$J$93*'Plan mensual'!F218+parametros_recargas!$K$93*'Plan mensual'!F219+parametros_recargas!$L$93*'Plan mensual'!F220</f>
        <v>6128.20499733446</v>
      </c>
      <c r="E215" s="21" t="n">
        <f aca="false">parametros_recargas!$E$93*'Plan mensual'!G213+parametros_recargas!$F$93*'Plan mensual'!G214+parametros_recargas!$G$93*'Plan mensual'!G215+parametros_recargas!$H$93*'Plan mensual'!G216+parametros_recargas!$I$93*'Plan mensual'!G217+parametros_recargas!$J$93*'Plan mensual'!G218+parametros_recargas!$K$93*'Plan mensual'!G219+parametros_recargas!$L$93*'Plan mensual'!G220</f>
        <v>6128.20499733446</v>
      </c>
      <c r="F215" s="21" t="n">
        <f aca="false">parametros_recargas!$E$93*'Plan mensual'!H213+parametros_recargas!$F$93*'Plan mensual'!H214+parametros_recargas!$G$93*'Plan mensual'!H215+parametros_recargas!$H$93*'Plan mensual'!H216+parametros_recargas!$I$93*'Plan mensual'!H217+parametros_recargas!$J$93*'Plan mensual'!H218+parametros_recargas!$K$93*'Plan mensual'!H219+parametros_recargas!$L$93*'Plan mensual'!H220</f>
        <v>6128.20499733446</v>
      </c>
      <c r="G215" s="21" t="n">
        <f aca="false">parametros_recargas!$E$93*'Plan mensual'!I213+parametros_recargas!$F$93*'Plan mensual'!I214+parametros_recargas!$G$93*'Plan mensual'!I215+parametros_recargas!$H$93*'Plan mensual'!I216+parametros_recargas!$I$93*'Plan mensual'!I217+parametros_recargas!$J$93*'Plan mensual'!I218+parametros_recargas!$K$93*'Plan mensual'!I219+parametros_recargas!$L$93*'Plan mensual'!I220</f>
        <v>6128.20499733446</v>
      </c>
      <c r="H215" s="21" t="n">
        <f aca="false">parametros_recargas!$E$93*'Plan mensual'!J213+parametros_recargas!$F$93*'Plan mensual'!J214+parametros_recargas!$G$93*'Plan mensual'!J215+parametros_recargas!$H$93*'Plan mensual'!J216+parametros_recargas!$I$93*'Plan mensual'!J217+parametros_recargas!$J$93*'Plan mensual'!J218+parametros_recargas!$K$93*'Plan mensual'!J219+parametros_recargas!$L$93*'Plan mensual'!J220</f>
        <v>6128.20499733446</v>
      </c>
      <c r="I215" s="21" t="n">
        <f aca="false">parametros_recargas!$E$93*'Plan mensual'!K213+parametros_recargas!$F$93*'Plan mensual'!K214+parametros_recargas!$G$93*'Plan mensual'!K215+parametros_recargas!$H$93*'Plan mensual'!K216+parametros_recargas!$I$93*'Plan mensual'!K217+parametros_recargas!$J$93*'Plan mensual'!K218+parametros_recargas!$K$93*'Plan mensual'!K219+parametros_recargas!$L$93*'Plan mensual'!K220</f>
        <v>6128.20499733446</v>
      </c>
      <c r="J215" s="21" t="n">
        <f aca="false">parametros_recargas!$E$93*'Plan mensual'!L213+parametros_recargas!$F$93*'Plan mensual'!L214+parametros_recargas!$G$93*'Plan mensual'!L215+parametros_recargas!$H$93*'Plan mensual'!L216+parametros_recargas!$I$93*'Plan mensual'!L217+parametros_recargas!$J$93*'Plan mensual'!L218+parametros_recargas!$K$93*'Plan mensual'!L219+parametros_recargas!$L$93*'Plan mensual'!L220</f>
        <v>6128.20499733446</v>
      </c>
      <c r="K215" s="21" t="n">
        <f aca="false">parametros_recargas!$E$93*'Plan mensual'!M213+parametros_recargas!$F$93*'Plan mensual'!M214+parametros_recargas!$G$93*'Plan mensual'!M215+parametros_recargas!$H$93*'Plan mensual'!M216+parametros_recargas!$I$93*'Plan mensual'!M217+parametros_recargas!$J$93*'Plan mensual'!M218+parametros_recargas!$K$93*'Plan mensual'!M219+parametros_recargas!$L$93*'Plan mensual'!M220</f>
        <v>6128.20499733446</v>
      </c>
      <c r="L215" s="21" t="n">
        <f aca="false">parametros_recargas!$E$93*'Plan mensual'!N213+parametros_recargas!$F$93*'Plan mensual'!N214+parametros_recargas!$G$93*'Plan mensual'!N215+parametros_recargas!$H$93*'Plan mensual'!N216+parametros_recargas!$I$93*'Plan mensual'!N217+parametros_recargas!$J$93*'Plan mensual'!N218+parametros_recargas!$K$93*'Plan mensual'!N219+parametros_recargas!$L$93*'Plan mensual'!N220</f>
        <v>6128.20499733446</v>
      </c>
      <c r="M215" s="21" t="n">
        <f aca="false">parametros_recargas!$E$93*'Plan mensual'!O213+parametros_recargas!$F$93*'Plan mensual'!O214+parametros_recargas!$G$93*'Plan mensual'!O215+parametros_recargas!$H$93*'Plan mensual'!O216+parametros_recargas!$I$93*'Plan mensual'!O217+parametros_recargas!$J$93*'Plan mensual'!O218+parametros_recargas!$K$93*'Plan mensual'!O219+parametros_recargas!$L$93*'Plan mensual'!O220</f>
        <v>6128.20499733446</v>
      </c>
      <c r="N215" s="6" t="n">
        <f aca="false">SUM(B215:M215)</f>
        <v>73538.4599680135</v>
      </c>
      <c r="O215" s="22" t="n">
        <f aca="false">MAX(B215:M215)</f>
        <v>6128.20499733446</v>
      </c>
      <c r="P215" s="12" t="n">
        <f aca="false">O215/parametros_recargas!$B$6</f>
        <v>40.8546999822298</v>
      </c>
    </row>
    <row r="216" customFormat="false" ht="15" hidden="false" customHeight="false" outlineLevel="0" collapsed="false">
      <c r="A216" s="8" t="str">
        <f aca="false">parametros_recargas!$B$94</f>
        <v>Ensamblaje y presurización — zona general</v>
      </c>
      <c r="B216" s="21" t="n">
        <f aca="false">parametros_recargas!$E$94*'Plan mensual'!D213+parametros_recargas!$F$94*'Plan mensual'!D214+parametros_recargas!$G$94*'Plan mensual'!D215+parametros_recargas!$H$94*'Plan mensual'!D216+parametros_recargas!$I$94*'Plan mensual'!D217+parametros_recargas!$J$94*'Plan mensual'!D218+parametros_recargas!$K$94*'Plan mensual'!D219+parametros_recargas!$L$94*'Plan mensual'!D220</f>
        <v>460.160759521017</v>
      </c>
      <c r="C216" s="21" t="n">
        <f aca="false">parametros_recargas!$E$94*'Plan mensual'!E213+parametros_recargas!$F$94*'Plan mensual'!E214+parametros_recargas!$G$94*'Plan mensual'!E215+parametros_recargas!$H$94*'Plan mensual'!E216+parametros_recargas!$I$94*'Plan mensual'!E217+parametros_recargas!$J$94*'Plan mensual'!E218+parametros_recargas!$K$94*'Plan mensual'!E219+parametros_recargas!$L$94*'Plan mensual'!E220</f>
        <v>460.160759521017</v>
      </c>
      <c r="D216" s="21" t="n">
        <f aca="false">parametros_recargas!$E$94*'Plan mensual'!F213+parametros_recargas!$F$94*'Plan mensual'!F214+parametros_recargas!$G$94*'Plan mensual'!F215+parametros_recargas!$H$94*'Plan mensual'!F216+parametros_recargas!$I$94*'Plan mensual'!F217+parametros_recargas!$J$94*'Plan mensual'!F218+parametros_recargas!$K$94*'Plan mensual'!F219+parametros_recargas!$L$94*'Plan mensual'!F220</f>
        <v>460.160759521017</v>
      </c>
      <c r="E216" s="21" t="n">
        <f aca="false">parametros_recargas!$E$94*'Plan mensual'!G213+parametros_recargas!$F$94*'Plan mensual'!G214+parametros_recargas!$G$94*'Plan mensual'!G215+parametros_recargas!$H$94*'Plan mensual'!G216+parametros_recargas!$I$94*'Plan mensual'!G217+parametros_recargas!$J$94*'Plan mensual'!G218+parametros_recargas!$K$94*'Plan mensual'!G219+parametros_recargas!$L$94*'Plan mensual'!G220</f>
        <v>460.160759521017</v>
      </c>
      <c r="F216" s="21" t="n">
        <f aca="false">parametros_recargas!$E$94*'Plan mensual'!H213+parametros_recargas!$F$94*'Plan mensual'!H214+parametros_recargas!$G$94*'Plan mensual'!H215+parametros_recargas!$H$94*'Plan mensual'!H216+parametros_recargas!$I$94*'Plan mensual'!H217+parametros_recargas!$J$94*'Plan mensual'!H218+parametros_recargas!$K$94*'Plan mensual'!H219+parametros_recargas!$L$94*'Plan mensual'!H220</f>
        <v>460.160759521017</v>
      </c>
      <c r="G216" s="21" t="n">
        <f aca="false">parametros_recargas!$E$94*'Plan mensual'!I213+parametros_recargas!$F$94*'Plan mensual'!I214+parametros_recargas!$G$94*'Plan mensual'!I215+parametros_recargas!$H$94*'Plan mensual'!I216+parametros_recargas!$I$94*'Plan mensual'!I217+parametros_recargas!$J$94*'Plan mensual'!I218+parametros_recargas!$K$94*'Plan mensual'!I219+parametros_recargas!$L$94*'Plan mensual'!I220</f>
        <v>460.160759521017</v>
      </c>
      <c r="H216" s="21" t="n">
        <f aca="false">parametros_recargas!$E$94*'Plan mensual'!J213+parametros_recargas!$F$94*'Plan mensual'!J214+parametros_recargas!$G$94*'Plan mensual'!J215+parametros_recargas!$H$94*'Plan mensual'!J216+parametros_recargas!$I$94*'Plan mensual'!J217+parametros_recargas!$J$94*'Plan mensual'!J218+parametros_recargas!$K$94*'Plan mensual'!J219+parametros_recargas!$L$94*'Plan mensual'!J220</f>
        <v>460.160759521017</v>
      </c>
      <c r="I216" s="21" t="n">
        <f aca="false">parametros_recargas!$E$94*'Plan mensual'!K213+parametros_recargas!$F$94*'Plan mensual'!K214+parametros_recargas!$G$94*'Plan mensual'!K215+parametros_recargas!$H$94*'Plan mensual'!K216+parametros_recargas!$I$94*'Plan mensual'!K217+parametros_recargas!$J$94*'Plan mensual'!K218+parametros_recargas!$K$94*'Plan mensual'!K219+parametros_recargas!$L$94*'Plan mensual'!K220</f>
        <v>460.160759521017</v>
      </c>
      <c r="J216" s="21" t="n">
        <f aca="false">parametros_recargas!$E$94*'Plan mensual'!L213+parametros_recargas!$F$94*'Plan mensual'!L214+parametros_recargas!$G$94*'Plan mensual'!L215+parametros_recargas!$H$94*'Plan mensual'!L216+parametros_recargas!$I$94*'Plan mensual'!L217+parametros_recargas!$J$94*'Plan mensual'!L218+parametros_recargas!$K$94*'Plan mensual'!L219+parametros_recargas!$L$94*'Plan mensual'!L220</f>
        <v>460.160759521017</v>
      </c>
      <c r="K216" s="21" t="n">
        <f aca="false">parametros_recargas!$E$94*'Plan mensual'!M213+parametros_recargas!$F$94*'Plan mensual'!M214+parametros_recargas!$G$94*'Plan mensual'!M215+parametros_recargas!$H$94*'Plan mensual'!M216+parametros_recargas!$I$94*'Plan mensual'!M217+parametros_recargas!$J$94*'Plan mensual'!M218+parametros_recargas!$K$94*'Plan mensual'!M219+parametros_recargas!$L$94*'Plan mensual'!M220</f>
        <v>460.160759521017</v>
      </c>
      <c r="L216" s="21" t="n">
        <f aca="false">parametros_recargas!$E$94*'Plan mensual'!N213+parametros_recargas!$F$94*'Plan mensual'!N214+parametros_recargas!$G$94*'Plan mensual'!N215+parametros_recargas!$H$94*'Plan mensual'!N216+parametros_recargas!$I$94*'Plan mensual'!N217+parametros_recargas!$J$94*'Plan mensual'!N218+parametros_recargas!$K$94*'Plan mensual'!N219+parametros_recargas!$L$94*'Plan mensual'!N220</f>
        <v>460.160759521017</v>
      </c>
      <c r="M216" s="21" t="n">
        <f aca="false">parametros_recargas!$E$94*'Plan mensual'!O213+parametros_recargas!$F$94*'Plan mensual'!O214+parametros_recargas!$G$94*'Plan mensual'!O215+parametros_recargas!$H$94*'Plan mensual'!O216+parametros_recargas!$I$94*'Plan mensual'!O217+parametros_recargas!$J$94*'Plan mensual'!O218+parametros_recargas!$K$94*'Plan mensual'!O219+parametros_recargas!$L$94*'Plan mensual'!O220</f>
        <v>460.160759521017</v>
      </c>
      <c r="N216" s="6" t="n">
        <f aca="false">SUM(B216:M216)</f>
        <v>5521.9291142522</v>
      </c>
      <c r="O216" s="22" t="n">
        <f aca="false">MAX(B216:M216)</f>
        <v>460.160759521017</v>
      </c>
      <c r="P216" s="12" t="n">
        <f aca="false">O216/parametros_recargas!$B$6</f>
        <v>3.06773839680678</v>
      </c>
    </row>
    <row r="217" customFormat="false" ht="15" hidden="false" customHeight="false" outlineLevel="0" collapsed="false">
      <c r="A217" s="8" t="str">
        <f aca="false">parametros_recargas!$B$95</f>
        <v>Carga y presurización de halogenado</v>
      </c>
      <c r="B217" s="21" t="n">
        <f aca="false">parametros_recargas!$E$95*'Plan mensual'!D213+parametros_recargas!$F$95*'Plan mensual'!D214+parametros_recargas!$G$95*'Plan mensual'!D215+parametros_recargas!$H$95*'Plan mensual'!D216+parametros_recargas!$I$95*'Plan mensual'!D217+parametros_recargas!$J$95*'Plan mensual'!D218+parametros_recargas!$K$95*'Plan mensual'!D219+parametros_recargas!$L$95*'Plan mensual'!D220</f>
        <v>5.73624849723601</v>
      </c>
      <c r="C217" s="21" t="n">
        <f aca="false">parametros_recargas!$E$95*'Plan mensual'!E213+parametros_recargas!$F$95*'Plan mensual'!E214+parametros_recargas!$G$95*'Plan mensual'!E215+parametros_recargas!$H$95*'Plan mensual'!E216+parametros_recargas!$I$95*'Plan mensual'!E217+parametros_recargas!$J$95*'Plan mensual'!E218+parametros_recargas!$K$95*'Plan mensual'!E219+parametros_recargas!$L$95*'Plan mensual'!E220</f>
        <v>5.73624849723601</v>
      </c>
      <c r="D217" s="21" t="n">
        <f aca="false">parametros_recargas!$E$95*'Plan mensual'!F213+parametros_recargas!$F$95*'Plan mensual'!F214+parametros_recargas!$G$95*'Plan mensual'!F215+parametros_recargas!$H$95*'Plan mensual'!F216+parametros_recargas!$I$95*'Plan mensual'!F217+parametros_recargas!$J$95*'Plan mensual'!F218+parametros_recargas!$K$95*'Plan mensual'!F219+parametros_recargas!$L$95*'Plan mensual'!F220</f>
        <v>5.73624849723601</v>
      </c>
      <c r="E217" s="21" t="n">
        <f aca="false">parametros_recargas!$E$95*'Plan mensual'!G213+parametros_recargas!$F$95*'Plan mensual'!G214+parametros_recargas!$G$95*'Plan mensual'!G215+parametros_recargas!$H$95*'Plan mensual'!G216+parametros_recargas!$I$95*'Plan mensual'!G217+parametros_recargas!$J$95*'Plan mensual'!G218+parametros_recargas!$K$95*'Plan mensual'!G219+parametros_recargas!$L$95*'Plan mensual'!G220</f>
        <v>5.73624849723601</v>
      </c>
      <c r="F217" s="21" t="n">
        <f aca="false">parametros_recargas!$E$95*'Plan mensual'!H213+parametros_recargas!$F$95*'Plan mensual'!H214+parametros_recargas!$G$95*'Plan mensual'!H215+parametros_recargas!$H$95*'Plan mensual'!H216+parametros_recargas!$I$95*'Plan mensual'!H217+parametros_recargas!$J$95*'Plan mensual'!H218+parametros_recargas!$K$95*'Plan mensual'!H219+parametros_recargas!$L$95*'Plan mensual'!H220</f>
        <v>5.73624849723601</v>
      </c>
      <c r="G217" s="21" t="n">
        <f aca="false">parametros_recargas!$E$95*'Plan mensual'!I213+parametros_recargas!$F$95*'Plan mensual'!I214+parametros_recargas!$G$95*'Plan mensual'!I215+parametros_recargas!$H$95*'Plan mensual'!I216+parametros_recargas!$I$95*'Plan mensual'!I217+parametros_recargas!$J$95*'Plan mensual'!I218+parametros_recargas!$K$95*'Plan mensual'!I219+parametros_recargas!$L$95*'Plan mensual'!I220</f>
        <v>5.73624849723601</v>
      </c>
      <c r="H217" s="21" t="n">
        <f aca="false">parametros_recargas!$E$95*'Plan mensual'!J213+parametros_recargas!$F$95*'Plan mensual'!J214+parametros_recargas!$G$95*'Plan mensual'!J215+parametros_recargas!$H$95*'Plan mensual'!J216+parametros_recargas!$I$95*'Plan mensual'!J217+parametros_recargas!$J$95*'Plan mensual'!J218+parametros_recargas!$K$95*'Plan mensual'!J219+parametros_recargas!$L$95*'Plan mensual'!J220</f>
        <v>5.73624849723601</v>
      </c>
      <c r="I217" s="21" t="n">
        <f aca="false">parametros_recargas!$E$95*'Plan mensual'!K213+parametros_recargas!$F$95*'Plan mensual'!K214+parametros_recargas!$G$95*'Plan mensual'!K215+parametros_recargas!$H$95*'Plan mensual'!K216+parametros_recargas!$I$95*'Plan mensual'!K217+parametros_recargas!$J$95*'Plan mensual'!K218+parametros_recargas!$K$95*'Plan mensual'!K219+parametros_recargas!$L$95*'Plan mensual'!K220</f>
        <v>5.73624849723601</v>
      </c>
      <c r="J217" s="21" t="n">
        <f aca="false">parametros_recargas!$E$95*'Plan mensual'!L213+parametros_recargas!$F$95*'Plan mensual'!L214+parametros_recargas!$G$95*'Plan mensual'!L215+parametros_recargas!$H$95*'Plan mensual'!L216+parametros_recargas!$I$95*'Plan mensual'!L217+parametros_recargas!$J$95*'Plan mensual'!L218+parametros_recargas!$K$95*'Plan mensual'!L219+parametros_recargas!$L$95*'Plan mensual'!L220</f>
        <v>5.73624849723601</v>
      </c>
      <c r="K217" s="21" t="n">
        <f aca="false">parametros_recargas!$E$95*'Plan mensual'!M213+parametros_recargas!$F$95*'Plan mensual'!M214+parametros_recargas!$G$95*'Plan mensual'!M215+parametros_recargas!$H$95*'Plan mensual'!M216+parametros_recargas!$I$95*'Plan mensual'!M217+parametros_recargas!$J$95*'Plan mensual'!M218+parametros_recargas!$K$95*'Plan mensual'!M219+parametros_recargas!$L$95*'Plan mensual'!M220</f>
        <v>5.73624849723601</v>
      </c>
      <c r="L217" s="21" t="n">
        <f aca="false">parametros_recargas!$E$95*'Plan mensual'!N213+parametros_recargas!$F$95*'Plan mensual'!N214+parametros_recargas!$G$95*'Plan mensual'!N215+parametros_recargas!$H$95*'Plan mensual'!N216+parametros_recargas!$I$95*'Plan mensual'!N217+parametros_recargas!$J$95*'Plan mensual'!N218+parametros_recargas!$K$95*'Plan mensual'!N219+parametros_recargas!$L$95*'Plan mensual'!N220</f>
        <v>5.73624849723601</v>
      </c>
      <c r="M217" s="21" t="n">
        <f aca="false">parametros_recargas!$E$95*'Plan mensual'!O213+parametros_recargas!$F$95*'Plan mensual'!O214+parametros_recargas!$G$95*'Plan mensual'!O215+parametros_recargas!$H$95*'Plan mensual'!O216+parametros_recargas!$I$95*'Plan mensual'!O217+parametros_recargas!$J$95*'Plan mensual'!O218+parametros_recargas!$K$95*'Plan mensual'!O219+parametros_recargas!$L$95*'Plan mensual'!O220</f>
        <v>5.73624849723601</v>
      </c>
      <c r="N217" s="6" t="n">
        <f aca="false">SUM(B217:M217)</f>
        <v>68.8349819668322</v>
      </c>
      <c r="O217" s="22" t="n">
        <f aca="false">MAX(B217:M217)</f>
        <v>5.73624849723601</v>
      </c>
      <c r="P217" s="12" t="n">
        <f aca="false">O217/parametros_recargas!$B$6</f>
        <v>0.0382416566482401</v>
      </c>
    </row>
    <row r="218" customFormat="false" ht="15" hidden="false" customHeight="false" outlineLevel="0" collapsed="false">
      <c r="A218" s="8" t="str">
        <f aca="false">parametros_recargas!$B$96</f>
        <v>Control de peso (CO₂ y halogenados sin recarga)</v>
      </c>
      <c r="B218" s="21" t="n">
        <f aca="false">parametros_recargas!$E$96*'Plan mensual'!D213+parametros_recargas!$F$96*'Plan mensual'!D214+parametros_recargas!$G$96*'Plan mensual'!D215+parametros_recargas!$H$96*'Plan mensual'!D216+parametros_recargas!$I$96*'Plan mensual'!D217+parametros_recargas!$J$96*'Plan mensual'!D218+parametros_recargas!$K$96*'Plan mensual'!D219+parametros_recargas!$L$96*'Plan mensual'!D220</f>
        <v>418.162801702935</v>
      </c>
      <c r="C218" s="21" t="n">
        <f aca="false">parametros_recargas!$E$96*'Plan mensual'!E213+parametros_recargas!$F$96*'Plan mensual'!E214+parametros_recargas!$G$96*'Plan mensual'!E215+parametros_recargas!$H$96*'Plan mensual'!E216+parametros_recargas!$I$96*'Plan mensual'!E217+parametros_recargas!$J$96*'Plan mensual'!E218+parametros_recargas!$K$96*'Plan mensual'!E219+parametros_recargas!$L$96*'Plan mensual'!E220</f>
        <v>418.162801702935</v>
      </c>
      <c r="D218" s="21" t="n">
        <f aca="false">parametros_recargas!$E$96*'Plan mensual'!F213+parametros_recargas!$F$96*'Plan mensual'!F214+parametros_recargas!$G$96*'Plan mensual'!F215+parametros_recargas!$H$96*'Plan mensual'!F216+parametros_recargas!$I$96*'Plan mensual'!F217+parametros_recargas!$J$96*'Plan mensual'!F218+parametros_recargas!$K$96*'Plan mensual'!F219+parametros_recargas!$L$96*'Plan mensual'!F220</f>
        <v>418.162801702935</v>
      </c>
      <c r="E218" s="21" t="n">
        <f aca="false">parametros_recargas!$E$96*'Plan mensual'!G213+parametros_recargas!$F$96*'Plan mensual'!G214+parametros_recargas!$G$96*'Plan mensual'!G215+parametros_recargas!$H$96*'Plan mensual'!G216+parametros_recargas!$I$96*'Plan mensual'!G217+parametros_recargas!$J$96*'Plan mensual'!G218+parametros_recargas!$K$96*'Plan mensual'!G219+parametros_recargas!$L$96*'Plan mensual'!G220</f>
        <v>418.162801702935</v>
      </c>
      <c r="F218" s="21" t="n">
        <f aca="false">parametros_recargas!$E$96*'Plan mensual'!H213+parametros_recargas!$F$96*'Plan mensual'!H214+parametros_recargas!$G$96*'Plan mensual'!H215+parametros_recargas!$H$96*'Plan mensual'!H216+parametros_recargas!$I$96*'Plan mensual'!H217+parametros_recargas!$J$96*'Plan mensual'!H218+parametros_recargas!$K$96*'Plan mensual'!H219+parametros_recargas!$L$96*'Plan mensual'!H220</f>
        <v>418.162801702935</v>
      </c>
      <c r="G218" s="21" t="n">
        <f aca="false">parametros_recargas!$E$96*'Plan mensual'!I213+parametros_recargas!$F$96*'Plan mensual'!I214+parametros_recargas!$G$96*'Plan mensual'!I215+parametros_recargas!$H$96*'Plan mensual'!I216+parametros_recargas!$I$96*'Plan mensual'!I217+parametros_recargas!$J$96*'Plan mensual'!I218+parametros_recargas!$K$96*'Plan mensual'!I219+parametros_recargas!$L$96*'Plan mensual'!I220</f>
        <v>418.162801702935</v>
      </c>
      <c r="H218" s="21" t="n">
        <f aca="false">parametros_recargas!$E$96*'Plan mensual'!J213+parametros_recargas!$F$96*'Plan mensual'!J214+parametros_recargas!$G$96*'Plan mensual'!J215+parametros_recargas!$H$96*'Plan mensual'!J216+parametros_recargas!$I$96*'Plan mensual'!J217+parametros_recargas!$J$96*'Plan mensual'!J218+parametros_recargas!$K$96*'Plan mensual'!J219+parametros_recargas!$L$96*'Plan mensual'!J220</f>
        <v>418.162801702935</v>
      </c>
      <c r="I218" s="21" t="n">
        <f aca="false">parametros_recargas!$E$96*'Plan mensual'!K213+parametros_recargas!$F$96*'Plan mensual'!K214+parametros_recargas!$G$96*'Plan mensual'!K215+parametros_recargas!$H$96*'Plan mensual'!K216+parametros_recargas!$I$96*'Plan mensual'!K217+parametros_recargas!$J$96*'Plan mensual'!K218+parametros_recargas!$K$96*'Plan mensual'!K219+parametros_recargas!$L$96*'Plan mensual'!K220</f>
        <v>418.162801702935</v>
      </c>
      <c r="J218" s="21" t="n">
        <f aca="false">parametros_recargas!$E$96*'Plan mensual'!L213+parametros_recargas!$F$96*'Plan mensual'!L214+parametros_recargas!$G$96*'Plan mensual'!L215+parametros_recargas!$H$96*'Plan mensual'!L216+parametros_recargas!$I$96*'Plan mensual'!L217+parametros_recargas!$J$96*'Plan mensual'!L218+parametros_recargas!$K$96*'Plan mensual'!L219+parametros_recargas!$L$96*'Plan mensual'!L220</f>
        <v>418.162801702935</v>
      </c>
      <c r="K218" s="21" t="n">
        <f aca="false">parametros_recargas!$E$96*'Plan mensual'!M213+parametros_recargas!$F$96*'Plan mensual'!M214+parametros_recargas!$G$96*'Plan mensual'!M215+parametros_recargas!$H$96*'Plan mensual'!M216+parametros_recargas!$I$96*'Plan mensual'!M217+parametros_recargas!$J$96*'Plan mensual'!M218+parametros_recargas!$K$96*'Plan mensual'!M219+parametros_recargas!$L$96*'Plan mensual'!M220</f>
        <v>418.162801702935</v>
      </c>
      <c r="L218" s="21" t="n">
        <f aca="false">parametros_recargas!$E$96*'Plan mensual'!N213+parametros_recargas!$F$96*'Plan mensual'!N214+parametros_recargas!$G$96*'Plan mensual'!N215+parametros_recargas!$H$96*'Plan mensual'!N216+parametros_recargas!$I$96*'Plan mensual'!N217+parametros_recargas!$J$96*'Plan mensual'!N218+parametros_recargas!$K$96*'Plan mensual'!N219+parametros_recargas!$L$96*'Plan mensual'!N220</f>
        <v>418.162801702935</v>
      </c>
      <c r="M218" s="21" t="n">
        <f aca="false">parametros_recargas!$E$96*'Plan mensual'!O213+parametros_recargas!$F$96*'Plan mensual'!O214+parametros_recargas!$G$96*'Plan mensual'!O215+parametros_recargas!$H$96*'Plan mensual'!O216+parametros_recargas!$I$96*'Plan mensual'!O217+parametros_recargas!$J$96*'Plan mensual'!O218+parametros_recargas!$K$96*'Plan mensual'!O219+parametros_recargas!$L$96*'Plan mensual'!O220</f>
        <v>418.162801702935</v>
      </c>
      <c r="N218" s="6" t="n">
        <f aca="false">SUM(B218:M218)</f>
        <v>5017.95362043522</v>
      </c>
      <c r="O218" s="22" t="n">
        <f aca="false">MAX(B218:M218)</f>
        <v>418.162801702935</v>
      </c>
      <c r="P218" s="12" t="n">
        <f aca="false">O218/parametros_recargas!$B$6</f>
        <v>2.7877520113529</v>
      </c>
    </row>
    <row r="219" customFormat="false" ht="15" hidden="false" customHeight="false" outlineLevel="0" collapsed="false">
      <c r="A219" s="8" t="str">
        <f aca="false">parametros_recargas!$B$97</f>
        <v>Ensayo de pérdidas</v>
      </c>
      <c r="B219" s="21" t="n">
        <f aca="false">parametros_recargas!$E$97*'Plan mensual'!D213+parametros_recargas!$F$97*'Plan mensual'!D214+parametros_recargas!$G$97*'Plan mensual'!D215+parametros_recargas!$H$97*'Plan mensual'!D216+parametros_recargas!$I$97*'Plan mensual'!D217+parametros_recargas!$J$97*'Plan mensual'!D218+parametros_recargas!$K$97*'Plan mensual'!D219+parametros_recargas!$L$97*'Plan mensual'!D220</f>
        <v>7035.16813400207</v>
      </c>
      <c r="C219" s="21" t="n">
        <f aca="false">parametros_recargas!$E$97*'Plan mensual'!E213+parametros_recargas!$F$97*'Plan mensual'!E214+parametros_recargas!$G$97*'Plan mensual'!E215+parametros_recargas!$H$97*'Plan mensual'!E216+parametros_recargas!$I$97*'Plan mensual'!E217+parametros_recargas!$J$97*'Plan mensual'!E218+parametros_recargas!$K$97*'Plan mensual'!E219+parametros_recargas!$L$97*'Plan mensual'!E220</f>
        <v>7035.16813400207</v>
      </c>
      <c r="D219" s="21" t="n">
        <f aca="false">parametros_recargas!$E$97*'Plan mensual'!F213+parametros_recargas!$F$97*'Plan mensual'!F214+parametros_recargas!$G$97*'Plan mensual'!F215+parametros_recargas!$H$97*'Plan mensual'!F216+parametros_recargas!$I$97*'Plan mensual'!F217+parametros_recargas!$J$97*'Plan mensual'!F218+parametros_recargas!$K$97*'Plan mensual'!F219+parametros_recargas!$L$97*'Plan mensual'!F220</f>
        <v>7035.16813400207</v>
      </c>
      <c r="E219" s="21" t="n">
        <f aca="false">parametros_recargas!$E$97*'Plan mensual'!G213+parametros_recargas!$F$97*'Plan mensual'!G214+parametros_recargas!$G$97*'Plan mensual'!G215+parametros_recargas!$H$97*'Plan mensual'!G216+parametros_recargas!$I$97*'Plan mensual'!G217+parametros_recargas!$J$97*'Plan mensual'!G218+parametros_recargas!$K$97*'Plan mensual'!G219+parametros_recargas!$L$97*'Plan mensual'!G220</f>
        <v>7035.16813400207</v>
      </c>
      <c r="F219" s="21" t="n">
        <f aca="false">parametros_recargas!$E$97*'Plan mensual'!H213+parametros_recargas!$F$97*'Plan mensual'!H214+parametros_recargas!$G$97*'Plan mensual'!H215+parametros_recargas!$H$97*'Plan mensual'!H216+parametros_recargas!$I$97*'Plan mensual'!H217+parametros_recargas!$J$97*'Plan mensual'!H218+parametros_recargas!$K$97*'Plan mensual'!H219+parametros_recargas!$L$97*'Plan mensual'!H220</f>
        <v>7035.16813400207</v>
      </c>
      <c r="G219" s="21" t="n">
        <f aca="false">parametros_recargas!$E$97*'Plan mensual'!I213+parametros_recargas!$F$97*'Plan mensual'!I214+parametros_recargas!$G$97*'Plan mensual'!I215+parametros_recargas!$H$97*'Plan mensual'!I216+parametros_recargas!$I$97*'Plan mensual'!I217+parametros_recargas!$J$97*'Plan mensual'!I218+parametros_recargas!$K$97*'Plan mensual'!I219+parametros_recargas!$L$97*'Plan mensual'!I220</f>
        <v>7035.16813400207</v>
      </c>
      <c r="H219" s="21" t="n">
        <f aca="false">parametros_recargas!$E$97*'Plan mensual'!J213+parametros_recargas!$F$97*'Plan mensual'!J214+parametros_recargas!$G$97*'Plan mensual'!J215+parametros_recargas!$H$97*'Plan mensual'!J216+parametros_recargas!$I$97*'Plan mensual'!J217+parametros_recargas!$J$97*'Plan mensual'!J218+parametros_recargas!$K$97*'Plan mensual'!J219+parametros_recargas!$L$97*'Plan mensual'!J220</f>
        <v>7035.16813400207</v>
      </c>
      <c r="I219" s="21" t="n">
        <f aca="false">parametros_recargas!$E$97*'Plan mensual'!K213+parametros_recargas!$F$97*'Plan mensual'!K214+parametros_recargas!$G$97*'Plan mensual'!K215+parametros_recargas!$H$97*'Plan mensual'!K216+parametros_recargas!$I$97*'Plan mensual'!K217+parametros_recargas!$J$97*'Plan mensual'!K218+parametros_recargas!$K$97*'Plan mensual'!K219+parametros_recargas!$L$97*'Plan mensual'!K220</f>
        <v>7035.16813400207</v>
      </c>
      <c r="J219" s="21" t="n">
        <f aca="false">parametros_recargas!$E$97*'Plan mensual'!L213+parametros_recargas!$F$97*'Plan mensual'!L214+parametros_recargas!$G$97*'Plan mensual'!L215+parametros_recargas!$H$97*'Plan mensual'!L216+parametros_recargas!$I$97*'Plan mensual'!L217+parametros_recargas!$J$97*'Plan mensual'!L218+parametros_recargas!$K$97*'Plan mensual'!L219+parametros_recargas!$L$97*'Plan mensual'!L220</f>
        <v>7035.16813400207</v>
      </c>
      <c r="K219" s="21" t="n">
        <f aca="false">parametros_recargas!$E$97*'Plan mensual'!M213+parametros_recargas!$F$97*'Plan mensual'!M214+parametros_recargas!$G$97*'Plan mensual'!M215+parametros_recargas!$H$97*'Plan mensual'!M216+parametros_recargas!$I$97*'Plan mensual'!M217+parametros_recargas!$J$97*'Plan mensual'!M218+parametros_recargas!$K$97*'Plan mensual'!M219+parametros_recargas!$L$97*'Plan mensual'!M220</f>
        <v>7035.16813400207</v>
      </c>
      <c r="L219" s="21" t="n">
        <f aca="false">parametros_recargas!$E$97*'Plan mensual'!N213+parametros_recargas!$F$97*'Plan mensual'!N214+parametros_recargas!$G$97*'Plan mensual'!N215+parametros_recargas!$H$97*'Plan mensual'!N216+parametros_recargas!$I$97*'Plan mensual'!N217+parametros_recargas!$J$97*'Plan mensual'!N218+parametros_recargas!$K$97*'Plan mensual'!N219+parametros_recargas!$L$97*'Plan mensual'!N220</f>
        <v>7035.16813400207</v>
      </c>
      <c r="M219" s="21" t="n">
        <f aca="false">parametros_recargas!$E$97*'Plan mensual'!O213+parametros_recargas!$F$97*'Plan mensual'!O214+parametros_recargas!$G$97*'Plan mensual'!O215+parametros_recargas!$H$97*'Plan mensual'!O216+parametros_recargas!$I$97*'Plan mensual'!O217+parametros_recargas!$J$97*'Plan mensual'!O218+parametros_recargas!$K$97*'Plan mensual'!O219+parametros_recargas!$L$97*'Plan mensual'!O220</f>
        <v>7035.16813400207</v>
      </c>
      <c r="N219" s="6" t="n">
        <f aca="false">SUM(B219:M219)</f>
        <v>84422.0176080249</v>
      </c>
      <c r="O219" s="22" t="n">
        <f aca="false">MAX(B219:M219)</f>
        <v>7035.16813400207</v>
      </c>
      <c r="P219" s="12" t="n">
        <f aca="false">O219/parametros_recargas!$B$6</f>
        <v>46.9011208933472</v>
      </c>
    </row>
    <row r="220" customFormat="false" ht="15" hidden="false" customHeight="false" outlineLevel="0" collapsed="false">
      <c r="A220" s="8" t="str">
        <f aca="false">parametros_recargas!$B$98</f>
        <v>Precinto, etiqueta y despacho</v>
      </c>
      <c r="B220" s="21" t="n">
        <f aca="false">parametros_recargas!$E$98*'Plan mensual'!D213+parametros_recargas!$F$98*'Plan mensual'!D214+parametros_recargas!$G$98*'Plan mensual'!D215+parametros_recargas!$H$98*'Plan mensual'!D216+parametros_recargas!$I$98*'Plan mensual'!D217+parametros_recargas!$J$98*'Plan mensual'!D218+parametros_recargas!$K$98*'Plan mensual'!D219+parametros_recargas!$L$98*'Plan mensual'!D220</f>
        <v>7035.16813400207</v>
      </c>
      <c r="C220" s="21" t="n">
        <f aca="false">parametros_recargas!$E$98*'Plan mensual'!E213+parametros_recargas!$F$98*'Plan mensual'!E214+parametros_recargas!$G$98*'Plan mensual'!E215+parametros_recargas!$H$98*'Plan mensual'!E216+parametros_recargas!$I$98*'Plan mensual'!E217+parametros_recargas!$J$98*'Plan mensual'!E218+parametros_recargas!$K$98*'Plan mensual'!E219+parametros_recargas!$L$98*'Plan mensual'!E220</f>
        <v>7035.16813400207</v>
      </c>
      <c r="D220" s="21" t="n">
        <f aca="false">parametros_recargas!$E$98*'Plan mensual'!F213+parametros_recargas!$F$98*'Plan mensual'!F214+parametros_recargas!$G$98*'Plan mensual'!F215+parametros_recargas!$H$98*'Plan mensual'!F216+parametros_recargas!$I$98*'Plan mensual'!F217+parametros_recargas!$J$98*'Plan mensual'!F218+parametros_recargas!$K$98*'Plan mensual'!F219+parametros_recargas!$L$98*'Plan mensual'!F220</f>
        <v>7035.16813400207</v>
      </c>
      <c r="E220" s="21" t="n">
        <f aca="false">parametros_recargas!$E$98*'Plan mensual'!G213+parametros_recargas!$F$98*'Plan mensual'!G214+parametros_recargas!$G$98*'Plan mensual'!G215+parametros_recargas!$H$98*'Plan mensual'!G216+parametros_recargas!$I$98*'Plan mensual'!G217+parametros_recargas!$J$98*'Plan mensual'!G218+parametros_recargas!$K$98*'Plan mensual'!G219+parametros_recargas!$L$98*'Plan mensual'!G220</f>
        <v>7035.16813400207</v>
      </c>
      <c r="F220" s="21" t="n">
        <f aca="false">parametros_recargas!$E$98*'Plan mensual'!H213+parametros_recargas!$F$98*'Plan mensual'!H214+parametros_recargas!$G$98*'Plan mensual'!H215+parametros_recargas!$H$98*'Plan mensual'!H216+parametros_recargas!$I$98*'Plan mensual'!H217+parametros_recargas!$J$98*'Plan mensual'!H218+parametros_recargas!$K$98*'Plan mensual'!H219+parametros_recargas!$L$98*'Plan mensual'!H220</f>
        <v>7035.16813400207</v>
      </c>
      <c r="G220" s="21" t="n">
        <f aca="false">parametros_recargas!$E$98*'Plan mensual'!I213+parametros_recargas!$F$98*'Plan mensual'!I214+parametros_recargas!$G$98*'Plan mensual'!I215+parametros_recargas!$H$98*'Plan mensual'!I216+parametros_recargas!$I$98*'Plan mensual'!I217+parametros_recargas!$J$98*'Plan mensual'!I218+parametros_recargas!$K$98*'Plan mensual'!I219+parametros_recargas!$L$98*'Plan mensual'!I220</f>
        <v>7035.16813400207</v>
      </c>
      <c r="H220" s="21" t="n">
        <f aca="false">parametros_recargas!$E$98*'Plan mensual'!J213+parametros_recargas!$F$98*'Plan mensual'!J214+parametros_recargas!$G$98*'Plan mensual'!J215+parametros_recargas!$H$98*'Plan mensual'!J216+parametros_recargas!$I$98*'Plan mensual'!J217+parametros_recargas!$J$98*'Plan mensual'!J218+parametros_recargas!$K$98*'Plan mensual'!J219+parametros_recargas!$L$98*'Plan mensual'!J220</f>
        <v>7035.16813400207</v>
      </c>
      <c r="I220" s="21" t="n">
        <f aca="false">parametros_recargas!$E$98*'Plan mensual'!K213+parametros_recargas!$F$98*'Plan mensual'!K214+parametros_recargas!$G$98*'Plan mensual'!K215+parametros_recargas!$H$98*'Plan mensual'!K216+parametros_recargas!$I$98*'Plan mensual'!K217+parametros_recargas!$J$98*'Plan mensual'!K218+parametros_recargas!$K$98*'Plan mensual'!K219+parametros_recargas!$L$98*'Plan mensual'!K220</f>
        <v>7035.16813400207</v>
      </c>
      <c r="J220" s="21" t="n">
        <f aca="false">parametros_recargas!$E$98*'Plan mensual'!L213+parametros_recargas!$F$98*'Plan mensual'!L214+parametros_recargas!$G$98*'Plan mensual'!L215+parametros_recargas!$H$98*'Plan mensual'!L216+parametros_recargas!$I$98*'Plan mensual'!L217+parametros_recargas!$J$98*'Plan mensual'!L218+parametros_recargas!$K$98*'Plan mensual'!L219+parametros_recargas!$L$98*'Plan mensual'!L220</f>
        <v>7035.16813400207</v>
      </c>
      <c r="K220" s="21" t="n">
        <f aca="false">parametros_recargas!$E$98*'Plan mensual'!M213+parametros_recargas!$F$98*'Plan mensual'!M214+parametros_recargas!$G$98*'Plan mensual'!M215+parametros_recargas!$H$98*'Plan mensual'!M216+parametros_recargas!$I$98*'Plan mensual'!M217+parametros_recargas!$J$98*'Plan mensual'!M218+parametros_recargas!$K$98*'Plan mensual'!M219+parametros_recargas!$L$98*'Plan mensual'!M220</f>
        <v>7035.16813400207</v>
      </c>
      <c r="L220" s="21" t="n">
        <f aca="false">parametros_recargas!$E$98*'Plan mensual'!N213+parametros_recargas!$F$98*'Plan mensual'!N214+parametros_recargas!$G$98*'Plan mensual'!N215+parametros_recargas!$H$98*'Plan mensual'!N216+parametros_recargas!$I$98*'Plan mensual'!N217+parametros_recargas!$J$98*'Plan mensual'!N218+parametros_recargas!$K$98*'Plan mensual'!N219+parametros_recargas!$L$98*'Plan mensual'!N220</f>
        <v>7035.16813400207</v>
      </c>
      <c r="M220" s="21" t="n">
        <f aca="false">parametros_recargas!$E$98*'Plan mensual'!O213+parametros_recargas!$F$98*'Plan mensual'!O214+parametros_recargas!$G$98*'Plan mensual'!O215+parametros_recargas!$H$98*'Plan mensual'!O216+parametros_recargas!$I$98*'Plan mensual'!O217+parametros_recargas!$J$98*'Plan mensual'!O218+parametros_recargas!$K$98*'Plan mensual'!O219+parametros_recargas!$L$98*'Plan mensual'!O220</f>
        <v>7035.16813400207</v>
      </c>
      <c r="N220" s="6" t="n">
        <f aca="false">SUM(B220:M220)</f>
        <v>84422.0176080249</v>
      </c>
      <c r="O220" s="22" t="n">
        <f aca="false">MAX(B220:M220)</f>
        <v>7035.16813400207</v>
      </c>
      <c r="P220" s="12" t="n">
        <f aca="false">O220/parametros_recargas!$B$6</f>
        <v>46.9011208933472</v>
      </c>
    </row>
    <row r="221" customFormat="false" ht="15" hidden="false" customHeight="false" outlineLevel="0" collapsed="false">
      <c r="A221" s="8" t="str">
        <f aca="false">parametros_recargas!$B$99</f>
        <v>Inutilización y disposición final</v>
      </c>
      <c r="B221" s="21" t="n">
        <f aca="false">parametros_recargas!$E$99*'Plan mensual'!D213+parametros_recargas!$F$99*'Plan mensual'!D214+parametros_recargas!$G$99*'Plan mensual'!D215+parametros_recargas!$H$99*'Plan mensual'!D216+parametros_recargas!$I$99*'Plan mensual'!D217+parametros_recargas!$J$99*'Plan mensual'!D218+parametros_recargas!$K$99*'Plan mensual'!D219+parametros_recargas!$L$99*'Plan mensual'!D220</f>
        <v>553.266925572279</v>
      </c>
      <c r="C221" s="21" t="n">
        <f aca="false">parametros_recargas!$E$99*'Plan mensual'!E213+parametros_recargas!$F$99*'Plan mensual'!E214+parametros_recargas!$G$99*'Plan mensual'!E215+parametros_recargas!$H$99*'Plan mensual'!E216+parametros_recargas!$I$99*'Plan mensual'!E217+parametros_recargas!$J$99*'Plan mensual'!E218+parametros_recargas!$K$99*'Plan mensual'!E219+parametros_recargas!$L$99*'Plan mensual'!E220</f>
        <v>553.266925572279</v>
      </c>
      <c r="D221" s="21" t="n">
        <f aca="false">parametros_recargas!$E$99*'Plan mensual'!F213+parametros_recargas!$F$99*'Plan mensual'!F214+parametros_recargas!$G$99*'Plan mensual'!F215+parametros_recargas!$H$99*'Plan mensual'!F216+parametros_recargas!$I$99*'Plan mensual'!F217+parametros_recargas!$J$99*'Plan mensual'!F218+parametros_recargas!$K$99*'Plan mensual'!F219+parametros_recargas!$L$99*'Plan mensual'!F220</f>
        <v>553.266925572279</v>
      </c>
      <c r="E221" s="21" t="n">
        <f aca="false">parametros_recargas!$E$99*'Plan mensual'!G213+parametros_recargas!$F$99*'Plan mensual'!G214+parametros_recargas!$G$99*'Plan mensual'!G215+parametros_recargas!$H$99*'Plan mensual'!G216+parametros_recargas!$I$99*'Plan mensual'!G217+parametros_recargas!$J$99*'Plan mensual'!G218+parametros_recargas!$K$99*'Plan mensual'!G219+parametros_recargas!$L$99*'Plan mensual'!G220</f>
        <v>553.266925572279</v>
      </c>
      <c r="F221" s="21" t="n">
        <f aca="false">parametros_recargas!$E$99*'Plan mensual'!H213+parametros_recargas!$F$99*'Plan mensual'!H214+parametros_recargas!$G$99*'Plan mensual'!H215+parametros_recargas!$H$99*'Plan mensual'!H216+parametros_recargas!$I$99*'Plan mensual'!H217+parametros_recargas!$J$99*'Plan mensual'!H218+parametros_recargas!$K$99*'Plan mensual'!H219+parametros_recargas!$L$99*'Plan mensual'!H220</f>
        <v>553.266925572279</v>
      </c>
      <c r="G221" s="21" t="n">
        <f aca="false">parametros_recargas!$E$99*'Plan mensual'!I213+parametros_recargas!$F$99*'Plan mensual'!I214+parametros_recargas!$G$99*'Plan mensual'!I215+parametros_recargas!$H$99*'Plan mensual'!I216+parametros_recargas!$I$99*'Plan mensual'!I217+parametros_recargas!$J$99*'Plan mensual'!I218+parametros_recargas!$K$99*'Plan mensual'!I219+parametros_recargas!$L$99*'Plan mensual'!I220</f>
        <v>553.266925572279</v>
      </c>
      <c r="H221" s="21" t="n">
        <f aca="false">parametros_recargas!$E$99*'Plan mensual'!J213+parametros_recargas!$F$99*'Plan mensual'!J214+parametros_recargas!$G$99*'Plan mensual'!J215+parametros_recargas!$H$99*'Plan mensual'!J216+parametros_recargas!$I$99*'Plan mensual'!J217+parametros_recargas!$J$99*'Plan mensual'!J218+parametros_recargas!$K$99*'Plan mensual'!J219+parametros_recargas!$L$99*'Plan mensual'!J220</f>
        <v>553.266925572279</v>
      </c>
      <c r="I221" s="21" t="n">
        <f aca="false">parametros_recargas!$E$99*'Plan mensual'!K213+parametros_recargas!$F$99*'Plan mensual'!K214+parametros_recargas!$G$99*'Plan mensual'!K215+parametros_recargas!$H$99*'Plan mensual'!K216+parametros_recargas!$I$99*'Plan mensual'!K217+parametros_recargas!$J$99*'Plan mensual'!K218+parametros_recargas!$K$99*'Plan mensual'!K219+parametros_recargas!$L$99*'Plan mensual'!K220</f>
        <v>553.266925572279</v>
      </c>
      <c r="J221" s="21" t="n">
        <f aca="false">parametros_recargas!$E$99*'Plan mensual'!L213+parametros_recargas!$F$99*'Plan mensual'!L214+parametros_recargas!$G$99*'Plan mensual'!L215+parametros_recargas!$H$99*'Plan mensual'!L216+parametros_recargas!$I$99*'Plan mensual'!L217+parametros_recargas!$J$99*'Plan mensual'!L218+parametros_recargas!$K$99*'Plan mensual'!L219+parametros_recargas!$L$99*'Plan mensual'!L220</f>
        <v>553.266925572279</v>
      </c>
      <c r="K221" s="21" t="n">
        <f aca="false">parametros_recargas!$E$99*'Plan mensual'!M213+parametros_recargas!$F$99*'Plan mensual'!M214+parametros_recargas!$G$99*'Plan mensual'!M215+parametros_recargas!$H$99*'Plan mensual'!M216+parametros_recargas!$I$99*'Plan mensual'!M217+parametros_recargas!$J$99*'Plan mensual'!M218+parametros_recargas!$K$99*'Plan mensual'!M219+parametros_recargas!$L$99*'Plan mensual'!M220</f>
        <v>553.266925572279</v>
      </c>
      <c r="L221" s="21" t="n">
        <f aca="false">parametros_recargas!$E$99*'Plan mensual'!N213+parametros_recargas!$F$99*'Plan mensual'!N214+parametros_recargas!$G$99*'Plan mensual'!N215+parametros_recargas!$H$99*'Plan mensual'!N216+parametros_recargas!$I$99*'Plan mensual'!N217+parametros_recargas!$J$99*'Plan mensual'!N218+parametros_recargas!$K$99*'Plan mensual'!N219+parametros_recargas!$L$99*'Plan mensual'!N220</f>
        <v>553.266925572279</v>
      </c>
      <c r="M221" s="21" t="n">
        <f aca="false">parametros_recargas!$E$99*'Plan mensual'!O213+parametros_recargas!$F$99*'Plan mensual'!O214+parametros_recargas!$G$99*'Plan mensual'!O215+parametros_recargas!$H$99*'Plan mensual'!O216+parametros_recargas!$I$99*'Plan mensual'!O217+parametros_recargas!$J$99*'Plan mensual'!O218+parametros_recargas!$K$99*'Plan mensual'!O219+parametros_recargas!$L$99*'Plan mensual'!O220</f>
        <v>553.266925572279</v>
      </c>
      <c r="N221" s="6" t="n">
        <f aca="false">SUM(B221:M221)</f>
        <v>6639.20310686735</v>
      </c>
      <c r="O221" s="22" t="n">
        <f aca="false">MAX(B221:M221)</f>
        <v>553.266925572279</v>
      </c>
      <c r="P221" s="12" t="n">
        <f aca="false">O221/parametros_recargas!$B$6</f>
        <v>3.68844617048186</v>
      </c>
    </row>
    <row r="222" customFormat="false" ht="15" hidden="false" customHeight="false" outlineLevel="0" collapsed="false">
      <c r="A222" s="8" t="str">
        <f aca="false">parametros_recargas!$B$100</f>
        <v>PH de mangueras (CO₂ y rodantes)</v>
      </c>
      <c r="B222" s="21" t="n">
        <f aca="false">'Plan mensual'!D221</f>
        <v>234.521653321711</v>
      </c>
      <c r="C222" s="21" t="n">
        <f aca="false">'Plan mensual'!E221</f>
        <v>234.521653321711</v>
      </c>
      <c r="D222" s="21" t="n">
        <f aca="false">'Plan mensual'!F221</f>
        <v>234.521653321711</v>
      </c>
      <c r="E222" s="21" t="n">
        <f aca="false">'Plan mensual'!G221</f>
        <v>234.521653321711</v>
      </c>
      <c r="F222" s="21" t="n">
        <f aca="false">'Plan mensual'!H221</f>
        <v>234.521653321711</v>
      </c>
      <c r="G222" s="21" t="n">
        <f aca="false">'Plan mensual'!I221</f>
        <v>234.521653321711</v>
      </c>
      <c r="H222" s="21" t="n">
        <f aca="false">'Plan mensual'!J221</f>
        <v>234.521653321711</v>
      </c>
      <c r="I222" s="21" t="n">
        <f aca="false">'Plan mensual'!K221</f>
        <v>234.521653321711</v>
      </c>
      <c r="J222" s="21" t="n">
        <f aca="false">'Plan mensual'!L221</f>
        <v>234.521653321711</v>
      </c>
      <c r="K222" s="21" t="n">
        <f aca="false">'Plan mensual'!M221</f>
        <v>234.521653321711</v>
      </c>
      <c r="L222" s="21" t="n">
        <f aca="false">'Plan mensual'!N221</f>
        <v>234.521653321711</v>
      </c>
      <c r="M222" s="21" t="n">
        <f aca="false">'Plan mensual'!O221</f>
        <v>234.521653321711</v>
      </c>
      <c r="N222" s="6" t="n">
        <f aca="false">SUM(B222:M222)</f>
        <v>2814.25983986054</v>
      </c>
      <c r="O222" s="22" t="n">
        <f aca="false">MAX(B222:M222)</f>
        <v>234.521653321711</v>
      </c>
      <c r="P222" s="12" t="n">
        <f aca="false">O222/parametros_recargas!$B$6</f>
        <v>1.56347768881141</v>
      </c>
    </row>
    <row r="225" customFormat="false" ht="23.85" hidden="false" customHeight="false" outlineLevel="0" collapsed="false">
      <c r="A225" s="2" t="s">
        <v>319</v>
      </c>
      <c r="B225" s="2" t="s">
        <v>130</v>
      </c>
      <c r="C225" s="2" t="s">
        <v>131</v>
      </c>
      <c r="D225" s="2" t="s">
        <v>132</v>
      </c>
      <c r="E225" s="2" t="s">
        <v>133</v>
      </c>
      <c r="F225" s="2" t="s">
        <v>134</v>
      </c>
      <c r="G225" s="2" t="s">
        <v>135</v>
      </c>
      <c r="H225" s="2" t="s">
        <v>136</v>
      </c>
      <c r="I225" s="2" t="s">
        <v>137</v>
      </c>
      <c r="J225" s="2" t="s">
        <v>138</v>
      </c>
      <c r="K225" s="2" t="s">
        <v>139</v>
      </c>
      <c r="L225" s="2" t="s">
        <v>140</v>
      </c>
      <c r="M225" s="2" t="s">
        <v>141</v>
      </c>
      <c r="N225" s="2" t="s">
        <v>310</v>
      </c>
      <c r="O225" s="2" t="s">
        <v>311</v>
      </c>
      <c r="P225" s="2" t="s">
        <v>312</v>
      </c>
    </row>
    <row r="226" customFormat="false" ht="15" hidden="false" customHeight="false" outlineLevel="0" collapsed="false">
      <c r="A226" s="8" t="str">
        <f aca="false">parametros_recargas!$B$72</f>
        <v>Recepción y registro</v>
      </c>
      <c r="B226" s="21" t="n">
        <f aca="false">parametros_recargas!$E$72*'Plan mensual'!D245+parametros_recargas!$F$72*'Plan mensual'!D246+parametros_recargas!$G$72*'Plan mensual'!D247+parametros_recargas!$H$72*'Plan mensual'!D248+parametros_recargas!$I$72*'Plan mensual'!D249+parametros_recargas!$J$72*'Plan mensual'!D250+parametros_recargas!$K$72*'Plan mensual'!D251+parametros_recargas!$L$72*'Plan mensual'!D252</f>
        <v>7998.4249883399</v>
      </c>
      <c r="C226" s="21" t="n">
        <f aca="false">parametros_recargas!$E$72*'Plan mensual'!E245+parametros_recargas!$F$72*'Plan mensual'!E246+parametros_recargas!$G$72*'Plan mensual'!E247+parametros_recargas!$H$72*'Plan mensual'!E248+parametros_recargas!$I$72*'Plan mensual'!E249+parametros_recargas!$J$72*'Plan mensual'!E250+parametros_recargas!$K$72*'Plan mensual'!E251+parametros_recargas!$L$72*'Plan mensual'!E252</f>
        <v>7998.4249883399</v>
      </c>
      <c r="D226" s="21" t="n">
        <f aca="false">parametros_recargas!$E$72*'Plan mensual'!F245+parametros_recargas!$F$72*'Plan mensual'!F246+parametros_recargas!$G$72*'Plan mensual'!F247+parametros_recargas!$H$72*'Plan mensual'!F248+parametros_recargas!$I$72*'Plan mensual'!F249+parametros_recargas!$J$72*'Plan mensual'!F250+parametros_recargas!$K$72*'Plan mensual'!F251+parametros_recargas!$L$72*'Plan mensual'!F252</f>
        <v>7998.4249883399</v>
      </c>
      <c r="E226" s="21" t="n">
        <f aca="false">parametros_recargas!$E$72*'Plan mensual'!G245+parametros_recargas!$F$72*'Plan mensual'!G246+parametros_recargas!$G$72*'Plan mensual'!G247+parametros_recargas!$H$72*'Plan mensual'!G248+parametros_recargas!$I$72*'Plan mensual'!G249+parametros_recargas!$J$72*'Plan mensual'!G250+parametros_recargas!$K$72*'Plan mensual'!G251+parametros_recargas!$L$72*'Plan mensual'!G252</f>
        <v>7998.4249883399</v>
      </c>
      <c r="F226" s="21" t="n">
        <f aca="false">parametros_recargas!$E$72*'Plan mensual'!H245+parametros_recargas!$F$72*'Plan mensual'!H246+parametros_recargas!$G$72*'Plan mensual'!H247+parametros_recargas!$H$72*'Plan mensual'!H248+parametros_recargas!$I$72*'Plan mensual'!H249+parametros_recargas!$J$72*'Plan mensual'!H250+parametros_recargas!$K$72*'Plan mensual'!H251+parametros_recargas!$L$72*'Plan mensual'!H252</f>
        <v>7998.4249883399</v>
      </c>
      <c r="G226" s="21" t="n">
        <f aca="false">parametros_recargas!$E$72*'Plan mensual'!I245+parametros_recargas!$F$72*'Plan mensual'!I246+parametros_recargas!$G$72*'Plan mensual'!I247+parametros_recargas!$H$72*'Plan mensual'!I248+parametros_recargas!$I$72*'Plan mensual'!I249+parametros_recargas!$J$72*'Plan mensual'!I250+parametros_recargas!$K$72*'Plan mensual'!I251+parametros_recargas!$L$72*'Plan mensual'!I252</f>
        <v>7998.4249883399</v>
      </c>
      <c r="H226" s="21" t="n">
        <f aca="false">parametros_recargas!$E$72*'Plan mensual'!J245+parametros_recargas!$F$72*'Plan mensual'!J246+parametros_recargas!$G$72*'Plan mensual'!J247+parametros_recargas!$H$72*'Plan mensual'!J248+parametros_recargas!$I$72*'Plan mensual'!J249+parametros_recargas!$J$72*'Plan mensual'!J250+parametros_recargas!$K$72*'Plan mensual'!J251+parametros_recargas!$L$72*'Plan mensual'!J252</f>
        <v>7998.4249883399</v>
      </c>
      <c r="I226" s="21" t="n">
        <f aca="false">parametros_recargas!$E$72*'Plan mensual'!K245+parametros_recargas!$F$72*'Plan mensual'!K246+parametros_recargas!$G$72*'Plan mensual'!K247+parametros_recargas!$H$72*'Plan mensual'!K248+parametros_recargas!$I$72*'Plan mensual'!K249+parametros_recargas!$J$72*'Plan mensual'!K250+parametros_recargas!$K$72*'Plan mensual'!K251+parametros_recargas!$L$72*'Plan mensual'!K252</f>
        <v>7998.4249883399</v>
      </c>
      <c r="J226" s="21" t="n">
        <f aca="false">parametros_recargas!$E$72*'Plan mensual'!L245+parametros_recargas!$F$72*'Plan mensual'!L246+parametros_recargas!$G$72*'Plan mensual'!L247+parametros_recargas!$H$72*'Plan mensual'!L248+parametros_recargas!$I$72*'Plan mensual'!L249+parametros_recargas!$J$72*'Plan mensual'!L250+parametros_recargas!$K$72*'Plan mensual'!L251+parametros_recargas!$L$72*'Plan mensual'!L252</f>
        <v>7998.4249883399</v>
      </c>
      <c r="K226" s="21" t="n">
        <f aca="false">parametros_recargas!$E$72*'Plan mensual'!M245+parametros_recargas!$F$72*'Plan mensual'!M246+parametros_recargas!$G$72*'Plan mensual'!M247+parametros_recargas!$H$72*'Plan mensual'!M248+parametros_recargas!$I$72*'Plan mensual'!M249+parametros_recargas!$J$72*'Plan mensual'!M250+parametros_recargas!$K$72*'Plan mensual'!M251+parametros_recargas!$L$72*'Plan mensual'!M252</f>
        <v>7998.4249883399</v>
      </c>
      <c r="L226" s="21" t="n">
        <f aca="false">parametros_recargas!$E$72*'Plan mensual'!N245+parametros_recargas!$F$72*'Plan mensual'!N246+parametros_recargas!$G$72*'Plan mensual'!N247+parametros_recargas!$H$72*'Plan mensual'!N248+parametros_recargas!$I$72*'Plan mensual'!N249+parametros_recargas!$J$72*'Plan mensual'!N250+parametros_recargas!$K$72*'Plan mensual'!N251+parametros_recargas!$L$72*'Plan mensual'!N252</f>
        <v>7998.4249883399</v>
      </c>
      <c r="M226" s="21" t="n">
        <f aca="false">parametros_recargas!$E$72*'Plan mensual'!O245+parametros_recargas!$F$72*'Plan mensual'!O246+parametros_recargas!$G$72*'Plan mensual'!O247+parametros_recargas!$H$72*'Plan mensual'!O248+parametros_recargas!$I$72*'Plan mensual'!O249+parametros_recargas!$J$72*'Plan mensual'!O250+parametros_recargas!$K$72*'Plan mensual'!O251+parametros_recargas!$L$72*'Plan mensual'!O252</f>
        <v>7998.4249883399</v>
      </c>
      <c r="N226" s="6" t="n">
        <f aca="false">SUM(B226:M226)</f>
        <v>95981.0998600788</v>
      </c>
      <c r="O226" s="22" t="n">
        <f aca="false">MAX(B226:M226)</f>
        <v>7998.4249883399</v>
      </c>
      <c r="P226" s="12" t="n">
        <f aca="false">O226/parametros_recargas!$B$6</f>
        <v>53.3228332555993</v>
      </c>
    </row>
    <row r="227" customFormat="false" ht="15" hidden="false" customHeight="false" outlineLevel="0" collapsed="false">
      <c r="A227" s="8" t="str">
        <f aca="false">parametros_recargas!$B$73</f>
        <v>Inspección visual</v>
      </c>
      <c r="B227" s="21" t="n">
        <f aca="false">parametros_recargas!$E$73*'Plan mensual'!D245+parametros_recargas!$F$73*'Plan mensual'!D246+parametros_recargas!$G$73*'Plan mensual'!D247+parametros_recargas!$H$73*'Plan mensual'!D248+parametros_recargas!$I$73*'Plan mensual'!D249+parametros_recargas!$J$73*'Plan mensual'!D250+parametros_recargas!$K$73*'Plan mensual'!D251+parametros_recargas!$L$73*'Plan mensual'!D252</f>
        <v>7998.4249883399</v>
      </c>
      <c r="C227" s="21" t="n">
        <f aca="false">parametros_recargas!$E$73*'Plan mensual'!E245+parametros_recargas!$F$73*'Plan mensual'!E246+parametros_recargas!$G$73*'Plan mensual'!E247+parametros_recargas!$H$73*'Plan mensual'!E248+parametros_recargas!$I$73*'Plan mensual'!E249+parametros_recargas!$J$73*'Plan mensual'!E250+parametros_recargas!$K$73*'Plan mensual'!E251+parametros_recargas!$L$73*'Plan mensual'!E252</f>
        <v>7998.4249883399</v>
      </c>
      <c r="D227" s="21" t="n">
        <f aca="false">parametros_recargas!$E$73*'Plan mensual'!F245+parametros_recargas!$F$73*'Plan mensual'!F246+parametros_recargas!$G$73*'Plan mensual'!F247+parametros_recargas!$H$73*'Plan mensual'!F248+parametros_recargas!$I$73*'Plan mensual'!F249+parametros_recargas!$J$73*'Plan mensual'!F250+parametros_recargas!$K$73*'Plan mensual'!F251+parametros_recargas!$L$73*'Plan mensual'!F252</f>
        <v>7998.4249883399</v>
      </c>
      <c r="E227" s="21" t="n">
        <f aca="false">parametros_recargas!$E$73*'Plan mensual'!G245+parametros_recargas!$F$73*'Plan mensual'!G246+parametros_recargas!$G$73*'Plan mensual'!G247+parametros_recargas!$H$73*'Plan mensual'!G248+parametros_recargas!$I$73*'Plan mensual'!G249+parametros_recargas!$J$73*'Plan mensual'!G250+parametros_recargas!$K$73*'Plan mensual'!G251+parametros_recargas!$L$73*'Plan mensual'!G252</f>
        <v>7998.4249883399</v>
      </c>
      <c r="F227" s="21" t="n">
        <f aca="false">parametros_recargas!$E$73*'Plan mensual'!H245+parametros_recargas!$F$73*'Plan mensual'!H246+parametros_recargas!$G$73*'Plan mensual'!H247+parametros_recargas!$H$73*'Plan mensual'!H248+parametros_recargas!$I$73*'Plan mensual'!H249+parametros_recargas!$J$73*'Plan mensual'!H250+parametros_recargas!$K$73*'Plan mensual'!H251+parametros_recargas!$L$73*'Plan mensual'!H252</f>
        <v>7998.4249883399</v>
      </c>
      <c r="G227" s="21" t="n">
        <f aca="false">parametros_recargas!$E$73*'Plan mensual'!I245+parametros_recargas!$F$73*'Plan mensual'!I246+parametros_recargas!$G$73*'Plan mensual'!I247+parametros_recargas!$H$73*'Plan mensual'!I248+parametros_recargas!$I$73*'Plan mensual'!I249+parametros_recargas!$J$73*'Plan mensual'!I250+parametros_recargas!$K$73*'Plan mensual'!I251+parametros_recargas!$L$73*'Plan mensual'!I252</f>
        <v>7998.4249883399</v>
      </c>
      <c r="H227" s="21" t="n">
        <f aca="false">parametros_recargas!$E$73*'Plan mensual'!J245+parametros_recargas!$F$73*'Plan mensual'!J246+parametros_recargas!$G$73*'Plan mensual'!J247+parametros_recargas!$H$73*'Plan mensual'!J248+parametros_recargas!$I$73*'Plan mensual'!J249+parametros_recargas!$J$73*'Plan mensual'!J250+parametros_recargas!$K$73*'Plan mensual'!J251+parametros_recargas!$L$73*'Plan mensual'!J252</f>
        <v>7998.4249883399</v>
      </c>
      <c r="I227" s="21" t="n">
        <f aca="false">parametros_recargas!$E$73*'Plan mensual'!K245+parametros_recargas!$F$73*'Plan mensual'!K246+parametros_recargas!$G$73*'Plan mensual'!K247+parametros_recargas!$H$73*'Plan mensual'!K248+parametros_recargas!$I$73*'Plan mensual'!K249+parametros_recargas!$J$73*'Plan mensual'!K250+parametros_recargas!$K$73*'Plan mensual'!K251+parametros_recargas!$L$73*'Plan mensual'!K252</f>
        <v>7998.4249883399</v>
      </c>
      <c r="J227" s="21" t="n">
        <f aca="false">parametros_recargas!$E$73*'Plan mensual'!L245+parametros_recargas!$F$73*'Plan mensual'!L246+parametros_recargas!$G$73*'Plan mensual'!L247+parametros_recargas!$H$73*'Plan mensual'!L248+parametros_recargas!$I$73*'Plan mensual'!L249+parametros_recargas!$J$73*'Plan mensual'!L250+parametros_recargas!$K$73*'Plan mensual'!L251+parametros_recargas!$L$73*'Plan mensual'!L252</f>
        <v>7998.4249883399</v>
      </c>
      <c r="K227" s="21" t="n">
        <f aca="false">parametros_recargas!$E$73*'Plan mensual'!M245+parametros_recargas!$F$73*'Plan mensual'!M246+parametros_recargas!$G$73*'Plan mensual'!M247+parametros_recargas!$H$73*'Plan mensual'!M248+parametros_recargas!$I$73*'Plan mensual'!M249+parametros_recargas!$J$73*'Plan mensual'!M250+parametros_recargas!$K$73*'Plan mensual'!M251+parametros_recargas!$L$73*'Plan mensual'!M252</f>
        <v>7998.4249883399</v>
      </c>
      <c r="L227" s="21" t="n">
        <f aca="false">parametros_recargas!$E$73*'Plan mensual'!N245+parametros_recargas!$F$73*'Plan mensual'!N246+parametros_recargas!$G$73*'Plan mensual'!N247+parametros_recargas!$H$73*'Plan mensual'!N248+parametros_recargas!$I$73*'Plan mensual'!N249+parametros_recargas!$J$73*'Plan mensual'!N250+parametros_recargas!$K$73*'Plan mensual'!N251+parametros_recargas!$L$73*'Plan mensual'!N252</f>
        <v>7998.4249883399</v>
      </c>
      <c r="M227" s="21" t="n">
        <f aca="false">parametros_recargas!$E$73*'Plan mensual'!O245+parametros_recargas!$F$73*'Plan mensual'!O246+parametros_recargas!$G$73*'Plan mensual'!O247+parametros_recargas!$H$73*'Plan mensual'!O248+parametros_recargas!$I$73*'Plan mensual'!O249+parametros_recargas!$J$73*'Plan mensual'!O250+parametros_recargas!$K$73*'Plan mensual'!O251+parametros_recargas!$L$73*'Plan mensual'!O252</f>
        <v>7998.4249883399</v>
      </c>
      <c r="N227" s="6" t="n">
        <f aca="false">SUM(B227:M227)</f>
        <v>95981.0998600788</v>
      </c>
      <c r="O227" s="22" t="n">
        <f aca="false">MAX(B227:M227)</f>
        <v>7998.4249883399</v>
      </c>
      <c r="P227" s="12" t="n">
        <f aca="false">O227/parametros_recargas!$B$6</f>
        <v>53.3228332555993</v>
      </c>
    </row>
    <row r="228" customFormat="false" ht="15" hidden="false" customHeight="false" outlineLevel="0" collapsed="false">
      <c r="A228" s="8" t="str">
        <f aca="false">parametros_recargas!$B$74</f>
        <v>Descarga ABC — ruta recuperable</v>
      </c>
      <c r="B228" s="21" t="n">
        <f aca="false">parametros_recargas!$E$74*'Plan mensual'!D245+parametros_recargas!$F$74*'Plan mensual'!D246+parametros_recargas!$G$74*'Plan mensual'!D247+parametros_recargas!$H$74*'Plan mensual'!D248+parametros_recargas!$I$74*'Plan mensual'!D249+parametros_recargas!$J$74*'Plan mensual'!D250+parametros_recargas!$K$74*'Plan mensual'!D251+parametros_recargas!$L$74*'Plan mensual'!D252</f>
        <v>5922.65358251499</v>
      </c>
      <c r="C228" s="21" t="n">
        <f aca="false">parametros_recargas!$E$74*'Plan mensual'!E245+parametros_recargas!$F$74*'Plan mensual'!E246+parametros_recargas!$G$74*'Plan mensual'!E247+parametros_recargas!$H$74*'Plan mensual'!E248+parametros_recargas!$I$74*'Plan mensual'!E249+parametros_recargas!$J$74*'Plan mensual'!E250+parametros_recargas!$K$74*'Plan mensual'!E251+parametros_recargas!$L$74*'Plan mensual'!E252</f>
        <v>5922.65358251499</v>
      </c>
      <c r="D228" s="21" t="n">
        <f aca="false">parametros_recargas!$E$74*'Plan mensual'!F245+parametros_recargas!$F$74*'Plan mensual'!F246+parametros_recargas!$G$74*'Plan mensual'!F247+parametros_recargas!$H$74*'Plan mensual'!F248+parametros_recargas!$I$74*'Plan mensual'!F249+parametros_recargas!$J$74*'Plan mensual'!F250+parametros_recargas!$K$74*'Plan mensual'!F251+parametros_recargas!$L$74*'Plan mensual'!F252</f>
        <v>5922.65358251499</v>
      </c>
      <c r="E228" s="21" t="n">
        <f aca="false">parametros_recargas!$E$74*'Plan mensual'!G245+parametros_recargas!$F$74*'Plan mensual'!G246+parametros_recargas!$G$74*'Plan mensual'!G247+parametros_recargas!$H$74*'Plan mensual'!G248+parametros_recargas!$I$74*'Plan mensual'!G249+parametros_recargas!$J$74*'Plan mensual'!G250+parametros_recargas!$K$74*'Plan mensual'!G251+parametros_recargas!$L$74*'Plan mensual'!G252</f>
        <v>5922.65358251499</v>
      </c>
      <c r="F228" s="21" t="n">
        <f aca="false">parametros_recargas!$E$74*'Plan mensual'!H245+parametros_recargas!$F$74*'Plan mensual'!H246+parametros_recargas!$G$74*'Plan mensual'!H247+parametros_recargas!$H$74*'Plan mensual'!H248+parametros_recargas!$I$74*'Plan mensual'!H249+parametros_recargas!$J$74*'Plan mensual'!H250+parametros_recargas!$K$74*'Plan mensual'!H251+parametros_recargas!$L$74*'Plan mensual'!H252</f>
        <v>5922.65358251499</v>
      </c>
      <c r="G228" s="21" t="n">
        <f aca="false">parametros_recargas!$E$74*'Plan mensual'!I245+parametros_recargas!$F$74*'Plan mensual'!I246+parametros_recargas!$G$74*'Plan mensual'!I247+parametros_recargas!$H$74*'Plan mensual'!I248+parametros_recargas!$I$74*'Plan mensual'!I249+parametros_recargas!$J$74*'Plan mensual'!I250+parametros_recargas!$K$74*'Plan mensual'!I251+parametros_recargas!$L$74*'Plan mensual'!I252</f>
        <v>5922.65358251499</v>
      </c>
      <c r="H228" s="21" t="n">
        <f aca="false">parametros_recargas!$E$74*'Plan mensual'!J245+parametros_recargas!$F$74*'Plan mensual'!J246+parametros_recargas!$G$74*'Plan mensual'!J247+parametros_recargas!$H$74*'Plan mensual'!J248+parametros_recargas!$I$74*'Plan mensual'!J249+parametros_recargas!$J$74*'Plan mensual'!J250+parametros_recargas!$K$74*'Plan mensual'!J251+parametros_recargas!$L$74*'Plan mensual'!J252</f>
        <v>5922.65358251499</v>
      </c>
      <c r="I228" s="21" t="n">
        <f aca="false">parametros_recargas!$E$74*'Plan mensual'!K245+parametros_recargas!$F$74*'Plan mensual'!K246+parametros_recargas!$G$74*'Plan mensual'!K247+parametros_recargas!$H$74*'Plan mensual'!K248+parametros_recargas!$I$74*'Plan mensual'!K249+parametros_recargas!$J$74*'Plan mensual'!K250+parametros_recargas!$K$74*'Plan mensual'!K251+parametros_recargas!$L$74*'Plan mensual'!K252</f>
        <v>5922.65358251499</v>
      </c>
      <c r="J228" s="21" t="n">
        <f aca="false">parametros_recargas!$E$74*'Plan mensual'!L245+parametros_recargas!$F$74*'Plan mensual'!L246+parametros_recargas!$G$74*'Plan mensual'!L247+parametros_recargas!$H$74*'Plan mensual'!L248+parametros_recargas!$I$74*'Plan mensual'!L249+parametros_recargas!$J$74*'Plan mensual'!L250+parametros_recargas!$K$74*'Plan mensual'!L251+parametros_recargas!$L$74*'Plan mensual'!L252</f>
        <v>5922.65358251499</v>
      </c>
      <c r="K228" s="21" t="n">
        <f aca="false">parametros_recargas!$E$74*'Plan mensual'!M245+parametros_recargas!$F$74*'Plan mensual'!M246+parametros_recargas!$G$74*'Plan mensual'!M247+parametros_recargas!$H$74*'Plan mensual'!M248+parametros_recargas!$I$74*'Plan mensual'!M249+parametros_recargas!$J$74*'Plan mensual'!M250+parametros_recargas!$K$74*'Plan mensual'!M251+parametros_recargas!$L$74*'Plan mensual'!M252</f>
        <v>5922.65358251499</v>
      </c>
      <c r="L228" s="21" t="n">
        <f aca="false">parametros_recargas!$E$74*'Plan mensual'!N245+parametros_recargas!$F$74*'Plan mensual'!N246+parametros_recargas!$G$74*'Plan mensual'!N247+parametros_recargas!$H$74*'Plan mensual'!N248+parametros_recargas!$I$74*'Plan mensual'!N249+parametros_recargas!$J$74*'Plan mensual'!N250+parametros_recargas!$K$74*'Plan mensual'!N251+parametros_recargas!$L$74*'Plan mensual'!N252</f>
        <v>5922.65358251499</v>
      </c>
      <c r="M228" s="21" t="n">
        <f aca="false">parametros_recargas!$E$74*'Plan mensual'!O245+parametros_recargas!$F$74*'Plan mensual'!O246+parametros_recargas!$G$74*'Plan mensual'!O247+parametros_recargas!$H$74*'Plan mensual'!O248+parametros_recargas!$I$74*'Plan mensual'!O249+parametros_recargas!$J$74*'Plan mensual'!O250+parametros_recargas!$K$74*'Plan mensual'!O251+parametros_recargas!$L$74*'Plan mensual'!O252</f>
        <v>5922.65358251499</v>
      </c>
      <c r="N228" s="6" t="n">
        <f aca="false">SUM(B228:M228)</f>
        <v>71071.8429901799</v>
      </c>
      <c r="O228" s="22" t="n">
        <f aca="false">MAX(B228:M228)</f>
        <v>5922.65358251499</v>
      </c>
      <c r="P228" s="12" t="n">
        <f aca="false">O228/parametros_recargas!$B$6</f>
        <v>39.4843572167666</v>
      </c>
    </row>
    <row r="229" customFormat="false" ht="15" hidden="false" customHeight="false" outlineLevel="0" collapsed="false">
      <c r="A229" s="8" t="str">
        <f aca="false">parametros_recargas!$B$75</f>
        <v>Descarga ABC — ruta descarte</v>
      </c>
      <c r="B229" s="21" t="n">
        <f aca="false">parametros_recargas!$E$75*'Plan mensual'!D245+parametros_recargas!$F$75*'Plan mensual'!D246+parametros_recargas!$G$75*'Plan mensual'!D247+parametros_recargas!$H$75*'Plan mensual'!D248+parametros_recargas!$I$75*'Plan mensual'!D249+parametros_recargas!$J$75*'Plan mensual'!D250+parametros_recargas!$K$75*'Plan mensual'!D251+parametros_recargas!$L$75*'Plan mensual'!D252</f>
        <v>696.782774413529</v>
      </c>
      <c r="C229" s="21" t="n">
        <f aca="false">parametros_recargas!$E$75*'Plan mensual'!E245+parametros_recargas!$F$75*'Plan mensual'!E246+parametros_recargas!$G$75*'Plan mensual'!E247+parametros_recargas!$H$75*'Plan mensual'!E248+parametros_recargas!$I$75*'Plan mensual'!E249+parametros_recargas!$J$75*'Plan mensual'!E250+parametros_recargas!$K$75*'Plan mensual'!E251+parametros_recargas!$L$75*'Plan mensual'!E252</f>
        <v>696.782774413529</v>
      </c>
      <c r="D229" s="21" t="n">
        <f aca="false">parametros_recargas!$E$75*'Plan mensual'!F245+parametros_recargas!$F$75*'Plan mensual'!F246+parametros_recargas!$G$75*'Plan mensual'!F247+parametros_recargas!$H$75*'Plan mensual'!F248+parametros_recargas!$I$75*'Plan mensual'!F249+parametros_recargas!$J$75*'Plan mensual'!F250+parametros_recargas!$K$75*'Plan mensual'!F251+parametros_recargas!$L$75*'Plan mensual'!F252</f>
        <v>696.782774413529</v>
      </c>
      <c r="E229" s="21" t="n">
        <f aca="false">parametros_recargas!$E$75*'Plan mensual'!G245+parametros_recargas!$F$75*'Plan mensual'!G246+parametros_recargas!$G$75*'Plan mensual'!G247+parametros_recargas!$H$75*'Plan mensual'!G248+parametros_recargas!$I$75*'Plan mensual'!G249+parametros_recargas!$J$75*'Plan mensual'!G250+parametros_recargas!$K$75*'Plan mensual'!G251+parametros_recargas!$L$75*'Plan mensual'!G252</f>
        <v>696.782774413529</v>
      </c>
      <c r="F229" s="21" t="n">
        <f aca="false">parametros_recargas!$E$75*'Plan mensual'!H245+parametros_recargas!$F$75*'Plan mensual'!H246+parametros_recargas!$G$75*'Plan mensual'!H247+parametros_recargas!$H$75*'Plan mensual'!H248+parametros_recargas!$I$75*'Plan mensual'!H249+parametros_recargas!$J$75*'Plan mensual'!H250+parametros_recargas!$K$75*'Plan mensual'!H251+parametros_recargas!$L$75*'Plan mensual'!H252</f>
        <v>696.782774413529</v>
      </c>
      <c r="G229" s="21" t="n">
        <f aca="false">parametros_recargas!$E$75*'Plan mensual'!I245+parametros_recargas!$F$75*'Plan mensual'!I246+parametros_recargas!$G$75*'Plan mensual'!I247+parametros_recargas!$H$75*'Plan mensual'!I248+parametros_recargas!$I$75*'Plan mensual'!I249+parametros_recargas!$J$75*'Plan mensual'!I250+parametros_recargas!$K$75*'Plan mensual'!I251+parametros_recargas!$L$75*'Plan mensual'!I252</f>
        <v>696.782774413529</v>
      </c>
      <c r="H229" s="21" t="n">
        <f aca="false">parametros_recargas!$E$75*'Plan mensual'!J245+parametros_recargas!$F$75*'Plan mensual'!J246+parametros_recargas!$G$75*'Plan mensual'!J247+parametros_recargas!$H$75*'Plan mensual'!J248+parametros_recargas!$I$75*'Plan mensual'!J249+parametros_recargas!$J$75*'Plan mensual'!J250+parametros_recargas!$K$75*'Plan mensual'!J251+parametros_recargas!$L$75*'Plan mensual'!J252</f>
        <v>696.782774413529</v>
      </c>
      <c r="I229" s="21" t="n">
        <f aca="false">parametros_recargas!$E$75*'Plan mensual'!K245+parametros_recargas!$F$75*'Plan mensual'!K246+parametros_recargas!$G$75*'Plan mensual'!K247+parametros_recargas!$H$75*'Plan mensual'!K248+parametros_recargas!$I$75*'Plan mensual'!K249+parametros_recargas!$J$75*'Plan mensual'!K250+parametros_recargas!$K$75*'Plan mensual'!K251+parametros_recargas!$L$75*'Plan mensual'!K252</f>
        <v>696.782774413529</v>
      </c>
      <c r="J229" s="21" t="n">
        <f aca="false">parametros_recargas!$E$75*'Plan mensual'!L245+parametros_recargas!$F$75*'Plan mensual'!L246+parametros_recargas!$G$75*'Plan mensual'!L247+parametros_recargas!$H$75*'Plan mensual'!L248+parametros_recargas!$I$75*'Plan mensual'!L249+parametros_recargas!$J$75*'Plan mensual'!L250+parametros_recargas!$K$75*'Plan mensual'!L251+parametros_recargas!$L$75*'Plan mensual'!L252</f>
        <v>696.782774413529</v>
      </c>
      <c r="K229" s="21" t="n">
        <f aca="false">parametros_recargas!$E$75*'Plan mensual'!M245+parametros_recargas!$F$75*'Plan mensual'!M246+parametros_recargas!$G$75*'Plan mensual'!M247+parametros_recargas!$H$75*'Plan mensual'!M248+parametros_recargas!$I$75*'Plan mensual'!M249+parametros_recargas!$J$75*'Plan mensual'!M250+parametros_recargas!$K$75*'Plan mensual'!M251+parametros_recargas!$L$75*'Plan mensual'!M252</f>
        <v>696.782774413529</v>
      </c>
      <c r="L229" s="21" t="n">
        <f aca="false">parametros_recargas!$E$75*'Plan mensual'!N245+parametros_recargas!$F$75*'Plan mensual'!N246+parametros_recargas!$G$75*'Plan mensual'!N247+parametros_recargas!$H$75*'Plan mensual'!N248+parametros_recargas!$I$75*'Plan mensual'!N249+parametros_recargas!$J$75*'Plan mensual'!N250+parametros_recargas!$K$75*'Plan mensual'!N251+parametros_recargas!$L$75*'Plan mensual'!N252</f>
        <v>696.782774413529</v>
      </c>
      <c r="M229" s="21" t="n">
        <f aca="false">parametros_recargas!$E$75*'Plan mensual'!O245+parametros_recargas!$F$75*'Plan mensual'!O246+parametros_recargas!$G$75*'Plan mensual'!O247+parametros_recargas!$H$75*'Plan mensual'!O248+parametros_recargas!$I$75*'Plan mensual'!O249+parametros_recargas!$J$75*'Plan mensual'!O250+parametros_recargas!$K$75*'Plan mensual'!O251+parametros_recargas!$L$75*'Plan mensual'!O252</f>
        <v>696.782774413529</v>
      </c>
      <c r="N229" s="6" t="n">
        <f aca="false">SUM(B229:M229)</f>
        <v>8361.39329296234</v>
      </c>
      <c r="O229" s="22" t="n">
        <f aca="false">MAX(B229:M229)</f>
        <v>696.782774413529</v>
      </c>
      <c r="P229" s="12" t="n">
        <f aca="false">O229/parametros_recargas!$B$6</f>
        <v>4.64521849609019</v>
      </c>
    </row>
    <row r="230" customFormat="false" ht="15" hidden="false" customHeight="false" outlineLevel="0" collapsed="false">
      <c r="A230" s="8" t="str">
        <f aca="false">parametros_recargas!$B$76</f>
        <v>Descarga BC</v>
      </c>
      <c r="B230" s="21" t="n">
        <f aca="false">parametros_recargas!$E$76*'Plan mensual'!D245+parametros_recargas!$F$76*'Plan mensual'!D246+parametros_recargas!$G$76*'Plan mensual'!D247+parametros_recargas!$H$76*'Plan mensual'!D248+parametros_recargas!$I$76*'Plan mensual'!D249+parametros_recargas!$J$76*'Plan mensual'!D250+parametros_recargas!$K$76*'Plan mensual'!D251+parametros_recargas!$L$76*'Plan mensual'!D252</f>
        <v>9.97653078563615</v>
      </c>
      <c r="C230" s="21" t="n">
        <f aca="false">parametros_recargas!$E$76*'Plan mensual'!E245+parametros_recargas!$F$76*'Plan mensual'!E246+parametros_recargas!$G$76*'Plan mensual'!E247+parametros_recargas!$H$76*'Plan mensual'!E248+parametros_recargas!$I$76*'Plan mensual'!E249+parametros_recargas!$J$76*'Plan mensual'!E250+parametros_recargas!$K$76*'Plan mensual'!E251+parametros_recargas!$L$76*'Plan mensual'!E252</f>
        <v>9.97653078563615</v>
      </c>
      <c r="D230" s="21" t="n">
        <f aca="false">parametros_recargas!$E$76*'Plan mensual'!F245+parametros_recargas!$F$76*'Plan mensual'!F246+parametros_recargas!$G$76*'Plan mensual'!F247+parametros_recargas!$H$76*'Plan mensual'!F248+parametros_recargas!$I$76*'Plan mensual'!F249+parametros_recargas!$J$76*'Plan mensual'!F250+parametros_recargas!$K$76*'Plan mensual'!F251+parametros_recargas!$L$76*'Plan mensual'!F252</f>
        <v>9.97653078563615</v>
      </c>
      <c r="E230" s="21" t="n">
        <f aca="false">parametros_recargas!$E$76*'Plan mensual'!G245+parametros_recargas!$F$76*'Plan mensual'!G246+parametros_recargas!$G$76*'Plan mensual'!G247+parametros_recargas!$H$76*'Plan mensual'!G248+parametros_recargas!$I$76*'Plan mensual'!G249+parametros_recargas!$J$76*'Plan mensual'!G250+parametros_recargas!$K$76*'Plan mensual'!G251+parametros_recargas!$L$76*'Plan mensual'!G252</f>
        <v>9.97653078563615</v>
      </c>
      <c r="F230" s="21" t="n">
        <f aca="false">parametros_recargas!$E$76*'Plan mensual'!H245+parametros_recargas!$F$76*'Plan mensual'!H246+parametros_recargas!$G$76*'Plan mensual'!H247+parametros_recargas!$H$76*'Plan mensual'!H248+parametros_recargas!$I$76*'Plan mensual'!H249+parametros_recargas!$J$76*'Plan mensual'!H250+parametros_recargas!$K$76*'Plan mensual'!H251+parametros_recargas!$L$76*'Plan mensual'!H252</f>
        <v>9.97653078563615</v>
      </c>
      <c r="G230" s="21" t="n">
        <f aca="false">parametros_recargas!$E$76*'Plan mensual'!I245+parametros_recargas!$F$76*'Plan mensual'!I246+parametros_recargas!$G$76*'Plan mensual'!I247+parametros_recargas!$H$76*'Plan mensual'!I248+parametros_recargas!$I$76*'Plan mensual'!I249+parametros_recargas!$J$76*'Plan mensual'!I250+parametros_recargas!$K$76*'Plan mensual'!I251+parametros_recargas!$L$76*'Plan mensual'!I252</f>
        <v>9.97653078563615</v>
      </c>
      <c r="H230" s="21" t="n">
        <f aca="false">parametros_recargas!$E$76*'Plan mensual'!J245+parametros_recargas!$F$76*'Plan mensual'!J246+parametros_recargas!$G$76*'Plan mensual'!J247+parametros_recargas!$H$76*'Plan mensual'!J248+parametros_recargas!$I$76*'Plan mensual'!J249+parametros_recargas!$J$76*'Plan mensual'!J250+parametros_recargas!$K$76*'Plan mensual'!J251+parametros_recargas!$L$76*'Plan mensual'!J252</f>
        <v>9.97653078563615</v>
      </c>
      <c r="I230" s="21" t="n">
        <f aca="false">parametros_recargas!$E$76*'Plan mensual'!K245+parametros_recargas!$F$76*'Plan mensual'!K246+parametros_recargas!$G$76*'Plan mensual'!K247+parametros_recargas!$H$76*'Plan mensual'!K248+parametros_recargas!$I$76*'Plan mensual'!K249+parametros_recargas!$J$76*'Plan mensual'!K250+parametros_recargas!$K$76*'Plan mensual'!K251+parametros_recargas!$L$76*'Plan mensual'!K252</f>
        <v>9.97653078563615</v>
      </c>
      <c r="J230" s="21" t="n">
        <f aca="false">parametros_recargas!$E$76*'Plan mensual'!L245+parametros_recargas!$F$76*'Plan mensual'!L246+parametros_recargas!$G$76*'Plan mensual'!L247+parametros_recargas!$H$76*'Plan mensual'!L248+parametros_recargas!$I$76*'Plan mensual'!L249+parametros_recargas!$J$76*'Plan mensual'!L250+parametros_recargas!$K$76*'Plan mensual'!L251+parametros_recargas!$L$76*'Plan mensual'!L252</f>
        <v>9.97653078563615</v>
      </c>
      <c r="K230" s="21" t="n">
        <f aca="false">parametros_recargas!$E$76*'Plan mensual'!M245+parametros_recargas!$F$76*'Plan mensual'!M246+parametros_recargas!$G$76*'Plan mensual'!M247+parametros_recargas!$H$76*'Plan mensual'!M248+parametros_recargas!$I$76*'Plan mensual'!M249+parametros_recargas!$J$76*'Plan mensual'!M250+parametros_recargas!$K$76*'Plan mensual'!M251+parametros_recargas!$L$76*'Plan mensual'!M252</f>
        <v>9.97653078563615</v>
      </c>
      <c r="L230" s="21" t="n">
        <f aca="false">parametros_recargas!$E$76*'Plan mensual'!N245+parametros_recargas!$F$76*'Plan mensual'!N246+parametros_recargas!$G$76*'Plan mensual'!N247+parametros_recargas!$H$76*'Plan mensual'!N248+parametros_recargas!$I$76*'Plan mensual'!N249+parametros_recargas!$J$76*'Plan mensual'!N250+parametros_recargas!$K$76*'Plan mensual'!N251+parametros_recargas!$L$76*'Plan mensual'!N252</f>
        <v>9.97653078563615</v>
      </c>
      <c r="M230" s="21" t="n">
        <f aca="false">parametros_recargas!$E$76*'Plan mensual'!O245+parametros_recargas!$F$76*'Plan mensual'!O246+parametros_recargas!$G$76*'Plan mensual'!O247+parametros_recargas!$H$76*'Plan mensual'!O248+parametros_recargas!$I$76*'Plan mensual'!O249+parametros_recargas!$J$76*'Plan mensual'!O250+parametros_recargas!$K$76*'Plan mensual'!O251+parametros_recargas!$L$76*'Plan mensual'!O252</f>
        <v>9.97653078563615</v>
      </c>
      <c r="N230" s="6" t="n">
        <f aca="false">SUM(B230:M230)</f>
        <v>119.718369427634</v>
      </c>
      <c r="O230" s="22" t="n">
        <f aca="false">MAX(B230:M230)</f>
        <v>9.97653078563615</v>
      </c>
      <c r="P230" s="12" t="n">
        <f aca="false">O230/parametros_recargas!$B$6</f>
        <v>0.0665102052375743</v>
      </c>
    </row>
    <row r="231" customFormat="false" ht="15" hidden="false" customHeight="false" outlineLevel="0" collapsed="false">
      <c r="A231" s="8" t="str">
        <f aca="false">parametros_recargas!$B$77</f>
        <v>Descarga de agua / AFFF / sales K</v>
      </c>
      <c r="B231" s="21" t="n">
        <f aca="false">parametros_recargas!$E$77*'Plan mensual'!D245+parametros_recargas!$F$77*'Plan mensual'!D246+parametros_recargas!$G$77*'Plan mensual'!D247+parametros_recargas!$H$77*'Plan mensual'!D248+parametros_recargas!$I$77*'Plan mensual'!D249+parametros_recargas!$J$77*'Plan mensual'!D250+parametros_recargas!$K$77*'Plan mensual'!D251+parametros_recargas!$L$77*'Plan mensual'!D252</f>
        <v>348.453412148756</v>
      </c>
      <c r="C231" s="21" t="n">
        <f aca="false">parametros_recargas!$E$77*'Plan mensual'!E245+parametros_recargas!$F$77*'Plan mensual'!E246+parametros_recargas!$G$77*'Plan mensual'!E247+parametros_recargas!$H$77*'Plan mensual'!E248+parametros_recargas!$I$77*'Plan mensual'!E249+parametros_recargas!$J$77*'Plan mensual'!E250+parametros_recargas!$K$77*'Plan mensual'!E251+parametros_recargas!$L$77*'Plan mensual'!E252</f>
        <v>348.453412148756</v>
      </c>
      <c r="D231" s="21" t="n">
        <f aca="false">parametros_recargas!$E$77*'Plan mensual'!F245+parametros_recargas!$F$77*'Plan mensual'!F246+parametros_recargas!$G$77*'Plan mensual'!F247+parametros_recargas!$H$77*'Plan mensual'!F248+parametros_recargas!$I$77*'Plan mensual'!F249+parametros_recargas!$J$77*'Plan mensual'!F250+parametros_recargas!$K$77*'Plan mensual'!F251+parametros_recargas!$L$77*'Plan mensual'!F252</f>
        <v>348.453412148756</v>
      </c>
      <c r="E231" s="21" t="n">
        <f aca="false">parametros_recargas!$E$77*'Plan mensual'!G245+parametros_recargas!$F$77*'Plan mensual'!G246+parametros_recargas!$G$77*'Plan mensual'!G247+parametros_recargas!$H$77*'Plan mensual'!G248+parametros_recargas!$I$77*'Plan mensual'!G249+parametros_recargas!$J$77*'Plan mensual'!G250+parametros_recargas!$K$77*'Plan mensual'!G251+parametros_recargas!$L$77*'Plan mensual'!G252</f>
        <v>348.453412148756</v>
      </c>
      <c r="F231" s="21" t="n">
        <f aca="false">parametros_recargas!$E$77*'Plan mensual'!H245+parametros_recargas!$F$77*'Plan mensual'!H246+parametros_recargas!$G$77*'Plan mensual'!H247+parametros_recargas!$H$77*'Plan mensual'!H248+parametros_recargas!$I$77*'Plan mensual'!H249+parametros_recargas!$J$77*'Plan mensual'!H250+parametros_recargas!$K$77*'Plan mensual'!H251+parametros_recargas!$L$77*'Plan mensual'!H252</f>
        <v>348.453412148756</v>
      </c>
      <c r="G231" s="21" t="n">
        <f aca="false">parametros_recargas!$E$77*'Plan mensual'!I245+parametros_recargas!$F$77*'Plan mensual'!I246+parametros_recargas!$G$77*'Plan mensual'!I247+parametros_recargas!$H$77*'Plan mensual'!I248+parametros_recargas!$I$77*'Plan mensual'!I249+parametros_recargas!$J$77*'Plan mensual'!I250+parametros_recargas!$K$77*'Plan mensual'!I251+parametros_recargas!$L$77*'Plan mensual'!I252</f>
        <v>348.453412148756</v>
      </c>
      <c r="H231" s="21" t="n">
        <f aca="false">parametros_recargas!$E$77*'Plan mensual'!J245+parametros_recargas!$F$77*'Plan mensual'!J246+parametros_recargas!$G$77*'Plan mensual'!J247+parametros_recargas!$H$77*'Plan mensual'!J248+parametros_recargas!$I$77*'Plan mensual'!J249+parametros_recargas!$J$77*'Plan mensual'!J250+parametros_recargas!$K$77*'Plan mensual'!J251+parametros_recargas!$L$77*'Plan mensual'!J252</f>
        <v>348.453412148756</v>
      </c>
      <c r="I231" s="21" t="n">
        <f aca="false">parametros_recargas!$E$77*'Plan mensual'!K245+parametros_recargas!$F$77*'Plan mensual'!K246+parametros_recargas!$G$77*'Plan mensual'!K247+parametros_recargas!$H$77*'Plan mensual'!K248+parametros_recargas!$I$77*'Plan mensual'!K249+parametros_recargas!$J$77*'Plan mensual'!K250+parametros_recargas!$K$77*'Plan mensual'!K251+parametros_recargas!$L$77*'Plan mensual'!K252</f>
        <v>348.453412148756</v>
      </c>
      <c r="J231" s="21" t="n">
        <f aca="false">parametros_recargas!$E$77*'Plan mensual'!L245+parametros_recargas!$F$77*'Plan mensual'!L246+parametros_recargas!$G$77*'Plan mensual'!L247+parametros_recargas!$H$77*'Plan mensual'!L248+parametros_recargas!$I$77*'Plan mensual'!L249+parametros_recargas!$J$77*'Plan mensual'!L250+parametros_recargas!$K$77*'Plan mensual'!L251+parametros_recargas!$L$77*'Plan mensual'!L252</f>
        <v>348.453412148756</v>
      </c>
      <c r="K231" s="21" t="n">
        <f aca="false">parametros_recargas!$E$77*'Plan mensual'!M245+parametros_recargas!$F$77*'Plan mensual'!M246+parametros_recargas!$G$77*'Plan mensual'!M247+parametros_recargas!$H$77*'Plan mensual'!M248+parametros_recargas!$I$77*'Plan mensual'!M249+parametros_recargas!$J$77*'Plan mensual'!M250+parametros_recargas!$K$77*'Plan mensual'!M251+parametros_recargas!$L$77*'Plan mensual'!M252</f>
        <v>348.453412148756</v>
      </c>
      <c r="L231" s="21" t="n">
        <f aca="false">parametros_recargas!$E$77*'Plan mensual'!N245+parametros_recargas!$F$77*'Plan mensual'!N246+parametros_recargas!$G$77*'Plan mensual'!N247+parametros_recargas!$H$77*'Plan mensual'!N248+parametros_recargas!$I$77*'Plan mensual'!N249+parametros_recargas!$J$77*'Plan mensual'!N250+parametros_recargas!$K$77*'Plan mensual'!N251+parametros_recargas!$L$77*'Plan mensual'!N252</f>
        <v>348.453412148756</v>
      </c>
      <c r="M231" s="21" t="n">
        <f aca="false">parametros_recargas!$E$77*'Plan mensual'!O245+parametros_recargas!$F$77*'Plan mensual'!O246+parametros_recargas!$G$77*'Plan mensual'!O247+parametros_recargas!$H$77*'Plan mensual'!O248+parametros_recargas!$I$77*'Plan mensual'!O249+parametros_recargas!$J$77*'Plan mensual'!O250+parametros_recargas!$K$77*'Plan mensual'!O251+parametros_recargas!$L$77*'Plan mensual'!O252</f>
        <v>348.453412148756</v>
      </c>
      <c r="N231" s="6" t="n">
        <f aca="false">SUM(B231:M231)</f>
        <v>4181.44094578507</v>
      </c>
      <c r="O231" s="22" t="n">
        <f aca="false">MAX(B231:M231)</f>
        <v>348.453412148756</v>
      </c>
      <c r="P231" s="12" t="n">
        <f aca="false">O231/parametros_recargas!$B$6</f>
        <v>2.32302274765837</v>
      </c>
    </row>
    <row r="232" customFormat="false" ht="15" hidden="false" customHeight="false" outlineLevel="0" collapsed="false">
      <c r="A232" s="8" t="str">
        <f aca="false">parametros_recargas!$B$78</f>
        <v>Recuperación de CO₂</v>
      </c>
      <c r="B232" s="21" t="n">
        <f aca="false">parametros_recargas!$E$78*'Plan mensual'!D245+parametros_recargas!$F$78*'Plan mensual'!D246+parametros_recargas!$G$78*'Plan mensual'!D247+parametros_recargas!$H$78*'Plan mensual'!D248+parametros_recargas!$I$78*'Plan mensual'!D249+parametros_recargas!$J$78*'Plan mensual'!D250+parametros_recargas!$K$78*'Plan mensual'!D251+parametros_recargas!$L$78*'Plan mensual'!D252</f>
        <v>159.274877924436</v>
      </c>
      <c r="C232" s="21" t="n">
        <f aca="false">parametros_recargas!$E$78*'Plan mensual'!E245+parametros_recargas!$F$78*'Plan mensual'!E246+parametros_recargas!$G$78*'Plan mensual'!E247+parametros_recargas!$H$78*'Plan mensual'!E248+parametros_recargas!$I$78*'Plan mensual'!E249+parametros_recargas!$J$78*'Plan mensual'!E250+parametros_recargas!$K$78*'Plan mensual'!E251+parametros_recargas!$L$78*'Plan mensual'!E252</f>
        <v>159.274877924436</v>
      </c>
      <c r="D232" s="21" t="n">
        <f aca="false">parametros_recargas!$E$78*'Plan mensual'!F245+parametros_recargas!$F$78*'Plan mensual'!F246+parametros_recargas!$G$78*'Plan mensual'!F247+parametros_recargas!$H$78*'Plan mensual'!F248+parametros_recargas!$I$78*'Plan mensual'!F249+parametros_recargas!$J$78*'Plan mensual'!F250+parametros_recargas!$K$78*'Plan mensual'!F251+parametros_recargas!$L$78*'Plan mensual'!F252</f>
        <v>159.274877924436</v>
      </c>
      <c r="E232" s="21" t="n">
        <f aca="false">parametros_recargas!$E$78*'Plan mensual'!G245+parametros_recargas!$F$78*'Plan mensual'!G246+parametros_recargas!$G$78*'Plan mensual'!G247+parametros_recargas!$H$78*'Plan mensual'!G248+parametros_recargas!$I$78*'Plan mensual'!G249+parametros_recargas!$J$78*'Plan mensual'!G250+parametros_recargas!$K$78*'Plan mensual'!G251+parametros_recargas!$L$78*'Plan mensual'!G252</f>
        <v>159.274877924436</v>
      </c>
      <c r="F232" s="21" t="n">
        <f aca="false">parametros_recargas!$E$78*'Plan mensual'!H245+parametros_recargas!$F$78*'Plan mensual'!H246+parametros_recargas!$G$78*'Plan mensual'!H247+parametros_recargas!$H$78*'Plan mensual'!H248+parametros_recargas!$I$78*'Plan mensual'!H249+parametros_recargas!$J$78*'Plan mensual'!H250+parametros_recargas!$K$78*'Plan mensual'!H251+parametros_recargas!$L$78*'Plan mensual'!H252</f>
        <v>159.274877924436</v>
      </c>
      <c r="G232" s="21" t="n">
        <f aca="false">parametros_recargas!$E$78*'Plan mensual'!I245+parametros_recargas!$F$78*'Plan mensual'!I246+parametros_recargas!$G$78*'Plan mensual'!I247+parametros_recargas!$H$78*'Plan mensual'!I248+parametros_recargas!$I$78*'Plan mensual'!I249+parametros_recargas!$J$78*'Plan mensual'!I250+parametros_recargas!$K$78*'Plan mensual'!I251+parametros_recargas!$L$78*'Plan mensual'!I252</f>
        <v>159.274877924436</v>
      </c>
      <c r="H232" s="21" t="n">
        <f aca="false">parametros_recargas!$E$78*'Plan mensual'!J245+parametros_recargas!$F$78*'Plan mensual'!J246+parametros_recargas!$G$78*'Plan mensual'!J247+parametros_recargas!$H$78*'Plan mensual'!J248+parametros_recargas!$I$78*'Plan mensual'!J249+parametros_recargas!$J$78*'Plan mensual'!J250+parametros_recargas!$K$78*'Plan mensual'!J251+parametros_recargas!$L$78*'Plan mensual'!J252</f>
        <v>159.274877924436</v>
      </c>
      <c r="I232" s="21" t="n">
        <f aca="false">parametros_recargas!$E$78*'Plan mensual'!K245+parametros_recargas!$F$78*'Plan mensual'!K246+parametros_recargas!$G$78*'Plan mensual'!K247+parametros_recargas!$H$78*'Plan mensual'!K248+parametros_recargas!$I$78*'Plan mensual'!K249+parametros_recargas!$J$78*'Plan mensual'!K250+parametros_recargas!$K$78*'Plan mensual'!K251+parametros_recargas!$L$78*'Plan mensual'!K252</f>
        <v>159.274877924436</v>
      </c>
      <c r="J232" s="21" t="n">
        <f aca="false">parametros_recargas!$E$78*'Plan mensual'!L245+parametros_recargas!$F$78*'Plan mensual'!L246+parametros_recargas!$G$78*'Plan mensual'!L247+parametros_recargas!$H$78*'Plan mensual'!L248+parametros_recargas!$I$78*'Plan mensual'!L249+parametros_recargas!$J$78*'Plan mensual'!L250+parametros_recargas!$K$78*'Plan mensual'!L251+parametros_recargas!$L$78*'Plan mensual'!L252</f>
        <v>159.274877924436</v>
      </c>
      <c r="K232" s="21" t="n">
        <f aca="false">parametros_recargas!$E$78*'Plan mensual'!M245+parametros_recargas!$F$78*'Plan mensual'!M246+parametros_recargas!$G$78*'Plan mensual'!M247+parametros_recargas!$H$78*'Plan mensual'!M248+parametros_recargas!$I$78*'Plan mensual'!M249+parametros_recargas!$J$78*'Plan mensual'!M250+parametros_recargas!$K$78*'Plan mensual'!M251+parametros_recargas!$L$78*'Plan mensual'!M252</f>
        <v>159.274877924436</v>
      </c>
      <c r="L232" s="21" t="n">
        <f aca="false">parametros_recargas!$E$78*'Plan mensual'!N245+parametros_recargas!$F$78*'Plan mensual'!N246+parametros_recargas!$G$78*'Plan mensual'!N247+parametros_recargas!$H$78*'Plan mensual'!N248+parametros_recargas!$I$78*'Plan mensual'!N249+parametros_recargas!$J$78*'Plan mensual'!N250+parametros_recargas!$K$78*'Plan mensual'!N251+parametros_recargas!$L$78*'Plan mensual'!N252</f>
        <v>159.274877924436</v>
      </c>
      <c r="M232" s="21" t="n">
        <f aca="false">parametros_recargas!$E$78*'Plan mensual'!O245+parametros_recargas!$F$78*'Plan mensual'!O246+parametros_recargas!$G$78*'Plan mensual'!O247+parametros_recargas!$H$78*'Plan mensual'!O248+parametros_recargas!$I$78*'Plan mensual'!O249+parametros_recargas!$J$78*'Plan mensual'!O250+parametros_recargas!$K$78*'Plan mensual'!O251+parametros_recargas!$L$78*'Plan mensual'!O252</f>
        <v>159.274877924436</v>
      </c>
      <c r="N232" s="6" t="n">
        <f aca="false">SUM(B232:M232)</f>
        <v>1911.29853509323</v>
      </c>
      <c r="O232" s="22" t="n">
        <f aca="false">MAX(B232:M232)</f>
        <v>159.274877924436</v>
      </c>
      <c r="P232" s="12" t="n">
        <f aca="false">O232/parametros_recargas!$B$6</f>
        <v>1.06183251949624</v>
      </c>
    </row>
    <row r="233" customFormat="false" ht="15" hidden="false" customHeight="false" outlineLevel="0" collapsed="false">
      <c r="A233" s="8" t="str">
        <f aca="false">parametros_recargas!$B$79</f>
        <v>Recuperación de halogenado</v>
      </c>
      <c r="B233" s="21" t="n">
        <f aca="false">parametros_recargas!$E$79*'Plan mensual'!D245+parametros_recargas!$F$79*'Plan mensual'!D246+parametros_recargas!$G$79*'Plan mensual'!D247+parametros_recargas!$H$79*'Plan mensual'!D248+parametros_recargas!$I$79*'Plan mensual'!D249+parametros_recargas!$J$79*'Plan mensual'!D250+parametros_recargas!$K$79*'Plan mensual'!D251+parametros_recargas!$L$79*'Plan mensual'!D252</f>
        <v>6.52202447177046</v>
      </c>
      <c r="C233" s="21" t="n">
        <f aca="false">parametros_recargas!$E$79*'Plan mensual'!E245+parametros_recargas!$F$79*'Plan mensual'!E246+parametros_recargas!$G$79*'Plan mensual'!E247+parametros_recargas!$H$79*'Plan mensual'!E248+parametros_recargas!$I$79*'Plan mensual'!E249+parametros_recargas!$J$79*'Plan mensual'!E250+parametros_recargas!$K$79*'Plan mensual'!E251+parametros_recargas!$L$79*'Plan mensual'!E252</f>
        <v>6.52202447177046</v>
      </c>
      <c r="D233" s="21" t="n">
        <f aca="false">parametros_recargas!$E$79*'Plan mensual'!F245+parametros_recargas!$F$79*'Plan mensual'!F246+parametros_recargas!$G$79*'Plan mensual'!F247+parametros_recargas!$H$79*'Plan mensual'!F248+parametros_recargas!$I$79*'Plan mensual'!F249+parametros_recargas!$J$79*'Plan mensual'!F250+parametros_recargas!$K$79*'Plan mensual'!F251+parametros_recargas!$L$79*'Plan mensual'!F252</f>
        <v>6.52202447177046</v>
      </c>
      <c r="E233" s="21" t="n">
        <f aca="false">parametros_recargas!$E$79*'Plan mensual'!G245+parametros_recargas!$F$79*'Plan mensual'!G246+parametros_recargas!$G$79*'Plan mensual'!G247+parametros_recargas!$H$79*'Plan mensual'!G248+parametros_recargas!$I$79*'Plan mensual'!G249+parametros_recargas!$J$79*'Plan mensual'!G250+parametros_recargas!$K$79*'Plan mensual'!G251+parametros_recargas!$L$79*'Plan mensual'!G252</f>
        <v>6.52202447177046</v>
      </c>
      <c r="F233" s="21" t="n">
        <f aca="false">parametros_recargas!$E$79*'Plan mensual'!H245+parametros_recargas!$F$79*'Plan mensual'!H246+parametros_recargas!$G$79*'Plan mensual'!H247+parametros_recargas!$H$79*'Plan mensual'!H248+parametros_recargas!$I$79*'Plan mensual'!H249+parametros_recargas!$J$79*'Plan mensual'!H250+parametros_recargas!$K$79*'Plan mensual'!H251+parametros_recargas!$L$79*'Plan mensual'!H252</f>
        <v>6.52202447177046</v>
      </c>
      <c r="G233" s="21" t="n">
        <f aca="false">parametros_recargas!$E$79*'Plan mensual'!I245+parametros_recargas!$F$79*'Plan mensual'!I246+parametros_recargas!$G$79*'Plan mensual'!I247+parametros_recargas!$H$79*'Plan mensual'!I248+parametros_recargas!$I$79*'Plan mensual'!I249+parametros_recargas!$J$79*'Plan mensual'!I250+parametros_recargas!$K$79*'Plan mensual'!I251+parametros_recargas!$L$79*'Plan mensual'!I252</f>
        <v>6.52202447177046</v>
      </c>
      <c r="H233" s="21" t="n">
        <f aca="false">parametros_recargas!$E$79*'Plan mensual'!J245+parametros_recargas!$F$79*'Plan mensual'!J246+parametros_recargas!$G$79*'Plan mensual'!J247+parametros_recargas!$H$79*'Plan mensual'!J248+parametros_recargas!$I$79*'Plan mensual'!J249+parametros_recargas!$J$79*'Plan mensual'!J250+parametros_recargas!$K$79*'Plan mensual'!J251+parametros_recargas!$L$79*'Plan mensual'!J252</f>
        <v>6.52202447177046</v>
      </c>
      <c r="I233" s="21" t="n">
        <f aca="false">parametros_recargas!$E$79*'Plan mensual'!K245+parametros_recargas!$F$79*'Plan mensual'!K246+parametros_recargas!$G$79*'Plan mensual'!K247+parametros_recargas!$H$79*'Plan mensual'!K248+parametros_recargas!$I$79*'Plan mensual'!K249+parametros_recargas!$J$79*'Plan mensual'!K250+parametros_recargas!$K$79*'Plan mensual'!K251+parametros_recargas!$L$79*'Plan mensual'!K252</f>
        <v>6.52202447177046</v>
      </c>
      <c r="J233" s="21" t="n">
        <f aca="false">parametros_recargas!$E$79*'Plan mensual'!L245+parametros_recargas!$F$79*'Plan mensual'!L246+parametros_recargas!$G$79*'Plan mensual'!L247+parametros_recargas!$H$79*'Plan mensual'!L248+parametros_recargas!$I$79*'Plan mensual'!L249+parametros_recargas!$J$79*'Plan mensual'!L250+parametros_recargas!$K$79*'Plan mensual'!L251+parametros_recargas!$L$79*'Plan mensual'!L252</f>
        <v>6.52202447177046</v>
      </c>
      <c r="K233" s="21" t="n">
        <f aca="false">parametros_recargas!$E$79*'Plan mensual'!M245+parametros_recargas!$F$79*'Plan mensual'!M246+parametros_recargas!$G$79*'Plan mensual'!M247+parametros_recargas!$H$79*'Plan mensual'!M248+parametros_recargas!$I$79*'Plan mensual'!M249+parametros_recargas!$J$79*'Plan mensual'!M250+parametros_recargas!$K$79*'Plan mensual'!M251+parametros_recargas!$L$79*'Plan mensual'!M252</f>
        <v>6.52202447177046</v>
      </c>
      <c r="L233" s="21" t="n">
        <f aca="false">parametros_recargas!$E$79*'Plan mensual'!N245+parametros_recargas!$F$79*'Plan mensual'!N246+parametros_recargas!$G$79*'Plan mensual'!N247+parametros_recargas!$H$79*'Plan mensual'!N248+parametros_recargas!$I$79*'Plan mensual'!N249+parametros_recargas!$J$79*'Plan mensual'!N250+parametros_recargas!$K$79*'Plan mensual'!N251+parametros_recargas!$L$79*'Plan mensual'!N252</f>
        <v>6.52202447177046</v>
      </c>
      <c r="M233" s="21" t="n">
        <f aca="false">parametros_recargas!$E$79*'Plan mensual'!O245+parametros_recargas!$F$79*'Plan mensual'!O246+parametros_recargas!$G$79*'Plan mensual'!O247+parametros_recargas!$H$79*'Plan mensual'!O248+parametros_recargas!$I$79*'Plan mensual'!O249+parametros_recargas!$J$79*'Plan mensual'!O250+parametros_recargas!$K$79*'Plan mensual'!O251+parametros_recargas!$L$79*'Plan mensual'!O252</f>
        <v>6.52202447177046</v>
      </c>
      <c r="N233" s="6" t="n">
        <f aca="false">SUM(B233:M233)</f>
        <v>78.2642936612456</v>
      </c>
      <c r="O233" s="22" t="n">
        <f aca="false">MAX(B233:M233)</f>
        <v>6.52202447177046</v>
      </c>
      <c r="P233" s="12" t="n">
        <f aca="false">O233/parametros_recargas!$B$6</f>
        <v>0.0434801631451364</v>
      </c>
    </row>
    <row r="234" customFormat="false" ht="15" hidden="false" customHeight="false" outlineLevel="0" collapsed="false">
      <c r="A234" s="8" t="str">
        <f aca="false">parametros_recargas!$B$80</f>
        <v>Desarme y limpieza — recinto</v>
      </c>
      <c r="B234" s="21" t="n">
        <f aca="false">parametros_recargas!$E$80*'Plan mensual'!D245+parametros_recargas!$F$80*'Plan mensual'!D246+parametros_recargas!$G$80*'Plan mensual'!D247+parametros_recargas!$H$80*'Plan mensual'!D248+parametros_recargas!$I$80*'Plan mensual'!D249+parametros_recargas!$J$80*'Plan mensual'!D250+parametros_recargas!$K$80*'Plan mensual'!D251+parametros_recargas!$L$80*'Plan mensual'!D252</f>
        <v>6986.78396660632</v>
      </c>
      <c r="C234" s="21" t="n">
        <f aca="false">parametros_recargas!$E$80*'Plan mensual'!E245+parametros_recargas!$F$80*'Plan mensual'!E246+parametros_recargas!$G$80*'Plan mensual'!E247+parametros_recargas!$H$80*'Plan mensual'!E248+parametros_recargas!$I$80*'Plan mensual'!E249+parametros_recargas!$J$80*'Plan mensual'!E250+parametros_recargas!$K$80*'Plan mensual'!E251+parametros_recargas!$L$80*'Plan mensual'!E252</f>
        <v>6986.78396660632</v>
      </c>
      <c r="D234" s="21" t="n">
        <f aca="false">parametros_recargas!$E$80*'Plan mensual'!F245+parametros_recargas!$F$80*'Plan mensual'!F246+parametros_recargas!$G$80*'Plan mensual'!F247+parametros_recargas!$H$80*'Plan mensual'!F248+parametros_recargas!$I$80*'Plan mensual'!F249+parametros_recargas!$J$80*'Plan mensual'!F250+parametros_recargas!$K$80*'Plan mensual'!F251+parametros_recargas!$L$80*'Plan mensual'!F252</f>
        <v>6986.78396660632</v>
      </c>
      <c r="E234" s="21" t="n">
        <f aca="false">parametros_recargas!$E$80*'Plan mensual'!G245+parametros_recargas!$F$80*'Plan mensual'!G246+parametros_recargas!$G$80*'Plan mensual'!G247+parametros_recargas!$H$80*'Plan mensual'!G248+parametros_recargas!$I$80*'Plan mensual'!G249+parametros_recargas!$J$80*'Plan mensual'!G250+parametros_recargas!$K$80*'Plan mensual'!G251+parametros_recargas!$L$80*'Plan mensual'!G252</f>
        <v>6986.78396660632</v>
      </c>
      <c r="F234" s="21" t="n">
        <f aca="false">parametros_recargas!$E$80*'Plan mensual'!H245+parametros_recargas!$F$80*'Plan mensual'!H246+parametros_recargas!$G$80*'Plan mensual'!H247+parametros_recargas!$H$80*'Plan mensual'!H248+parametros_recargas!$I$80*'Plan mensual'!H249+parametros_recargas!$J$80*'Plan mensual'!H250+parametros_recargas!$K$80*'Plan mensual'!H251+parametros_recargas!$L$80*'Plan mensual'!H252</f>
        <v>6986.78396660632</v>
      </c>
      <c r="G234" s="21" t="n">
        <f aca="false">parametros_recargas!$E$80*'Plan mensual'!I245+parametros_recargas!$F$80*'Plan mensual'!I246+parametros_recargas!$G$80*'Plan mensual'!I247+parametros_recargas!$H$80*'Plan mensual'!I248+parametros_recargas!$I$80*'Plan mensual'!I249+parametros_recargas!$J$80*'Plan mensual'!I250+parametros_recargas!$K$80*'Plan mensual'!I251+parametros_recargas!$L$80*'Plan mensual'!I252</f>
        <v>6986.78396660632</v>
      </c>
      <c r="H234" s="21" t="n">
        <f aca="false">parametros_recargas!$E$80*'Plan mensual'!J245+parametros_recargas!$F$80*'Plan mensual'!J246+parametros_recargas!$G$80*'Plan mensual'!J247+parametros_recargas!$H$80*'Plan mensual'!J248+parametros_recargas!$I$80*'Plan mensual'!J249+parametros_recargas!$J$80*'Plan mensual'!J250+parametros_recargas!$K$80*'Plan mensual'!J251+parametros_recargas!$L$80*'Plan mensual'!J252</f>
        <v>6986.78396660632</v>
      </c>
      <c r="I234" s="21" t="n">
        <f aca="false">parametros_recargas!$E$80*'Plan mensual'!K245+parametros_recargas!$F$80*'Plan mensual'!K246+parametros_recargas!$G$80*'Plan mensual'!K247+parametros_recargas!$H$80*'Plan mensual'!K248+parametros_recargas!$I$80*'Plan mensual'!K249+parametros_recargas!$J$80*'Plan mensual'!K250+parametros_recargas!$K$80*'Plan mensual'!K251+parametros_recargas!$L$80*'Plan mensual'!K252</f>
        <v>6986.78396660632</v>
      </c>
      <c r="J234" s="21" t="n">
        <f aca="false">parametros_recargas!$E$80*'Plan mensual'!L245+parametros_recargas!$F$80*'Plan mensual'!L246+parametros_recargas!$G$80*'Plan mensual'!L247+parametros_recargas!$H$80*'Plan mensual'!L248+parametros_recargas!$I$80*'Plan mensual'!L249+parametros_recargas!$J$80*'Plan mensual'!L250+parametros_recargas!$K$80*'Plan mensual'!L251+parametros_recargas!$L$80*'Plan mensual'!L252</f>
        <v>6986.78396660632</v>
      </c>
      <c r="K234" s="21" t="n">
        <f aca="false">parametros_recargas!$E$80*'Plan mensual'!M245+parametros_recargas!$F$80*'Plan mensual'!M246+parametros_recargas!$G$80*'Plan mensual'!M247+parametros_recargas!$H$80*'Plan mensual'!M248+parametros_recargas!$I$80*'Plan mensual'!M249+parametros_recargas!$J$80*'Plan mensual'!M250+parametros_recargas!$K$80*'Plan mensual'!M251+parametros_recargas!$L$80*'Plan mensual'!M252</f>
        <v>6986.78396660632</v>
      </c>
      <c r="L234" s="21" t="n">
        <f aca="false">parametros_recargas!$E$80*'Plan mensual'!N245+parametros_recargas!$F$80*'Plan mensual'!N246+parametros_recargas!$G$80*'Plan mensual'!N247+parametros_recargas!$H$80*'Plan mensual'!N248+parametros_recargas!$I$80*'Plan mensual'!N249+parametros_recargas!$J$80*'Plan mensual'!N250+parametros_recargas!$K$80*'Plan mensual'!N251+parametros_recargas!$L$80*'Plan mensual'!N252</f>
        <v>6986.78396660632</v>
      </c>
      <c r="M234" s="21" t="n">
        <f aca="false">parametros_recargas!$E$80*'Plan mensual'!O245+parametros_recargas!$F$80*'Plan mensual'!O246+parametros_recargas!$G$80*'Plan mensual'!O247+parametros_recargas!$H$80*'Plan mensual'!O248+parametros_recargas!$I$80*'Plan mensual'!O249+parametros_recargas!$J$80*'Plan mensual'!O250+parametros_recargas!$K$80*'Plan mensual'!O251+parametros_recargas!$L$80*'Plan mensual'!O252</f>
        <v>6986.78396660632</v>
      </c>
      <c r="N234" s="6" t="n">
        <f aca="false">SUM(B234:M234)</f>
        <v>83841.4075992758</v>
      </c>
      <c r="O234" s="22" t="n">
        <f aca="false">MAX(B234:M234)</f>
        <v>6986.78396660632</v>
      </c>
      <c r="P234" s="12" t="n">
        <f aca="false">O234/parametros_recargas!$B$6</f>
        <v>46.5785597773755</v>
      </c>
    </row>
    <row r="235" customFormat="false" ht="15" hidden="false" customHeight="false" outlineLevel="0" collapsed="false">
      <c r="A235" s="8" t="str">
        <f aca="false">parametros_recargas!$B$81</f>
        <v>Desarme e inspección interior — zona general</v>
      </c>
      <c r="B235" s="21" t="n">
        <f aca="false">parametros_recargas!$E$81*'Plan mensual'!D245+parametros_recargas!$F$81*'Plan mensual'!D246+parametros_recargas!$G$81*'Plan mensual'!D247+parametros_recargas!$H$81*'Plan mensual'!D248+parametros_recargas!$I$81*'Plan mensual'!D249+parametros_recargas!$J$81*'Plan mensual'!D250+parametros_recargas!$K$81*'Plan mensual'!D251+parametros_recargas!$L$81*'Plan mensual'!D252</f>
        <v>514.250314544962</v>
      </c>
      <c r="C235" s="21" t="n">
        <f aca="false">parametros_recargas!$E$81*'Plan mensual'!E245+parametros_recargas!$F$81*'Plan mensual'!E246+parametros_recargas!$G$81*'Plan mensual'!E247+parametros_recargas!$H$81*'Plan mensual'!E248+parametros_recargas!$I$81*'Plan mensual'!E249+parametros_recargas!$J$81*'Plan mensual'!E250+parametros_recargas!$K$81*'Plan mensual'!E251+parametros_recargas!$L$81*'Plan mensual'!E252</f>
        <v>514.250314544962</v>
      </c>
      <c r="D235" s="21" t="n">
        <f aca="false">parametros_recargas!$E$81*'Plan mensual'!F245+parametros_recargas!$F$81*'Plan mensual'!F246+parametros_recargas!$G$81*'Plan mensual'!F247+parametros_recargas!$H$81*'Plan mensual'!F248+parametros_recargas!$I$81*'Plan mensual'!F249+parametros_recargas!$J$81*'Plan mensual'!F250+parametros_recargas!$K$81*'Plan mensual'!F251+parametros_recargas!$L$81*'Plan mensual'!F252</f>
        <v>514.250314544962</v>
      </c>
      <c r="E235" s="21" t="n">
        <f aca="false">parametros_recargas!$E$81*'Plan mensual'!G245+parametros_recargas!$F$81*'Plan mensual'!G246+parametros_recargas!$G$81*'Plan mensual'!G247+parametros_recargas!$H$81*'Plan mensual'!G248+parametros_recargas!$I$81*'Plan mensual'!G249+parametros_recargas!$J$81*'Plan mensual'!G250+parametros_recargas!$K$81*'Plan mensual'!G251+parametros_recargas!$L$81*'Plan mensual'!G252</f>
        <v>514.250314544962</v>
      </c>
      <c r="F235" s="21" t="n">
        <f aca="false">parametros_recargas!$E$81*'Plan mensual'!H245+parametros_recargas!$F$81*'Plan mensual'!H246+parametros_recargas!$G$81*'Plan mensual'!H247+parametros_recargas!$H$81*'Plan mensual'!H248+parametros_recargas!$I$81*'Plan mensual'!H249+parametros_recargas!$J$81*'Plan mensual'!H250+parametros_recargas!$K$81*'Plan mensual'!H251+parametros_recargas!$L$81*'Plan mensual'!H252</f>
        <v>514.250314544962</v>
      </c>
      <c r="G235" s="21" t="n">
        <f aca="false">parametros_recargas!$E$81*'Plan mensual'!I245+parametros_recargas!$F$81*'Plan mensual'!I246+parametros_recargas!$G$81*'Plan mensual'!I247+parametros_recargas!$H$81*'Plan mensual'!I248+parametros_recargas!$I$81*'Plan mensual'!I249+parametros_recargas!$J$81*'Plan mensual'!I250+parametros_recargas!$K$81*'Plan mensual'!I251+parametros_recargas!$L$81*'Plan mensual'!I252</f>
        <v>514.250314544962</v>
      </c>
      <c r="H235" s="21" t="n">
        <f aca="false">parametros_recargas!$E$81*'Plan mensual'!J245+parametros_recargas!$F$81*'Plan mensual'!J246+parametros_recargas!$G$81*'Plan mensual'!J247+parametros_recargas!$H$81*'Plan mensual'!J248+parametros_recargas!$I$81*'Plan mensual'!J249+parametros_recargas!$J$81*'Plan mensual'!J250+parametros_recargas!$K$81*'Plan mensual'!J251+parametros_recargas!$L$81*'Plan mensual'!J252</f>
        <v>514.250314544962</v>
      </c>
      <c r="I235" s="21" t="n">
        <f aca="false">parametros_recargas!$E$81*'Plan mensual'!K245+parametros_recargas!$F$81*'Plan mensual'!K246+parametros_recargas!$G$81*'Plan mensual'!K247+parametros_recargas!$H$81*'Plan mensual'!K248+parametros_recargas!$I$81*'Plan mensual'!K249+parametros_recargas!$J$81*'Plan mensual'!K250+parametros_recargas!$K$81*'Plan mensual'!K251+parametros_recargas!$L$81*'Plan mensual'!K252</f>
        <v>514.250314544962</v>
      </c>
      <c r="J235" s="21" t="n">
        <f aca="false">parametros_recargas!$E$81*'Plan mensual'!L245+parametros_recargas!$F$81*'Plan mensual'!L246+parametros_recargas!$G$81*'Plan mensual'!L247+parametros_recargas!$H$81*'Plan mensual'!L248+parametros_recargas!$I$81*'Plan mensual'!L249+parametros_recargas!$J$81*'Plan mensual'!L250+parametros_recargas!$K$81*'Plan mensual'!L251+parametros_recargas!$L$81*'Plan mensual'!L252</f>
        <v>514.250314544962</v>
      </c>
      <c r="K235" s="21" t="n">
        <f aca="false">parametros_recargas!$E$81*'Plan mensual'!M245+parametros_recargas!$F$81*'Plan mensual'!M246+parametros_recargas!$G$81*'Plan mensual'!M247+parametros_recargas!$H$81*'Plan mensual'!M248+parametros_recargas!$I$81*'Plan mensual'!M249+parametros_recargas!$J$81*'Plan mensual'!M250+parametros_recargas!$K$81*'Plan mensual'!M251+parametros_recargas!$L$81*'Plan mensual'!M252</f>
        <v>514.250314544962</v>
      </c>
      <c r="L235" s="21" t="n">
        <f aca="false">parametros_recargas!$E$81*'Plan mensual'!N245+parametros_recargas!$F$81*'Plan mensual'!N246+parametros_recargas!$G$81*'Plan mensual'!N247+parametros_recargas!$H$81*'Plan mensual'!N248+parametros_recargas!$I$81*'Plan mensual'!N249+parametros_recargas!$J$81*'Plan mensual'!N250+parametros_recargas!$K$81*'Plan mensual'!N251+parametros_recargas!$L$81*'Plan mensual'!N252</f>
        <v>514.250314544962</v>
      </c>
      <c r="M235" s="21" t="n">
        <f aca="false">parametros_recargas!$E$81*'Plan mensual'!O245+parametros_recargas!$F$81*'Plan mensual'!O246+parametros_recargas!$G$81*'Plan mensual'!O247+parametros_recargas!$H$81*'Plan mensual'!O248+parametros_recargas!$I$81*'Plan mensual'!O249+parametros_recargas!$J$81*'Plan mensual'!O250+parametros_recargas!$K$81*'Plan mensual'!O251+parametros_recargas!$L$81*'Plan mensual'!O252</f>
        <v>514.250314544962</v>
      </c>
      <c r="N235" s="6" t="n">
        <f aca="false">SUM(B235:M235)</f>
        <v>6171.00377453955</v>
      </c>
      <c r="O235" s="22" t="n">
        <f aca="false">MAX(B235:M235)</f>
        <v>514.250314544962</v>
      </c>
      <c r="P235" s="12" t="n">
        <f aca="false">O235/parametros_recargas!$B$6</f>
        <v>3.42833543029975</v>
      </c>
    </row>
    <row r="236" customFormat="false" ht="15" hidden="false" customHeight="false" outlineLevel="0" collapsed="false">
      <c r="A236" s="8" t="str">
        <f aca="false">parametros_recargas!$B$82</f>
        <v>Laboratorio — Puffer y mufla</v>
      </c>
      <c r="B236" s="21" t="n">
        <f aca="false">parametros_recargas!$E$82*'Plan mensual'!D245+parametros_recargas!$F$82*'Plan mensual'!D246+parametros_recargas!$G$82*'Plan mensual'!D247+parametros_recargas!$H$82*'Plan mensual'!D248+parametros_recargas!$I$82*'Plan mensual'!D249+parametros_recargas!$J$82*'Plan mensual'!D250+parametros_recargas!$K$82*'Plan mensual'!D251+parametros_recargas!$L$82*'Plan mensual'!D252</f>
        <v>6.97780427492092</v>
      </c>
      <c r="C236" s="21" t="n">
        <f aca="false">parametros_recargas!$E$82*'Plan mensual'!E245+parametros_recargas!$F$82*'Plan mensual'!E246+parametros_recargas!$G$82*'Plan mensual'!E247+parametros_recargas!$H$82*'Plan mensual'!E248+parametros_recargas!$I$82*'Plan mensual'!E249+parametros_recargas!$J$82*'Plan mensual'!E250+parametros_recargas!$K$82*'Plan mensual'!E251+parametros_recargas!$L$82*'Plan mensual'!E252</f>
        <v>6.97780427492092</v>
      </c>
      <c r="D236" s="21" t="n">
        <f aca="false">parametros_recargas!$E$82*'Plan mensual'!F245+parametros_recargas!$F$82*'Plan mensual'!F246+parametros_recargas!$G$82*'Plan mensual'!F247+parametros_recargas!$H$82*'Plan mensual'!F248+parametros_recargas!$I$82*'Plan mensual'!F249+parametros_recargas!$J$82*'Plan mensual'!F250+parametros_recargas!$K$82*'Plan mensual'!F251+parametros_recargas!$L$82*'Plan mensual'!F252</f>
        <v>6.97780427492092</v>
      </c>
      <c r="E236" s="21" t="n">
        <f aca="false">parametros_recargas!$E$82*'Plan mensual'!G245+parametros_recargas!$F$82*'Plan mensual'!G246+parametros_recargas!$G$82*'Plan mensual'!G247+parametros_recargas!$H$82*'Plan mensual'!G248+parametros_recargas!$I$82*'Plan mensual'!G249+parametros_recargas!$J$82*'Plan mensual'!G250+parametros_recargas!$K$82*'Plan mensual'!G251+parametros_recargas!$L$82*'Plan mensual'!G252</f>
        <v>6.97780427492092</v>
      </c>
      <c r="F236" s="21" t="n">
        <f aca="false">parametros_recargas!$E$82*'Plan mensual'!H245+parametros_recargas!$F$82*'Plan mensual'!H246+parametros_recargas!$G$82*'Plan mensual'!H247+parametros_recargas!$H$82*'Plan mensual'!H248+parametros_recargas!$I$82*'Plan mensual'!H249+parametros_recargas!$J$82*'Plan mensual'!H250+parametros_recargas!$K$82*'Plan mensual'!H251+parametros_recargas!$L$82*'Plan mensual'!H252</f>
        <v>6.97780427492092</v>
      </c>
      <c r="G236" s="21" t="n">
        <f aca="false">parametros_recargas!$E$82*'Plan mensual'!I245+parametros_recargas!$F$82*'Plan mensual'!I246+parametros_recargas!$G$82*'Plan mensual'!I247+parametros_recargas!$H$82*'Plan mensual'!I248+parametros_recargas!$I$82*'Plan mensual'!I249+parametros_recargas!$J$82*'Plan mensual'!I250+parametros_recargas!$K$82*'Plan mensual'!I251+parametros_recargas!$L$82*'Plan mensual'!I252</f>
        <v>6.97780427492092</v>
      </c>
      <c r="H236" s="21" t="n">
        <f aca="false">parametros_recargas!$E$82*'Plan mensual'!J245+parametros_recargas!$F$82*'Plan mensual'!J246+parametros_recargas!$G$82*'Plan mensual'!J247+parametros_recargas!$H$82*'Plan mensual'!J248+parametros_recargas!$I$82*'Plan mensual'!J249+parametros_recargas!$J$82*'Plan mensual'!J250+parametros_recargas!$K$82*'Plan mensual'!J251+parametros_recargas!$L$82*'Plan mensual'!J252</f>
        <v>6.97780427492092</v>
      </c>
      <c r="I236" s="21" t="n">
        <f aca="false">parametros_recargas!$E$82*'Plan mensual'!K245+parametros_recargas!$F$82*'Plan mensual'!K246+parametros_recargas!$G$82*'Plan mensual'!K247+parametros_recargas!$H$82*'Plan mensual'!K248+parametros_recargas!$I$82*'Plan mensual'!K249+parametros_recargas!$J$82*'Plan mensual'!K250+parametros_recargas!$K$82*'Plan mensual'!K251+parametros_recargas!$L$82*'Plan mensual'!K252</f>
        <v>6.97780427492092</v>
      </c>
      <c r="J236" s="21" t="n">
        <f aca="false">parametros_recargas!$E$82*'Plan mensual'!L245+parametros_recargas!$F$82*'Plan mensual'!L246+parametros_recargas!$G$82*'Plan mensual'!L247+parametros_recargas!$H$82*'Plan mensual'!L248+parametros_recargas!$I$82*'Plan mensual'!L249+parametros_recargas!$J$82*'Plan mensual'!L250+parametros_recargas!$K$82*'Plan mensual'!L251+parametros_recargas!$L$82*'Plan mensual'!L252</f>
        <v>6.97780427492092</v>
      </c>
      <c r="K236" s="21" t="n">
        <f aca="false">parametros_recargas!$E$82*'Plan mensual'!M245+parametros_recargas!$F$82*'Plan mensual'!M246+parametros_recargas!$G$82*'Plan mensual'!M247+parametros_recargas!$H$82*'Plan mensual'!M248+parametros_recargas!$I$82*'Plan mensual'!M249+parametros_recargas!$J$82*'Plan mensual'!M250+parametros_recargas!$K$82*'Plan mensual'!M251+parametros_recargas!$L$82*'Plan mensual'!M252</f>
        <v>6.97780427492092</v>
      </c>
      <c r="L236" s="21" t="n">
        <f aca="false">parametros_recargas!$E$82*'Plan mensual'!N245+parametros_recargas!$F$82*'Plan mensual'!N246+parametros_recargas!$G$82*'Plan mensual'!N247+parametros_recargas!$H$82*'Plan mensual'!N248+parametros_recargas!$I$82*'Plan mensual'!N249+parametros_recargas!$J$82*'Plan mensual'!N250+parametros_recargas!$K$82*'Plan mensual'!N251+parametros_recargas!$L$82*'Plan mensual'!N252</f>
        <v>6.97780427492092</v>
      </c>
      <c r="M236" s="21" t="n">
        <f aca="false">parametros_recargas!$E$82*'Plan mensual'!O245+parametros_recargas!$F$82*'Plan mensual'!O246+parametros_recargas!$G$82*'Plan mensual'!O247+parametros_recargas!$H$82*'Plan mensual'!O248+parametros_recargas!$I$82*'Plan mensual'!O249+parametros_recargas!$J$82*'Plan mensual'!O250+parametros_recargas!$K$82*'Plan mensual'!O251+parametros_recargas!$L$82*'Plan mensual'!O252</f>
        <v>6.97780427492092</v>
      </c>
      <c r="N236" s="6" t="n">
        <f aca="false">SUM(B236:M236)</f>
        <v>83.7336512990511</v>
      </c>
      <c r="O236" s="22" t="n">
        <f aca="false">MAX(B236:M236)</f>
        <v>6.97780427492092</v>
      </c>
      <c r="P236" s="12" t="n">
        <f aca="false">O236/parametros_recargas!$B$6</f>
        <v>0.0465186951661395</v>
      </c>
    </row>
    <row r="237" customFormat="false" ht="15" hidden="false" customHeight="false" outlineLevel="0" collapsed="false">
      <c r="A237" s="8" t="str">
        <f aca="false">parametros_recargas!$B$83</f>
        <v>Prueba hidráulica</v>
      </c>
      <c r="B237" s="21" t="n">
        <f aca="false">parametros_recargas!$E$83*'Plan mensual'!D245+parametros_recargas!$F$83*'Plan mensual'!D246+parametros_recargas!$G$83*'Plan mensual'!D247+parametros_recargas!$H$83*'Plan mensual'!D248+parametros_recargas!$I$83*'Plan mensual'!D249+parametros_recargas!$J$83*'Plan mensual'!D250+parametros_recargas!$K$83*'Plan mensual'!D251+parametros_recargas!$L$83*'Plan mensual'!D252</f>
        <v>1704.22102131261</v>
      </c>
      <c r="C237" s="21" t="n">
        <f aca="false">parametros_recargas!$E$83*'Plan mensual'!E245+parametros_recargas!$F$83*'Plan mensual'!E246+parametros_recargas!$G$83*'Plan mensual'!E247+parametros_recargas!$H$83*'Plan mensual'!E248+parametros_recargas!$I$83*'Plan mensual'!E249+parametros_recargas!$J$83*'Plan mensual'!E250+parametros_recargas!$K$83*'Plan mensual'!E251+parametros_recargas!$L$83*'Plan mensual'!E252</f>
        <v>1704.22102131261</v>
      </c>
      <c r="D237" s="21" t="n">
        <f aca="false">parametros_recargas!$E$83*'Plan mensual'!F245+parametros_recargas!$F$83*'Plan mensual'!F246+parametros_recargas!$G$83*'Plan mensual'!F247+parametros_recargas!$H$83*'Plan mensual'!F248+parametros_recargas!$I$83*'Plan mensual'!F249+parametros_recargas!$J$83*'Plan mensual'!F250+parametros_recargas!$K$83*'Plan mensual'!F251+parametros_recargas!$L$83*'Plan mensual'!F252</f>
        <v>1704.22102131261</v>
      </c>
      <c r="E237" s="21" t="n">
        <f aca="false">parametros_recargas!$E$83*'Plan mensual'!G245+parametros_recargas!$F$83*'Plan mensual'!G246+parametros_recargas!$G$83*'Plan mensual'!G247+parametros_recargas!$H$83*'Plan mensual'!G248+parametros_recargas!$I$83*'Plan mensual'!G249+parametros_recargas!$J$83*'Plan mensual'!G250+parametros_recargas!$K$83*'Plan mensual'!G251+parametros_recargas!$L$83*'Plan mensual'!G252</f>
        <v>1704.22102131261</v>
      </c>
      <c r="F237" s="21" t="n">
        <f aca="false">parametros_recargas!$E$83*'Plan mensual'!H245+parametros_recargas!$F$83*'Plan mensual'!H246+parametros_recargas!$G$83*'Plan mensual'!H247+parametros_recargas!$H$83*'Plan mensual'!H248+parametros_recargas!$I$83*'Plan mensual'!H249+parametros_recargas!$J$83*'Plan mensual'!H250+parametros_recargas!$K$83*'Plan mensual'!H251+parametros_recargas!$L$83*'Plan mensual'!H252</f>
        <v>1704.22102131261</v>
      </c>
      <c r="G237" s="21" t="n">
        <f aca="false">parametros_recargas!$E$83*'Plan mensual'!I245+parametros_recargas!$F$83*'Plan mensual'!I246+parametros_recargas!$G$83*'Plan mensual'!I247+parametros_recargas!$H$83*'Plan mensual'!I248+parametros_recargas!$I$83*'Plan mensual'!I249+parametros_recargas!$J$83*'Plan mensual'!I250+parametros_recargas!$K$83*'Plan mensual'!I251+parametros_recargas!$L$83*'Plan mensual'!I252</f>
        <v>1704.22102131261</v>
      </c>
      <c r="H237" s="21" t="n">
        <f aca="false">parametros_recargas!$E$83*'Plan mensual'!J245+parametros_recargas!$F$83*'Plan mensual'!J246+parametros_recargas!$G$83*'Plan mensual'!J247+parametros_recargas!$H$83*'Plan mensual'!J248+parametros_recargas!$I$83*'Plan mensual'!J249+parametros_recargas!$J$83*'Plan mensual'!J250+parametros_recargas!$K$83*'Plan mensual'!J251+parametros_recargas!$L$83*'Plan mensual'!J252</f>
        <v>1704.22102131261</v>
      </c>
      <c r="I237" s="21" t="n">
        <f aca="false">parametros_recargas!$E$83*'Plan mensual'!K245+parametros_recargas!$F$83*'Plan mensual'!K246+parametros_recargas!$G$83*'Plan mensual'!K247+parametros_recargas!$H$83*'Plan mensual'!K248+parametros_recargas!$I$83*'Plan mensual'!K249+parametros_recargas!$J$83*'Plan mensual'!K250+parametros_recargas!$K$83*'Plan mensual'!K251+parametros_recargas!$L$83*'Plan mensual'!K252</f>
        <v>1704.22102131261</v>
      </c>
      <c r="J237" s="21" t="n">
        <f aca="false">parametros_recargas!$E$83*'Plan mensual'!L245+parametros_recargas!$F$83*'Plan mensual'!L246+parametros_recargas!$G$83*'Plan mensual'!L247+parametros_recargas!$H$83*'Plan mensual'!L248+parametros_recargas!$I$83*'Plan mensual'!L249+parametros_recargas!$J$83*'Plan mensual'!L250+parametros_recargas!$K$83*'Plan mensual'!L251+parametros_recargas!$L$83*'Plan mensual'!L252</f>
        <v>1704.22102131261</v>
      </c>
      <c r="K237" s="21" t="n">
        <f aca="false">parametros_recargas!$E$83*'Plan mensual'!M245+parametros_recargas!$F$83*'Plan mensual'!M246+parametros_recargas!$G$83*'Plan mensual'!M247+parametros_recargas!$H$83*'Plan mensual'!M248+parametros_recargas!$I$83*'Plan mensual'!M249+parametros_recargas!$J$83*'Plan mensual'!M250+parametros_recargas!$K$83*'Plan mensual'!M251+parametros_recargas!$L$83*'Plan mensual'!M252</f>
        <v>1704.22102131261</v>
      </c>
      <c r="L237" s="21" t="n">
        <f aca="false">parametros_recargas!$E$83*'Plan mensual'!N245+parametros_recargas!$F$83*'Plan mensual'!N246+parametros_recargas!$G$83*'Plan mensual'!N247+parametros_recargas!$H$83*'Plan mensual'!N248+parametros_recargas!$I$83*'Plan mensual'!N249+parametros_recargas!$J$83*'Plan mensual'!N250+parametros_recargas!$K$83*'Plan mensual'!N251+parametros_recargas!$L$83*'Plan mensual'!N252</f>
        <v>1704.22102131261</v>
      </c>
      <c r="M237" s="21" t="n">
        <f aca="false">parametros_recargas!$E$83*'Plan mensual'!O245+parametros_recargas!$F$83*'Plan mensual'!O246+parametros_recargas!$G$83*'Plan mensual'!O247+parametros_recargas!$H$83*'Plan mensual'!O248+parametros_recargas!$I$83*'Plan mensual'!O249+parametros_recargas!$J$83*'Plan mensual'!O250+parametros_recargas!$K$83*'Plan mensual'!O251+parametros_recargas!$L$83*'Plan mensual'!O252</f>
        <v>1704.22102131261</v>
      </c>
      <c r="N237" s="6" t="n">
        <f aca="false">SUM(B237:M237)</f>
        <v>20450.6522557513</v>
      </c>
      <c r="O237" s="22" t="n">
        <f aca="false">MAX(B237:M237)</f>
        <v>1704.22102131261</v>
      </c>
      <c r="P237" s="12" t="n">
        <f aca="false">O237/parametros_recargas!$B$6</f>
        <v>11.3614734754174</v>
      </c>
    </row>
    <row r="238" customFormat="false" ht="15" hidden="false" customHeight="false" outlineLevel="0" collapsed="false">
      <c r="A238" s="8" t="str">
        <f aca="false">parametros_recargas!$B$84</f>
        <v>Secado</v>
      </c>
      <c r="B238" s="21" t="n">
        <f aca="false">parametros_recargas!$E$84*'Plan mensual'!D245+parametros_recargas!$F$84*'Plan mensual'!D246+parametros_recargas!$G$84*'Plan mensual'!D247+parametros_recargas!$H$84*'Plan mensual'!D248+parametros_recargas!$I$84*'Plan mensual'!D249+parametros_recargas!$J$84*'Plan mensual'!D250+parametros_recargas!$K$84*'Plan mensual'!D251+parametros_recargas!$L$84*'Plan mensual'!D252</f>
        <v>1599.86215490429</v>
      </c>
      <c r="C238" s="21" t="n">
        <f aca="false">parametros_recargas!$E$84*'Plan mensual'!E245+parametros_recargas!$F$84*'Plan mensual'!E246+parametros_recargas!$G$84*'Plan mensual'!E247+parametros_recargas!$H$84*'Plan mensual'!E248+parametros_recargas!$I$84*'Plan mensual'!E249+parametros_recargas!$J$84*'Plan mensual'!E250+parametros_recargas!$K$84*'Plan mensual'!E251+parametros_recargas!$L$84*'Plan mensual'!E252</f>
        <v>1599.86215490429</v>
      </c>
      <c r="D238" s="21" t="n">
        <f aca="false">parametros_recargas!$E$84*'Plan mensual'!F245+parametros_recargas!$F$84*'Plan mensual'!F246+parametros_recargas!$G$84*'Plan mensual'!F247+parametros_recargas!$H$84*'Plan mensual'!F248+parametros_recargas!$I$84*'Plan mensual'!F249+parametros_recargas!$J$84*'Plan mensual'!F250+parametros_recargas!$K$84*'Plan mensual'!F251+parametros_recargas!$L$84*'Plan mensual'!F252</f>
        <v>1599.86215490429</v>
      </c>
      <c r="E238" s="21" t="n">
        <f aca="false">parametros_recargas!$E$84*'Plan mensual'!G245+parametros_recargas!$F$84*'Plan mensual'!G246+parametros_recargas!$G$84*'Plan mensual'!G247+parametros_recargas!$H$84*'Plan mensual'!G248+parametros_recargas!$I$84*'Plan mensual'!G249+parametros_recargas!$J$84*'Plan mensual'!G250+parametros_recargas!$K$84*'Plan mensual'!G251+parametros_recargas!$L$84*'Plan mensual'!G252</f>
        <v>1599.86215490429</v>
      </c>
      <c r="F238" s="21" t="n">
        <f aca="false">parametros_recargas!$E$84*'Plan mensual'!H245+parametros_recargas!$F$84*'Plan mensual'!H246+parametros_recargas!$G$84*'Plan mensual'!H247+parametros_recargas!$H$84*'Plan mensual'!H248+parametros_recargas!$I$84*'Plan mensual'!H249+parametros_recargas!$J$84*'Plan mensual'!H250+parametros_recargas!$K$84*'Plan mensual'!H251+parametros_recargas!$L$84*'Plan mensual'!H252</f>
        <v>1599.86215490429</v>
      </c>
      <c r="G238" s="21" t="n">
        <f aca="false">parametros_recargas!$E$84*'Plan mensual'!I245+parametros_recargas!$F$84*'Plan mensual'!I246+parametros_recargas!$G$84*'Plan mensual'!I247+parametros_recargas!$H$84*'Plan mensual'!I248+parametros_recargas!$I$84*'Plan mensual'!I249+parametros_recargas!$J$84*'Plan mensual'!I250+parametros_recargas!$K$84*'Plan mensual'!I251+parametros_recargas!$L$84*'Plan mensual'!I252</f>
        <v>1599.86215490429</v>
      </c>
      <c r="H238" s="21" t="n">
        <f aca="false">parametros_recargas!$E$84*'Plan mensual'!J245+parametros_recargas!$F$84*'Plan mensual'!J246+parametros_recargas!$G$84*'Plan mensual'!J247+parametros_recargas!$H$84*'Plan mensual'!J248+parametros_recargas!$I$84*'Plan mensual'!J249+parametros_recargas!$J$84*'Plan mensual'!J250+parametros_recargas!$K$84*'Plan mensual'!J251+parametros_recargas!$L$84*'Plan mensual'!J252</f>
        <v>1599.86215490429</v>
      </c>
      <c r="I238" s="21" t="n">
        <f aca="false">parametros_recargas!$E$84*'Plan mensual'!K245+parametros_recargas!$F$84*'Plan mensual'!K246+parametros_recargas!$G$84*'Plan mensual'!K247+parametros_recargas!$H$84*'Plan mensual'!K248+parametros_recargas!$I$84*'Plan mensual'!K249+parametros_recargas!$J$84*'Plan mensual'!K250+parametros_recargas!$K$84*'Plan mensual'!K251+parametros_recargas!$L$84*'Plan mensual'!K252</f>
        <v>1599.86215490429</v>
      </c>
      <c r="J238" s="21" t="n">
        <f aca="false">parametros_recargas!$E$84*'Plan mensual'!L245+parametros_recargas!$F$84*'Plan mensual'!L246+parametros_recargas!$G$84*'Plan mensual'!L247+parametros_recargas!$H$84*'Plan mensual'!L248+parametros_recargas!$I$84*'Plan mensual'!L249+parametros_recargas!$J$84*'Plan mensual'!L250+parametros_recargas!$K$84*'Plan mensual'!L251+parametros_recargas!$L$84*'Plan mensual'!L252</f>
        <v>1599.86215490429</v>
      </c>
      <c r="K238" s="21" t="n">
        <f aca="false">parametros_recargas!$E$84*'Plan mensual'!M245+parametros_recargas!$F$84*'Plan mensual'!M246+parametros_recargas!$G$84*'Plan mensual'!M247+parametros_recargas!$H$84*'Plan mensual'!M248+parametros_recargas!$I$84*'Plan mensual'!M249+parametros_recargas!$J$84*'Plan mensual'!M250+parametros_recargas!$K$84*'Plan mensual'!M251+parametros_recargas!$L$84*'Plan mensual'!M252</f>
        <v>1599.86215490429</v>
      </c>
      <c r="L238" s="21" t="n">
        <f aca="false">parametros_recargas!$E$84*'Plan mensual'!N245+parametros_recargas!$F$84*'Plan mensual'!N246+parametros_recargas!$G$84*'Plan mensual'!N247+parametros_recargas!$H$84*'Plan mensual'!N248+parametros_recargas!$I$84*'Plan mensual'!N249+parametros_recargas!$J$84*'Plan mensual'!N250+parametros_recargas!$K$84*'Plan mensual'!N251+parametros_recargas!$L$84*'Plan mensual'!N252</f>
        <v>1599.86215490429</v>
      </c>
      <c r="M238" s="21" t="n">
        <f aca="false">parametros_recargas!$E$84*'Plan mensual'!O245+parametros_recargas!$F$84*'Plan mensual'!O246+parametros_recargas!$G$84*'Plan mensual'!O247+parametros_recargas!$H$84*'Plan mensual'!O248+parametros_recargas!$I$84*'Plan mensual'!O249+parametros_recargas!$J$84*'Plan mensual'!O250+parametros_recargas!$K$84*'Plan mensual'!O251+parametros_recargas!$L$84*'Plan mensual'!O252</f>
        <v>1599.86215490429</v>
      </c>
      <c r="N238" s="6" t="n">
        <f aca="false">SUM(B238:M238)</f>
        <v>19198.3458588515</v>
      </c>
      <c r="O238" s="22" t="n">
        <f aca="false">MAX(B238:M238)</f>
        <v>1599.86215490429</v>
      </c>
      <c r="P238" s="12" t="n">
        <f aca="false">O238/parametros_recargas!$B$6</f>
        <v>10.665747699362</v>
      </c>
    </row>
    <row r="239" customFormat="false" ht="15" hidden="false" customHeight="false" outlineLevel="0" collapsed="false">
      <c r="A239" s="8" t="str">
        <f aca="false">parametros_recargas!$B$85</f>
        <v>Inspección interior con videoscopio</v>
      </c>
      <c r="B239" s="21" t="n">
        <f aca="false">parametros_recargas!$E$85*'Plan mensual'!D245+parametros_recargas!$F$85*'Plan mensual'!D246+parametros_recargas!$G$85*'Plan mensual'!D247+parametros_recargas!$H$85*'Plan mensual'!D248+parametros_recargas!$I$85*'Plan mensual'!D249+parametros_recargas!$J$85*'Plan mensual'!D250+parametros_recargas!$K$85*'Plan mensual'!D251+parametros_recargas!$L$85*'Plan mensual'!D252</f>
        <v>1599.86215490429</v>
      </c>
      <c r="C239" s="21" t="n">
        <f aca="false">parametros_recargas!$E$85*'Plan mensual'!E245+parametros_recargas!$F$85*'Plan mensual'!E246+parametros_recargas!$G$85*'Plan mensual'!E247+parametros_recargas!$H$85*'Plan mensual'!E248+parametros_recargas!$I$85*'Plan mensual'!E249+parametros_recargas!$J$85*'Plan mensual'!E250+parametros_recargas!$K$85*'Plan mensual'!E251+parametros_recargas!$L$85*'Plan mensual'!E252</f>
        <v>1599.86215490429</v>
      </c>
      <c r="D239" s="21" t="n">
        <f aca="false">parametros_recargas!$E$85*'Plan mensual'!F245+parametros_recargas!$F$85*'Plan mensual'!F246+parametros_recargas!$G$85*'Plan mensual'!F247+parametros_recargas!$H$85*'Plan mensual'!F248+parametros_recargas!$I$85*'Plan mensual'!F249+parametros_recargas!$J$85*'Plan mensual'!F250+parametros_recargas!$K$85*'Plan mensual'!F251+parametros_recargas!$L$85*'Plan mensual'!F252</f>
        <v>1599.86215490429</v>
      </c>
      <c r="E239" s="21" t="n">
        <f aca="false">parametros_recargas!$E$85*'Plan mensual'!G245+parametros_recargas!$F$85*'Plan mensual'!G246+parametros_recargas!$G$85*'Plan mensual'!G247+parametros_recargas!$H$85*'Plan mensual'!G248+parametros_recargas!$I$85*'Plan mensual'!G249+parametros_recargas!$J$85*'Plan mensual'!G250+parametros_recargas!$K$85*'Plan mensual'!G251+parametros_recargas!$L$85*'Plan mensual'!G252</f>
        <v>1599.86215490429</v>
      </c>
      <c r="F239" s="21" t="n">
        <f aca="false">parametros_recargas!$E$85*'Plan mensual'!H245+parametros_recargas!$F$85*'Plan mensual'!H246+parametros_recargas!$G$85*'Plan mensual'!H247+parametros_recargas!$H$85*'Plan mensual'!H248+parametros_recargas!$I$85*'Plan mensual'!H249+parametros_recargas!$J$85*'Plan mensual'!H250+parametros_recargas!$K$85*'Plan mensual'!H251+parametros_recargas!$L$85*'Plan mensual'!H252</f>
        <v>1599.86215490429</v>
      </c>
      <c r="G239" s="21" t="n">
        <f aca="false">parametros_recargas!$E$85*'Plan mensual'!I245+parametros_recargas!$F$85*'Plan mensual'!I246+parametros_recargas!$G$85*'Plan mensual'!I247+parametros_recargas!$H$85*'Plan mensual'!I248+parametros_recargas!$I$85*'Plan mensual'!I249+parametros_recargas!$J$85*'Plan mensual'!I250+parametros_recargas!$K$85*'Plan mensual'!I251+parametros_recargas!$L$85*'Plan mensual'!I252</f>
        <v>1599.86215490429</v>
      </c>
      <c r="H239" s="21" t="n">
        <f aca="false">parametros_recargas!$E$85*'Plan mensual'!J245+parametros_recargas!$F$85*'Plan mensual'!J246+parametros_recargas!$G$85*'Plan mensual'!J247+parametros_recargas!$H$85*'Plan mensual'!J248+parametros_recargas!$I$85*'Plan mensual'!J249+parametros_recargas!$J$85*'Plan mensual'!J250+parametros_recargas!$K$85*'Plan mensual'!J251+parametros_recargas!$L$85*'Plan mensual'!J252</f>
        <v>1599.86215490429</v>
      </c>
      <c r="I239" s="21" t="n">
        <f aca="false">parametros_recargas!$E$85*'Plan mensual'!K245+parametros_recargas!$F$85*'Plan mensual'!K246+parametros_recargas!$G$85*'Plan mensual'!K247+parametros_recargas!$H$85*'Plan mensual'!K248+parametros_recargas!$I$85*'Plan mensual'!K249+parametros_recargas!$J$85*'Plan mensual'!K250+parametros_recargas!$K$85*'Plan mensual'!K251+parametros_recargas!$L$85*'Plan mensual'!K252</f>
        <v>1599.86215490429</v>
      </c>
      <c r="J239" s="21" t="n">
        <f aca="false">parametros_recargas!$E$85*'Plan mensual'!L245+parametros_recargas!$F$85*'Plan mensual'!L246+parametros_recargas!$G$85*'Plan mensual'!L247+parametros_recargas!$H$85*'Plan mensual'!L248+parametros_recargas!$I$85*'Plan mensual'!L249+parametros_recargas!$J$85*'Plan mensual'!L250+parametros_recargas!$K$85*'Plan mensual'!L251+parametros_recargas!$L$85*'Plan mensual'!L252</f>
        <v>1599.86215490429</v>
      </c>
      <c r="K239" s="21" t="n">
        <f aca="false">parametros_recargas!$E$85*'Plan mensual'!M245+parametros_recargas!$F$85*'Plan mensual'!M246+parametros_recargas!$G$85*'Plan mensual'!M247+parametros_recargas!$H$85*'Plan mensual'!M248+parametros_recargas!$I$85*'Plan mensual'!M249+parametros_recargas!$J$85*'Plan mensual'!M250+parametros_recargas!$K$85*'Plan mensual'!M251+parametros_recargas!$L$85*'Plan mensual'!M252</f>
        <v>1599.86215490429</v>
      </c>
      <c r="L239" s="21" t="n">
        <f aca="false">parametros_recargas!$E$85*'Plan mensual'!N245+parametros_recargas!$F$85*'Plan mensual'!N246+parametros_recargas!$G$85*'Plan mensual'!N247+parametros_recargas!$H$85*'Plan mensual'!N248+parametros_recargas!$I$85*'Plan mensual'!N249+parametros_recargas!$J$85*'Plan mensual'!N250+parametros_recargas!$K$85*'Plan mensual'!N251+parametros_recargas!$L$85*'Plan mensual'!N252</f>
        <v>1599.86215490429</v>
      </c>
      <c r="M239" s="21" t="n">
        <f aca="false">parametros_recargas!$E$85*'Plan mensual'!O245+parametros_recargas!$F$85*'Plan mensual'!O246+parametros_recargas!$G$85*'Plan mensual'!O247+parametros_recargas!$H$85*'Plan mensual'!O248+parametros_recargas!$I$85*'Plan mensual'!O249+parametros_recargas!$J$85*'Plan mensual'!O250+parametros_recargas!$K$85*'Plan mensual'!O251+parametros_recargas!$L$85*'Plan mensual'!O252</f>
        <v>1599.86215490429</v>
      </c>
      <c r="N239" s="6" t="n">
        <f aca="false">SUM(B239:M239)</f>
        <v>19198.3458588515</v>
      </c>
      <c r="O239" s="22" t="n">
        <f aca="false">MAX(B239:M239)</f>
        <v>1599.86215490429</v>
      </c>
      <c r="P239" s="12" t="n">
        <f aca="false">O239/parametros_recargas!$B$6</f>
        <v>10.665747699362</v>
      </c>
    </row>
    <row r="240" customFormat="false" ht="15" hidden="false" customHeight="false" outlineLevel="0" collapsed="false">
      <c r="A240" s="8" t="str">
        <f aca="false">parametros_recargas!$B$86</f>
        <v>Pintura</v>
      </c>
      <c r="B240" s="21" t="n">
        <f aca="false">parametros_recargas!$E$86*'Plan mensual'!D245+parametros_recargas!$F$86*'Plan mensual'!D246+parametros_recargas!$G$86*'Plan mensual'!D247+parametros_recargas!$H$86*'Plan mensual'!D248+parametros_recargas!$I$86*'Plan mensual'!D249+parametros_recargas!$J$86*'Plan mensual'!D250+parametros_recargas!$K$86*'Plan mensual'!D251+parametros_recargas!$L$86*'Plan mensual'!D252</f>
        <v>799.84249883399</v>
      </c>
      <c r="C240" s="21" t="n">
        <f aca="false">parametros_recargas!$E$86*'Plan mensual'!E245+parametros_recargas!$F$86*'Plan mensual'!E246+parametros_recargas!$G$86*'Plan mensual'!E247+parametros_recargas!$H$86*'Plan mensual'!E248+parametros_recargas!$I$86*'Plan mensual'!E249+parametros_recargas!$J$86*'Plan mensual'!E250+parametros_recargas!$K$86*'Plan mensual'!E251+parametros_recargas!$L$86*'Plan mensual'!E252</f>
        <v>799.84249883399</v>
      </c>
      <c r="D240" s="21" t="n">
        <f aca="false">parametros_recargas!$E$86*'Plan mensual'!F245+parametros_recargas!$F$86*'Plan mensual'!F246+parametros_recargas!$G$86*'Plan mensual'!F247+parametros_recargas!$H$86*'Plan mensual'!F248+parametros_recargas!$I$86*'Plan mensual'!F249+parametros_recargas!$J$86*'Plan mensual'!F250+parametros_recargas!$K$86*'Plan mensual'!F251+parametros_recargas!$L$86*'Plan mensual'!F252</f>
        <v>799.84249883399</v>
      </c>
      <c r="E240" s="21" t="n">
        <f aca="false">parametros_recargas!$E$86*'Plan mensual'!G245+parametros_recargas!$F$86*'Plan mensual'!G246+parametros_recargas!$G$86*'Plan mensual'!G247+parametros_recargas!$H$86*'Plan mensual'!G248+parametros_recargas!$I$86*'Plan mensual'!G249+parametros_recargas!$J$86*'Plan mensual'!G250+parametros_recargas!$K$86*'Plan mensual'!G251+parametros_recargas!$L$86*'Plan mensual'!G252</f>
        <v>799.84249883399</v>
      </c>
      <c r="F240" s="21" t="n">
        <f aca="false">parametros_recargas!$E$86*'Plan mensual'!H245+parametros_recargas!$F$86*'Plan mensual'!H246+parametros_recargas!$G$86*'Plan mensual'!H247+parametros_recargas!$H$86*'Plan mensual'!H248+parametros_recargas!$I$86*'Plan mensual'!H249+parametros_recargas!$J$86*'Plan mensual'!H250+parametros_recargas!$K$86*'Plan mensual'!H251+parametros_recargas!$L$86*'Plan mensual'!H252</f>
        <v>799.84249883399</v>
      </c>
      <c r="G240" s="21" t="n">
        <f aca="false">parametros_recargas!$E$86*'Plan mensual'!I245+parametros_recargas!$F$86*'Plan mensual'!I246+parametros_recargas!$G$86*'Plan mensual'!I247+parametros_recargas!$H$86*'Plan mensual'!I248+parametros_recargas!$I$86*'Plan mensual'!I249+parametros_recargas!$J$86*'Plan mensual'!I250+parametros_recargas!$K$86*'Plan mensual'!I251+parametros_recargas!$L$86*'Plan mensual'!I252</f>
        <v>799.84249883399</v>
      </c>
      <c r="H240" s="21" t="n">
        <f aca="false">parametros_recargas!$E$86*'Plan mensual'!J245+parametros_recargas!$F$86*'Plan mensual'!J246+parametros_recargas!$G$86*'Plan mensual'!J247+parametros_recargas!$H$86*'Plan mensual'!J248+parametros_recargas!$I$86*'Plan mensual'!J249+parametros_recargas!$J$86*'Plan mensual'!J250+parametros_recargas!$K$86*'Plan mensual'!J251+parametros_recargas!$L$86*'Plan mensual'!J252</f>
        <v>799.84249883399</v>
      </c>
      <c r="I240" s="21" t="n">
        <f aca="false">parametros_recargas!$E$86*'Plan mensual'!K245+parametros_recargas!$F$86*'Plan mensual'!K246+parametros_recargas!$G$86*'Plan mensual'!K247+parametros_recargas!$H$86*'Plan mensual'!K248+parametros_recargas!$I$86*'Plan mensual'!K249+parametros_recargas!$J$86*'Plan mensual'!K250+parametros_recargas!$K$86*'Plan mensual'!K251+parametros_recargas!$L$86*'Plan mensual'!K252</f>
        <v>799.84249883399</v>
      </c>
      <c r="J240" s="21" t="n">
        <f aca="false">parametros_recargas!$E$86*'Plan mensual'!L245+parametros_recargas!$F$86*'Plan mensual'!L246+parametros_recargas!$G$86*'Plan mensual'!L247+parametros_recargas!$H$86*'Plan mensual'!L248+parametros_recargas!$I$86*'Plan mensual'!L249+parametros_recargas!$J$86*'Plan mensual'!L250+parametros_recargas!$K$86*'Plan mensual'!L251+parametros_recargas!$L$86*'Plan mensual'!L252</f>
        <v>799.84249883399</v>
      </c>
      <c r="K240" s="21" t="n">
        <f aca="false">parametros_recargas!$E$86*'Plan mensual'!M245+parametros_recargas!$F$86*'Plan mensual'!M246+parametros_recargas!$G$86*'Plan mensual'!M247+parametros_recargas!$H$86*'Plan mensual'!M248+parametros_recargas!$I$86*'Plan mensual'!M249+parametros_recargas!$J$86*'Plan mensual'!M250+parametros_recargas!$K$86*'Plan mensual'!M251+parametros_recargas!$L$86*'Plan mensual'!M252</f>
        <v>799.84249883399</v>
      </c>
      <c r="L240" s="21" t="n">
        <f aca="false">parametros_recargas!$E$86*'Plan mensual'!N245+parametros_recargas!$F$86*'Plan mensual'!N246+parametros_recargas!$G$86*'Plan mensual'!N247+parametros_recargas!$H$86*'Plan mensual'!N248+parametros_recargas!$I$86*'Plan mensual'!N249+parametros_recargas!$J$86*'Plan mensual'!N250+parametros_recargas!$K$86*'Plan mensual'!N251+parametros_recargas!$L$86*'Plan mensual'!N252</f>
        <v>799.84249883399</v>
      </c>
      <c r="M240" s="21" t="n">
        <f aca="false">parametros_recargas!$E$86*'Plan mensual'!O245+parametros_recargas!$F$86*'Plan mensual'!O246+parametros_recargas!$G$86*'Plan mensual'!O247+parametros_recargas!$H$86*'Plan mensual'!O248+parametros_recargas!$I$86*'Plan mensual'!O249+parametros_recargas!$J$86*'Plan mensual'!O250+parametros_recargas!$K$86*'Plan mensual'!O251+parametros_recargas!$L$86*'Plan mensual'!O252</f>
        <v>799.84249883399</v>
      </c>
      <c r="N240" s="6" t="n">
        <f aca="false">SUM(B240:M240)</f>
        <v>9598.10998600788</v>
      </c>
      <c r="O240" s="22" t="n">
        <f aca="false">MAX(B240:M240)</f>
        <v>799.84249883399</v>
      </c>
      <c r="P240" s="12" t="n">
        <f aca="false">O240/parametros_recargas!$B$6</f>
        <v>5.33228332555993</v>
      </c>
    </row>
    <row r="241" customFormat="false" ht="15" hidden="false" customHeight="false" outlineLevel="0" collapsed="false">
      <c r="A241" s="8" t="str">
        <f aca="false">parametros_recargas!$B$87</f>
        <v>Carga de polvo ABC</v>
      </c>
      <c r="B241" s="21" t="n">
        <f aca="false">parametros_recargas!$E$87*'Plan mensual'!D245+parametros_recargas!$F$87*'Plan mensual'!D246+parametros_recargas!$G$87*'Plan mensual'!D247+parametros_recargas!$H$87*'Plan mensual'!D248+parametros_recargas!$I$87*'Plan mensual'!D249+parametros_recargas!$J$87*'Plan mensual'!D250+parametros_recargas!$K$87*'Plan mensual'!D251+parametros_recargas!$L$87*'Plan mensual'!D252</f>
        <v>6967.82774413529</v>
      </c>
      <c r="C241" s="21" t="n">
        <f aca="false">parametros_recargas!$E$87*'Plan mensual'!E245+parametros_recargas!$F$87*'Plan mensual'!E246+parametros_recargas!$G$87*'Plan mensual'!E247+parametros_recargas!$H$87*'Plan mensual'!E248+parametros_recargas!$I$87*'Plan mensual'!E249+parametros_recargas!$J$87*'Plan mensual'!E250+parametros_recargas!$K$87*'Plan mensual'!E251+parametros_recargas!$L$87*'Plan mensual'!E252</f>
        <v>6967.82774413529</v>
      </c>
      <c r="D241" s="21" t="n">
        <f aca="false">parametros_recargas!$E$87*'Plan mensual'!F245+parametros_recargas!$F$87*'Plan mensual'!F246+parametros_recargas!$G$87*'Plan mensual'!F247+parametros_recargas!$H$87*'Plan mensual'!F248+parametros_recargas!$I$87*'Plan mensual'!F249+parametros_recargas!$J$87*'Plan mensual'!F250+parametros_recargas!$K$87*'Plan mensual'!F251+parametros_recargas!$L$87*'Plan mensual'!F252</f>
        <v>6967.82774413529</v>
      </c>
      <c r="E241" s="21" t="n">
        <f aca="false">parametros_recargas!$E$87*'Plan mensual'!G245+parametros_recargas!$F$87*'Plan mensual'!G246+parametros_recargas!$G$87*'Plan mensual'!G247+parametros_recargas!$H$87*'Plan mensual'!G248+parametros_recargas!$I$87*'Plan mensual'!G249+parametros_recargas!$J$87*'Plan mensual'!G250+parametros_recargas!$K$87*'Plan mensual'!G251+parametros_recargas!$L$87*'Plan mensual'!G252</f>
        <v>6967.82774413529</v>
      </c>
      <c r="F241" s="21" t="n">
        <f aca="false">parametros_recargas!$E$87*'Plan mensual'!H245+parametros_recargas!$F$87*'Plan mensual'!H246+parametros_recargas!$G$87*'Plan mensual'!H247+parametros_recargas!$H$87*'Plan mensual'!H248+parametros_recargas!$I$87*'Plan mensual'!H249+parametros_recargas!$J$87*'Plan mensual'!H250+parametros_recargas!$K$87*'Plan mensual'!H251+parametros_recargas!$L$87*'Plan mensual'!H252</f>
        <v>6967.82774413529</v>
      </c>
      <c r="G241" s="21" t="n">
        <f aca="false">parametros_recargas!$E$87*'Plan mensual'!I245+parametros_recargas!$F$87*'Plan mensual'!I246+parametros_recargas!$G$87*'Plan mensual'!I247+parametros_recargas!$H$87*'Plan mensual'!I248+parametros_recargas!$I$87*'Plan mensual'!I249+parametros_recargas!$J$87*'Plan mensual'!I250+parametros_recargas!$K$87*'Plan mensual'!I251+parametros_recargas!$L$87*'Plan mensual'!I252</f>
        <v>6967.82774413529</v>
      </c>
      <c r="H241" s="21" t="n">
        <f aca="false">parametros_recargas!$E$87*'Plan mensual'!J245+parametros_recargas!$F$87*'Plan mensual'!J246+parametros_recargas!$G$87*'Plan mensual'!J247+parametros_recargas!$H$87*'Plan mensual'!J248+parametros_recargas!$I$87*'Plan mensual'!J249+parametros_recargas!$J$87*'Plan mensual'!J250+parametros_recargas!$K$87*'Plan mensual'!J251+parametros_recargas!$L$87*'Plan mensual'!J252</f>
        <v>6967.82774413529</v>
      </c>
      <c r="I241" s="21" t="n">
        <f aca="false">parametros_recargas!$E$87*'Plan mensual'!K245+parametros_recargas!$F$87*'Plan mensual'!K246+parametros_recargas!$G$87*'Plan mensual'!K247+parametros_recargas!$H$87*'Plan mensual'!K248+parametros_recargas!$I$87*'Plan mensual'!K249+parametros_recargas!$J$87*'Plan mensual'!K250+parametros_recargas!$K$87*'Plan mensual'!K251+parametros_recargas!$L$87*'Plan mensual'!K252</f>
        <v>6967.82774413529</v>
      </c>
      <c r="J241" s="21" t="n">
        <f aca="false">parametros_recargas!$E$87*'Plan mensual'!L245+parametros_recargas!$F$87*'Plan mensual'!L246+parametros_recargas!$G$87*'Plan mensual'!L247+parametros_recargas!$H$87*'Plan mensual'!L248+parametros_recargas!$I$87*'Plan mensual'!L249+parametros_recargas!$J$87*'Plan mensual'!L250+parametros_recargas!$K$87*'Plan mensual'!L251+parametros_recargas!$L$87*'Plan mensual'!L252</f>
        <v>6967.82774413529</v>
      </c>
      <c r="K241" s="21" t="n">
        <f aca="false">parametros_recargas!$E$87*'Plan mensual'!M245+parametros_recargas!$F$87*'Plan mensual'!M246+parametros_recargas!$G$87*'Plan mensual'!M247+parametros_recargas!$H$87*'Plan mensual'!M248+parametros_recargas!$I$87*'Plan mensual'!M249+parametros_recargas!$J$87*'Plan mensual'!M250+parametros_recargas!$K$87*'Plan mensual'!M251+parametros_recargas!$L$87*'Plan mensual'!M252</f>
        <v>6967.82774413529</v>
      </c>
      <c r="L241" s="21" t="n">
        <f aca="false">parametros_recargas!$E$87*'Plan mensual'!N245+parametros_recargas!$F$87*'Plan mensual'!N246+parametros_recargas!$G$87*'Plan mensual'!N247+parametros_recargas!$H$87*'Plan mensual'!N248+parametros_recargas!$I$87*'Plan mensual'!N249+parametros_recargas!$J$87*'Plan mensual'!N250+parametros_recargas!$K$87*'Plan mensual'!N251+parametros_recargas!$L$87*'Plan mensual'!N252</f>
        <v>6967.82774413529</v>
      </c>
      <c r="M241" s="21" t="n">
        <f aca="false">parametros_recargas!$E$87*'Plan mensual'!O245+parametros_recargas!$F$87*'Plan mensual'!O246+parametros_recargas!$G$87*'Plan mensual'!O247+parametros_recargas!$H$87*'Plan mensual'!O248+parametros_recargas!$I$87*'Plan mensual'!O249+parametros_recargas!$J$87*'Plan mensual'!O250+parametros_recargas!$K$87*'Plan mensual'!O251+parametros_recargas!$L$87*'Plan mensual'!O252</f>
        <v>6967.82774413529</v>
      </c>
      <c r="N241" s="6" t="n">
        <f aca="false">SUM(B241:M241)</f>
        <v>83613.9329296234</v>
      </c>
      <c r="O241" s="22" t="n">
        <f aca="false">MAX(B241:M241)</f>
        <v>6967.82774413529</v>
      </c>
      <c r="P241" s="12" t="n">
        <f aca="false">O241/parametros_recargas!$B$6</f>
        <v>46.4521849609019</v>
      </c>
    </row>
    <row r="242" customFormat="false" ht="15" hidden="false" customHeight="false" outlineLevel="0" collapsed="false">
      <c r="A242" s="8" t="str">
        <f aca="false">parametros_recargas!$B$88</f>
        <v>Carga de polvo BC</v>
      </c>
      <c r="B242" s="21" t="n">
        <f aca="false">parametros_recargas!$E$88*'Plan mensual'!D245+parametros_recargas!$F$88*'Plan mensual'!D246+parametros_recargas!$G$88*'Plan mensual'!D247+parametros_recargas!$H$88*'Plan mensual'!D248+parametros_recargas!$I$88*'Plan mensual'!D249+parametros_recargas!$J$88*'Plan mensual'!D250+parametros_recargas!$K$88*'Plan mensual'!D251+parametros_recargas!$L$88*'Plan mensual'!D252</f>
        <v>9.97653078563615</v>
      </c>
      <c r="C242" s="21" t="n">
        <f aca="false">parametros_recargas!$E$88*'Plan mensual'!E245+parametros_recargas!$F$88*'Plan mensual'!E246+parametros_recargas!$G$88*'Plan mensual'!E247+parametros_recargas!$H$88*'Plan mensual'!E248+parametros_recargas!$I$88*'Plan mensual'!E249+parametros_recargas!$J$88*'Plan mensual'!E250+parametros_recargas!$K$88*'Plan mensual'!E251+parametros_recargas!$L$88*'Plan mensual'!E252</f>
        <v>9.97653078563615</v>
      </c>
      <c r="D242" s="21" t="n">
        <f aca="false">parametros_recargas!$E$88*'Plan mensual'!F245+parametros_recargas!$F$88*'Plan mensual'!F246+parametros_recargas!$G$88*'Plan mensual'!F247+parametros_recargas!$H$88*'Plan mensual'!F248+parametros_recargas!$I$88*'Plan mensual'!F249+parametros_recargas!$J$88*'Plan mensual'!F250+parametros_recargas!$K$88*'Plan mensual'!F251+parametros_recargas!$L$88*'Plan mensual'!F252</f>
        <v>9.97653078563615</v>
      </c>
      <c r="E242" s="21" t="n">
        <f aca="false">parametros_recargas!$E$88*'Plan mensual'!G245+parametros_recargas!$F$88*'Plan mensual'!G246+parametros_recargas!$G$88*'Plan mensual'!G247+parametros_recargas!$H$88*'Plan mensual'!G248+parametros_recargas!$I$88*'Plan mensual'!G249+parametros_recargas!$J$88*'Plan mensual'!G250+parametros_recargas!$K$88*'Plan mensual'!G251+parametros_recargas!$L$88*'Plan mensual'!G252</f>
        <v>9.97653078563615</v>
      </c>
      <c r="F242" s="21" t="n">
        <f aca="false">parametros_recargas!$E$88*'Plan mensual'!H245+parametros_recargas!$F$88*'Plan mensual'!H246+parametros_recargas!$G$88*'Plan mensual'!H247+parametros_recargas!$H$88*'Plan mensual'!H248+parametros_recargas!$I$88*'Plan mensual'!H249+parametros_recargas!$J$88*'Plan mensual'!H250+parametros_recargas!$K$88*'Plan mensual'!H251+parametros_recargas!$L$88*'Plan mensual'!H252</f>
        <v>9.97653078563615</v>
      </c>
      <c r="G242" s="21" t="n">
        <f aca="false">parametros_recargas!$E$88*'Plan mensual'!I245+parametros_recargas!$F$88*'Plan mensual'!I246+parametros_recargas!$G$88*'Plan mensual'!I247+parametros_recargas!$H$88*'Plan mensual'!I248+parametros_recargas!$I$88*'Plan mensual'!I249+parametros_recargas!$J$88*'Plan mensual'!I250+parametros_recargas!$K$88*'Plan mensual'!I251+parametros_recargas!$L$88*'Plan mensual'!I252</f>
        <v>9.97653078563615</v>
      </c>
      <c r="H242" s="21" t="n">
        <f aca="false">parametros_recargas!$E$88*'Plan mensual'!J245+parametros_recargas!$F$88*'Plan mensual'!J246+parametros_recargas!$G$88*'Plan mensual'!J247+parametros_recargas!$H$88*'Plan mensual'!J248+parametros_recargas!$I$88*'Plan mensual'!J249+parametros_recargas!$J$88*'Plan mensual'!J250+parametros_recargas!$K$88*'Plan mensual'!J251+parametros_recargas!$L$88*'Plan mensual'!J252</f>
        <v>9.97653078563615</v>
      </c>
      <c r="I242" s="21" t="n">
        <f aca="false">parametros_recargas!$E$88*'Plan mensual'!K245+parametros_recargas!$F$88*'Plan mensual'!K246+parametros_recargas!$G$88*'Plan mensual'!K247+parametros_recargas!$H$88*'Plan mensual'!K248+parametros_recargas!$I$88*'Plan mensual'!K249+parametros_recargas!$J$88*'Plan mensual'!K250+parametros_recargas!$K$88*'Plan mensual'!K251+parametros_recargas!$L$88*'Plan mensual'!K252</f>
        <v>9.97653078563615</v>
      </c>
      <c r="J242" s="21" t="n">
        <f aca="false">parametros_recargas!$E$88*'Plan mensual'!L245+parametros_recargas!$F$88*'Plan mensual'!L246+parametros_recargas!$G$88*'Plan mensual'!L247+parametros_recargas!$H$88*'Plan mensual'!L248+parametros_recargas!$I$88*'Plan mensual'!L249+parametros_recargas!$J$88*'Plan mensual'!L250+parametros_recargas!$K$88*'Plan mensual'!L251+parametros_recargas!$L$88*'Plan mensual'!L252</f>
        <v>9.97653078563615</v>
      </c>
      <c r="K242" s="21" t="n">
        <f aca="false">parametros_recargas!$E$88*'Plan mensual'!M245+parametros_recargas!$F$88*'Plan mensual'!M246+parametros_recargas!$G$88*'Plan mensual'!M247+parametros_recargas!$H$88*'Plan mensual'!M248+parametros_recargas!$I$88*'Plan mensual'!M249+parametros_recargas!$J$88*'Plan mensual'!M250+parametros_recargas!$K$88*'Plan mensual'!M251+parametros_recargas!$L$88*'Plan mensual'!M252</f>
        <v>9.97653078563615</v>
      </c>
      <c r="L242" s="21" t="n">
        <f aca="false">parametros_recargas!$E$88*'Plan mensual'!N245+parametros_recargas!$F$88*'Plan mensual'!N246+parametros_recargas!$G$88*'Plan mensual'!N247+parametros_recargas!$H$88*'Plan mensual'!N248+parametros_recargas!$I$88*'Plan mensual'!N249+parametros_recargas!$J$88*'Plan mensual'!N250+parametros_recargas!$K$88*'Plan mensual'!N251+parametros_recargas!$L$88*'Plan mensual'!N252</f>
        <v>9.97653078563615</v>
      </c>
      <c r="M242" s="21" t="n">
        <f aca="false">parametros_recargas!$E$88*'Plan mensual'!O245+parametros_recargas!$F$88*'Plan mensual'!O246+parametros_recargas!$G$88*'Plan mensual'!O247+parametros_recargas!$H$88*'Plan mensual'!O248+parametros_recargas!$I$88*'Plan mensual'!O249+parametros_recargas!$J$88*'Plan mensual'!O250+parametros_recargas!$K$88*'Plan mensual'!O251+parametros_recargas!$L$88*'Plan mensual'!O252</f>
        <v>9.97653078563615</v>
      </c>
      <c r="N242" s="6" t="n">
        <f aca="false">SUM(B242:M242)</f>
        <v>119.718369427634</v>
      </c>
      <c r="O242" s="22" t="n">
        <f aca="false">MAX(B242:M242)</f>
        <v>9.97653078563615</v>
      </c>
      <c r="P242" s="12" t="n">
        <f aca="false">O242/parametros_recargas!$B$6</f>
        <v>0.0665102052375743</v>
      </c>
    </row>
    <row r="243" customFormat="false" ht="15" hidden="false" customHeight="false" outlineLevel="0" collapsed="false">
      <c r="A243" s="8" t="str">
        <f aca="false">parametros_recargas!$B$89</f>
        <v>Descarga y carga Clase D</v>
      </c>
      <c r="B243" s="21" t="n">
        <f aca="false">parametros_recargas!$E$89*'Plan mensual'!D245+parametros_recargas!$F$89*'Plan mensual'!D246+parametros_recargas!$G$89*'Plan mensual'!D247+parametros_recargas!$H$89*'Plan mensual'!D248+parametros_recargas!$I$89*'Plan mensual'!D249+parametros_recargas!$J$89*'Plan mensual'!D250+parametros_recargas!$K$89*'Plan mensual'!D251+parametros_recargas!$L$89*'Plan mensual'!D252</f>
        <v>8.97969168539883</v>
      </c>
      <c r="C243" s="21" t="n">
        <f aca="false">parametros_recargas!$E$89*'Plan mensual'!E245+parametros_recargas!$F$89*'Plan mensual'!E246+parametros_recargas!$G$89*'Plan mensual'!E247+parametros_recargas!$H$89*'Plan mensual'!E248+parametros_recargas!$I$89*'Plan mensual'!E249+parametros_recargas!$J$89*'Plan mensual'!E250+parametros_recargas!$K$89*'Plan mensual'!E251+parametros_recargas!$L$89*'Plan mensual'!E252</f>
        <v>8.97969168539883</v>
      </c>
      <c r="D243" s="21" t="n">
        <f aca="false">parametros_recargas!$E$89*'Plan mensual'!F245+parametros_recargas!$F$89*'Plan mensual'!F246+parametros_recargas!$G$89*'Plan mensual'!F247+parametros_recargas!$H$89*'Plan mensual'!F248+parametros_recargas!$I$89*'Plan mensual'!F249+parametros_recargas!$J$89*'Plan mensual'!F250+parametros_recargas!$K$89*'Plan mensual'!F251+parametros_recargas!$L$89*'Plan mensual'!F252</f>
        <v>8.97969168539883</v>
      </c>
      <c r="E243" s="21" t="n">
        <f aca="false">parametros_recargas!$E$89*'Plan mensual'!G245+parametros_recargas!$F$89*'Plan mensual'!G246+parametros_recargas!$G$89*'Plan mensual'!G247+parametros_recargas!$H$89*'Plan mensual'!G248+parametros_recargas!$I$89*'Plan mensual'!G249+parametros_recargas!$J$89*'Plan mensual'!G250+parametros_recargas!$K$89*'Plan mensual'!G251+parametros_recargas!$L$89*'Plan mensual'!G252</f>
        <v>8.97969168539883</v>
      </c>
      <c r="F243" s="21" t="n">
        <f aca="false">parametros_recargas!$E$89*'Plan mensual'!H245+parametros_recargas!$F$89*'Plan mensual'!H246+parametros_recargas!$G$89*'Plan mensual'!H247+parametros_recargas!$H$89*'Plan mensual'!H248+parametros_recargas!$I$89*'Plan mensual'!H249+parametros_recargas!$J$89*'Plan mensual'!H250+parametros_recargas!$K$89*'Plan mensual'!H251+parametros_recargas!$L$89*'Plan mensual'!H252</f>
        <v>8.97969168539883</v>
      </c>
      <c r="G243" s="21" t="n">
        <f aca="false">parametros_recargas!$E$89*'Plan mensual'!I245+parametros_recargas!$F$89*'Plan mensual'!I246+parametros_recargas!$G$89*'Plan mensual'!I247+parametros_recargas!$H$89*'Plan mensual'!I248+parametros_recargas!$I$89*'Plan mensual'!I249+parametros_recargas!$J$89*'Plan mensual'!I250+parametros_recargas!$K$89*'Plan mensual'!I251+parametros_recargas!$L$89*'Plan mensual'!I252</f>
        <v>8.97969168539883</v>
      </c>
      <c r="H243" s="21" t="n">
        <f aca="false">parametros_recargas!$E$89*'Plan mensual'!J245+parametros_recargas!$F$89*'Plan mensual'!J246+parametros_recargas!$G$89*'Plan mensual'!J247+parametros_recargas!$H$89*'Plan mensual'!J248+parametros_recargas!$I$89*'Plan mensual'!J249+parametros_recargas!$J$89*'Plan mensual'!J250+parametros_recargas!$K$89*'Plan mensual'!J251+parametros_recargas!$L$89*'Plan mensual'!J252</f>
        <v>8.97969168539883</v>
      </c>
      <c r="I243" s="21" t="n">
        <f aca="false">parametros_recargas!$E$89*'Plan mensual'!K245+parametros_recargas!$F$89*'Plan mensual'!K246+parametros_recargas!$G$89*'Plan mensual'!K247+parametros_recargas!$H$89*'Plan mensual'!K248+parametros_recargas!$I$89*'Plan mensual'!K249+parametros_recargas!$J$89*'Plan mensual'!K250+parametros_recargas!$K$89*'Plan mensual'!K251+parametros_recargas!$L$89*'Plan mensual'!K252</f>
        <v>8.97969168539883</v>
      </c>
      <c r="J243" s="21" t="n">
        <f aca="false">parametros_recargas!$E$89*'Plan mensual'!L245+parametros_recargas!$F$89*'Plan mensual'!L246+parametros_recargas!$G$89*'Plan mensual'!L247+parametros_recargas!$H$89*'Plan mensual'!L248+parametros_recargas!$I$89*'Plan mensual'!L249+parametros_recargas!$J$89*'Plan mensual'!L250+parametros_recargas!$K$89*'Plan mensual'!L251+parametros_recargas!$L$89*'Plan mensual'!L252</f>
        <v>8.97969168539883</v>
      </c>
      <c r="K243" s="21" t="n">
        <f aca="false">parametros_recargas!$E$89*'Plan mensual'!M245+parametros_recargas!$F$89*'Plan mensual'!M246+parametros_recargas!$G$89*'Plan mensual'!M247+parametros_recargas!$H$89*'Plan mensual'!M248+parametros_recargas!$I$89*'Plan mensual'!M249+parametros_recargas!$J$89*'Plan mensual'!M250+parametros_recargas!$K$89*'Plan mensual'!M251+parametros_recargas!$L$89*'Plan mensual'!M252</f>
        <v>8.97969168539883</v>
      </c>
      <c r="L243" s="21" t="n">
        <f aca="false">parametros_recargas!$E$89*'Plan mensual'!N245+parametros_recargas!$F$89*'Plan mensual'!N246+parametros_recargas!$G$89*'Plan mensual'!N247+parametros_recargas!$H$89*'Plan mensual'!N248+parametros_recargas!$I$89*'Plan mensual'!N249+parametros_recargas!$J$89*'Plan mensual'!N250+parametros_recargas!$K$89*'Plan mensual'!N251+parametros_recargas!$L$89*'Plan mensual'!N252</f>
        <v>8.97969168539883</v>
      </c>
      <c r="M243" s="21" t="n">
        <f aca="false">parametros_recargas!$E$89*'Plan mensual'!O245+parametros_recargas!$F$89*'Plan mensual'!O246+parametros_recargas!$G$89*'Plan mensual'!O247+parametros_recargas!$H$89*'Plan mensual'!O248+parametros_recargas!$I$89*'Plan mensual'!O249+parametros_recargas!$J$89*'Plan mensual'!O250+parametros_recargas!$K$89*'Plan mensual'!O251+parametros_recargas!$L$89*'Plan mensual'!O252</f>
        <v>8.97969168539883</v>
      </c>
      <c r="N243" s="6" t="n">
        <f aca="false">SUM(B243:M243)</f>
        <v>107.756300224786</v>
      </c>
      <c r="O243" s="22" t="n">
        <f aca="false">MAX(B243:M243)</f>
        <v>8.97969168539883</v>
      </c>
      <c r="P243" s="12" t="n">
        <f aca="false">O243/parametros_recargas!$B$6</f>
        <v>0.0598646112359922</v>
      </c>
    </row>
    <row r="244" customFormat="false" ht="15" hidden="false" customHeight="false" outlineLevel="0" collapsed="false">
      <c r="A244" s="8" t="str">
        <f aca="false">parametros_recargas!$B$90</f>
        <v>Carga de agua / AFFF / sales K</v>
      </c>
      <c r="B244" s="21" t="n">
        <f aca="false">parametros_recargas!$E$90*'Plan mensual'!D245+parametros_recargas!$F$90*'Plan mensual'!D246+parametros_recargas!$G$90*'Plan mensual'!D247+parametros_recargas!$H$90*'Plan mensual'!D248+parametros_recargas!$I$90*'Plan mensual'!D249+parametros_recargas!$J$90*'Plan mensual'!D250+parametros_recargas!$K$90*'Plan mensual'!D251+parametros_recargas!$L$90*'Plan mensual'!D252</f>
        <v>348.453412148756</v>
      </c>
      <c r="C244" s="21" t="n">
        <f aca="false">parametros_recargas!$E$90*'Plan mensual'!E245+parametros_recargas!$F$90*'Plan mensual'!E246+parametros_recargas!$G$90*'Plan mensual'!E247+parametros_recargas!$H$90*'Plan mensual'!E248+parametros_recargas!$I$90*'Plan mensual'!E249+parametros_recargas!$J$90*'Plan mensual'!E250+parametros_recargas!$K$90*'Plan mensual'!E251+parametros_recargas!$L$90*'Plan mensual'!E252</f>
        <v>348.453412148756</v>
      </c>
      <c r="D244" s="21" t="n">
        <f aca="false">parametros_recargas!$E$90*'Plan mensual'!F245+parametros_recargas!$F$90*'Plan mensual'!F246+parametros_recargas!$G$90*'Plan mensual'!F247+parametros_recargas!$H$90*'Plan mensual'!F248+parametros_recargas!$I$90*'Plan mensual'!F249+parametros_recargas!$J$90*'Plan mensual'!F250+parametros_recargas!$K$90*'Plan mensual'!F251+parametros_recargas!$L$90*'Plan mensual'!F252</f>
        <v>348.453412148756</v>
      </c>
      <c r="E244" s="21" t="n">
        <f aca="false">parametros_recargas!$E$90*'Plan mensual'!G245+parametros_recargas!$F$90*'Plan mensual'!G246+parametros_recargas!$G$90*'Plan mensual'!G247+parametros_recargas!$H$90*'Plan mensual'!G248+parametros_recargas!$I$90*'Plan mensual'!G249+parametros_recargas!$J$90*'Plan mensual'!G250+parametros_recargas!$K$90*'Plan mensual'!G251+parametros_recargas!$L$90*'Plan mensual'!G252</f>
        <v>348.453412148756</v>
      </c>
      <c r="F244" s="21" t="n">
        <f aca="false">parametros_recargas!$E$90*'Plan mensual'!H245+parametros_recargas!$F$90*'Plan mensual'!H246+parametros_recargas!$G$90*'Plan mensual'!H247+parametros_recargas!$H$90*'Plan mensual'!H248+parametros_recargas!$I$90*'Plan mensual'!H249+parametros_recargas!$J$90*'Plan mensual'!H250+parametros_recargas!$K$90*'Plan mensual'!H251+parametros_recargas!$L$90*'Plan mensual'!H252</f>
        <v>348.453412148756</v>
      </c>
      <c r="G244" s="21" t="n">
        <f aca="false">parametros_recargas!$E$90*'Plan mensual'!I245+parametros_recargas!$F$90*'Plan mensual'!I246+parametros_recargas!$G$90*'Plan mensual'!I247+parametros_recargas!$H$90*'Plan mensual'!I248+parametros_recargas!$I$90*'Plan mensual'!I249+parametros_recargas!$J$90*'Plan mensual'!I250+parametros_recargas!$K$90*'Plan mensual'!I251+parametros_recargas!$L$90*'Plan mensual'!I252</f>
        <v>348.453412148756</v>
      </c>
      <c r="H244" s="21" t="n">
        <f aca="false">parametros_recargas!$E$90*'Plan mensual'!J245+parametros_recargas!$F$90*'Plan mensual'!J246+parametros_recargas!$G$90*'Plan mensual'!J247+parametros_recargas!$H$90*'Plan mensual'!J248+parametros_recargas!$I$90*'Plan mensual'!J249+parametros_recargas!$J$90*'Plan mensual'!J250+parametros_recargas!$K$90*'Plan mensual'!J251+parametros_recargas!$L$90*'Plan mensual'!J252</f>
        <v>348.453412148756</v>
      </c>
      <c r="I244" s="21" t="n">
        <f aca="false">parametros_recargas!$E$90*'Plan mensual'!K245+parametros_recargas!$F$90*'Plan mensual'!K246+parametros_recargas!$G$90*'Plan mensual'!K247+parametros_recargas!$H$90*'Plan mensual'!K248+parametros_recargas!$I$90*'Plan mensual'!K249+parametros_recargas!$J$90*'Plan mensual'!K250+parametros_recargas!$K$90*'Plan mensual'!K251+parametros_recargas!$L$90*'Plan mensual'!K252</f>
        <v>348.453412148756</v>
      </c>
      <c r="J244" s="21" t="n">
        <f aca="false">parametros_recargas!$E$90*'Plan mensual'!L245+parametros_recargas!$F$90*'Plan mensual'!L246+parametros_recargas!$G$90*'Plan mensual'!L247+parametros_recargas!$H$90*'Plan mensual'!L248+parametros_recargas!$I$90*'Plan mensual'!L249+parametros_recargas!$J$90*'Plan mensual'!L250+parametros_recargas!$K$90*'Plan mensual'!L251+parametros_recargas!$L$90*'Plan mensual'!L252</f>
        <v>348.453412148756</v>
      </c>
      <c r="K244" s="21" t="n">
        <f aca="false">parametros_recargas!$E$90*'Plan mensual'!M245+parametros_recargas!$F$90*'Plan mensual'!M246+parametros_recargas!$G$90*'Plan mensual'!M247+parametros_recargas!$H$90*'Plan mensual'!M248+parametros_recargas!$I$90*'Plan mensual'!M249+parametros_recargas!$J$90*'Plan mensual'!M250+parametros_recargas!$K$90*'Plan mensual'!M251+parametros_recargas!$L$90*'Plan mensual'!M252</f>
        <v>348.453412148756</v>
      </c>
      <c r="L244" s="21" t="n">
        <f aca="false">parametros_recargas!$E$90*'Plan mensual'!N245+parametros_recargas!$F$90*'Plan mensual'!N246+parametros_recargas!$G$90*'Plan mensual'!N247+parametros_recargas!$H$90*'Plan mensual'!N248+parametros_recargas!$I$90*'Plan mensual'!N249+parametros_recargas!$J$90*'Plan mensual'!N250+parametros_recargas!$K$90*'Plan mensual'!N251+parametros_recargas!$L$90*'Plan mensual'!N252</f>
        <v>348.453412148756</v>
      </c>
      <c r="M244" s="21" t="n">
        <f aca="false">parametros_recargas!$E$90*'Plan mensual'!O245+parametros_recargas!$F$90*'Plan mensual'!O246+parametros_recargas!$G$90*'Plan mensual'!O247+parametros_recargas!$H$90*'Plan mensual'!O248+parametros_recargas!$I$90*'Plan mensual'!O249+parametros_recargas!$J$90*'Plan mensual'!O250+parametros_recargas!$K$90*'Plan mensual'!O251+parametros_recargas!$L$90*'Plan mensual'!O252</f>
        <v>348.453412148756</v>
      </c>
      <c r="N244" s="6" t="n">
        <f aca="false">SUM(B244:M244)</f>
        <v>4181.44094578507</v>
      </c>
      <c r="O244" s="22" t="n">
        <f aca="false">MAX(B244:M244)</f>
        <v>348.453412148756</v>
      </c>
      <c r="P244" s="12" t="n">
        <f aca="false">O244/parametros_recargas!$B$6</f>
        <v>2.32302274765837</v>
      </c>
    </row>
    <row r="245" customFormat="false" ht="15" hidden="false" customHeight="false" outlineLevel="0" collapsed="false">
      <c r="A245" s="8" t="str">
        <f aca="false">parametros_recargas!$B$91</f>
        <v>Carga de CO₂</v>
      </c>
      <c r="B245" s="21" t="n">
        <f aca="false">parametros_recargas!$E$91*'Plan mensual'!D245+parametros_recargas!$F$91*'Plan mensual'!D246+parametros_recargas!$G$91*'Plan mensual'!D247+parametros_recargas!$H$91*'Plan mensual'!D248+parametros_recargas!$I$91*'Plan mensual'!D249+parametros_recargas!$J$91*'Plan mensual'!D250+parametros_recargas!$K$91*'Plan mensual'!D251+parametros_recargas!$L$91*'Plan mensual'!D252</f>
        <v>191.129853509323</v>
      </c>
      <c r="C245" s="21" t="n">
        <f aca="false">parametros_recargas!$E$91*'Plan mensual'!E245+parametros_recargas!$F$91*'Plan mensual'!E246+parametros_recargas!$G$91*'Plan mensual'!E247+parametros_recargas!$H$91*'Plan mensual'!E248+parametros_recargas!$I$91*'Plan mensual'!E249+parametros_recargas!$J$91*'Plan mensual'!E250+parametros_recargas!$K$91*'Plan mensual'!E251+parametros_recargas!$L$91*'Plan mensual'!E252</f>
        <v>191.129853509323</v>
      </c>
      <c r="D245" s="21" t="n">
        <f aca="false">parametros_recargas!$E$91*'Plan mensual'!F245+parametros_recargas!$F$91*'Plan mensual'!F246+parametros_recargas!$G$91*'Plan mensual'!F247+parametros_recargas!$H$91*'Plan mensual'!F248+parametros_recargas!$I$91*'Plan mensual'!F249+parametros_recargas!$J$91*'Plan mensual'!F250+parametros_recargas!$K$91*'Plan mensual'!F251+parametros_recargas!$L$91*'Plan mensual'!F252</f>
        <v>191.129853509323</v>
      </c>
      <c r="E245" s="21" t="n">
        <f aca="false">parametros_recargas!$E$91*'Plan mensual'!G245+parametros_recargas!$F$91*'Plan mensual'!G246+parametros_recargas!$G$91*'Plan mensual'!G247+parametros_recargas!$H$91*'Plan mensual'!G248+parametros_recargas!$I$91*'Plan mensual'!G249+parametros_recargas!$J$91*'Plan mensual'!G250+parametros_recargas!$K$91*'Plan mensual'!G251+parametros_recargas!$L$91*'Plan mensual'!G252</f>
        <v>191.129853509323</v>
      </c>
      <c r="F245" s="21" t="n">
        <f aca="false">parametros_recargas!$E$91*'Plan mensual'!H245+parametros_recargas!$F$91*'Plan mensual'!H246+parametros_recargas!$G$91*'Plan mensual'!H247+parametros_recargas!$H$91*'Plan mensual'!H248+parametros_recargas!$I$91*'Plan mensual'!H249+parametros_recargas!$J$91*'Plan mensual'!H250+parametros_recargas!$K$91*'Plan mensual'!H251+parametros_recargas!$L$91*'Plan mensual'!H252</f>
        <v>191.129853509323</v>
      </c>
      <c r="G245" s="21" t="n">
        <f aca="false">parametros_recargas!$E$91*'Plan mensual'!I245+parametros_recargas!$F$91*'Plan mensual'!I246+parametros_recargas!$G$91*'Plan mensual'!I247+parametros_recargas!$H$91*'Plan mensual'!I248+parametros_recargas!$I$91*'Plan mensual'!I249+parametros_recargas!$J$91*'Plan mensual'!I250+parametros_recargas!$K$91*'Plan mensual'!I251+parametros_recargas!$L$91*'Plan mensual'!I252</f>
        <v>191.129853509323</v>
      </c>
      <c r="H245" s="21" t="n">
        <f aca="false">parametros_recargas!$E$91*'Plan mensual'!J245+parametros_recargas!$F$91*'Plan mensual'!J246+parametros_recargas!$G$91*'Plan mensual'!J247+parametros_recargas!$H$91*'Plan mensual'!J248+parametros_recargas!$I$91*'Plan mensual'!J249+parametros_recargas!$J$91*'Plan mensual'!J250+parametros_recargas!$K$91*'Plan mensual'!J251+parametros_recargas!$L$91*'Plan mensual'!J252</f>
        <v>191.129853509323</v>
      </c>
      <c r="I245" s="21" t="n">
        <f aca="false">parametros_recargas!$E$91*'Plan mensual'!K245+parametros_recargas!$F$91*'Plan mensual'!K246+parametros_recargas!$G$91*'Plan mensual'!K247+parametros_recargas!$H$91*'Plan mensual'!K248+parametros_recargas!$I$91*'Plan mensual'!K249+parametros_recargas!$J$91*'Plan mensual'!K250+parametros_recargas!$K$91*'Plan mensual'!K251+parametros_recargas!$L$91*'Plan mensual'!K252</f>
        <v>191.129853509323</v>
      </c>
      <c r="J245" s="21" t="n">
        <f aca="false">parametros_recargas!$E$91*'Plan mensual'!L245+parametros_recargas!$F$91*'Plan mensual'!L246+parametros_recargas!$G$91*'Plan mensual'!L247+parametros_recargas!$H$91*'Plan mensual'!L248+parametros_recargas!$I$91*'Plan mensual'!L249+parametros_recargas!$J$91*'Plan mensual'!L250+parametros_recargas!$K$91*'Plan mensual'!L251+parametros_recargas!$L$91*'Plan mensual'!L252</f>
        <v>191.129853509323</v>
      </c>
      <c r="K245" s="21" t="n">
        <f aca="false">parametros_recargas!$E$91*'Plan mensual'!M245+parametros_recargas!$F$91*'Plan mensual'!M246+parametros_recargas!$G$91*'Plan mensual'!M247+parametros_recargas!$H$91*'Plan mensual'!M248+parametros_recargas!$I$91*'Plan mensual'!M249+parametros_recargas!$J$91*'Plan mensual'!M250+parametros_recargas!$K$91*'Plan mensual'!M251+parametros_recargas!$L$91*'Plan mensual'!M252</f>
        <v>191.129853509323</v>
      </c>
      <c r="L245" s="21" t="n">
        <f aca="false">parametros_recargas!$E$91*'Plan mensual'!N245+parametros_recargas!$F$91*'Plan mensual'!N246+parametros_recargas!$G$91*'Plan mensual'!N247+parametros_recargas!$H$91*'Plan mensual'!N248+parametros_recargas!$I$91*'Plan mensual'!N249+parametros_recargas!$J$91*'Plan mensual'!N250+parametros_recargas!$K$91*'Plan mensual'!N251+parametros_recargas!$L$91*'Plan mensual'!N252</f>
        <v>191.129853509323</v>
      </c>
      <c r="M245" s="21" t="n">
        <f aca="false">parametros_recargas!$E$91*'Plan mensual'!O245+parametros_recargas!$F$91*'Plan mensual'!O246+parametros_recargas!$G$91*'Plan mensual'!O247+parametros_recargas!$H$91*'Plan mensual'!O248+parametros_recargas!$I$91*'Plan mensual'!O249+parametros_recargas!$J$91*'Plan mensual'!O250+parametros_recargas!$K$91*'Plan mensual'!O251+parametros_recargas!$L$91*'Plan mensual'!O252</f>
        <v>191.129853509323</v>
      </c>
      <c r="N245" s="6" t="n">
        <f aca="false">SUM(B245:M245)</f>
        <v>2293.55824211188</v>
      </c>
      <c r="O245" s="22" t="n">
        <f aca="false">MAX(B245:M245)</f>
        <v>191.129853509323</v>
      </c>
      <c r="P245" s="12" t="n">
        <f aca="false">O245/parametros_recargas!$B$6</f>
        <v>1.27419902339549</v>
      </c>
    </row>
    <row r="246" customFormat="false" ht="15" hidden="false" customHeight="false" outlineLevel="0" collapsed="false">
      <c r="A246" s="8" t="str">
        <f aca="false">parametros_recargas!$B$92</f>
        <v>Ensamblaje y marbete — recinto</v>
      </c>
      <c r="B246" s="21" t="n">
        <f aca="false">parametros_recargas!$E$92*'Plan mensual'!D245+parametros_recargas!$F$92*'Plan mensual'!D246+parametros_recargas!$G$92*'Plan mensual'!D247+parametros_recargas!$H$92*'Plan mensual'!D248+parametros_recargas!$I$92*'Plan mensual'!D249+parametros_recargas!$J$92*'Plan mensual'!D250+parametros_recargas!$K$92*'Plan mensual'!D251+parametros_recargas!$L$92*'Plan mensual'!D252</f>
        <v>6986.78396660632</v>
      </c>
      <c r="C246" s="21" t="n">
        <f aca="false">parametros_recargas!$E$92*'Plan mensual'!E245+parametros_recargas!$F$92*'Plan mensual'!E246+parametros_recargas!$G$92*'Plan mensual'!E247+parametros_recargas!$H$92*'Plan mensual'!E248+parametros_recargas!$I$92*'Plan mensual'!E249+parametros_recargas!$J$92*'Plan mensual'!E250+parametros_recargas!$K$92*'Plan mensual'!E251+parametros_recargas!$L$92*'Plan mensual'!E252</f>
        <v>6986.78396660632</v>
      </c>
      <c r="D246" s="21" t="n">
        <f aca="false">parametros_recargas!$E$92*'Plan mensual'!F245+parametros_recargas!$F$92*'Plan mensual'!F246+parametros_recargas!$G$92*'Plan mensual'!F247+parametros_recargas!$H$92*'Plan mensual'!F248+parametros_recargas!$I$92*'Plan mensual'!F249+parametros_recargas!$J$92*'Plan mensual'!F250+parametros_recargas!$K$92*'Plan mensual'!F251+parametros_recargas!$L$92*'Plan mensual'!F252</f>
        <v>6986.78396660632</v>
      </c>
      <c r="E246" s="21" t="n">
        <f aca="false">parametros_recargas!$E$92*'Plan mensual'!G245+parametros_recargas!$F$92*'Plan mensual'!G246+parametros_recargas!$G$92*'Plan mensual'!G247+parametros_recargas!$H$92*'Plan mensual'!G248+parametros_recargas!$I$92*'Plan mensual'!G249+parametros_recargas!$J$92*'Plan mensual'!G250+parametros_recargas!$K$92*'Plan mensual'!G251+parametros_recargas!$L$92*'Plan mensual'!G252</f>
        <v>6986.78396660632</v>
      </c>
      <c r="F246" s="21" t="n">
        <f aca="false">parametros_recargas!$E$92*'Plan mensual'!H245+parametros_recargas!$F$92*'Plan mensual'!H246+parametros_recargas!$G$92*'Plan mensual'!H247+parametros_recargas!$H$92*'Plan mensual'!H248+parametros_recargas!$I$92*'Plan mensual'!H249+parametros_recargas!$J$92*'Plan mensual'!H250+parametros_recargas!$K$92*'Plan mensual'!H251+parametros_recargas!$L$92*'Plan mensual'!H252</f>
        <v>6986.78396660632</v>
      </c>
      <c r="G246" s="21" t="n">
        <f aca="false">parametros_recargas!$E$92*'Plan mensual'!I245+parametros_recargas!$F$92*'Plan mensual'!I246+parametros_recargas!$G$92*'Plan mensual'!I247+parametros_recargas!$H$92*'Plan mensual'!I248+parametros_recargas!$I$92*'Plan mensual'!I249+parametros_recargas!$J$92*'Plan mensual'!I250+parametros_recargas!$K$92*'Plan mensual'!I251+parametros_recargas!$L$92*'Plan mensual'!I252</f>
        <v>6986.78396660632</v>
      </c>
      <c r="H246" s="21" t="n">
        <f aca="false">parametros_recargas!$E$92*'Plan mensual'!J245+parametros_recargas!$F$92*'Plan mensual'!J246+parametros_recargas!$G$92*'Plan mensual'!J247+parametros_recargas!$H$92*'Plan mensual'!J248+parametros_recargas!$I$92*'Plan mensual'!J249+parametros_recargas!$J$92*'Plan mensual'!J250+parametros_recargas!$K$92*'Plan mensual'!J251+parametros_recargas!$L$92*'Plan mensual'!J252</f>
        <v>6986.78396660632</v>
      </c>
      <c r="I246" s="21" t="n">
        <f aca="false">parametros_recargas!$E$92*'Plan mensual'!K245+parametros_recargas!$F$92*'Plan mensual'!K246+parametros_recargas!$G$92*'Plan mensual'!K247+parametros_recargas!$H$92*'Plan mensual'!K248+parametros_recargas!$I$92*'Plan mensual'!K249+parametros_recargas!$J$92*'Plan mensual'!K250+parametros_recargas!$K$92*'Plan mensual'!K251+parametros_recargas!$L$92*'Plan mensual'!K252</f>
        <v>6986.78396660632</v>
      </c>
      <c r="J246" s="21" t="n">
        <f aca="false">parametros_recargas!$E$92*'Plan mensual'!L245+parametros_recargas!$F$92*'Plan mensual'!L246+parametros_recargas!$G$92*'Plan mensual'!L247+parametros_recargas!$H$92*'Plan mensual'!L248+parametros_recargas!$I$92*'Plan mensual'!L249+parametros_recargas!$J$92*'Plan mensual'!L250+parametros_recargas!$K$92*'Plan mensual'!L251+parametros_recargas!$L$92*'Plan mensual'!L252</f>
        <v>6986.78396660632</v>
      </c>
      <c r="K246" s="21" t="n">
        <f aca="false">parametros_recargas!$E$92*'Plan mensual'!M245+parametros_recargas!$F$92*'Plan mensual'!M246+parametros_recargas!$G$92*'Plan mensual'!M247+parametros_recargas!$H$92*'Plan mensual'!M248+parametros_recargas!$I$92*'Plan mensual'!M249+parametros_recargas!$J$92*'Plan mensual'!M250+parametros_recargas!$K$92*'Plan mensual'!M251+parametros_recargas!$L$92*'Plan mensual'!M252</f>
        <v>6986.78396660632</v>
      </c>
      <c r="L246" s="21" t="n">
        <f aca="false">parametros_recargas!$E$92*'Plan mensual'!N245+parametros_recargas!$F$92*'Plan mensual'!N246+parametros_recargas!$G$92*'Plan mensual'!N247+parametros_recargas!$H$92*'Plan mensual'!N248+parametros_recargas!$I$92*'Plan mensual'!N249+parametros_recargas!$J$92*'Plan mensual'!N250+parametros_recargas!$K$92*'Plan mensual'!N251+parametros_recargas!$L$92*'Plan mensual'!N252</f>
        <v>6986.78396660632</v>
      </c>
      <c r="M246" s="21" t="n">
        <f aca="false">parametros_recargas!$E$92*'Plan mensual'!O245+parametros_recargas!$F$92*'Plan mensual'!O246+parametros_recargas!$G$92*'Plan mensual'!O247+parametros_recargas!$H$92*'Plan mensual'!O248+parametros_recargas!$I$92*'Plan mensual'!O249+parametros_recargas!$J$92*'Plan mensual'!O250+parametros_recargas!$K$92*'Plan mensual'!O251+parametros_recargas!$L$92*'Plan mensual'!O252</f>
        <v>6986.78396660632</v>
      </c>
      <c r="N246" s="6" t="n">
        <f aca="false">SUM(B246:M246)</f>
        <v>83841.4075992758</v>
      </c>
      <c r="O246" s="22" t="n">
        <f aca="false">MAX(B246:M246)</f>
        <v>6986.78396660632</v>
      </c>
      <c r="P246" s="12" t="n">
        <f aca="false">O246/parametros_recargas!$B$6</f>
        <v>46.5785597773755</v>
      </c>
    </row>
    <row r="247" customFormat="false" ht="15" hidden="false" customHeight="false" outlineLevel="0" collapsed="false">
      <c r="A247" s="8" t="str">
        <f aca="false">parametros_recargas!$B$93</f>
        <v>Presurización — recinto</v>
      </c>
      <c r="B247" s="21" t="n">
        <f aca="false">parametros_recargas!$E$93*'Plan mensual'!D245+parametros_recargas!$F$93*'Plan mensual'!D246+parametros_recargas!$G$93*'Plan mensual'!D247+parametros_recargas!$H$93*'Plan mensual'!D248+parametros_recargas!$I$93*'Plan mensual'!D249+parametros_recargas!$J$93*'Plan mensual'!D250+parametros_recargas!$K$93*'Plan mensual'!D251+parametros_recargas!$L$93*'Plan mensual'!D252</f>
        <v>6986.78396660632</v>
      </c>
      <c r="C247" s="21" t="n">
        <f aca="false">parametros_recargas!$E$93*'Plan mensual'!E245+parametros_recargas!$F$93*'Plan mensual'!E246+parametros_recargas!$G$93*'Plan mensual'!E247+parametros_recargas!$H$93*'Plan mensual'!E248+parametros_recargas!$I$93*'Plan mensual'!E249+parametros_recargas!$J$93*'Plan mensual'!E250+parametros_recargas!$K$93*'Plan mensual'!E251+parametros_recargas!$L$93*'Plan mensual'!E252</f>
        <v>6986.78396660632</v>
      </c>
      <c r="D247" s="21" t="n">
        <f aca="false">parametros_recargas!$E$93*'Plan mensual'!F245+parametros_recargas!$F$93*'Plan mensual'!F246+parametros_recargas!$G$93*'Plan mensual'!F247+parametros_recargas!$H$93*'Plan mensual'!F248+parametros_recargas!$I$93*'Plan mensual'!F249+parametros_recargas!$J$93*'Plan mensual'!F250+parametros_recargas!$K$93*'Plan mensual'!F251+parametros_recargas!$L$93*'Plan mensual'!F252</f>
        <v>6986.78396660632</v>
      </c>
      <c r="E247" s="21" t="n">
        <f aca="false">parametros_recargas!$E$93*'Plan mensual'!G245+parametros_recargas!$F$93*'Plan mensual'!G246+parametros_recargas!$G$93*'Plan mensual'!G247+parametros_recargas!$H$93*'Plan mensual'!G248+parametros_recargas!$I$93*'Plan mensual'!G249+parametros_recargas!$J$93*'Plan mensual'!G250+parametros_recargas!$K$93*'Plan mensual'!G251+parametros_recargas!$L$93*'Plan mensual'!G252</f>
        <v>6986.78396660632</v>
      </c>
      <c r="F247" s="21" t="n">
        <f aca="false">parametros_recargas!$E$93*'Plan mensual'!H245+parametros_recargas!$F$93*'Plan mensual'!H246+parametros_recargas!$G$93*'Plan mensual'!H247+parametros_recargas!$H$93*'Plan mensual'!H248+parametros_recargas!$I$93*'Plan mensual'!H249+parametros_recargas!$J$93*'Plan mensual'!H250+parametros_recargas!$K$93*'Plan mensual'!H251+parametros_recargas!$L$93*'Plan mensual'!H252</f>
        <v>6986.78396660632</v>
      </c>
      <c r="G247" s="21" t="n">
        <f aca="false">parametros_recargas!$E$93*'Plan mensual'!I245+parametros_recargas!$F$93*'Plan mensual'!I246+parametros_recargas!$G$93*'Plan mensual'!I247+parametros_recargas!$H$93*'Plan mensual'!I248+parametros_recargas!$I$93*'Plan mensual'!I249+parametros_recargas!$J$93*'Plan mensual'!I250+parametros_recargas!$K$93*'Plan mensual'!I251+parametros_recargas!$L$93*'Plan mensual'!I252</f>
        <v>6986.78396660632</v>
      </c>
      <c r="H247" s="21" t="n">
        <f aca="false">parametros_recargas!$E$93*'Plan mensual'!J245+parametros_recargas!$F$93*'Plan mensual'!J246+parametros_recargas!$G$93*'Plan mensual'!J247+parametros_recargas!$H$93*'Plan mensual'!J248+parametros_recargas!$I$93*'Plan mensual'!J249+parametros_recargas!$J$93*'Plan mensual'!J250+parametros_recargas!$K$93*'Plan mensual'!J251+parametros_recargas!$L$93*'Plan mensual'!J252</f>
        <v>6986.78396660632</v>
      </c>
      <c r="I247" s="21" t="n">
        <f aca="false">parametros_recargas!$E$93*'Plan mensual'!K245+parametros_recargas!$F$93*'Plan mensual'!K246+parametros_recargas!$G$93*'Plan mensual'!K247+parametros_recargas!$H$93*'Plan mensual'!K248+parametros_recargas!$I$93*'Plan mensual'!K249+parametros_recargas!$J$93*'Plan mensual'!K250+parametros_recargas!$K$93*'Plan mensual'!K251+parametros_recargas!$L$93*'Plan mensual'!K252</f>
        <v>6986.78396660632</v>
      </c>
      <c r="J247" s="21" t="n">
        <f aca="false">parametros_recargas!$E$93*'Plan mensual'!L245+parametros_recargas!$F$93*'Plan mensual'!L246+parametros_recargas!$G$93*'Plan mensual'!L247+parametros_recargas!$H$93*'Plan mensual'!L248+parametros_recargas!$I$93*'Plan mensual'!L249+parametros_recargas!$J$93*'Plan mensual'!L250+parametros_recargas!$K$93*'Plan mensual'!L251+parametros_recargas!$L$93*'Plan mensual'!L252</f>
        <v>6986.78396660632</v>
      </c>
      <c r="K247" s="21" t="n">
        <f aca="false">parametros_recargas!$E$93*'Plan mensual'!M245+parametros_recargas!$F$93*'Plan mensual'!M246+parametros_recargas!$G$93*'Plan mensual'!M247+parametros_recargas!$H$93*'Plan mensual'!M248+parametros_recargas!$I$93*'Plan mensual'!M249+parametros_recargas!$J$93*'Plan mensual'!M250+parametros_recargas!$K$93*'Plan mensual'!M251+parametros_recargas!$L$93*'Plan mensual'!M252</f>
        <v>6986.78396660632</v>
      </c>
      <c r="L247" s="21" t="n">
        <f aca="false">parametros_recargas!$E$93*'Plan mensual'!N245+parametros_recargas!$F$93*'Plan mensual'!N246+parametros_recargas!$G$93*'Plan mensual'!N247+parametros_recargas!$H$93*'Plan mensual'!N248+parametros_recargas!$I$93*'Plan mensual'!N249+parametros_recargas!$J$93*'Plan mensual'!N250+parametros_recargas!$K$93*'Plan mensual'!N251+parametros_recargas!$L$93*'Plan mensual'!N252</f>
        <v>6986.78396660632</v>
      </c>
      <c r="M247" s="21" t="n">
        <f aca="false">parametros_recargas!$E$93*'Plan mensual'!O245+parametros_recargas!$F$93*'Plan mensual'!O246+parametros_recargas!$G$93*'Plan mensual'!O247+parametros_recargas!$H$93*'Plan mensual'!O248+parametros_recargas!$I$93*'Plan mensual'!O249+parametros_recargas!$J$93*'Plan mensual'!O250+parametros_recargas!$K$93*'Plan mensual'!O251+parametros_recargas!$L$93*'Plan mensual'!O252</f>
        <v>6986.78396660632</v>
      </c>
      <c r="N247" s="6" t="n">
        <f aca="false">SUM(B247:M247)</f>
        <v>83841.4075992758</v>
      </c>
      <c r="O247" s="22" t="n">
        <f aca="false">MAX(B247:M247)</f>
        <v>6986.78396660632</v>
      </c>
      <c r="P247" s="12" t="n">
        <f aca="false">O247/parametros_recargas!$B$6</f>
        <v>46.5785597773755</v>
      </c>
    </row>
    <row r="248" customFormat="false" ht="15" hidden="false" customHeight="false" outlineLevel="0" collapsed="false">
      <c r="A248" s="8" t="str">
        <f aca="false">parametros_recargas!$B$94</f>
        <v>Ensamblaje y presurización — zona general</v>
      </c>
      <c r="B248" s="21" t="n">
        <f aca="false">parametros_recargas!$E$94*'Plan mensual'!D245+parametros_recargas!$F$94*'Plan mensual'!D246+parametros_recargas!$G$94*'Plan mensual'!D247+parametros_recargas!$H$94*'Plan mensual'!D248+parametros_recargas!$I$94*'Plan mensual'!D249+parametros_recargas!$J$94*'Plan mensual'!D250+parametros_recargas!$K$94*'Plan mensual'!D251+parametros_recargas!$L$94*'Plan mensual'!D252</f>
        <v>514.250314544962</v>
      </c>
      <c r="C248" s="21" t="n">
        <f aca="false">parametros_recargas!$E$94*'Plan mensual'!E245+parametros_recargas!$F$94*'Plan mensual'!E246+parametros_recargas!$G$94*'Plan mensual'!E247+parametros_recargas!$H$94*'Plan mensual'!E248+parametros_recargas!$I$94*'Plan mensual'!E249+parametros_recargas!$J$94*'Plan mensual'!E250+parametros_recargas!$K$94*'Plan mensual'!E251+parametros_recargas!$L$94*'Plan mensual'!E252</f>
        <v>514.250314544962</v>
      </c>
      <c r="D248" s="21" t="n">
        <f aca="false">parametros_recargas!$E$94*'Plan mensual'!F245+parametros_recargas!$F$94*'Plan mensual'!F246+parametros_recargas!$G$94*'Plan mensual'!F247+parametros_recargas!$H$94*'Plan mensual'!F248+parametros_recargas!$I$94*'Plan mensual'!F249+parametros_recargas!$J$94*'Plan mensual'!F250+parametros_recargas!$K$94*'Plan mensual'!F251+parametros_recargas!$L$94*'Plan mensual'!F252</f>
        <v>514.250314544962</v>
      </c>
      <c r="E248" s="21" t="n">
        <f aca="false">parametros_recargas!$E$94*'Plan mensual'!G245+parametros_recargas!$F$94*'Plan mensual'!G246+parametros_recargas!$G$94*'Plan mensual'!G247+parametros_recargas!$H$94*'Plan mensual'!G248+parametros_recargas!$I$94*'Plan mensual'!G249+parametros_recargas!$J$94*'Plan mensual'!G250+parametros_recargas!$K$94*'Plan mensual'!G251+parametros_recargas!$L$94*'Plan mensual'!G252</f>
        <v>514.250314544962</v>
      </c>
      <c r="F248" s="21" t="n">
        <f aca="false">parametros_recargas!$E$94*'Plan mensual'!H245+parametros_recargas!$F$94*'Plan mensual'!H246+parametros_recargas!$G$94*'Plan mensual'!H247+parametros_recargas!$H$94*'Plan mensual'!H248+parametros_recargas!$I$94*'Plan mensual'!H249+parametros_recargas!$J$94*'Plan mensual'!H250+parametros_recargas!$K$94*'Plan mensual'!H251+parametros_recargas!$L$94*'Plan mensual'!H252</f>
        <v>514.250314544962</v>
      </c>
      <c r="G248" s="21" t="n">
        <f aca="false">parametros_recargas!$E$94*'Plan mensual'!I245+parametros_recargas!$F$94*'Plan mensual'!I246+parametros_recargas!$G$94*'Plan mensual'!I247+parametros_recargas!$H$94*'Plan mensual'!I248+parametros_recargas!$I$94*'Plan mensual'!I249+parametros_recargas!$J$94*'Plan mensual'!I250+parametros_recargas!$K$94*'Plan mensual'!I251+parametros_recargas!$L$94*'Plan mensual'!I252</f>
        <v>514.250314544962</v>
      </c>
      <c r="H248" s="21" t="n">
        <f aca="false">parametros_recargas!$E$94*'Plan mensual'!J245+parametros_recargas!$F$94*'Plan mensual'!J246+parametros_recargas!$G$94*'Plan mensual'!J247+parametros_recargas!$H$94*'Plan mensual'!J248+parametros_recargas!$I$94*'Plan mensual'!J249+parametros_recargas!$J$94*'Plan mensual'!J250+parametros_recargas!$K$94*'Plan mensual'!J251+parametros_recargas!$L$94*'Plan mensual'!J252</f>
        <v>514.250314544962</v>
      </c>
      <c r="I248" s="21" t="n">
        <f aca="false">parametros_recargas!$E$94*'Plan mensual'!K245+parametros_recargas!$F$94*'Plan mensual'!K246+parametros_recargas!$G$94*'Plan mensual'!K247+parametros_recargas!$H$94*'Plan mensual'!K248+parametros_recargas!$I$94*'Plan mensual'!K249+parametros_recargas!$J$94*'Plan mensual'!K250+parametros_recargas!$K$94*'Plan mensual'!K251+parametros_recargas!$L$94*'Plan mensual'!K252</f>
        <v>514.250314544962</v>
      </c>
      <c r="J248" s="21" t="n">
        <f aca="false">parametros_recargas!$E$94*'Plan mensual'!L245+parametros_recargas!$F$94*'Plan mensual'!L246+parametros_recargas!$G$94*'Plan mensual'!L247+parametros_recargas!$H$94*'Plan mensual'!L248+parametros_recargas!$I$94*'Plan mensual'!L249+parametros_recargas!$J$94*'Plan mensual'!L250+parametros_recargas!$K$94*'Plan mensual'!L251+parametros_recargas!$L$94*'Plan mensual'!L252</f>
        <v>514.250314544962</v>
      </c>
      <c r="K248" s="21" t="n">
        <f aca="false">parametros_recargas!$E$94*'Plan mensual'!M245+parametros_recargas!$F$94*'Plan mensual'!M246+parametros_recargas!$G$94*'Plan mensual'!M247+parametros_recargas!$H$94*'Plan mensual'!M248+parametros_recargas!$I$94*'Plan mensual'!M249+parametros_recargas!$J$94*'Plan mensual'!M250+parametros_recargas!$K$94*'Plan mensual'!M251+parametros_recargas!$L$94*'Plan mensual'!M252</f>
        <v>514.250314544962</v>
      </c>
      <c r="L248" s="21" t="n">
        <f aca="false">parametros_recargas!$E$94*'Plan mensual'!N245+parametros_recargas!$F$94*'Plan mensual'!N246+parametros_recargas!$G$94*'Plan mensual'!N247+parametros_recargas!$H$94*'Plan mensual'!N248+parametros_recargas!$I$94*'Plan mensual'!N249+parametros_recargas!$J$94*'Plan mensual'!N250+parametros_recargas!$K$94*'Plan mensual'!N251+parametros_recargas!$L$94*'Plan mensual'!N252</f>
        <v>514.250314544962</v>
      </c>
      <c r="M248" s="21" t="n">
        <f aca="false">parametros_recargas!$E$94*'Plan mensual'!O245+parametros_recargas!$F$94*'Plan mensual'!O246+parametros_recargas!$G$94*'Plan mensual'!O247+parametros_recargas!$H$94*'Plan mensual'!O248+parametros_recargas!$I$94*'Plan mensual'!O249+parametros_recargas!$J$94*'Plan mensual'!O250+parametros_recargas!$K$94*'Plan mensual'!O251+parametros_recargas!$L$94*'Plan mensual'!O252</f>
        <v>514.250314544962</v>
      </c>
      <c r="N248" s="6" t="n">
        <f aca="false">SUM(B248:M248)</f>
        <v>6171.00377453955</v>
      </c>
      <c r="O248" s="22" t="n">
        <f aca="false">MAX(B248:M248)</f>
        <v>514.250314544962</v>
      </c>
      <c r="P248" s="12" t="n">
        <f aca="false">O248/parametros_recargas!$B$6</f>
        <v>3.42833543029975</v>
      </c>
    </row>
    <row r="249" customFormat="false" ht="15" hidden="false" customHeight="false" outlineLevel="0" collapsed="false">
      <c r="A249" s="8" t="str">
        <f aca="false">parametros_recargas!$B$95</f>
        <v>Carga y presurización de halogenado</v>
      </c>
      <c r="B249" s="21" t="n">
        <f aca="false">parametros_recargas!$E$95*'Plan mensual'!D245+parametros_recargas!$F$95*'Plan mensual'!D246+parametros_recargas!$G$95*'Plan mensual'!D247+parametros_recargas!$H$95*'Plan mensual'!D248+parametros_recargas!$I$95*'Plan mensual'!D249+parametros_recargas!$J$95*'Plan mensual'!D250+parametros_recargas!$K$95*'Plan mensual'!D251+parametros_recargas!$L$95*'Plan mensual'!D252</f>
        <v>6.52202447177046</v>
      </c>
      <c r="C249" s="21" t="n">
        <f aca="false">parametros_recargas!$E$95*'Plan mensual'!E245+parametros_recargas!$F$95*'Plan mensual'!E246+parametros_recargas!$G$95*'Plan mensual'!E247+parametros_recargas!$H$95*'Plan mensual'!E248+parametros_recargas!$I$95*'Plan mensual'!E249+parametros_recargas!$J$95*'Plan mensual'!E250+parametros_recargas!$K$95*'Plan mensual'!E251+parametros_recargas!$L$95*'Plan mensual'!E252</f>
        <v>6.52202447177046</v>
      </c>
      <c r="D249" s="21" t="n">
        <f aca="false">parametros_recargas!$E$95*'Plan mensual'!F245+parametros_recargas!$F$95*'Plan mensual'!F246+parametros_recargas!$G$95*'Plan mensual'!F247+parametros_recargas!$H$95*'Plan mensual'!F248+parametros_recargas!$I$95*'Plan mensual'!F249+parametros_recargas!$J$95*'Plan mensual'!F250+parametros_recargas!$K$95*'Plan mensual'!F251+parametros_recargas!$L$95*'Plan mensual'!F252</f>
        <v>6.52202447177046</v>
      </c>
      <c r="E249" s="21" t="n">
        <f aca="false">parametros_recargas!$E$95*'Plan mensual'!G245+parametros_recargas!$F$95*'Plan mensual'!G246+parametros_recargas!$G$95*'Plan mensual'!G247+parametros_recargas!$H$95*'Plan mensual'!G248+parametros_recargas!$I$95*'Plan mensual'!G249+parametros_recargas!$J$95*'Plan mensual'!G250+parametros_recargas!$K$95*'Plan mensual'!G251+parametros_recargas!$L$95*'Plan mensual'!G252</f>
        <v>6.52202447177046</v>
      </c>
      <c r="F249" s="21" t="n">
        <f aca="false">parametros_recargas!$E$95*'Plan mensual'!H245+parametros_recargas!$F$95*'Plan mensual'!H246+parametros_recargas!$G$95*'Plan mensual'!H247+parametros_recargas!$H$95*'Plan mensual'!H248+parametros_recargas!$I$95*'Plan mensual'!H249+parametros_recargas!$J$95*'Plan mensual'!H250+parametros_recargas!$K$95*'Plan mensual'!H251+parametros_recargas!$L$95*'Plan mensual'!H252</f>
        <v>6.52202447177046</v>
      </c>
      <c r="G249" s="21" t="n">
        <f aca="false">parametros_recargas!$E$95*'Plan mensual'!I245+parametros_recargas!$F$95*'Plan mensual'!I246+parametros_recargas!$G$95*'Plan mensual'!I247+parametros_recargas!$H$95*'Plan mensual'!I248+parametros_recargas!$I$95*'Plan mensual'!I249+parametros_recargas!$J$95*'Plan mensual'!I250+parametros_recargas!$K$95*'Plan mensual'!I251+parametros_recargas!$L$95*'Plan mensual'!I252</f>
        <v>6.52202447177046</v>
      </c>
      <c r="H249" s="21" t="n">
        <f aca="false">parametros_recargas!$E$95*'Plan mensual'!J245+parametros_recargas!$F$95*'Plan mensual'!J246+parametros_recargas!$G$95*'Plan mensual'!J247+parametros_recargas!$H$95*'Plan mensual'!J248+parametros_recargas!$I$95*'Plan mensual'!J249+parametros_recargas!$J$95*'Plan mensual'!J250+parametros_recargas!$K$95*'Plan mensual'!J251+parametros_recargas!$L$95*'Plan mensual'!J252</f>
        <v>6.52202447177046</v>
      </c>
      <c r="I249" s="21" t="n">
        <f aca="false">parametros_recargas!$E$95*'Plan mensual'!K245+parametros_recargas!$F$95*'Plan mensual'!K246+parametros_recargas!$G$95*'Plan mensual'!K247+parametros_recargas!$H$95*'Plan mensual'!K248+parametros_recargas!$I$95*'Plan mensual'!K249+parametros_recargas!$J$95*'Plan mensual'!K250+parametros_recargas!$K$95*'Plan mensual'!K251+parametros_recargas!$L$95*'Plan mensual'!K252</f>
        <v>6.52202447177046</v>
      </c>
      <c r="J249" s="21" t="n">
        <f aca="false">parametros_recargas!$E$95*'Plan mensual'!L245+parametros_recargas!$F$95*'Plan mensual'!L246+parametros_recargas!$G$95*'Plan mensual'!L247+parametros_recargas!$H$95*'Plan mensual'!L248+parametros_recargas!$I$95*'Plan mensual'!L249+parametros_recargas!$J$95*'Plan mensual'!L250+parametros_recargas!$K$95*'Plan mensual'!L251+parametros_recargas!$L$95*'Plan mensual'!L252</f>
        <v>6.52202447177046</v>
      </c>
      <c r="K249" s="21" t="n">
        <f aca="false">parametros_recargas!$E$95*'Plan mensual'!M245+parametros_recargas!$F$95*'Plan mensual'!M246+parametros_recargas!$G$95*'Plan mensual'!M247+parametros_recargas!$H$95*'Plan mensual'!M248+parametros_recargas!$I$95*'Plan mensual'!M249+parametros_recargas!$J$95*'Plan mensual'!M250+parametros_recargas!$K$95*'Plan mensual'!M251+parametros_recargas!$L$95*'Plan mensual'!M252</f>
        <v>6.52202447177046</v>
      </c>
      <c r="L249" s="21" t="n">
        <f aca="false">parametros_recargas!$E$95*'Plan mensual'!N245+parametros_recargas!$F$95*'Plan mensual'!N246+parametros_recargas!$G$95*'Plan mensual'!N247+parametros_recargas!$H$95*'Plan mensual'!N248+parametros_recargas!$I$95*'Plan mensual'!N249+parametros_recargas!$J$95*'Plan mensual'!N250+parametros_recargas!$K$95*'Plan mensual'!N251+parametros_recargas!$L$95*'Plan mensual'!N252</f>
        <v>6.52202447177046</v>
      </c>
      <c r="M249" s="21" t="n">
        <f aca="false">parametros_recargas!$E$95*'Plan mensual'!O245+parametros_recargas!$F$95*'Plan mensual'!O246+parametros_recargas!$G$95*'Plan mensual'!O247+parametros_recargas!$H$95*'Plan mensual'!O248+parametros_recargas!$I$95*'Plan mensual'!O249+parametros_recargas!$J$95*'Plan mensual'!O250+parametros_recargas!$K$95*'Plan mensual'!O251+parametros_recargas!$L$95*'Plan mensual'!O252</f>
        <v>6.52202447177046</v>
      </c>
      <c r="N249" s="6" t="n">
        <f aca="false">SUM(B249:M249)</f>
        <v>78.2642936612456</v>
      </c>
      <c r="O249" s="22" t="n">
        <f aca="false">MAX(B249:M249)</f>
        <v>6.52202447177046</v>
      </c>
      <c r="P249" s="12" t="n">
        <f aca="false">O249/parametros_recargas!$B$6</f>
        <v>0.0434801631451364</v>
      </c>
    </row>
    <row r="250" customFormat="false" ht="15" hidden="false" customHeight="false" outlineLevel="0" collapsed="false">
      <c r="A250" s="8" t="str">
        <f aca="false">parametros_recargas!$B$96</f>
        <v>Control de peso (CO₂ y halogenados sin recarga)</v>
      </c>
      <c r="B250" s="21" t="n">
        <f aca="false">parametros_recargas!$E$96*'Plan mensual'!D245+parametros_recargas!$F$96*'Plan mensual'!D246+parametros_recargas!$G$96*'Plan mensual'!D247+parametros_recargas!$H$96*'Plan mensual'!D248+parametros_recargas!$I$96*'Plan mensual'!D249+parametros_recargas!$J$96*'Plan mensual'!D250+parametros_recargas!$K$96*'Plan mensual'!D251+parametros_recargas!$L$96*'Plan mensual'!D252</f>
        <v>465.535731603732</v>
      </c>
      <c r="C250" s="21" t="n">
        <f aca="false">parametros_recargas!$E$96*'Plan mensual'!E245+parametros_recargas!$F$96*'Plan mensual'!E246+parametros_recargas!$G$96*'Plan mensual'!E247+parametros_recargas!$H$96*'Plan mensual'!E248+parametros_recargas!$I$96*'Plan mensual'!E249+parametros_recargas!$J$96*'Plan mensual'!E250+parametros_recargas!$K$96*'Plan mensual'!E251+parametros_recargas!$L$96*'Plan mensual'!E252</f>
        <v>465.535731603732</v>
      </c>
      <c r="D250" s="21" t="n">
        <f aca="false">parametros_recargas!$E$96*'Plan mensual'!F245+parametros_recargas!$F$96*'Plan mensual'!F246+parametros_recargas!$G$96*'Plan mensual'!F247+parametros_recargas!$H$96*'Plan mensual'!F248+parametros_recargas!$I$96*'Plan mensual'!F249+parametros_recargas!$J$96*'Plan mensual'!F250+parametros_recargas!$K$96*'Plan mensual'!F251+parametros_recargas!$L$96*'Plan mensual'!F252</f>
        <v>465.535731603732</v>
      </c>
      <c r="E250" s="21" t="n">
        <f aca="false">parametros_recargas!$E$96*'Plan mensual'!G245+parametros_recargas!$F$96*'Plan mensual'!G246+parametros_recargas!$G$96*'Plan mensual'!G247+parametros_recargas!$H$96*'Plan mensual'!G248+parametros_recargas!$I$96*'Plan mensual'!G249+parametros_recargas!$J$96*'Plan mensual'!G250+parametros_recargas!$K$96*'Plan mensual'!G251+parametros_recargas!$L$96*'Plan mensual'!G252</f>
        <v>465.535731603732</v>
      </c>
      <c r="F250" s="21" t="n">
        <f aca="false">parametros_recargas!$E$96*'Plan mensual'!H245+parametros_recargas!$F$96*'Plan mensual'!H246+parametros_recargas!$G$96*'Plan mensual'!H247+parametros_recargas!$H$96*'Plan mensual'!H248+parametros_recargas!$I$96*'Plan mensual'!H249+parametros_recargas!$J$96*'Plan mensual'!H250+parametros_recargas!$K$96*'Plan mensual'!H251+parametros_recargas!$L$96*'Plan mensual'!H252</f>
        <v>465.535731603732</v>
      </c>
      <c r="G250" s="21" t="n">
        <f aca="false">parametros_recargas!$E$96*'Plan mensual'!I245+parametros_recargas!$F$96*'Plan mensual'!I246+parametros_recargas!$G$96*'Plan mensual'!I247+parametros_recargas!$H$96*'Plan mensual'!I248+parametros_recargas!$I$96*'Plan mensual'!I249+parametros_recargas!$J$96*'Plan mensual'!I250+parametros_recargas!$K$96*'Plan mensual'!I251+parametros_recargas!$L$96*'Plan mensual'!I252</f>
        <v>465.535731603732</v>
      </c>
      <c r="H250" s="21" t="n">
        <f aca="false">parametros_recargas!$E$96*'Plan mensual'!J245+parametros_recargas!$F$96*'Plan mensual'!J246+parametros_recargas!$G$96*'Plan mensual'!J247+parametros_recargas!$H$96*'Plan mensual'!J248+parametros_recargas!$I$96*'Plan mensual'!J249+parametros_recargas!$J$96*'Plan mensual'!J250+parametros_recargas!$K$96*'Plan mensual'!J251+parametros_recargas!$L$96*'Plan mensual'!J252</f>
        <v>465.535731603732</v>
      </c>
      <c r="I250" s="21" t="n">
        <f aca="false">parametros_recargas!$E$96*'Plan mensual'!K245+parametros_recargas!$F$96*'Plan mensual'!K246+parametros_recargas!$G$96*'Plan mensual'!K247+parametros_recargas!$H$96*'Plan mensual'!K248+parametros_recargas!$I$96*'Plan mensual'!K249+parametros_recargas!$J$96*'Plan mensual'!K250+parametros_recargas!$K$96*'Plan mensual'!K251+parametros_recargas!$L$96*'Plan mensual'!K252</f>
        <v>465.535731603732</v>
      </c>
      <c r="J250" s="21" t="n">
        <f aca="false">parametros_recargas!$E$96*'Plan mensual'!L245+parametros_recargas!$F$96*'Plan mensual'!L246+parametros_recargas!$G$96*'Plan mensual'!L247+parametros_recargas!$H$96*'Plan mensual'!L248+parametros_recargas!$I$96*'Plan mensual'!L249+parametros_recargas!$J$96*'Plan mensual'!L250+parametros_recargas!$K$96*'Plan mensual'!L251+parametros_recargas!$L$96*'Plan mensual'!L252</f>
        <v>465.535731603732</v>
      </c>
      <c r="K250" s="21" t="n">
        <f aca="false">parametros_recargas!$E$96*'Plan mensual'!M245+parametros_recargas!$F$96*'Plan mensual'!M246+parametros_recargas!$G$96*'Plan mensual'!M247+parametros_recargas!$H$96*'Plan mensual'!M248+parametros_recargas!$I$96*'Plan mensual'!M249+parametros_recargas!$J$96*'Plan mensual'!M250+parametros_recargas!$K$96*'Plan mensual'!M251+parametros_recargas!$L$96*'Plan mensual'!M252</f>
        <v>465.535731603732</v>
      </c>
      <c r="L250" s="21" t="n">
        <f aca="false">parametros_recargas!$E$96*'Plan mensual'!N245+parametros_recargas!$F$96*'Plan mensual'!N246+parametros_recargas!$G$96*'Plan mensual'!N247+parametros_recargas!$H$96*'Plan mensual'!N248+parametros_recargas!$I$96*'Plan mensual'!N249+parametros_recargas!$J$96*'Plan mensual'!N250+parametros_recargas!$K$96*'Plan mensual'!N251+parametros_recargas!$L$96*'Plan mensual'!N252</f>
        <v>465.535731603732</v>
      </c>
      <c r="M250" s="21" t="n">
        <f aca="false">parametros_recargas!$E$96*'Plan mensual'!O245+parametros_recargas!$F$96*'Plan mensual'!O246+parametros_recargas!$G$96*'Plan mensual'!O247+parametros_recargas!$H$96*'Plan mensual'!O248+parametros_recargas!$I$96*'Plan mensual'!O249+parametros_recargas!$J$96*'Plan mensual'!O250+parametros_recargas!$K$96*'Plan mensual'!O251+parametros_recargas!$L$96*'Plan mensual'!O252</f>
        <v>465.535731603732</v>
      </c>
      <c r="N250" s="6" t="n">
        <f aca="false">SUM(B250:M250)</f>
        <v>5586.42877924479</v>
      </c>
      <c r="O250" s="22" t="n">
        <f aca="false">MAX(B250:M250)</f>
        <v>465.535731603732</v>
      </c>
      <c r="P250" s="12" t="n">
        <f aca="false">O250/parametros_recargas!$B$6</f>
        <v>3.10357154402488</v>
      </c>
    </row>
    <row r="251" customFormat="false" ht="15" hidden="false" customHeight="false" outlineLevel="0" collapsed="false">
      <c r="A251" s="8" t="str">
        <f aca="false">parametros_recargas!$B$97</f>
        <v>Ensayo de pérdidas</v>
      </c>
      <c r="B251" s="21" t="n">
        <f aca="false">parametros_recargas!$E$97*'Plan mensual'!D245+parametros_recargas!$F$97*'Plan mensual'!D246+parametros_recargas!$G$97*'Plan mensual'!D247+parametros_recargas!$H$97*'Plan mensual'!D248+parametros_recargas!$I$97*'Plan mensual'!D249+parametros_recargas!$J$97*'Plan mensual'!D250+parametros_recargas!$K$97*'Plan mensual'!D251+parametros_recargas!$L$97*'Plan mensual'!D252</f>
        <v>7998.4249883399</v>
      </c>
      <c r="C251" s="21" t="n">
        <f aca="false">parametros_recargas!$E$97*'Plan mensual'!E245+parametros_recargas!$F$97*'Plan mensual'!E246+parametros_recargas!$G$97*'Plan mensual'!E247+parametros_recargas!$H$97*'Plan mensual'!E248+parametros_recargas!$I$97*'Plan mensual'!E249+parametros_recargas!$J$97*'Plan mensual'!E250+parametros_recargas!$K$97*'Plan mensual'!E251+parametros_recargas!$L$97*'Plan mensual'!E252</f>
        <v>7998.4249883399</v>
      </c>
      <c r="D251" s="21" t="n">
        <f aca="false">parametros_recargas!$E$97*'Plan mensual'!F245+parametros_recargas!$F$97*'Plan mensual'!F246+parametros_recargas!$G$97*'Plan mensual'!F247+parametros_recargas!$H$97*'Plan mensual'!F248+parametros_recargas!$I$97*'Plan mensual'!F249+parametros_recargas!$J$97*'Plan mensual'!F250+parametros_recargas!$K$97*'Plan mensual'!F251+parametros_recargas!$L$97*'Plan mensual'!F252</f>
        <v>7998.4249883399</v>
      </c>
      <c r="E251" s="21" t="n">
        <f aca="false">parametros_recargas!$E$97*'Plan mensual'!G245+parametros_recargas!$F$97*'Plan mensual'!G246+parametros_recargas!$G$97*'Plan mensual'!G247+parametros_recargas!$H$97*'Plan mensual'!G248+parametros_recargas!$I$97*'Plan mensual'!G249+parametros_recargas!$J$97*'Plan mensual'!G250+parametros_recargas!$K$97*'Plan mensual'!G251+parametros_recargas!$L$97*'Plan mensual'!G252</f>
        <v>7998.4249883399</v>
      </c>
      <c r="F251" s="21" t="n">
        <f aca="false">parametros_recargas!$E$97*'Plan mensual'!H245+parametros_recargas!$F$97*'Plan mensual'!H246+parametros_recargas!$G$97*'Plan mensual'!H247+parametros_recargas!$H$97*'Plan mensual'!H248+parametros_recargas!$I$97*'Plan mensual'!H249+parametros_recargas!$J$97*'Plan mensual'!H250+parametros_recargas!$K$97*'Plan mensual'!H251+parametros_recargas!$L$97*'Plan mensual'!H252</f>
        <v>7998.4249883399</v>
      </c>
      <c r="G251" s="21" t="n">
        <f aca="false">parametros_recargas!$E$97*'Plan mensual'!I245+parametros_recargas!$F$97*'Plan mensual'!I246+parametros_recargas!$G$97*'Plan mensual'!I247+parametros_recargas!$H$97*'Plan mensual'!I248+parametros_recargas!$I$97*'Plan mensual'!I249+parametros_recargas!$J$97*'Plan mensual'!I250+parametros_recargas!$K$97*'Plan mensual'!I251+parametros_recargas!$L$97*'Plan mensual'!I252</f>
        <v>7998.4249883399</v>
      </c>
      <c r="H251" s="21" t="n">
        <f aca="false">parametros_recargas!$E$97*'Plan mensual'!J245+parametros_recargas!$F$97*'Plan mensual'!J246+parametros_recargas!$G$97*'Plan mensual'!J247+parametros_recargas!$H$97*'Plan mensual'!J248+parametros_recargas!$I$97*'Plan mensual'!J249+parametros_recargas!$J$97*'Plan mensual'!J250+parametros_recargas!$K$97*'Plan mensual'!J251+parametros_recargas!$L$97*'Plan mensual'!J252</f>
        <v>7998.4249883399</v>
      </c>
      <c r="I251" s="21" t="n">
        <f aca="false">parametros_recargas!$E$97*'Plan mensual'!K245+parametros_recargas!$F$97*'Plan mensual'!K246+parametros_recargas!$G$97*'Plan mensual'!K247+parametros_recargas!$H$97*'Plan mensual'!K248+parametros_recargas!$I$97*'Plan mensual'!K249+parametros_recargas!$J$97*'Plan mensual'!K250+parametros_recargas!$K$97*'Plan mensual'!K251+parametros_recargas!$L$97*'Plan mensual'!K252</f>
        <v>7998.4249883399</v>
      </c>
      <c r="J251" s="21" t="n">
        <f aca="false">parametros_recargas!$E$97*'Plan mensual'!L245+parametros_recargas!$F$97*'Plan mensual'!L246+parametros_recargas!$G$97*'Plan mensual'!L247+parametros_recargas!$H$97*'Plan mensual'!L248+parametros_recargas!$I$97*'Plan mensual'!L249+parametros_recargas!$J$97*'Plan mensual'!L250+parametros_recargas!$K$97*'Plan mensual'!L251+parametros_recargas!$L$97*'Plan mensual'!L252</f>
        <v>7998.4249883399</v>
      </c>
      <c r="K251" s="21" t="n">
        <f aca="false">parametros_recargas!$E$97*'Plan mensual'!M245+parametros_recargas!$F$97*'Plan mensual'!M246+parametros_recargas!$G$97*'Plan mensual'!M247+parametros_recargas!$H$97*'Plan mensual'!M248+parametros_recargas!$I$97*'Plan mensual'!M249+parametros_recargas!$J$97*'Plan mensual'!M250+parametros_recargas!$K$97*'Plan mensual'!M251+parametros_recargas!$L$97*'Plan mensual'!M252</f>
        <v>7998.4249883399</v>
      </c>
      <c r="L251" s="21" t="n">
        <f aca="false">parametros_recargas!$E$97*'Plan mensual'!N245+parametros_recargas!$F$97*'Plan mensual'!N246+parametros_recargas!$G$97*'Plan mensual'!N247+parametros_recargas!$H$97*'Plan mensual'!N248+parametros_recargas!$I$97*'Plan mensual'!N249+parametros_recargas!$J$97*'Plan mensual'!N250+parametros_recargas!$K$97*'Plan mensual'!N251+parametros_recargas!$L$97*'Plan mensual'!N252</f>
        <v>7998.4249883399</v>
      </c>
      <c r="M251" s="21" t="n">
        <f aca="false">parametros_recargas!$E$97*'Plan mensual'!O245+parametros_recargas!$F$97*'Plan mensual'!O246+parametros_recargas!$G$97*'Plan mensual'!O247+parametros_recargas!$H$97*'Plan mensual'!O248+parametros_recargas!$I$97*'Plan mensual'!O249+parametros_recargas!$J$97*'Plan mensual'!O250+parametros_recargas!$K$97*'Plan mensual'!O251+parametros_recargas!$L$97*'Plan mensual'!O252</f>
        <v>7998.4249883399</v>
      </c>
      <c r="N251" s="6" t="n">
        <f aca="false">SUM(B251:M251)</f>
        <v>95981.0998600788</v>
      </c>
      <c r="O251" s="22" t="n">
        <f aca="false">MAX(B251:M251)</f>
        <v>7998.4249883399</v>
      </c>
      <c r="P251" s="12" t="n">
        <f aca="false">O251/parametros_recargas!$B$6</f>
        <v>53.3228332555993</v>
      </c>
    </row>
    <row r="252" customFormat="false" ht="15" hidden="false" customHeight="false" outlineLevel="0" collapsed="false">
      <c r="A252" s="8" t="str">
        <f aca="false">parametros_recargas!$B$98</f>
        <v>Precinto, etiqueta y despacho</v>
      </c>
      <c r="B252" s="21" t="n">
        <f aca="false">parametros_recargas!$E$98*'Plan mensual'!D245+parametros_recargas!$F$98*'Plan mensual'!D246+parametros_recargas!$G$98*'Plan mensual'!D247+parametros_recargas!$H$98*'Plan mensual'!D248+parametros_recargas!$I$98*'Plan mensual'!D249+parametros_recargas!$J$98*'Plan mensual'!D250+parametros_recargas!$K$98*'Plan mensual'!D251+parametros_recargas!$L$98*'Plan mensual'!D252</f>
        <v>7998.4249883399</v>
      </c>
      <c r="C252" s="21" t="n">
        <f aca="false">parametros_recargas!$E$98*'Plan mensual'!E245+parametros_recargas!$F$98*'Plan mensual'!E246+parametros_recargas!$G$98*'Plan mensual'!E247+parametros_recargas!$H$98*'Plan mensual'!E248+parametros_recargas!$I$98*'Plan mensual'!E249+parametros_recargas!$J$98*'Plan mensual'!E250+parametros_recargas!$K$98*'Plan mensual'!E251+parametros_recargas!$L$98*'Plan mensual'!E252</f>
        <v>7998.4249883399</v>
      </c>
      <c r="D252" s="21" t="n">
        <f aca="false">parametros_recargas!$E$98*'Plan mensual'!F245+parametros_recargas!$F$98*'Plan mensual'!F246+parametros_recargas!$G$98*'Plan mensual'!F247+parametros_recargas!$H$98*'Plan mensual'!F248+parametros_recargas!$I$98*'Plan mensual'!F249+parametros_recargas!$J$98*'Plan mensual'!F250+parametros_recargas!$K$98*'Plan mensual'!F251+parametros_recargas!$L$98*'Plan mensual'!F252</f>
        <v>7998.4249883399</v>
      </c>
      <c r="E252" s="21" t="n">
        <f aca="false">parametros_recargas!$E$98*'Plan mensual'!G245+parametros_recargas!$F$98*'Plan mensual'!G246+parametros_recargas!$G$98*'Plan mensual'!G247+parametros_recargas!$H$98*'Plan mensual'!G248+parametros_recargas!$I$98*'Plan mensual'!G249+parametros_recargas!$J$98*'Plan mensual'!G250+parametros_recargas!$K$98*'Plan mensual'!G251+parametros_recargas!$L$98*'Plan mensual'!G252</f>
        <v>7998.4249883399</v>
      </c>
      <c r="F252" s="21" t="n">
        <f aca="false">parametros_recargas!$E$98*'Plan mensual'!H245+parametros_recargas!$F$98*'Plan mensual'!H246+parametros_recargas!$G$98*'Plan mensual'!H247+parametros_recargas!$H$98*'Plan mensual'!H248+parametros_recargas!$I$98*'Plan mensual'!H249+parametros_recargas!$J$98*'Plan mensual'!H250+parametros_recargas!$K$98*'Plan mensual'!H251+parametros_recargas!$L$98*'Plan mensual'!H252</f>
        <v>7998.4249883399</v>
      </c>
      <c r="G252" s="21" t="n">
        <f aca="false">parametros_recargas!$E$98*'Plan mensual'!I245+parametros_recargas!$F$98*'Plan mensual'!I246+parametros_recargas!$G$98*'Plan mensual'!I247+parametros_recargas!$H$98*'Plan mensual'!I248+parametros_recargas!$I$98*'Plan mensual'!I249+parametros_recargas!$J$98*'Plan mensual'!I250+parametros_recargas!$K$98*'Plan mensual'!I251+parametros_recargas!$L$98*'Plan mensual'!I252</f>
        <v>7998.4249883399</v>
      </c>
      <c r="H252" s="21" t="n">
        <f aca="false">parametros_recargas!$E$98*'Plan mensual'!J245+parametros_recargas!$F$98*'Plan mensual'!J246+parametros_recargas!$G$98*'Plan mensual'!J247+parametros_recargas!$H$98*'Plan mensual'!J248+parametros_recargas!$I$98*'Plan mensual'!J249+parametros_recargas!$J$98*'Plan mensual'!J250+parametros_recargas!$K$98*'Plan mensual'!J251+parametros_recargas!$L$98*'Plan mensual'!J252</f>
        <v>7998.4249883399</v>
      </c>
      <c r="I252" s="21" t="n">
        <f aca="false">parametros_recargas!$E$98*'Plan mensual'!K245+parametros_recargas!$F$98*'Plan mensual'!K246+parametros_recargas!$G$98*'Plan mensual'!K247+parametros_recargas!$H$98*'Plan mensual'!K248+parametros_recargas!$I$98*'Plan mensual'!K249+parametros_recargas!$J$98*'Plan mensual'!K250+parametros_recargas!$K$98*'Plan mensual'!K251+parametros_recargas!$L$98*'Plan mensual'!K252</f>
        <v>7998.4249883399</v>
      </c>
      <c r="J252" s="21" t="n">
        <f aca="false">parametros_recargas!$E$98*'Plan mensual'!L245+parametros_recargas!$F$98*'Plan mensual'!L246+parametros_recargas!$G$98*'Plan mensual'!L247+parametros_recargas!$H$98*'Plan mensual'!L248+parametros_recargas!$I$98*'Plan mensual'!L249+parametros_recargas!$J$98*'Plan mensual'!L250+parametros_recargas!$K$98*'Plan mensual'!L251+parametros_recargas!$L$98*'Plan mensual'!L252</f>
        <v>7998.4249883399</v>
      </c>
      <c r="K252" s="21" t="n">
        <f aca="false">parametros_recargas!$E$98*'Plan mensual'!M245+parametros_recargas!$F$98*'Plan mensual'!M246+parametros_recargas!$G$98*'Plan mensual'!M247+parametros_recargas!$H$98*'Plan mensual'!M248+parametros_recargas!$I$98*'Plan mensual'!M249+parametros_recargas!$J$98*'Plan mensual'!M250+parametros_recargas!$K$98*'Plan mensual'!M251+parametros_recargas!$L$98*'Plan mensual'!M252</f>
        <v>7998.4249883399</v>
      </c>
      <c r="L252" s="21" t="n">
        <f aca="false">parametros_recargas!$E$98*'Plan mensual'!N245+parametros_recargas!$F$98*'Plan mensual'!N246+parametros_recargas!$G$98*'Plan mensual'!N247+parametros_recargas!$H$98*'Plan mensual'!N248+parametros_recargas!$I$98*'Plan mensual'!N249+parametros_recargas!$J$98*'Plan mensual'!N250+parametros_recargas!$K$98*'Plan mensual'!N251+parametros_recargas!$L$98*'Plan mensual'!N252</f>
        <v>7998.4249883399</v>
      </c>
      <c r="M252" s="21" t="n">
        <f aca="false">parametros_recargas!$E$98*'Plan mensual'!O245+parametros_recargas!$F$98*'Plan mensual'!O246+parametros_recargas!$G$98*'Plan mensual'!O247+parametros_recargas!$H$98*'Plan mensual'!O248+parametros_recargas!$I$98*'Plan mensual'!O249+parametros_recargas!$J$98*'Plan mensual'!O250+parametros_recargas!$K$98*'Plan mensual'!O251+parametros_recargas!$L$98*'Plan mensual'!O252</f>
        <v>7998.4249883399</v>
      </c>
      <c r="N252" s="6" t="n">
        <f aca="false">SUM(B252:M252)</f>
        <v>95981.0998600788</v>
      </c>
      <c r="O252" s="22" t="n">
        <f aca="false">MAX(B252:M252)</f>
        <v>7998.4249883399</v>
      </c>
      <c r="P252" s="12" t="n">
        <f aca="false">O252/parametros_recargas!$B$6</f>
        <v>53.3228332555993</v>
      </c>
    </row>
    <row r="253" customFormat="false" ht="15" hidden="false" customHeight="false" outlineLevel="0" collapsed="false">
      <c r="A253" s="8" t="str">
        <f aca="false">parametros_recargas!$B$99</f>
        <v>Inutilización y disposición final</v>
      </c>
      <c r="B253" s="21" t="n">
        <f aca="false">parametros_recargas!$E$99*'Plan mensual'!D245+parametros_recargas!$F$99*'Plan mensual'!D246+parametros_recargas!$G$99*'Plan mensual'!D247+parametros_recargas!$H$99*'Plan mensual'!D248+parametros_recargas!$I$99*'Plan mensual'!D249+parametros_recargas!$J$99*'Plan mensual'!D250+parametros_recargas!$K$99*'Plan mensual'!D251+parametros_recargas!$L$99*'Plan mensual'!D252</f>
        <v>629.25567387223</v>
      </c>
      <c r="C253" s="21" t="n">
        <f aca="false">parametros_recargas!$E$99*'Plan mensual'!E245+parametros_recargas!$F$99*'Plan mensual'!E246+parametros_recargas!$G$99*'Plan mensual'!E247+parametros_recargas!$H$99*'Plan mensual'!E248+parametros_recargas!$I$99*'Plan mensual'!E249+parametros_recargas!$J$99*'Plan mensual'!E250+parametros_recargas!$K$99*'Plan mensual'!E251+parametros_recargas!$L$99*'Plan mensual'!E252</f>
        <v>629.25567387223</v>
      </c>
      <c r="D253" s="21" t="n">
        <f aca="false">parametros_recargas!$E$99*'Plan mensual'!F245+parametros_recargas!$F$99*'Plan mensual'!F246+parametros_recargas!$G$99*'Plan mensual'!F247+parametros_recargas!$H$99*'Plan mensual'!F248+parametros_recargas!$I$99*'Plan mensual'!F249+parametros_recargas!$J$99*'Plan mensual'!F250+parametros_recargas!$K$99*'Plan mensual'!F251+parametros_recargas!$L$99*'Plan mensual'!F252</f>
        <v>629.25567387223</v>
      </c>
      <c r="E253" s="21" t="n">
        <f aca="false">parametros_recargas!$E$99*'Plan mensual'!G245+parametros_recargas!$F$99*'Plan mensual'!G246+parametros_recargas!$G$99*'Plan mensual'!G247+parametros_recargas!$H$99*'Plan mensual'!G248+parametros_recargas!$I$99*'Plan mensual'!G249+parametros_recargas!$J$99*'Plan mensual'!G250+parametros_recargas!$K$99*'Plan mensual'!G251+parametros_recargas!$L$99*'Plan mensual'!G252</f>
        <v>629.25567387223</v>
      </c>
      <c r="F253" s="21" t="n">
        <f aca="false">parametros_recargas!$E$99*'Plan mensual'!H245+parametros_recargas!$F$99*'Plan mensual'!H246+parametros_recargas!$G$99*'Plan mensual'!H247+parametros_recargas!$H$99*'Plan mensual'!H248+parametros_recargas!$I$99*'Plan mensual'!H249+parametros_recargas!$J$99*'Plan mensual'!H250+parametros_recargas!$K$99*'Plan mensual'!H251+parametros_recargas!$L$99*'Plan mensual'!H252</f>
        <v>629.25567387223</v>
      </c>
      <c r="G253" s="21" t="n">
        <f aca="false">parametros_recargas!$E$99*'Plan mensual'!I245+parametros_recargas!$F$99*'Plan mensual'!I246+parametros_recargas!$G$99*'Plan mensual'!I247+parametros_recargas!$H$99*'Plan mensual'!I248+parametros_recargas!$I$99*'Plan mensual'!I249+parametros_recargas!$J$99*'Plan mensual'!I250+parametros_recargas!$K$99*'Plan mensual'!I251+parametros_recargas!$L$99*'Plan mensual'!I252</f>
        <v>629.25567387223</v>
      </c>
      <c r="H253" s="21" t="n">
        <f aca="false">parametros_recargas!$E$99*'Plan mensual'!J245+parametros_recargas!$F$99*'Plan mensual'!J246+parametros_recargas!$G$99*'Plan mensual'!J247+parametros_recargas!$H$99*'Plan mensual'!J248+parametros_recargas!$I$99*'Plan mensual'!J249+parametros_recargas!$J$99*'Plan mensual'!J250+parametros_recargas!$K$99*'Plan mensual'!J251+parametros_recargas!$L$99*'Plan mensual'!J252</f>
        <v>629.25567387223</v>
      </c>
      <c r="I253" s="21" t="n">
        <f aca="false">parametros_recargas!$E$99*'Plan mensual'!K245+parametros_recargas!$F$99*'Plan mensual'!K246+parametros_recargas!$G$99*'Plan mensual'!K247+parametros_recargas!$H$99*'Plan mensual'!K248+parametros_recargas!$I$99*'Plan mensual'!K249+parametros_recargas!$J$99*'Plan mensual'!K250+parametros_recargas!$K$99*'Plan mensual'!K251+parametros_recargas!$L$99*'Plan mensual'!K252</f>
        <v>629.25567387223</v>
      </c>
      <c r="J253" s="21" t="n">
        <f aca="false">parametros_recargas!$E$99*'Plan mensual'!L245+parametros_recargas!$F$99*'Plan mensual'!L246+parametros_recargas!$G$99*'Plan mensual'!L247+parametros_recargas!$H$99*'Plan mensual'!L248+parametros_recargas!$I$99*'Plan mensual'!L249+parametros_recargas!$J$99*'Plan mensual'!L250+parametros_recargas!$K$99*'Plan mensual'!L251+parametros_recargas!$L$99*'Plan mensual'!L252</f>
        <v>629.25567387223</v>
      </c>
      <c r="K253" s="21" t="n">
        <f aca="false">parametros_recargas!$E$99*'Plan mensual'!M245+parametros_recargas!$F$99*'Plan mensual'!M246+parametros_recargas!$G$99*'Plan mensual'!M247+parametros_recargas!$H$99*'Plan mensual'!M248+parametros_recargas!$I$99*'Plan mensual'!M249+parametros_recargas!$J$99*'Plan mensual'!M250+parametros_recargas!$K$99*'Plan mensual'!M251+parametros_recargas!$L$99*'Plan mensual'!M252</f>
        <v>629.25567387223</v>
      </c>
      <c r="L253" s="21" t="n">
        <f aca="false">parametros_recargas!$E$99*'Plan mensual'!N245+parametros_recargas!$F$99*'Plan mensual'!N246+parametros_recargas!$G$99*'Plan mensual'!N247+parametros_recargas!$H$99*'Plan mensual'!N248+parametros_recargas!$I$99*'Plan mensual'!N249+parametros_recargas!$J$99*'Plan mensual'!N250+parametros_recargas!$K$99*'Plan mensual'!N251+parametros_recargas!$L$99*'Plan mensual'!N252</f>
        <v>629.25567387223</v>
      </c>
      <c r="M253" s="21" t="n">
        <f aca="false">parametros_recargas!$E$99*'Plan mensual'!O245+parametros_recargas!$F$99*'Plan mensual'!O246+parametros_recargas!$G$99*'Plan mensual'!O247+parametros_recargas!$H$99*'Plan mensual'!O248+parametros_recargas!$I$99*'Plan mensual'!O249+parametros_recargas!$J$99*'Plan mensual'!O250+parametros_recargas!$K$99*'Plan mensual'!O251+parametros_recargas!$L$99*'Plan mensual'!O252</f>
        <v>629.25567387223</v>
      </c>
      <c r="N253" s="6" t="n">
        <f aca="false">SUM(B253:M253)</f>
        <v>7551.06808646676</v>
      </c>
      <c r="O253" s="22" t="n">
        <f aca="false">MAX(B253:M253)</f>
        <v>629.25567387223</v>
      </c>
      <c r="P253" s="12" t="n">
        <f aca="false">O253/parametros_recargas!$B$6</f>
        <v>4.19503782581486</v>
      </c>
    </row>
    <row r="254" customFormat="false" ht="15" hidden="false" customHeight="false" outlineLevel="0" collapsed="false">
      <c r="A254" s="8" t="str">
        <f aca="false">parametros_recargas!$B$100</f>
        <v>PH de mangueras (CO₂ y rodantes)</v>
      </c>
      <c r="B254" s="21" t="n">
        <f aca="false">'Plan mensual'!D253</f>
        <v>264.461436016055</v>
      </c>
      <c r="C254" s="21" t="n">
        <f aca="false">'Plan mensual'!E253</f>
        <v>264.461436016055</v>
      </c>
      <c r="D254" s="21" t="n">
        <f aca="false">'Plan mensual'!F253</f>
        <v>264.461436016055</v>
      </c>
      <c r="E254" s="21" t="n">
        <f aca="false">'Plan mensual'!G253</f>
        <v>264.461436016055</v>
      </c>
      <c r="F254" s="21" t="n">
        <f aca="false">'Plan mensual'!H253</f>
        <v>264.461436016055</v>
      </c>
      <c r="G254" s="21" t="n">
        <f aca="false">'Plan mensual'!I253</f>
        <v>264.461436016055</v>
      </c>
      <c r="H254" s="21" t="n">
        <f aca="false">'Plan mensual'!J253</f>
        <v>264.461436016055</v>
      </c>
      <c r="I254" s="21" t="n">
        <f aca="false">'Plan mensual'!K253</f>
        <v>264.461436016055</v>
      </c>
      <c r="J254" s="21" t="n">
        <f aca="false">'Plan mensual'!L253</f>
        <v>264.461436016055</v>
      </c>
      <c r="K254" s="21" t="n">
        <f aca="false">'Plan mensual'!M253</f>
        <v>264.461436016055</v>
      </c>
      <c r="L254" s="21" t="n">
        <f aca="false">'Plan mensual'!N253</f>
        <v>264.461436016055</v>
      </c>
      <c r="M254" s="21" t="n">
        <f aca="false">'Plan mensual'!O253</f>
        <v>264.461436016055</v>
      </c>
      <c r="N254" s="6" t="n">
        <f aca="false">SUM(B254:M254)</f>
        <v>3173.53723219266</v>
      </c>
      <c r="O254" s="22" t="n">
        <f aca="false">MAX(B254:M254)</f>
        <v>264.461436016055</v>
      </c>
      <c r="P254" s="12" t="n">
        <f aca="false">O254/parametros_recargas!$B$6</f>
        <v>1.76307624010703</v>
      </c>
    </row>
    <row r="257" customFormat="false" ht="23.85" hidden="false" customHeight="false" outlineLevel="0" collapsed="false">
      <c r="A257" s="2" t="s">
        <v>320</v>
      </c>
      <c r="B257" s="2" t="s">
        <v>130</v>
      </c>
      <c r="C257" s="2" t="s">
        <v>131</v>
      </c>
      <c r="D257" s="2" t="s">
        <v>132</v>
      </c>
      <c r="E257" s="2" t="s">
        <v>133</v>
      </c>
      <c r="F257" s="2" t="s">
        <v>134</v>
      </c>
      <c r="G257" s="2" t="s">
        <v>135</v>
      </c>
      <c r="H257" s="2" t="s">
        <v>136</v>
      </c>
      <c r="I257" s="2" t="s">
        <v>137</v>
      </c>
      <c r="J257" s="2" t="s">
        <v>138</v>
      </c>
      <c r="K257" s="2" t="s">
        <v>139</v>
      </c>
      <c r="L257" s="2" t="s">
        <v>140</v>
      </c>
      <c r="M257" s="2" t="s">
        <v>141</v>
      </c>
      <c r="N257" s="2" t="s">
        <v>310</v>
      </c>
      <c r="O257" s="2" t="s">
        <v>311</v>
      </c>
      <c r="P257" s="2" t="s">
        <v>312</v>
      </c>
    </row>
    <row r="258" customFormat="false" ht="15" hidden="false" customHeight="false" outlineLevel="0" collapsed="false">
      <c r="A258" s="8" t="str">
        <f aca="false">parametros_recargas!$B$72</f>
        <v>Recepción y registro</v>
      </c>
      <c r="B258" s="21" t="n">
        <f aca="false">parametros_recargas!$E$72*'Plan mensual'!D277+parametros_recargas!$F$72*'Plan mensual'!D278+parametros_recargas!$G$72*'Plan mensual'!D279+parametros_recargas!$H$72*'Plan mensual'!D280+parametros_recargas!$I$72*'Plan mensual'!D281+parametros_recargas!$J$72*'Plan mensual'!D282+parametros_recargas!$K$72*'Plan mensual'!D283+parametros_recargas!$L$72*'Plan mensual'!D284</f>
        <v>8606.82434260425</v>
      </c>
      <c r="C258" s="21" t="n">
        <f aca="false">parametros_recargas!$E$72*'Plan mensual'!E277+parametros_recargas!$F$72*'Plan mensual'!E278+parametros_recargas!$G$72*'Plan mensual'!E279+parametros_recargas!$H$72*'Plan mensual'!E280+parametros_recargas!$I$72*'Plan mensual'!E281+parametros_recargas!$J$72*'Plan mensual'!E282+parametros_recargas!$K$72*'Plan mensual'!E283+parametros_recargas!$L$72*'Plan mensual'!E284</f>
        <v>8606.82434260425</v>
      </c>
      <c r="D258" s="21" t="n">
        <f aca="false">parametros_recargas!$E$72*'Plan mensual'!F277+parametros_recargas!$F$72*'Plan mensual'!F278+parametros_recargas!$G$72*'Plan mensual'!F279+parametros_recargas!$H$72*'Plan mensual'!F280+parametros_recargas!$I$72*'Plan mensual'!F281+parametros_recargas!$J$72*'Plan mensual'!F282+parametros_recargas!$K$72*'Plan mensual'!F283+parametros_recargas!$L$72*'Plan mensual'!F284</f>
        <v>8606.82434260425</v>
      </c>
      <c r="E258" s="21" t="n">
        <f aca="false">parametros_recargas!$E$72*'Plan mensual'!G277+parametros_recargas!$F$72*'Plan mensual'!G278+parametros_recargas!$G$72*'Plan mensual'!G279+parametros_recargas!$H$72*'Plan mensual'!G280+parametros_recargas!$I$72*'Plan mensual'!G281+parametros_recargas!$J$72*'Plan mensual'!G282+parametros_recargas!$K$72*'Plan mensual'!G283+parametros_recargas!$L$72*'Plan mensual'!G284</f>
        <v>8606.82434260425</v>
      </c>
      <c r="F258" s="21" t="n">
        <f aca="false">parametros_recargas!$E$72*'Plan mensual'!H277+parametros_recargas!$F$72*'Plan mensual'!H278+parametros_recargas!$G$72*'Plan mensual'!H279+parametros_recargas!$H$72*'Plan mensual'!H280+parametros_recargas!$I$72*'Plan mensual'!H281+parametros_recargas!$J$72*'Plan mensual'!H282+parametros_recargas!$K$72*'Plan mensual'!H283+parametros_recargas!$L$72*'Plan mensual'!H284</f>
        <v>8606.82434260425</v>
      </c>
      <c r="G258" s="21" t="n">
        <f aca="false">parametros_recargas!$E$72*'Plan mensual'!I277+parametros_recargas!$F$72*'Plan mensual'!I278+parametros_recargas!$G$72*'Plan mensual'!I279+parametros_recargas!$H$72*'Plan mensual'!I280+parametros_recargas!$I$72*'Plan mensual'!I281+parametros_recargas!$J$72*'Plan mensual'!I282+parametros_recargas!$K$72*'Plan mensual'!I283+parametros_recargas!$L$72*'Plan mensual'!I284</f>
        <v>8606.82434260425</v>
      </c>
      <c r="H258" s="21" t="n">
        <f aca="false">parametros_recargas!$E$72*'Plan mensual'!J277+parametros_recargas!$F$72*'Plan mensual'!J278+parametros_recargas!$G$72*'Plan mensual'!J279+parametros_recargas!$H$72*'Plan mensual'!J280+parametros_recargas!$I$72*'Plan mensual'!J281+parametros_recargas!$J$72*'Plan mensual'!J282+parametros_recargas!$K$72*'Plan mensual'!J283+parametros_recargas!$L$72*'Plan mensual'!J284</f>
        <v>8606.82434260425</v>
      </c>
      <c r="I258" s="21" t="n">
        <f aca="false">parametros_recargas!$E$72*'Plan mensual'!K277+parametros_recargas!$F$72*'Plan mensual'!K278+parametros_recargas!$G$72*'Plan mensual'!K279+parametros_recargas!$H$72*'Plan mensual'!K280+parametros_recargas!$I$72*'Plan mensual'!K281+parametros_recargas!$J$72*'Plan mensual'!K282+parametros_recargas!$K$72*'Plan mensual'!K283+parametros_recargas!$L$72*'Plan mensual'!K284</f>
        <v>8606.82434260425</v>
      </c>
      <c r="J258" s="21" t="n">
        <f aca="false">parametros_recargas!$E$72*'Plan mensual'!L277+parametros_recargas!$F$72*'Plan mensual'!L278+parametros_recargas!$G$72*'Plan mensual'!L279+parametros_recargas!$H$72*'Plan mensual'!L280+parametros_recargas!$I$72*'Plan mensual'!L281+parametros_recargas!$J$72*'Plan mensual'!L282+parametros_recargas!$K$72*'Plan mensual'!L283+parametros_recargas!$L$72*'Plan mensual'!L284</f>
        <v>8606.82434260425</v>
      </c>
      <c r="K258" s="21" t="n">
        <f aca="false">parametros_recargas!$E$72*'Plan mensual'!M277+parametros_recargas!$F$72*'Plan mensual'!M278+parametros_recargas!$G$72*'Plan mensual'!M279+parametros_recargas!$H$72*'Plan mensual'!M280+parametros_recargas!$I$72*'Plan mensual'!M281+parametros_recargas!$J$72*'Plan mensual'!M282+parametros_recargas!$K$72*'Plan mensual'!M283+parametros_recargas!$L$72*'Plan mensual'!M284</f>
        <v>8606.82434260425</v>
      </c>
      <c r="L258" s="21" t="n">
        <f aca="false">parametros_recargas!$E$72*'Plan mensual'!N277+parametros_recargas!$F$72*'Plan mensual'!N278+parametros_recargas!$G$72*'Plan mensual'!N279+parametros_recargas!$H$72*'Plan mensual'!N280+parametros_recargas!$I$72*'Plan mensual'!N281+parametros_recargas!$J$72*'Plan mensual'!N282+parametros_recargas!$K$72*'Plan mensual'!N283+parametros_recargas!$L$72*'Plan mensual'!N284</f>
        <v>8606.82434260425</v>
      </c>
      <c r="M258" s="21" t="n">
        <f aca="false">parametros_recargas!$E$72*'Plan mensual'!O277+parametros_recargas!$F$72*'Plan mensual'!O278+parametros_recargas!$G$72*'Plan mensual'!O279+parametros_recargas!$H$72*'Plan mensual'!O280+parametros_recargas!$I$72*'Plan mensual'!O281+parametros_recargas!$J$72*'Plan mensual'!O282+parametros_recargas!$K$72*'Plan mensual'!O283+parametros_recargas!$L$72*'Plan mensual'!O284</f>
        <v>8606.82434260425</v>
      </c>
      <c r="N258" s="6" t="n">
        <f aca="false">SUM(B258:M258)</f>
        <v>103281.892111251</v>
      </c>
      <c r="O258" s="22" t="n">
        <f aca="false">MAX(B258:M258)</f>
        <v>8606.82434260425</v>
      </c>
      <c r="P258" s="12" t="n">
        <f aca="false">O258/parametros_recargas!$B$6</f>
        <v>57.378828950695</v>
      </c>
    </row>
    <row r="259" customFormat="false" ht="15" hidden="false" customHeight="false" outlineLevel="0" collapsed="false">
      <c r="A259" s="8" t="str">
        <f aca="false">parametros_recargas!$B$73</f>
        <v>Inspección visual</v>
      </c>
      <c r="B259" s="21" t="n">
        <f aca="false">parametros_recargas!$E$73*'Plan mensual'!D277+parametros_recargas!$F$73*'Plan mensual'!D278+parametros_recargas!$G$73*'Plan mensual'!D279+parametros_recargas!$H$73*'Plan mensual'!D280+parametros_recargas!$I$73*'Plan mensual'!D281+parametros_recargas!$J$73*'Plan mensual'!D282+parametros_recargas!$K$73*'Plan mensual'!D283+parametros_recargas!$L$73*'Plan mensual'!D284</f>
        <v>8606.82434260425</v>
      </c>
      <c r="C259" s="21" t="n">
        <f aca="false">parametros_recargas!$E$73*'Plan mensual'!E277+parametros_recargas!$F$73*'Plan mensual'!E278+parametros_recargas!$G$73*'Plan mensual'!E279+parametros_recargas!$H$73*'Plan mensual'!E280+parametros_recargas!$I$73*'Plan mensual'!E281+parametros_recargas!$J$73*'Plan mensual'!E282+parametros_recargas!$K$73*'Plan mensual'!E283+parametros_recargas!$L$73*'Plan mensual'!E284</f>
        <v>8606.82434260425</v>
      </c>
      <c r="D259" s="21" t="n">
        <f aca="false">parametros_recargas!$E$73*'Plan mensual'!F277+parametros_recargas!$F$73*'Plan mensual'!F278+parametros_recargas!$G$73*'Plan mensual'!F279+parametros_recargas!$H$73*'Plan mensual'!F280+parametros_recargas!$I$73*'Plan mensual'!F281+parametros_recargas!$J$73*'Plan mensual'!F282+parametros_recargas!$K$73*'Plan mensual'!F283+parametros_recargas!$L$73*'Plan mensual'!F284</f>
        <v>8606.82434260425</v>
      </c>
      <c r="E259" s="21" t="n">
        <f aca="false">parametros_recargas!$E$73*'Plan mensual'!G277+parametros_recargas!$F$73*'Plan mensual'!G278+parametros_recargas!$G$73*'Plan mensual'!G279+parametros_recargas!$H$73*'Plan mensual'!G280+parametros_recargas!$I$73*'Plan mensual'!G281+parametros_recargas!$J$73*'Plan mensual'!G282+parametros_recargas!$K$73*'Plan mensual'!G283+parametros_recargas!$L$73*'Plan mensual'!G284</f>
        <v>8606.82434260425</v>
      </c>
      <c r="F259" s="21" t="n">
        <f aca="false">parametros_recargas!$E$73*'Plan mensual'!H277+parametros_recargas!$F$73*'Plan mensual'!H278+parametros_recargas!$G$73*'Plan mensual'!H279+parametros_recargas!$H$73*'Plan mensual'!H280+parametros_recargas!$I$73*'Plan mensual'!H281+parametros_recargas!$J$73*'Plan mensual'!H282+parametros_recargas!$K$73*'Plan mensual'!H283+parametros_recargas!$L$73*'Plan mensual'!H284</f>
        <v>8606.82434260425</v>
      </c>
      <c r="G259" s="21" t="n">
        <f aca="false">parametros_recargas!$E$73*'Plan mensual'!I277+parametros_recargas!$F$73*'Plan mensual'!I278+parametros_recargas!$G$73*'Plan mensual'!I279+parametros_recargas!$H$73*'Plan mensual'!I280+parametros_recargas!$I$73*'Plan mensual'!I281+parametros_recargas!$J$73*'Plan mensual'!I282+parametros_recargas!$K$73*'Plan mensual'!I283+parametros_recargas!$L$73*'Plan mensual'!I284</f>
        <v>8606.82434260425</v>
      </c>
      <c r="H259" s="21" t="n">
        <f aca="false">parametros_recargas!$E$73*'Plan mensual'!J277+parametros_recargas!$F$73*'Plan mensual'!J278+parametros_recargas!$G$73*'Plan mensual'!J279+parametros_recargas!$H$73*'Plan mensual'!J280+parametros_recargas!$I$73*'Plan mensual'!J281+parametros_recargas!$J$73*'Plan mensual'!J282+parametros_recargas!$K$73*'Plan mensual'!J283+parametros_recargas!$L$73*'Plan mensual'!J284</f>
        <v>8606.82434260425</v>
      </c>
      <c r="I259" s="21" t="n">
        <f aca="false">parametros_recargas!$E$73*'Plan mensual'!K277+parametros_recargas!$F$73*'Plan mensual'!K278+parametros_recargas!$G$73*'Plan mensual'!K279+parametros_recargas!$H$73*'Plan mensual'!K280+parametros_recargas!$I$73*'Plan mensual'!K281+parametros_recargas!$J$73*'Plan mensual'!K282+parametros_recargas!$K$73*'Plan mensual'!K283+parametros_recargas!$L$73*'Plan mensual'!K284</f>
        <v>8606.82434260425</v>
      </c>
      <c r="J259" s="21" t="n">
        <f aca="false">parametros_recargas!$E$73*'Plan mensual'!L277+parametros_recargas!$F$73*'Plan mensual'!L278+parametros_recargas!$G$73*'Plan mensual'!L279+parametros_recargas!$H$73*'Plan mensual'!L280+parametros_recargas!$I$73*'Plan mensual'!L281+parametros_recargas!$J$73*'Plan mensual'!L282+parametros_recargas!$K$73*'Plan mensual'!L283+parametros_recargas!$L$73*'Plan mensual'!L284</f>
        <v>8606.82434260425</v>
      </c>
      <c r="K259" s="21" t="n">
        <f aca="false">parametros_recargas!$E$73*'Plan mensual'!M277+parametros_recargas!$F$73*'Plan mensual'!M278+parametros_recargas!$G$73*'Plan mensual'!M279+parametros_recargas!$H$73*'Plan mensual'!M280+parametros_recargas!$I$73*'Plan mensual'!M281+parametros_recargas!$J$73*'Plan mensual'!M282+parametros_recargas!$K$73*'Plan mensual'!M283+parametros_recargas!$L$73*'Plan mensual'!M284</f>
        <v>8606.82434260425</v>
      </c>
      <c r="L259" s="21" t="n">
        <f aca="false">parametros_recargas!$E$73*'Plan mensual'!N277+parametros_recargas!$F$73*'Plan mensual'!N278+parametros_recargas!$G$73*'Plan mensual'!N279+parametros_recargas!$H$73*'Plan mensual'!N280+parametros_recargas!$I$73*'Plan mensual'!N281+parametros_recargas!$J$73*'Plan mensual'!N282+parametros_recargas!$K$73*'Plan mensual'!N283+parametros_recargas!$L$73*'Plan mensual'!N284</f>
        <v>8606.82434260425</v>
      </c>
      <c r="M259" s="21" t="n">
        <f aca="false">parametros_recargas!$E$73*'Plan mensual'!O277+parametros_recargas!$F$73*'Plan mensual'!O278+parametros_recargas!$G$73*'Plan mensual'!O279+parametros_recargas!$H$73*'Plan mensual'!O280+parametros_recargas!$I$73*'Plan mensual'!O281+parametros_recargas!$J$73*'Plan mensual'!O282+parametros_recargas!$K$73*'Plan mensual'!O283+parametros_recargas!$L$73*'Plan mensual'!O284</f>
        <v>8606.82434260425</v>
      </c>
      <c r="N259" s="6" t="n">
        <f aca="false">SUM(B259:M259)</f>
        <v>103281.892111251</v>
      </c>
      <c r="O259" s="22" t="n">
        <f aca="false">MAX(B259:M259)</f>
        <v>8606.82434260425</v>
      </c>
      <c r="P259" s="12" t="n">
        <f aca="false">O259/parametros_recargas!$B$6</f>
        <v>57.378828950695</v>
      </c>
    </row>
    <row r="260" customFormat="false" ht="15" hidden="false" customHeight="false" outlineLevel="0" collapsed="false">
      <c r="A260" s="8" t="str">
        <f aca="false">parametros_recargas!$B$74</f>
        <v>Descarga ABC — ruta recuperable</v>
      </c>
      <c r="B260" s="21" t="n">
        <f aca="false">parametros_recargas!$E$74*'Plan mensual'!D277+parametros_recargas!$F$74*'Plan mensual'!D278+parametros_recargas!$G$74*'Plan mensual'!D279+parametros_recargas!$H$74*'Plan mensual'!D280+parametros_recargas!$I$74*'Plan mensual'!D281+parametros_recargas!$J$74*'Plan mensual'!D282+parametros_recargas!$K$74*'Plan mensual'!D283+parametros_recargas!$L$74*'Plan mensual'!D284</f>
        <v>6367.7419132336</v>
      </c>
      <c r="C260" s="21" t="n">
        <f aca="false">parametros_recargas!$E$74*'Plan mensual'!E277+parametros_recargas!$F$74*'Plan mensual'!E278+parametros_recargas!$G$74*'Plan mensual'!E279+parametros_recargas!$H$74*'Plan mensual'!E280+parametros_recargas!$I$74*'Plan mensual'!E281+parametros_recargas!$J$74*'Plan mensual'!E282+parametros_recargas!$K$74*'Plan mensual'!E283+parametros_recargas!$L$74*'Plan mensual'!E284</f>
        <v>6367.7419132336</v>
      </c>
      <c r="D260" s="21" t="n">
        <f aca="false">parametros_recargas!$E$74*'Plan mensual'!F277+parametros_recargas!$F$74*'Plan mensual'!F278+parametros_recargas!$G$74*'Plan mensual'!F279+parametros_recargas!$H$74*'Plan mensual'!F280+parametros_recargas!$I$74*'Plan mensual'!F281+parametros_recargas!$J$74*'Plan mensual'!F282+parametros_recargas!$K$74*'Plan mensual'!F283+parametros_recargas!$L$74*'Plan mensual'!F284</f>
        <v>6367.7419132336</v>
      </c>
      <c r="E260" s="21" t="n">
        <f aca="false">parametros_recargas!$E$74*'Plan mensual'!G277+parametros_recargas!$F$74*'Plan mensual'!G278+parametros_recargas!$G$74*'Plan mensual'!G279+parametros_recargas!$H$74*'Plan mensual'!G280+parametros_recargas!$I$74*'Plan mensual'!G281+parametros_recargas!$J$74*'Plan mensual'!G282+parametros_recargas!$K$74*'Plan mensual'!G283+parametros_recargas!$L$74*'Plan mensual'!G284</f>
        <v>6367.7419132336</v>
      </c>
      <c r="F260" s="21" t="n">
        <f aca="false">parametros_recargas!$E$74*'Plan mensual'!H277+parametros_recargas!$F$74*'Plan mensual'!H278+parametros_recargas!$G$74*'Plan mensual'!H279+parametros_recargas!$H$74*'Plan mensual'!H280+parametros_recargas!$I$74*'Plan mensual'!H281+parametros_recargas!$J$74*'Plan mensual'!H282+parametros_recargas!$K$74*'Plan mensual'!H283+parametros_recargas!$L$74*'Plan mensual'!H284</f>
        <v>6367.7419132336</v>
      </c>
      <c r="G260" s="21" t="n">
        <f aca="false">parametros_recargas!$E$74*'Plan mensual'!I277+parametros_recargas!$F$74*'Plan mensual'!I278+parametros_recargas!$G$74*'Plan mensual'!I279+parametros_recargas!$H$74*'Plan mensual'!I280+parametros_recargas!$I$74*'Plan mensual'!I281+parametros_recargas!$J$74*'Plan mensual'!I282+parametros_recargas!$K$74*'Plan mensual'!I283+parametros_recargas!$L$74*'Plan mensual'!I284</f>
        <v>6367.7419132336</v>
      </c>
      <c r="H260" s="21" t="n">
        <f aca="false">parametros_recargas!$E$74*'Plan mensual'!J277+parametros_recargas!$F$74*'Plan mensual'!J278+parametros_recargas!$G$74*'Plan mensual'!J279+parametros_recargas!$H$74*'Plan mensual'!J280+parametros_recargas!$I$74*'Plan mensual'!J281+parametros_recargas!$J$74*'Plan mensual'!J282+parametros_recargas!$K$74*'Plan mensual'!J283+parametros_recargas!$L$74*'Plan mensual'!J284</f>
        <v>6367.7419132336</v>
      </c>
      <c r="I260" s="21" t="n">
        <f aca="false">parametros_recargas!$E$74*'Plan mensual'!K277+parametros_recargas!$F$74*'Plan mensual'!K278+parametros_recargas!$G$74*'Plan mensual'!K279+parametros_recargas!$H$74*'Plan mensual'!K280+parametros_recargas!$I$74*'Plan mensual'!K281+parametros_recargas!$J$74*'Plan mensual'!K282+parametros_recargas!$K$74*'Plan mensual'!K283+parametros_recargas!$L$74*'Plan mensual'!K284</f>
        <v>6367.7419132336</v>
      </c>
      <c r="J260" s="21" t="n">
        <f aca="false">parametros_recargas!$E$74*'Plan mensual'!L277+parametros_recargas!$F$74*'Plan mensual'!L278+parametros_recargas!$G$74*'Plan mensual'!L279+parametros_recargas!$H$74*'Plan mensual'!L280+parametros_recargas!$I$74*'Plan mensual'!L281+parametros_recargas!$J$74*'Plan mensual'!L282+parametros_recargas!$K$74*'Plan mensual'!L283+parametros_recargas!$L$74*'Plan mensual'!L284</f>
        <v>6367.7419132336</v>
      </c>
      <c r="K260" s="21" t="n">
        <f aca="false">parametros_recargas!$E$74*'Plan mensual'!M277+parametros_recargas!$F$74*'Plan mensual'!M278+parametros_recargas!$G$74*'Plan mensual'!M279+parametros_recargas!$H$74*'Plan mensual'!M280+parametros_recargas!$I$74*'Plan mensual'!M281+parametros_recargas!$J$74*'Plan mensual'!M282+parametros_recargas!$K$74*'Plan mensual'!M283+parametros_recargas!$L$74*'Plan mensual'!M284</f>
        <v>6367.7419132336</v>
      </c>
      <c r="L260" s="21" t="n">
        <f aca="false">parametros_recargas!$E$74*'Plan mensual'!N277+parametros_recargas!$F$74*'Plan mensual'!N278+parametros_recargas!$G$74*'Plan mensual'!N279+parametros_recargas!$H$74*'Plan mensual'!N280+parametros_recargas!$I$74*'Plan mensual'!N281+parametros_recargas!$J$74*'Plan mensual'!N282+parametros_recargas!$K$74*'Plan mensual'!N283+parametros_recargas!$L$74*'Plan mensual'!N284</f>
        <v>6367.7419132336</v>
      </c>
      <c r="M260" s="21" t="n">
        <f aca="false">parametros_recargas!$E$74*'Plan mensual'!O277+parametros_recargas!$F$74*'Plan mensual'!O278+parametros_recargas!$G$74*'Plan mensual'!O279+parametros_recargas!$H$74*'Plan mensual'!O280+parametros_recargas!$I$74*'Plan mensual'!O281+parametros_recargas!$J$74*'Plan mensual'!O282+parametros_recargas!$K$74*'Plan mensual'!O283+parametros_recargas!$L$74*'Plan mensual'!O284</f>
        <v>6367.7419132336</v>
      </c>
      <c r="N260" s="6" t="n">
        <f aca="false">SUM(B260:M260)</f>
        <v>76412.9029588032</v>
      </c>
      <c r="O260" s="22" t="n">
        <f aca="false">MAX(B260:M260)</f>
        <v>6367.7419132336</v>
      </c>
      <c r="P260" s="12" t="n">
        <f aca="false">O260/parametros_recargas!$B$6</f>
        <v>42.4516127548907</v>
      </c>
    </row>
    <row r="261" customFormat="false" ht="15" hidden="false" customHeight="false" outlineLevel="0" collapsed="false">
      <c r="A261" s="8" t="str">
        <f aca="false">parametros_recargas!$B$75</f>
        <v>Descarga ABC — ruta descarte</v>
      </c>
      <c r="B261" s="21" t="n">
        <f aca="false">parametros_recargas!$E$75*'Plan mensual'!D277+parametros_recargas!$F$75*'Plan mensual'!D278+parametros_recargas!$G$75*'Plan mensual'!D279+parametros_recargas!$H$75*'Plan mensual'!D280+parametros_recargas!$I$75*'Plan mensual'!D281+parametros_recargas!$J$75*'Plan mensual'!D282+parametros_recargas!$K$75*'Plan mensual'!D283+parametros_recargas!$L$75*'Plan mensual'!D284</f>
        <v>749.146107439248</v>
      </c>
      <c r="C261" s="21" t="n">
        <f aca="false">parametros_recargas!$E$75*'Plan mensual'!E277+parametros_recargas!$F$75*'Plan mensual'!E278+parametros_recargas!$G$75*'Plan mensual'!E279+parametros_recargas!$H$75*'Plan mensual'!E280+parametros_recargas!$I$75*'Plan mensual'!E281+parametros_recargas!$J$75*'Plan mensual'!E282+parametros_recargas!$K$75*'Plan mensual'!E283+parametros_recargas!$L$75*'Plan mensual'!E284</f>
        <v>749.146107439248</v>
      </c>
      <c r="D261" s="21" t="n">
        <f aca="false">parametros_recargas!$E$75*'Plan mensual'!F277+parametros_recargas!$F$75*'Plan mensual'!F278+parametros_recargas!$G$75*'Plan mensual'!F279+parametros_recargas!$H$75*'Plan mensual'!F280+parametros_recargas!$I$75*'Plan mensual'!F281+parametros_recargas!$J$75*'Plan mensual'!F282+parametros_recargas!$K$75*'Plan mensual'!F283+parametros_recargas!$L$75*'Plan mensual'!F284</f>
        <v>749.146107439248</v>
      </c>
      <c r="E261" s="21" t="n">
        <f aca="false">parametros_recargas!$E$75*'Plan mensual'!G277+parametros_recargas!$F$75*'Plan mensual'!G278+parametros_recargas!$G$75*'Plan mensual'!G279+parametros_recargas!$H$75*'Plan mensual'!G280+parametros_recargas!$I$75*'Plan mensual'!G281+parametros_recargas!$J$75*'Plan mensual'!G282+parametros_recargas!$K$75*'Plan mensual'!G283+parametros_recargas!$L$75*'Plan mensual'!G284</f>
        <v>749.146107439248</v>
      </c>
      <c r="F261" s="21" t="n">
        <f aca="false">parametros_recargas!$E$75*'Plan mensual'!H277+parametros_recargas!$F$75*'Plan mensual'!H278+parametros_recargas!$G$75*'Plan mensual'!H279+parametros_recargas!$H$75*'Plan mensual'!H280+parametros_recargas!$I$75*'Plan mensual'!H281+parametros_recargas!$J$75*'Plan mensual'!H282+parametros_recargas!$K$75*'Plan mensual'!H283+parametros_recargas!$L$75*'Plan mensual'!H284</f>
        <v>749.146107439248</v>
      </c>
      <c r="G261" s="21" t="n">
        <f aca="false">parametros_recargas!$E$75*'Plan mensual'!I277+parametros_recargas!$F$75*'Plan mensual'!I278+parametros_recargas!$G$75*'Plan mensual'!I279+parametros_recargas!$H$75*'Plan mensual'!I280+parametros_recargas!$I$75*'Plan mensual'!I281+parametros_recargas!$J$75*'Plan mensual'!I282+parametros_recargas!$K$75*'Plan mensual'!I283+parametros_recargas!$L$75*'Plan mensual'!I284</f>
        <v>749.146107439248</v>
      </c>
      <c r="H261" s="21" t="n">
        <f aca="false">parametros_recargas!$E$75*'Plan mensual'!J277+parametros_recargas!$F$75*'Plan mensual'!J278+parametros_recargas!$G$75*'Plan mensual'!J279+parametros_recargas!$H$75*'Plan mensual'!J280+parametros_recargas!$I$75*'Plan mensual'!J281+parametros_recargas!$J$75*'Plan mensual'!J282+parametros_recargas!$K$75*'Plan mensual'!J283+parametros_recargas!$L$75*'Plan mensual'!J284</f>
        <v>749.146107439248</v>
      </c>
      <c r="I261" s="21" t="n">
        <f aca="false">parametros_recargas!$E$75*'Plan mensual'!K277+parametros_recargas!$F$75*'Plan mensual'!K278+parametros_recargas!$G$75*'Plan mensual'!K279+parametros_recargas!$H$75*'Plan mensual'!K280+parametros_recargas!$I$75*'Plan mensual'!K281+parametros_recargas!$J$75*'Plan mensual'!K282+parametros_recargas!$K$75*'Plan mensual'!K283+parametros_recargas!$L$75*'Plan mensual'!K284</f>
        <v>749.146107439248</v>
      </c>
      <c r="J261" s="21" t="n">
        <f aca="false">parametros_recargas!$E$75*'Plan mensual'!L277+parametros_recargas!$F$75*'Plan mensual'!L278+parametros_recargas!$G$75*'Plan mensual'!L279+parametros_recargas!$H$75*'Plan mensual'!L280+parametros_recargas!$I$75*'Plan mensual'!L281+parametros_recargas!$J$75*'Plan mensual'!L282+parametros_recargas!$K$75*'Plan mensual'!L283+parametros_recargas!$L$75*'Plan mensual'!L284</f>
        <v>749.146107439248</v>
      </c>
      <c r="K261" s="21" t="n">
        <f aca="false">parametros_recargas!$E$75*'Plan mensual'!M277+parametros_recargas!$F$75*'Plan mensual'!M278+parametros_recargas!$G$75*'Plan mensual'!M279+parametros_recargas!$H$75*'Plan mensual'!M280+parametros_recargas!$I$75*'Plan mensual'!M281+parametros_recargas!$J$75*'Plan mensual'!M282+parametros_recargas!$K$75*'Plan mensual'!M283+parametros_recargas!$L$75*'Plan mensual'!M284</f>
        <v>749.146107439248</v>
      </c>
      <c r="L261" s="21" t="n">
        <f aca="false">parametros_recargas!$E$75*'Plan mensual'!N277+parametros_recargas!$F$75*'Plan mensual'!N278+parametros_recargas!$G$75*'Plan mensual'!N279+parametros_recargas!$H$75*'Plan mensual'!N280+parametros_recargas!$I$75*'Plan mensual'!N281+parametros_recargas!$J$75*'Plan mensual'!N282+parametros_recargas!$K$75*'Plan mensual'!N283+parametros_recargas!$L$75*'Plan mensual'!N284</f>
        <v>749.146107439248</v>
      </c>
      <c r="M261" s="21" t="n">
        <f aca="false">parametros_recargas!$E$75*'Plan mensual'!O277+parametros_recargas!$F$75*'Plan mensual'!O278+parametros_recargas!$G$75*'Plan mensual'!O279+parametros_recargas!$H$75*'Plan mensual'!O280+parametros_recargas!$I$75*'Plan mensual'!O281+parametros_recargas!$J$75*'Plan mensual'!O282+parametros_recargas!$K$75*'Plan mensual'!O283+parametros_recargas!$L$75*'Plan mensual'!O284</f>
        <v>749.146107439248</v>
      </c>
      <c r="N261" s="6" t="n">
        <f aca="false">SUM(B261:M261)</f>
        <v>8989.75328927097</v>
      </c>
      <c r="O261" s="22" t="n">
        <f aca="false">MAX(B261:M261)</f>
        <v>749.146107439248</v>
      </c>
      <c r="P261" s="12" t="n">
        <f aca="false">O261/parametros_recargas!$B$6</f>
        <v>4.99430738292832</v>
      </c>
    </row>
    <row r="262" customFormat="false" ht="15" hidden="false" customHeight="false" outlineLevel="0" collapsed="false">
      <c r="A262" s="8" t="str">
        <f aca="false">parametros_recargas!$B$76</f>
        <v>Descarga BC</v>
      </c>
      <c r="B262" s="21" t="n">
        <f aca="false">parametros_recargas!$E$76*'Plan mensual'!D277+parametros_recargas!$F$76*'Plan mensual'!D278+parametros_recargas!$G$76*'Plan mensual'!D279+parametros_recargas!$H$76*'Plan mensual'!D280+parametros_recargas!$I$76*'Plan mensual'!D281+parametros_recargas!$J$76*'Plan mensual'!D282+parametros_recargas!$K$76*'Plan mensual'!D283+parametros_recargas!$L$76*'Plan mensual'!D284</f>
        <v>10.8742191461297</v>
      </c>
      <c r="C262" s="21" t="n">
        <f aca="false">parametros_recargas!$E$76*'Plan mensual'!E277+parametros_recargas!$F$76*'Plan mensual'!E278+parametros_recargas!$G$76*'Plan mensual'!E279+parametros_recargas!$H$76*'Plan mensual'!E280+parametros_recargas!$I$76*'Plan mensual'!E281+parametros_recargas!$J$76*'Plan mensual'!E282+parametros_recargas!$K$76*'Plan mensual'!E283+parametros_recargas!$L$76*'Plan mensual'!E284</f>
        <v>10.8742191461297</v>
      </c>
      <c r="D262" s="21" t="n">
        <f aca="false">parametros_recargas!$E$76*'Plan mensual'!F277+parametros_recargas!$F$76*'Plan mensual'!F278+parametros_recargas!$G$76*'Plan mensual'!F279+parametros_recargas!$H$76*'Plan mensual'!F280+parametros_recargas!$I$76*'Plan mensual'!F281+parametros_recargas!$J$76*'Plan mensual'!F282+parametros_recargas!$K$76*'Plan mensual'!F283+parametros_recargas!$L$76*'Plan mensual'!F284</f>
        <v>10.8742191461297</v>
      </c>
      <c r="E262" s="21" t="n">
        <f aca="false">parametros_recargas!$E$76*'Plan mensual'!G277+parametros_recargas!$F$76*'Plan mensual'!G278+parametros_recargas!$G$76*'Plan mensual'!G279+parametros_recargas!$H$76*'Plan mensual'!G280+parametros_recargas!$I$76*'Plan mensual'!G281+parametros_recargas!$J$76*'Plan mensual'!G282+parametros_recargas!$K$76*'Plan mensual'!G283+parametros_recargas!$L$76*'Plan mensual'!G284</f>
        <v>10.8742191461297</v>
      </c>
      <c r="F262" s="21" t="n">
        <f aca="false">parametros_recargas!$E$76*'Plan mensual'!H277+parametros_recargas!$F$76*'Plan mensual'!H278+parametros_recargas!$G$76*'Plan mensual'!H279+parametros_recargas!$H$76*'Plan mensual'!H280+parametros_recargas!$I$76*'Plan mensual'!H281+parametros_recargas!$J$76*'Plan mensual'!H282+parametros_recargas!$K$76*'Plan mensual'!H283+parametros_recargas!$L$76*'Plan mensual'!H284</f>
        <v>10.8742191461297</v>
      </c>
      <c r="G262" s="21" t="n">
        <f aca="false">parametros_recargas!$E$76*'Plan mensual'!I277+parametros_recargas!$F$76*'Plan mensual'!I278+parametros_recargas!$G$76*'Plan mensual'!I279+parametros_recargas!$H$76*'Plan mensual'!I280+parametros_recargas!$I$76*'Plan mensual'!I281+parametros_recargas!$J$76*'Plan mensual'!I282+parametros_recargas!$K$76*'Plan mensual'!I283+parametros_recargas!$L$76*'Plan mensual'!I284</f>
        <v>10.8742191461297</v>
      </c>
      <c r="H262" s="21" t="n">
        <f aca="false">parametros_recargas!$E$76*'Plan mensual'!J277+parametros_recargas!$F$76*'Plan mensual'!J278+parametros_recargas!$G$76*'Plan mensual'!J279+parametros_recargas!$H$76*'Plan mensual'!J280+parametros_recargas!$I$76*'Plan mensual'!J281+parametros_recargas!$J$76*'Plan mensual'!J282+parametros_recargas!$K$76*'Plan mensual'!J283+parametros_recargas!$L$76*'Plan mensual'!J284</f>
        <v>10.8742191461297</v>
      </c>
      <c r="I262" s="21" t="n">
        <f aca="false">parametros_recargas!$E$76*'Plan mensual'!K277+parametros_recargas!$F$76*'Plan mensual'!K278+parametros_recargas!$G$76*'Plan mensual'!K279+parametros_recargas!$H$76*'Plan mensual'!K280+parametros_recargas!$I$76*'Plan mensual'!K281+parametros_recargas!$J$76*'Plan mensual'!K282+parametros_recargas!$K$76*'Plan mensual'!K283+parametros_recargas!$L$76*'Plan mensual'!K284</f>
        <v>10.8742191461297</v>
      </c>
      <c r="J262" s="21" t="n">
        <f aca="false">parametros_recargas!$E$76*'Plan mensual'!L277+parametros_recargas!$F$76*'Plan mensual'!L278+parametros_recargas!$G$76*'Plan mensual'!L279+parametros_recargas!$H$76*'Plan mensual'!L280+parametros_recargas!$I$76*'Plan mensual'!L281+parametros_recargas!$J$76*'Plan mensual'!L282+parametros_recargas!$K$76*'Plan mensual'!L283+parametros_recargas!$L$76*'Plan mensual'!L284</f>
        <v>10.8742191461297</v>
      </c>
      <c r="K262" s="21" t="n">
        <f aca="false">parametros_recargas!$E$76*'Plan mensual'!M277+parametros_recargas!$F$76*'Plan mensual'!M278+parametros_recargas!$G$76*'Plan mensual'!M279+parametros_recargas!$H$76*'Plan mensual'!M280+parametros_recargas!$I$76*'Plan mensual'!M281+parametros_recargas!$J$76*'Plan mensual'!M282+parametros_recargas!$K$76*'Plan mensual'!M283+parametros_recargas!$L$76*'Plan mensual'!M284</f>
        <v>10.8742191461297</v>
      </c>
      <c r="L262" s="21" t="n">
        <f aca="false">parametros_recargas!$E$76*'Plan mensual'!N277+parametros_recargas!$F$76*'Plan mensual'!N278+parametros_recargas!$G$76*'Plan mensual'!N279+parametros_recargas!$H$76*'Plan mensual'!N280+parametros_recargas!$I$76*'Plan mensual'!N281+parametros_recargas!$J$76*'Plan mensual'!N282+parametros_recargas!$K$76*'Plan mensual'!N283+parametros_recargas!$L$76*'Plan mensual'!N284</f>
        <v>10.8742191461297</v>
      </c>
      <c r="M262" s="21" t="n">
        <f aca="false">parametros_recargas!$E$76*'Plan mensual'!O277+parametros_recargas!$F$76*'Plan mensual'!O278+parametros_recargas!$G$76*'Plan mensual'!O279+parametros_recargas!$H$76*'Plan mensual'!O280+parametros_recargas!$I$76*'Plan mensual'!O281+parametros_recargas!$J$76*'Plan mensual'!O282+parametros_recargas!$K$76*'Plan mensual'!O283+parametros_recargas!$L$76*'Plan mensual'!O284</f>
        <v>10.8742191461297</v>
      </c>
      <c r="N262" s="6" t="n">
        <f aca="false">SUM(B262:M262)</f>
        <v>130.490629753557</v>
      </c>
      <c r="O262" s="22" t="n">
        <f aca="false">MAX(B262:M262)</f>
        <v>10.8742191461297</v>
      </c>
      <c r="P262" s="12" t="n">
        <f aca="false">O262/parametros_recargas!$B$6</f>
        <v>0.0724947943075315</v>
      </c>
    </row>
    <row r="263" customFormat="false" ht="15" hidden="false" customHeight="false" outlineLevel="0" collapsed="false">
      <c r="A263" s="8" t="str">
        <f aca="false">parametros_recargas!$B$77</f>
        <v>Descarga de agua / AFFF / sales K</v>
      </c>
      <c r="B263" s="21" t="n">
        <f aca="false">parametros_recargas!$E$77*'Plan mensual'!D277+parametros_recargas!$F$77*'Plan mensual'!D278+parametros_recargas!$G$77*'Plan mensual'!D279+parametros_recargas!$H$77*'Plan mensual'!D280+parametros_recargas!$I$77*'Plan mensual'!D281+parametros_recargas!$J$77*'Plan mensual'!D282+parametros_recargas!$K$77*'Plan mensual'!D283+parametros_recargas!$L$77*'Plan mensual'!D284</f>
        <v>377.381267201964</v>
      </c>
      <c r="C263" s="21" t="n">
        <f aca="false">parametros_recargas!$E$77*'Plan mensual'!E277+parametros_recargas!$F$77*'Plan mensual'!E278+parametros_recargas!$G$77*'Plan mensual'!E279+parametros_recargas!$H$77*'Plan mensual'!E280+parametros_recargas!$I$77*'Plan mensual'!E281+parametros_recargas!$J$77*'Plan mensual'!E282+parametros_recargas!$K$77*'Plan mensual'!E283+parametros_recargas!$L$77*'Plan mensual'!E284</f>
        <v>377.381267201964</v>
      </c>
      <c r="D263" s="21" t="n">
        <f aca="false">parametros_recargas!$E$77*'Plan mensual'!F277+parametros_recargas!$F$77*'Plan mensual'!F278+parametros_recargas!$G$77*'Plan mensual'!F279+parametros_recargas!$H$77*'Plan mensual'!F280+parametros_recargas!$I$77*'Plan mensual'!F281+parametros_recargas!$J$77*'Plan mensual'!F282+parametros_recargas!$K$77*'Plan mensual'!F283+parametros_recargas!$L$77*'Plan mensual'!F284</f>
        <v>377.381267201964</v>
      </c>
      <c r="E263" s="21" t="n">
        <f aca="false">parametros_recargas!$E$77*'Plan mensual'!G277+parametros_recargas!$F$77*'Plan mensual'!G278+parametros_recargas!$G$77*'Plan mensual'!G279+parametros_recargas!$H$77*'Plan mensual'!G280+parametros_recargas!$I$77*'Plan mensual'!G281+parametros_recargas!$J$77*'Plan mensual'!G282+parametros_recargas!$K$77*'Plan mensual'!G283+parametros_recargas!$L$77*'Plan mensual'!G284</f>
        <v>377.381267201964</v>
      </c>
      <c r="F263" s="21" t="n">
        <f aca="false">parametros_recargas!$E$77*'Plan mensual'!H277+parametros_recargas!$F$77*'Plan mensual'!H278+parametros_recargas!$G$77*'Plan mensual'!H279+parametros_recargas!$H$77*'Plan mensual'!H280+parametros_recargas!$I$77*'Plan mensual'!H281+parametros_recargas!$J$77*'Plan mensual'!H282+parametros_recargas!$K$77*'Plan mensual'!H283+parametros_recargas!$L$77*'Plan mensual'!H284</f>
        <v>377.381267201964</v>
      </c>
      <c r="G263" s="21" t="n">
        <f aca="false">parametros_recargas!$E$77*'Plan mensual'!I277+parametros_recargas!$F$77*'Plan mensual'!I278+parametros_recargas!$G$77*'Plan mensual'!I279+parametros_recargas!$H$77*'Plan mensual'!I280+parametros_recargas!$I$77*'Plan mensual'!I281+parametros_recargas!$J$77*'Plan mensual'!I282+parametros_recargas!$K$77*'Plan mensual'!I283+parametros_recargas!$L$77*'Plan mensual'!I284</f>
        <v>377.381267201964</v>
      </c>
      <c r="H263" s="21" t="n">
        <f aca="false">parametros_recargas!$E$77*'Plan mensual'!J277+parametros_recargas!$F$77*'Plan mensual'!J278+parametros_recargas!$G$77*'Plan mensual'!J279+parametros_recargas!$H$77*'Plan mensual'!J280+parametros_recargas!$I$77*'Plan mensual'!J281+parametros_recargas!$J$77*'Plan mensual'!J282+parametros_recargas!$K$77*'Plan mensual'!J283+parametros_recargas!$L$77*'Plan mensual'!J284</f>
        <v>377.381267201964</v>
      </c>
      <c r="I263" s="21" t="n">
        <f aca="false">parametros_recargas!$E$77*'Plan mensual'!K277+parametros_recargas!$F$77*'Plan mensual'!K278+parametros_recargas!$G$77*'Plan mensual'!K279+parametros_recargas!$H$77*'Plan mensual'!K280+parametros_recargas!$I$77*'Plan mensual'!K281+parametros_recargas!$J$77*'Plan mensual'!K282+parametros_recargas!$K$77*'Plan mensual'!K283+parametros_recargas!$L$77*'Plan mensual'!K284</f>
        <v>377.381267201964</v>
      </c>
      <c r="J263" s="21" t="n">
        <f aca="false">parametros_recargas!$E$77*'Plan mensual'!L277+parametros_recargas!$F$77*'Plan mensual'!L278+parametros_recargas!$G$77*'Plan mensual'!L279+parametros_recargas!$H$77*'Plan mensual'!L280+parametros_recargas!$I$77*'Plan mensual'!L281+parametros_recargas!$J$77*'Plan mensual'!L282+parametros_recargas!$K$77*'Plan mensual'!L283+parametros_recargas!$L$77*'Plan mensual'!L284</f>
        <v>377.381267201964</v>
      </c>
      <c r="K263" s="21" t="n">
        <f aca="false">parametros_recargas!$E$77*'Plan mensual'!M277+parametros_recargas!$F$77*'Plan mensual'!M278+parametros_recargas!$G$77*'Plan mensual'!M279+parametros_recargas!$H$77*'Plan mensual'!M280+parametros_recargas!$I$77*'Plan mensual'!M281+parametros_recargas!$J$77*'Plan mensual'!M282+parametros_recargas!$K$77*'Plan mensual'!M283+parametros_recargas!$L$77*'Plan mensual'!M284</f>
        <v>377.381267201964</v>
      </c>
      <c r="L263" s="21" t="n">
        <f aca="false">parametros_recargas!$E$77*'Plan mensual'!N277+parametros_recargas!$F$77*'Plan mensual'!N278+parametros_recargas!$G$77*'Plan mensual'!N279+parametros_recargas!$H$77*'Plan mensual'!N280+parametros_recargas!$I$77*'Plan mensual'!N281+parametros_recargas!$J$77*'Plan mensual'!N282+parametros_recargas!$K$77*'Plan mensual'!N283+parametros_recargas!$L$77*'Plan mensual'!N284</f>
        <v>377.381267201964</v>
      </c>
      <c r="M263" s="21" t="n">
        <f aca="false">parametros_recargas!$E$77*'Plan mensual'!O277+parametros_recargas!$F$77*'Plan mensual'!O278+parametros_recargas!$G$77*'Plan mensual'!O279+parametros_recargas!$H$77*'Plan mensual'!O280+parametros_recargas!$I$77*'Plan mensual'!O281+parametros_recargas!$J$77*'Plan mensual'!O282+parametros_recargas!$K$77*'Plan mensual'!O283+parametros_recargas!$L$77*'Plan mensual'!O284</f>
        <v>377.381267201964</v>
      </c>
      <c r="N263" s="6" t="n">
        <f aca="false">SUM(B263:M263)</f>
        <v>4528.57520642357</v>
      </c>
      <c r="O263" s="22" t="n">
        <f aca="false">MAX(B263:M263)</f>
        <v>377.381267201964</v>
      </c>
      <c r="P263" s="12" t="n">
        <f aca="false">O263/parametros_recargas!$B$6</f>
        <v>2.51587511467976</v>
      </c>
    </row>
    <row r="264" customFormat="false" ht="15" hidden="false" customHeight="false" outlineLevel="0" collapsed="false">
      <c r="A264" s="8" t="str">
        <f aca="false">parametros_recargas!$B$78</f>
        <v>Recuperación de CO₂</v>
      </c>
      <c r="B264" s="21" t="n">
        <f aca="false">parametros_recargas!$E$78*'Plan mensual'!D277+parametros_recargas!$F$78*'Plan mensual'!D278+parametros_recargas!$G$78*'Plan mensual'!D279+parametros_recargas!$H$78*'Plan mensual'!D280+parametros_recargas!$I$78*'Plan mensual'!D281+parametros_recargas!$J$78*'Plan mensual'!D282+parametros_recargas!$K$78*'Plan mensual'!D283+parametros_recargas!$L$78*'Plan mensual'!D284</f>
        <v>172.203928363778</v>
      </c>
      <c r="C264" s="21" t="n">
        <f aca="false">parametros_recargas!$E$78*'Plan mensual'!E277+parametros_recargas!$F$78*'Plan mensual'!E278+parametros_recargas!$G$78*'Plan mensual'!E279+parametros_recargas!$H$78*'Plan mensual'!E280+parametros_recargas!$I$78*'Plan mensual'!E281+parametros_recargas!$J$78*'Plan mensual'!E282+parametros_recargas!$K$78*'Plan mensual'!E283+parametros_recargas!$L$78*'Plan mensual'!E284</f>
        <v>172.203928363778</v>
      </c>
      <c r="D264" s="21" t="n">
        <f aca="false">parametros_recargas!$E$78*'Plan mensual'!F277+parametros_recargas!$F$78*'Plan mensual'!F278+parametros_recargas!$G$78*'Plan mensual'!F279+parametros_recargas!$H$78*'Plan mensual'!F280+parametros_recargas!$I$78*'Plan mensual'!F281+parametros_recargas!$J$78*'Plan mensual'!F282+parametros_recargas!$K$78*'Plan mensual'!F283+parametros_recargas!$L$78*'Plan mensual'!F284</f>
        <v>172.203928363778</v>
      </c>
      <c r="E264" s="21" t="n">
        <f aca="false">parametros_recargas!$E$78*'Plan mensual'!G277+parametros_recargas!$F$78*'Plan mensual'!G278+parametros_recargas!$G$78*'Plan mensual'!G279+parametros_recargas!$H$78*'Plan mensual'!G280+parametros_recargas!$I$78*'Plan mensual'!G281+parametros_recargas!$J$78*'Plan mensual'!G282+parametros_recargas!$K$78*'Plan mensual'!G283+parametros_recargas!$L$78*'Plan mensual'!G284</f>
        <v>172.203928363778</v>
      </c>
      <c r="F264" s="21" t="n">
        <f aca="false">parametros_recargas!$E$78*'Plan mensual'!H277+parametros_recargas!$F$78*'Plan mensual'!H278+parametros_recargas!$G$78*'Plan mensual'!H279+parametros_recargas!$H$78*'Plan mensual'!H280+parametros_recargas!$I$78*'Plan mensual'!H281+parametros_recargas!$J$78*'Plan mensual'!H282+parametros_recargas!$K$78*'Plan mensual'!H283+parametros_recargas!$L$78*'Plan mensual'!H284</f>
        <v>172.203928363778</v>
      </c>
      <c r="G264" s="21" t="n">
        <f aca="false">parametros_recargas!$E$78*'Plan mensual'!I277+parametros_recargas!$F$78*'Plan mensual'!I278+parametros_recargas!$G$78*'Plan mensual'!I279+parametros_recargas!$H$78*'Plan mensual'!I280+parametros_recargas!$I$78*'Plan mensual'!I281+parametros_recargas!$J$78*'Plan mensual'!I282+parametros_recargas!$K$78*'Plan mensual'!I283+parametros_recargas!$L$78*'Plan mensual'!I284</f>
        <v>172.203928363778</v>
      </c>
      <c r="H264" s="21" t="n">
        <f aca="false">parametros_recargas!$E$78*'Plan mensual'!J277+parametros_recargas!$F$78*'Plan mensual'!J278+parametros_recargas!$G$78*'Plan mensual'!J279+parametros_recargas!$H$78*'Plan mensual'!J280+parametros_recargas!$I$78*'Plan mensual'!J281+parametros_recargas!$J$78*'Plan mensual'!J282+parametros_recargas!$K$78*'Plan mensual'!J283+parametros_recargas!$L$78*'Plan mensual'!J284</f>
        <v>172.203928363778</v>
      </c>
      <c r="I264" s="21" t="n">
        <f aca="false">parametros_recargas!$E$78*'Plan mensual'!K277+parametros_recargas!$F$78*'Plan mensual'!K278+parametros_recargas!$G$78*'Plan mensual'!K279+parametros_recargas!$H$78*'Plan mensual'!K280+parametros_recargas!$I$78*'Plan mensual'!K281+parametros_recargas!$J$78*'Plan mensual'!K282+parametros_recargas!$K$78*'Plan mensual'!K283+parametros_recargas!$L$78*'Plan mensual'!K284</f>
        <v>172.203928363778</v>
      </c>
      <c r="J264" s="21" t="n">
        <f aca="false">parametros_recargas!$E$78*'Plan mensual'!L277+parametros_recargas!$F$78*'Plan mensual'!L278+parametros_recargas!$G$78*'Plan mensual'!L279+parametros_recargas!$H$78*'Plan mensual'!L280+parametros_recargas!$I$78*'Plan mensual'!L281+parametros_recargas!$J$78*'Plan mensual'!L282+parametros_recargas!$K$78*'Plan mensual'!L283+parametros_recargas!$L$78*'Plan mensual'!L284</f>
        <v>172.203928363778</v>
      </c>
      <c r="K264" s="21" t="n">
        <f aca="false">parametros_recargas!$E$78*'Plan mensual'!M277+parametros_recargas!$F$78*'Plan mensual'!M278+parametros_recargas!$G$78*'Plan mensual'!M279+parametros_recargas!$H$78*'Plan mensual'!M280+parametros_recargas!$I$78*'Plan mensual'!M281+parametros_recargas!$J$78*'Plan mensual'!M282+parametros_recargas!$K$78*'Plan mensual'!M283+parametros_recargas!$L$78*'Plan mensual'!M284</f>
        <v>172.203928363778</v>
      </c>
      <c r="L264" s="21" t="n">
        <f aca="false">parametros_recargas!$E$78*'Plan mensual'!N277+parametros_recargas!$F$78*'Plan mensual'!N278+parametros_recargas!$G$78*'Plan mensual'!N279+parametros_recargas!$H$78*'Plan mensual'!N280+parametros_recargas!$I$78*'Plan mensual'!N281+parametros_recargas!$J$78*'Plan mensual'!N282+parametros_recargas!$K$78*'Plan mensual'!N283+parametros_recargas!$L$78*'Plan mensual'!N284</f>
        <v>172.203928363778</v>
      </c>
      <c r="M264" s="21" t="n">
        <f aca="false">parametros_recargas!$E$78*'Plan mensual'!O277+parametros_recargas!$F$78*'Plan mensual'!O278+parametros_recargas!$G$78*'Plan mensual'!O279+parametros_recargas!$H$78*'Plan mensual'!O280+parametros_recargas!$I$78*'Plan mensual'!O281+parametros_recargas!$J$78*'Plan mensual'!O282+parametros_recargas!$K$78*'Plan mensual'!O283+parametros_recargas!$L$78*'Plan mensual'!O284</f>
        <v>172.203928363778</v>
      </c>
      <c r="N264" s="6" t="n">
        <f aca="false">SUM(B264:M264)</f>
        <v>2066.44714036534</v>
      </c>
      <c r="O264" s="22" t="n">
        <f aca="false">MAX(B264:M264)</f>
        <v>172.203928363778</v>
      </c>
      <c r="P264" s="12" t="n">
        <f aca="false">O264/parametros_recargas!$B$6</f>
        <v>1.14802618909185</v>
      </c>
    </row>
    <row r="265" customFormat="false" ht="15" hidden="false" customHeight="false" outlineLevel="0" collapsed="false">
      <c r="A265" s="8" t="str">
        <f aca="false">parametros_recargas!$B$79</f>
        <v>Recuperación de halogenado</v>
      </c>
      <c r="B265" s="21" t="n">
        <f aca="false">parametros_recargas!$E$79*'Plan mensual'!D277+parametros_recargas!$F$79*'Plan mensual'!D278+parametros_recargas!$G$79*'Plan mensual'!D279+parametros_recargas!$H$79*'Plan mensual'!D280+parametros_recargas!$I$79*'Plan mensual'!D281+parametros_recargas!$J$79*'Plan mensual'!D282+parametros_recargas!$K$79*'Plan mensual'!D283+parametros_recargas!$L$79*'Plan mensual'!D284</f>
        <v>7.11928102820648</v>
      </c>
      <c r="C265" s="21" t="n">
        <f aca="false">parametros_recargas!$E$79*'Plan mensual'!E277+parametros_recargas!$F$79*'Plan mensual'!E278+parametros_recargas!$G$79*'Plan mensual'!E279+parametros_recargas!$H$79*'Plan mensual'!E280+parametros_recargas!$I$79*'Plan mensual'!E281+parametros_recargas!$J$79*'Plan mensual'!E282+parametros_recargas!$K$79*'Plan mensual'!E283+parametros_recargas!$L$79*'Plan mensual'!E284</f>
        <v>7.11928102820648</v>
      </c>
      <c r="D265" s="21" t="n">
        <f aca="false">parametros_recargas!$E$79*'Plan mensual'!F277+parametros_recargas!$F$79*'Plan mensual'!F278+parametros_recargas!$G$79*'Plan mensual'!F279+parametros_recargas!$H$79*'Plan mensual'!F280+parametros_recargas!$I$79*'Plan mensual'!F281+parametros_recargas!$J$79*'Plan mensual'!F282+parametros_recargas!$K$79*'Plan mensual'!F283+parametros_recargas!$L$79*'Plan mensual'!F284</f>
        <v>7.11928102820648</v>
      </c>
      <c r="E265" s="21" t="n">
        <f aca="false">parametros_recargas!$E$79*'Plan mensual'!G277+parametros_recargas!$F$79*'Plan mensual'!G278+parametros_recargas!$G$79*'Plan mensual'!G279+parametros_recargas!$H$79*'Plan mensual'!G280+parametros_recargas!$I$79*'Plan mensual'!G281+parametros_recargas!$J$79*'Plan mensual'!G282+parametros_recargas!$K$79*'Plan mensual'!G283+parametros_recargas!$L$79*'Plan mensual'!G284</f>
        <v>7.11928102820648</v>
      </c>
      <c r="F265" s="21" t="n">
        <f aca="false">parametros_recargas!$E$79*'Plan mensual'!H277+parametros_recargas!$F$79*'Plan mensual'!H278+parametros_recargas!$G$79*'Plan mensual'!H279+parametros_recargas!$H$79*'Plan mensual'!H280+parametros_recargas!$I$79*'Plan mensual'!H281+parametros_recargas!$J$79*'Plan mensual'!H282+parametros_recargas!$K$79*'Plan mensual'!H283+parametros_recargas!$L$79*'Plan mensual'!H284</f>
        <v>7.11928102820648</v>
      </c>
      <c r="G265" s="21" t="n">
        <f aca="false">parametros_recargas!$E$79*'Plan mensual'!I277+parametros_recargas!$F$79*'Plan mensual'!I278+parametros_recargas!$G$79*'Plan mensual'!I279+parametros_recargas!$H$79*'Plan mensual'!I280+parametros_recargas!$I$79*'Plan mensual'!I281+parametros_recargas!$J$79*'Plan mensual'!I282+parametros_recargas!$K$79*'Plan mensual'!I283+parametros_recargas!$L$79*'Plan mensual'!I284</f>
        <v>7.11928102820648</v>
      </c>
      <c r="H265" s="21" t="n">
        <f aca="false">parametros_recargas!$E$79*'Plan mensual'!J277+parametros_recargas!$F$79*'Plan mensual'!J278+parametros_recargas!$G$79*'Plan mensual'!J279+parametros_recargas!$H$79*'Plan mensual'!J280+parametros_recargas!$I$79*'Plan mensual'!J281+parametros_recargas!$J$79*'Plan mensual'!J282+parametros_recargas!$K$79*'Plan mensual'!J283+parametros_recargas!$L$79*'Plan mensual'!J284</f>
        <v>7.11928102820648</v>
      </c>
      <c r="I265" s="21" t="n">
        <f aca="false">parametros_recargas!$E$79*'Plan mensual'!K277+parametros_recargas!$F$79*'Plan mensual'!K278+parametros_recargas!$G$79*'Plan mensual'!K279+parametros_recargas!$H$79*'Plan mensual'!K280+parametros_recargas!$I$79*'Plan mensual'!K281+parametros_recargas!$J$79*'Plan mensual'!K282+parametros_recargas!$K$79*'Plan mensual'!K283+parametros_recargas!$L$79*'Plan mensual'!K284</f>
        <v>7.11928102820648</v>
      </c>
      <c r="J265" s="21" t="n">
        <f aca="false">parametros_recargas!$E$79*'Plan mensual'!L277+parametros_recargas!$F$79*'Plan mensual'!L278+parametros_recargas!$G$79*'Plan mensual'!L279+parametros_recargas!$H$79*'Plan mensual'!L280+parametros_recargas!$I$79*'Plan mensual'!L281+parametros_recargas!$J$79*'Plan mensual'!L282+parametros_recargas!$K$79*'Plan mensual'!L283+parametros_recargas!$L$79*'Plan mensual'!L284</f>
        <v>7.11928102820648</v>
      </c>
      <c r="K265" s="21" t="n">
        <f aca="false">parametros_recargas!$E$79*'Plan mensual'!M277+parametros_recargas!$F$79*'Plan mensual'!M278+parametros_recargas!$G$79*'Plan mensual'!M279+parametros_recargas!$H$79*'Plan mensual'!M280+parametros_recargas!$I$79*'Plan mensual'!M281+parametros_recargas!$J$79*'Plan mensual'!M282+parametros_recargas!$K$79*'Plan mensual'!M283+parametros_recargas!$L$79*'Plan mensual'!M284</f>
        <v>7.11928102820648</v>
      </c>
      <c r="L265" s="21" t="n">
        <f aca="false">parametros_recargas!$E$79*'Plan mensual'!N277+parametros_recargas!$F$79*'Plan mensual'!N278+parametros_recargas!$G$79*'Plan mensual'!N279+parametros_recargas!$H$79*'Plan mensual'!N280+parametros_recargas!$I$79*'Plan mensual'!N281+parametros_recargas!$J$79*'Plan mensual'!N282+parametros_recargas!$K$79*'Plan mensual'!N283+parametros_recargas!$L$79*'Plan mensual'!N284</f>
        <v>7.11928102820648</v>
      </c>
      <c r="M265" s="21" t="n">
        <f aca="false">parametros_recargas!$E$79*'Plan mensual'!O277+parametros_recargas!$F$79*'Plan mensual'!O278+parametros_recargas!$G$79*'Plan mensual'!O279+parametros_recargas!$H$79*'Plan mensual'!O280+parametros_recargas!$I$79*'Plan mensual'!O281+parametros_recargas!$J$79*'Plan mensual'!O282+parametros_recargas!$K$79*'Plan mensual'!O283+parametros_recargas!$L$79*'Plan mensual'!O284</f>
        <v>7.11928102820648</v>
      </c>
      <c r="N265" s="6" t="n">
        <f aca="false">SUM(B265:M265)</f>
        <v>85.4313723384778</v>
      </c>
      <c r="O265" s="22" t="n">
        <f aca="false">MAX(B265:M265)</f>
        <v>7.11928102820648</v>
      </c>
      <c r="P265" s="12" t="n">
        <f aca="false">O265/parametros_recargas!$B$6</f>
        <v>0.0474618735213765</v>
      </c>
    </row>
    <row r="266" customFormat="false" ht="15" hidden="false" customHeight="false" outlineLevel="0" collapsed="false">
      <c r="A266" s="8" t="str">
        <f aca="false">parametros_recargas!$B$80</f>
        <v>Desarme y limpieza — recinto</v>
      </c>
      <c r="B266" s="21" t="n">
        <f aca="false">parametros_recargas!$E$80*'Plan mensual'!D277+parametros_recargas!$F$80*'Plan mensual'!D278+parametros_recargas!$G$80*'Plan mensual'!D279+parametros_recargas!$H$80*'Plan mensual'!D280+parametros_recargas!$I$80*'Plan mensual'!D281+parametros_recargas!$J$80*'Plan mensual'!D282+parametros_recargas!$K$80*'Plan mensual'!D283+parametros_recargas!$L$80*'Plan mensual'!D284</f>
        <v>7512.15023783435</v>
      </c>
      <c r="C266" s="21" t="n">
        <f aca="false">parametros_recargas!$E$80*'Plan mensual'!E277+parametros_recargas!$F$80*'Plan mensual'!E278+parametros_recargas!$G$80*'Plan mensual'!E279+parametros_recargas!$H$80*'Plan mensual'!E280+parametros_recargas!$I$80*'Plan mensual'!E281+parametros_recargas!$J$80*'Plan mensual'!E282+parametros_recargas!$K$80*'Plan mensual'!E283+parametros_recargas!$L$80*'Plan mensual'!E284</f>
        <v>7512.15023783435</v>
      </c>
      <c r="D266" s="21" t="n">
        <f aca="false">parametros_recargas!$E$80*'Plan mensual'!F277+parametros_recargas!$F$80*'Plan mensual'!F278+parametros_recargas!$G$80*'Plan mensual'!F279+parametros_recargas!$H$80*'Plan mensual'!F280+parametros_recargas!$I$80*'Plan mensual'!F281+parametros_recargas!$J$80*'Plan mensual'!F282+parametros_recargas!$K$80*'Plan mensual'!F283+parametros_recargas!$L$80*'Plan mensual'!F284</f>
        <v>7512.15023783435</v>
      </c>
      <c r="E266" s="21" t="n">
        <f aca="false">parametros_recargas!$E$80*'Plan mensual'!G277+parametros_recargas!$F$80*'Plan mensual'!G278+parametros_recargas!$G$80*'Plan mensual'!G279+parametros_recargas!$H$80*'Plan mensual'!G280+parametros_recargas!$I$80*'Plan mensual'!G281+parametros_recargas!$J$80*'Plan mensual'!G282+parametros_recargas!$K$80*'Plan mensual'!G283+parametros_recargas!$L$80*'Plan mensual'!G284</f>
        <v>7512.15023783435</v>
      </c>
      <c r="F266" s="21" t="n">
        <f aca="false">parametros_recargas!$E$80*'Plan mensual'!H277+parametros_recargas!$F$80*'Plan mensual'!H278+parametros_recargas!$G$80*'Plan mensual'!H279+parametros_recargas!$H$80*'Plan mensual'!H280+parametros_recargas!$I$80*'Plan mensual'!H281+parametros_recargas!$J$80*'Plan mensual'!H282+parametros_recargas!$K$80*'Plan mensual'!H283+parametros_recargas!$L$80*'Plan mensual'!H284</f>
        <v>7512.15023783435</v>
      </c>
      <c r="G266" s="21" t="n">
        <f aca="false">parametros_recargas!$E$80*'Plan mensual'!I277+parametros_recargas!$F$80*'Plan mensual'!I278+parametros_recargas!$G$80*'Plan mensual'!I279+parametros_recargas!$H$80*'Plan mensual'!I280+parametros_recargas!$I$80*'Plan mensual'!I281+parametros_recargas!$J$80*'Plan mensual'!I282+parametros_recargas!$K$80*'Plan mensual'!I283+parametros_recargas!$L$80*'Plan mensual'!I284</f>
        <v>7512.15023783435</v>
      </c>
      <c r="H266" s="21" t="n">
        <f aca="false">parametros_recargas!$E$80*'Plan mensual'!J277+parametros_recargas!$F$80*'Plan mensual'!J278+parametros_recargas!$G$80*'Plan mensual'!J279+parametros_recargas!$H$80*'Plan mensual'!J280+parametros_recargas!$I$80*'Plan mensual'!J281+parametros_recargas!$J$80*'Plan mensual'!J282+parametros_recargas!$K$80*'Plan mensual'!J283+parametros_recargas!$L$80*'Plan mensual'!J284</f>
        <v>7512.15023783435</v>
      </c>
      <c r="I266" s="21" t="n">
        <f aca="false">parametros_recargas!$E$80*'Plan mensual'!K277+parametros_recargas!$F$80*'Plan mensual'!K278+parametros_recargas!$G$80*'Plan mensual'!K279+parametros_recargas!$H$80*'Plan mensual'!K280+parametros_recargas!$I$80*'Plan mensual'!K281+parametros_recargas!$J$80*'Plan mensual'!K282+parametros_recargas!$K$80*'Plan mensual'!K283+parametros_recargas!$L$80*'Plan mensual'!K284</f>
        <v>7512.15023783435</v>
      </c>
      <c r="J266" s="21" t="n">
        <f aca="false">parametros_recargas!$E$80*'Plan mensual'!L277+parametros_recargas!$F$80*'Plan mensual'!L278+parametros_recargas!$G$80*'Plan mensual'!L279+parametros_recargas!$H$80*'Plan mensual'!L280+parametros_recargas!$I$80*'Plan mensual'!L281+parametros_recargas!$J$80*'Plan mensual'!L282+parametros_recargas!$K$80*'Plan mensual'!L283+parametros_recargas!$L$80*'Plan mensual'!L284</f>
        <v>7512.15023783435</v>
      </c>
      <c r="K266" s="21" t="n">
        <f aca="false">parametros_recargas!$E$80*'Plan mensual'!M277+parametros_recargas!$F$80*'Plan mensual'!M278+parametros_recargas!$G$80*'Plan mensual'!M279+parametros_recargas!$H$80*'Plan mensual'!M280+parametros_recargas!$I$80*'Plan mensual'!M281+parametros_recargas!$J$80*'Plan mensual'!M282+parametros_recargas!$K$80*'Plan mensual'!M283+parametros_recargas!$L$80*'Plan mensual'!M284</f>
        <v>7512.15023783435</v>
      </c>
      <c r="L266" s="21" t="n">
        <f aca="false">parametros_recargas!$E$80*'Plan mensual'!N277+parametros_recargas!$F$80*'Plan mensual'!N278+parametros_recargas!$G$80*'Plan mensual'!N279+parametros_recargas!$H$80*'Plan mensual'!N280+parametros_recargas!$I$80*'Plan mensual'!N281+parametros_recargas!$J$80*'Plan mensual'!N282+parametros_recargas!$K$80*'Plan mensual'!N283+parametros_recargas!$L$80*'Plan mensual'!N284</f>
        <v>7512.15023783435</v>
      </c>
      <c r="M266" s="21" t="n">
        <f aca="false">parametros_recargas!$E$80*'Plan mensual'!O277+parametros_recargas!$F$80*'Plan mensual'!O278+parametros_recargas!$G$80*'Plan mensual'!O279+parametros_recargas!$H$80*'Plan mensual'!O280+parametros_recargas!$I$80*'Plan mensual'!O281+parametros_recargas!$J$80*'Plan mensual'!O282+parametros_recargas!$K$80*'Plan mensual'!O283+parametros_recargas!$L$80*'Plan mensual'!O284</f>
        <v>7512.15023783435</v>
      </c>
      <c r="N266" s="6" t="n">
        <f aca="false">SUM(B266:M266)</f>
        <v>90145.8028540122</v>
      </c>
      <c r="O266" s="22" t="n">
        <f aca="false">MAX(B266:M266)</f>
        <v>7512.15023783435</v>
      </c>
      <c r="P266" s="12" t="n">
        <f aca="false">O266/parametros_recargas!$B$6</f>
        <v>50.0810015855623</v>
      </c>
    </row>
    <row r="267" customFormat="false" ht="15" hidden="false" customHeight="false" outlineLevel="0" collapsed="false">
      <c r="A267" s="8" t="str">
        <f aca="false">parametros_recargas!$B$81</f>
        <v>Desarme e inspección interior — zona general</v>
      </c>
      <c r="B267" s="21" t="n">
        <f aca="false">parametros_recargas!$E$81*'Plan mensual'!D277+parametros_recargas!$F$81*'Plan mensual'!D278+parametros_recargas!$G$81*'Plan mensual'!D279+parametros_recargas!$H$81*'Plan mensual'!D280+parametros_recargas!$I$81*'Plan mensual'!D281+parametros_recargas!$J$81*'Plan mensual'!D282+parametros_recargas!$K$81*'Plan mensual'!D283+parametros_recargas!$L$81*'Plan mensual'!D284</f>
        <v>556.704476593949</v>
      </c>
      <c r="C267" s="21" t="n">
        <f aca="false">parametros_recargas!$E$81*'Plan mensual'!E277+parametros_recargas!$F$81*'Plan mensual'!E278+parametros_recargas!$G$81*'Plan mensual'!E279+parametros_recargas!$H$81*'Plan mensual'!E280+parametros_recargas!$I$81*'Plan mensual'!E281+parametros_recargas!$J$81*'Plan mensual'!E282+parametros_recargas!$K$81*'Plan mensual'!E283+parametros_recargas!$L$81*'Plan mensual'!E284</f>
        <v>556.704476593949</v>
      </c>
      <c r="D267" s="21" t="n">
        <f aca="false">parametros_recargas!$E$81*'Plan mensual'!F277+parametros_recargas!$F$81*'Plan mensual'!F278+parametros_recargas!$G$81*'Plan mensual'!F279+parametros_recargas!$H$81*'Plan mensual'!F280+parametros_recargas!$I$81*'Plan mensual'!F281+parametros_recargas!$J$81*'Plan mensual'!F282+parametros_recargas!$K$81*'Plan mensual'!F283+parametros_recargas!$L$81*'Plan mensual'!F284</f>
        <v>556.704476593949</v>
      </c>
      <c r="E267" s="21" t="n">
        <f aca="false">parametros_recargas!$E$81*'Plan mensual'!G277+parametros_recargas!$F$81*'Plan mensual'!G278+parametros_recargas!$G$81*'Plan mensual'!G279+parametros_recargas!$H$81*'Plan mensual'!G280+parametros_recargas!$I$81*'Plan mensual'!G281+parametros_recargas!$J$81*'Plan mensual'!G282+parametros_recargas!$K$81*'Plan mensual'!G283+parametros_recargas!$L$81*'Plan mensual'!G284</f>
        <v>556.704476593949</v>
      </c>
      <c r="F267" s="21" t="n">
        <f aca="false">parametros_recargas!$E$81*'Plan mensual'!H277+parametros_recargas!$F$81*'Plan mensual'!H278+parametros_recargas!$G$81*'Plan mensual'!H279+parametros_recargas!$H$81*'Plan mensual'!H280+parametros_recargas!$I$81*'Plan mensual'!H281+parametros_recargas!$J$81*'Plan mensual'!H282+parametros_recargas!$K$81*'Plan mensual'!H283+parametros_recargas!$L$81*'Plan mensual'!H284</f>
        <v>556.704476593949</v>
      </c>
      <c r="G267" s="21" t="n">
        <f aca="false">parametros_recargas!$E$81*'Plan mensual'!I277+parametros_recargas!$F$81*'Plan mensual'!I278+parametros_recargas!$G$81*'Plan mensual'!I279+parametros_recargas!$H$81*'Plan mensual'!I280+parametros_recargas!$I$81*'Plan mensual'!I281+parametros_recargas!$J$81*'Plan mensual'!I282+parametros_recargas!$K$81*'Plan mensual'!I283+parametros_recargas!$L$81*'Plan mensual'!I284</f>
        <v>556.704476593949</v>
      </c>
      <c r="H267" s="21" t="n">
        <f aca="false">parametros_recargas!$E$81*'Plan mensual'!J277+parametros_recargas!$F$81*'Plan mensual'!J278+parametros_recargas!$G$81*'Plan mensual'!J279+parametros_recargas!$H$81*'Plan mensual'!J280+parametros_recargas!$I$81*'Plan mensual'!J281+parametros_recargas!$J$81*'Plan mensual'!J282+parametros_recargas!$K$81*'Plan mensual'!J283+parametros_recargas!$L$81*'Plan mensual'!J284</f>
        <v>556.704476593949</v>
      </c>
      <c r="I267" s="21" t="n">
        <f aca="false">parametros_recargas!$E$81*'Plan mensual'!K277+parametros_recargas!$F$81*'Plan mensual'!K278+parametros_recargas!$G$81*'Plan mensual'!K279+parametros_recargas!$H$81*'Plan mensual'!K280+parametros_recargas!$I$81*'Plan mensual'!K281+parametros_recargas!$J$81*'Plan mensual'!K282+parametros_recargas!$K$81*'Plan mensual'!K283+parametros_recargas!$L$81*'Plan mensual'!K284</f>
        <v>556.704476593949</v>
      </c>
      <c r="J267" s="21" t="n">
        <f aca="false">parametros_recargas!$E$81*'Plan mensual'!L277+parametros_recargas!$F$81*'Plan mensual'!L278+parametros_recargas!$G$81*'Plan mensual'!L279+parametros_recargas!$H$81*'Plan mensual'!L280+parametros_recargas!$I$81*'Plan mensual'!L281+parametros_recargas!$J$81*'Plan mensual'!L282+parametros_recargas!$K$81*'Plan mensual'!L283+parametros_recargas!$L$81*'Plan mensual'!L284</f>
        <v>556.704476593949</v>
      </c>
      <c r="K267" s="21" t="n">
        <f aca="false">parametros_recargas!$E$81*'Plan mensual'!M277+parametros_recargas!$F$81*'Plan mensual'!M278+parametros_recargas!$G$81*'Plan mensual'!M279+parametros_recargas!$H$81*'Plan mensual'!M280+parametros_recargas!$I$81*'Plan mensual'!M281+parametros_recargas!$J$81*'Plan mensual'!M282+parametros_recargas!$K$81*'Plan mensual'!M283+parametros_recargas!$L$81*'Plan mensual'!M284</f>
        <v>556.704476593949</v>
      </c>
      <c r="L267" s="21" t="n">
        <f aca="false">parametros_recargas!$E$81*'Plan mensual'!N277+parametros_recargas!$F$81*'Plan mensual'!N278+parametros_recargas!$G$81*'Plan mensual'!N279+parametros_recargas!$H$81*'Plan mensual'!N280+parametros_recargas!$I$81*'Plan mensual'!N281+parametros_recargas!$J$81*'Plan mensual'!N282+parametros_recargas!$K$81*'Plan mensual'!N283+parametros_recargas!$L$81*'Plan mensual'!N284</f>
        <v>556.704476593949</v>
      </c>
      <c r="M267" s="21" t="n">
        <f aca="false">parametros_recargas!$E$81*'Plan mensual'!O277+parametros_recargas!$F$81*'Plan mensual'!O278+parametros_recargas!$G$81*'Plan mensual'!O279+parametros_recargas!$H$81*'Plan mensual'!O280+parametros_recargas!$I$81*'Plan mensual'!O281+parametros_recargas!$J$81*'Plan mensual'!O282+parametros_recargas!$K$81*'Plan mensual'!O283+parametros_recargas!$L$81*'Plan mensual'!O284</f>
        <v>556.704476593949</v>
      </c>
      <c r="N267" s="6" t="n">
        <f aca="false">SUM(B267:M267)</f>
        <v>6680.45371912738</v>
      </c>
      <c r="O267" s="22" t="n">
        <f aca="false">MAX(B267:M267)</f>
        <v>556.704476593949</v>
      </c>
      <c r="P267" s="12" t="n">
        <f aca="false">O267/parametros_recargas!$B$6</f>
        <v>3.71136317729299</v>
      </c>
    </row>
    <row r="268" customFormat="false" ht="15" hidden="false" customHeight="false" outlineLevel="0" collapsed="false">
      <c r="A268" s="8" t="str">
        <f aca="false">parametros_recargas!$B$82</f>
        <v>Laboratorio — Puffer y mufla</v>
      </c>
      <c r="B268" s="21" t="n">
        <f aca="false">parametros_recargas!$E$82*'Plan mensual'!D277+parametros_recargas!$F$82*'Plan mensual'!D278+parametros_recargas!$G$82*'Plan mensual'!D279+parametros_recargas!$H$82*'Plan mensual'!D280+parametros_recargas!$I$82*'Plan mensual'!D281+parametros_recargas!$J$82*'Plan mensual'!D282+parametros_recargas!$K$82*'Plan mensual'!D283+parametros_recargas!$L$82*'Plan mensual'!D284</f>
        <v>7.50233529353861</v>
      </c>
      <c r="C268" s="21" t="n">
        <f aca="false">parametros_recargas!$E$82*'Plan mensual'!E277+parametros_recargas!$F$82*'Plan mensual'!E278+parametros_recargas!$G$82*'Plan mensual'!E279+parametros_recargas!$H$82*'Plan mensual'!E280+parametros_recargas!$I$82*'Plan mensual'!E281+parametros_recargas!$J$82*'Plan mensual'!E282+parametros_recargas!$K$82*'Plan mensual'!E283+parametros_recargas!$L$82*'Plan mensual'!E284</f>
        <v>7.50233529353861</v>
      </c>
      <c r="D268" s="21" t="n">
        <f aca="false">parametros_recargas!$E$82*'Plan mensual'!F277+parametros_recargas!$F$82*'Plan mensual'!F278+parametros_recargas!$G$82*'Plan mensual'!F279+parametros_recargas!$H$82*'Plan mensual'!F280+parametros_recargas!$I$82*'Plan mensual'!F281+parametros_recargas!$J$82*'Plan mensual'!F282+parametros_recargas!$K$82*'Plan mensual'!F283+parametros_recargas!$L$82*'Plan mensual'!F284</f>
        <v>7.50233529353861</v>
      </c>
      <c r="E268" s="21" t="n">
        <f aca="false">parametros_recargas!$E$82*'Plan mensual'!G277+parametros_recargas!$F$82*'Plan mensual'!G278+parametros_recargas!$G$82*'Plan mensual'!G279+parametros_recargas!$H$82*'Plan mensual'!G280+parametros_recargas!$I$82*'Plan mensual'!G281+parametros_recargas!$J$82*'Plan mensual'!G282+parametros_recargas!$K$82*'Plan mensual'!G283+parametros_recargas!$L$82*'Plan mensual'!G284</f>
        <v>7.50233529353861</v>
      </c>
      <c r="F268" s="21" t="n">
        <f aca="false">parametros_recargas!$E$82*'Plan mensual'!H277+parametros_recargas!$F$82*'Plan mensual'!H278+parametros_recargas!$G$82*'Plan mensual'!H279+parametros_recargas!$H$82*'Plan mensual'!H280+parametros_recargas!$I$82*'Plan mensual'!H281+parametros_recargas!$J$82*'Plan mensual'!H282+parametros_recargas!$K$82*'Plan mensual'!H283+parametros_recargas!$L$82*'Plan mensual'!H284</f>
        <v>7.50233529353861</v>
      </c>
      <c r="G268" s="21" t="n">
        <f aca="false">parametros_recargas!$E$82*'Plan mensual'!I277+parametros_recargas!$F$82*'Plan mensual'!I278+parametros_recargas!$G$82*'Plan mensual'!I279+parametros_recargas!$H$82*'Plan mensual'!I280+parametros_recargas!$I$82*'Plan mensual'!I281+parametros_recargas!$J$82*'Plan mensual'!I282+parametros_recargas!$K$82*'Plan mensual'!I283+parametros_recargas!$L$82*'Plan mensual'!I284</f>
        <v>7.50233529353861</v>
      </c>
      <c r="H268" s="21" t="n">
        <f aca="false">parametros_recargas!$E$82*'Plan mensual'!J277+parametros_recargas!$F$82*'Plan mensual'!J278+parametros_recargas!$G$82*'Plan mensual'!J279+parametros_recargas!$H$82*'Plan mensual'!J280+parametros_recargas!$I$82*'Plan mensual'!J281+parametros_recargas!$J$82*'Plan mensual'!J282+parametros_recargas!$K$82*'Plan mensual'!J283+parametros_recargas!$L$82*'Plan mensual'!J284</f>
        <v>7.50233529353861</v>
      </c>
      <c r="I268" s="21" t="n">
        <f aca="false">parametros_recargas!$E$82*'Plan mensual'!K277+parametros_recargas!$F$82*'Plan mensual'!K278+parametros_recargas!$G$82*'Plan mensual'!K279+parametros_recargas!$H$82*'Plan mensual'!K280+parametros_recargas!$I$82*'Plan mensual'!K281+parametros_recargas!$J$82*'Plan mensual'!K282+parametros_recargas!$K$82*'Plan mensual'!K283+parametros_recargas!$L$82*'Plan mensual'!K284</f>
        <v>7.50233529353861</v>
      </c>
      <c r="J268" s="21" t="n">
        <f aca="false">parametros_recargas!$E$82*'Plan mensual'!L277+parametros_recargas!$F$82*'Plan mensual'!L278+parametros_recargas!$G$82*'Plan mensual'!L279+parametros_recargas!$H$82*'Plan mensual'!L280+parametros_recargas!$I$82*'Plan mensual'!L281+parametros_recargas!$J$82*'Plan mensual'!L282+parametros_recargas!$K$82*'Plan mensual'!L283+parametros_recargas!$L$82*'Plan mensual'!L284</f>
        <v>7.50233529353861</v>
      </c>
      <c r="K268" s="21" t="n">
        <f aca="false">parametros_recargas!$E$82*'Plan mensual'!M277+parametros_recargas!$F$82*'Plan mensual'!M278+parametros_recargas!$G$82*'Plan mensual'!M279+parametros_recargas!$H$82*'Plan mensual'!M280+parametros_recargas!$I$82*'Plan mensual'!M281+parametros_recargas!$J$82*'Plan mensual'!M282+parametros_recargas!$K$82*'Plan mensual'!M283+parametros_recargas!$L$82*'Plan mensual'!M284</f>
        <v>7.50233529353861</v>
      </c>
      <c r="L268" s="21" t="n">
        <f aca="false">parametros_recargas!$E$82*'Plan mensual'!N277+parametros_recargas!$F$82*'Plan mensual'!N278+parametros_recargas!$G$82*'Plan mensual'!N279+parametros_recargas!$H$82*'Plan mensual'!N280+parametros_recargas!$I$82*'Plan mensual'!N281+parametros_recargas!$J$82*'Plan mensual'!N282+parametros_recargas!$K$82*'Plan mensual'!N283+parametros_recargas!$L$82*'Plan mensual'!N284</f>
        <v>7.50233529353861</v>
      </c>
      <c r="M268" s="21" t="n">
        <f aca="false">parametros_recargas!$E$82*'Plan mensual'!O277+parametros_recargas!$F$82*'Plan mensual'!O278+parametros_recargas!$G$82*'Plan mensual'!O279+parametros_recargas!$H$82*'Plan mensual'!O280+parametros_recargas!$I$82*'Plan mensual'!O281+parametros_recargas!$J$82*'Plan mensual'!O282+parametros_recargas!$K$82*'Plan mensual'!O283+parametros_recargas!$L$82*'Plan mensual'!O284</f>
        <v>7.50233529353861</v>
      </c>
      <c r="N268" s="6" t="n">
        <f aca="false">SUM(B268:M268)</f>
        <v>90.0280235224633</v>
      </c>
      <c r="O268" s="22" t="n">
        <f aca="false">MAX(B268:M268)</f>
        <v>7.50233529353861</v>
      </c>
      <c r="P268" s="12" t="n">
        <f aca="false">O268/parametros_recargas!$B$6</f>
        <v>0.0500155686235907</v>
      </c>
    </row>
    <row r="269" customFormat="false" ht="15" hidden="false" customHeight="false" outlineLevel="0" collapsed="false">
      <c r="A269" s="8" t="str">
        <f aca="false">parametros_recargas!$B$83</f>
        <v>Prueba hidráulica</v>
      </c>
      <c r="B269" s="21" t="n">
        <f aca="false">parametros_recargas!$E$83*'Plan mensual'!D277+parametros_recargas!$F$83*'Plan mensual'!D278+parametros_recargas!$G$83*'Plan mensual'!D279+parametros_recargas!$H$83*'Plan mensual'!D280+parametros_recargas!$I$83*'Plan mensual'!D281+parametros_recargas!$J$83*'Plan mensual'!D282+parametros_recargas!$K$83*'Plan mensual'!D283+parametros_recargas!$L$83*'Plan mensual'!D284</f>
        <v>1834.57924868144</v>
      </c>
      <c r="C269" s="21" t="n">
        <f aca="false">parametros_recargas!$E$83*'Plan mensual'!E277+parametros_recargas!$F$83*'Plan mensual'!E278+parametros_recargas!$G$83*'Plan mensual'!E279+parametros_recargas!$H$83*'Plan mensual'!E280+parametros_recargas!$I$83*'Plan mensual'!E281+parametros_recargas!$J$83*'Plan mensual'!E282+parametros_recargas!$K$83*'Plan mensual'!E283+parametros_recargas!$L$83*'Plan mensual'!E284</f>
        <v>1834.57924868144</v>
      </c>
      <c r="D269" s="21" t="n">
        <f aca="false">parametros_recargas!$E$83*'Plan mensual'!F277+parametros_recargas!$F$83*'Plan mensual'!F278+parametros_recargas!$G$83*'Plan mensual'!F279+parametros_recargas!$H$83*'Plan mensual'!F280+parametros_recargas!$I$83*'Plan mensual'!F281+parametros_recargas!$J$83*'Plan mensual'!F282+parametros_recargas!$K$83*'Plan mensual'!F283+parametros_recargas!$L$83*'Plan mensual'!F284</f>
        <v>1834.57924868144</v>
      </c>
      <c r="E269" s="21" t="n">
        <f aca="false">parametros_recargas!$E$83*'Plan mensual'!G277+parametros_recargas!$F$83*'Plan mensual'!G278+parametros_recargas!$G$83*'Plan mensual'!G279+parametros_recargas!$H$83*'Plan mensual'!G280+parametros_recargas!$I$83*'Plan mensual'!G281+parametros_recargas!$J$83*'Plan mensual'!G282+parametros_recargas!$K$83*'Plan mensual'!G283+parametros_recargas!$L$83*'Plan mensual'!G284</f>
        <v>1834.57924868144</v>
      </c>
      <c r="F269" s="21" t="n">
        <f aca="false">parametros_recargas!$E$83*'Plan mensual'!H277+parametros_recargas!$F$83*'Plan mensual'!H278+parametros_recargas!$G$83*'Plan mensual'!H279+parametros_recargas!$H$83*'Plan mensual'!H280+parametros_recargas!$I$83*'Plan mensual'!H281+parametros_recargas!$J$83*'Plan mensual'!H282+parametros_recargas!$K$83*'Plan mensual'!H283+parametros_recargas!$L$83*'Plan mensual'!H284</f>
        <v>1834.57924868144</v>
      </c>
      <c r="G269" s="21" t="n">
        <f aca="false">parametros_recargas!$E$83*'Plan mensual'!I277+parametros_recargas!$F$83*'Plan mensual'!I278+parametros_recargas!$G$83*'Plan mensual'!I279+parametros_recargas!$H$83*'Plan mensual'!I280+parametros_recargas!$I$83*'Plan mensual'!I281+parametros_recargas!$J$83*'Plan mensual'!I282+parametros_recargas!$K$83*'Plan mensual'!I283+parametros_recargas!$L$83*'Plan mensual'!I284</f>
        <v>1834.57924868144</v>
      </c>
      <c r="H269" s="21" t="n">
        <f aca="false">parametros_recargas!$E$83*'Plan mensual'!J277+parametros_recargas!$F$83*'Plan mensual'!J278+parametros_recargas!$G$83*'Plan mensual'!J279+parametros_recargas!$H$83*'Plan mensual'!J280+parametros_recargas!$I$83*'Plan mensual'!J281+parametros_recargas!$J$83*'Plan mensual'!J282+parametros_recargas!$K$83*'Plan mensual'!J283+parametros_recargas!$L$83*'Plan mensual'!J284</f>
        <v>1834.57924868144</v>
      </c>
      <c r="I269" s="21" t="n">
        <f aca="false">parametros_recargas!$E$83*'Plan mensual'!K277+parametros_recargas!$F$83*'Plan mensual'!K278+parametros_recargas!$G$83*'Plan mensual'!K279+parametros_recargas!$H$83*'Plan mensual'!K280+parametros_recargas!$I$83*'Plan mensual'!K281+parametros_recargas!$J$83*'Plan mensual'!K282+parametros_recargas!$K$83*'Plan mensual'!K283+parametros_recargas!$L$83*'Plan mensual'!K284</f>
        <v>1834.57924868144</v>
      </c>
      <c r="J269" s="21" t="n">
        <f aca="false">parametros_recargas!$E$83*'Plan mensual'!L277+parametros_recargas!$F$83*'Plan mensual'!L278+parametros_recargas!$G$83*'Plan mensual'!L279+parametros_recargas!$H$83*'Plan mensual'!L280+parametros_recargas!$I$83*'Plan mensual'!L281+parametros_recargas!$J$83*'Plan mensual'!L282+parametros_recargas!$K$83*'Plan mensual'!L283+parametros_recargas!$L$83*'Plan mensual'!L284</f>
        <v>1834.57924868144</v>
      </c>
      <c r="K269" s="21" t="n">
        <f aca="false">parametros_recargas!$E$83*'Plan mensual'!M277+parametros_recargas!$F$83*'Plan mensual'!M278+parametros_recargas!$G$83*'Plan mensual'!M279+parametros_recargas!$H$83*'Plan mensual'!M280+parametros_recargas!$I$83*'Plan mensual'!M281+parametros_recargas!$J$83*'Plan mensual'!M282+parametros_recargas!$K$83*'Plan mensual'!M283+parametros_recargas!$L$83*'Plan mensual'!M284</f>
        <v>1834.57924868144</v>
      </c>
      <c r="L269" s="21" t="n">
        <f aca="false">parametros_recargas!$E$83*'Plan mensual'!N277+parametros_recargas!$F$83*'Plan mensual'!N278+parametros_recargas!$G$83*'Plan mensual'!N279+parametros_recargas!$H$83*'Plan mensual'!N280+parametros_recargas!$I$83*'Plan mensual'!N281+parametros_recargas!$J$83*'Plan mensual'!N282+parametros_recargas!$K$83*'Plan mensual'!N283+parametros_recargas!$L$83*'Plan mensual'!N284</f>
        <v>1834.57924868144</v>
      </c>
      <c r="M269" s="21" t="n">
        <f aca="false">parametros_recargas!$E$83*'Plan mensual'!O277+parametros_recargas!$F$83*'Plan mensual'!O278+parametros_recargas!$G$83*'Plan mensual'!O279+parametros_recargas!$H$83*'Plan mensual'!O280+parametros_recargas!$I$83*'Plan mensual'!O281+parametros_recargas!$J$83*'Plan mensual'!O282+parametros_recargas!$K$83*'Plan mensual'!O283+parametros_recargas!$L$83*'Plan mensual'!O284</f>
        <v>1834.57924868144</v>
      </c>
      <c r="N269" s="6" t="n">
        <f aca="false">SUM(B269:M269)</f>
        <v>22014.9509841773</v>
      </c>
      <c r="O269" s="22" t="n">
        <f aca="false">MAX(B269:M269)</f>
        <v>1834.57924868144</v>
      </c>
      <c r="P269" s="12" t="n">
        <f aca="false">O269/parametros_recargas!$B$6</f>
        <v>12.2305283245429</v>
      </c>
    </row>
    <row r="270" customFormat="false" ht="15" hidden="false" customHeight="false" outlineLevel="0" collapsed="false">
      <c r="A270" s="8" t="str">
        <f aca="false">parametros_recargas!$B$84</f>
        <v>Secado</v>
      </c>
      <c r="B270" s="21" t="n">
        <f aca="false">parametros_recargas!$E$84*'Plan mensual'!D277+parametros_recargas!$F$84*'Plan mensual'!D278+parametros_recargas!$G$84*'Plan mensual'!D279+parametros_recargas!$H$84*'Plan mensual'!D280+parametros_recargas!$I$84*'Plan mensual'!D281+parametros_recargas!$J$84*'Plan mensual'!D282+parametros_recargas!$K$84*'Plan mensual'!D283+parametros_recargas!$L$84*'Plan mensual'!D284</f>
        <v>1721.0101174588</v>
      </c>
      <c r="C270" s="21" t="n">
        <f aca="false">parametros_recargas!$E$84*'Plan mensual'!E277+parametros_recargas!$F$84*'Plan mensual'!E278+parametros_recargas!$G$84*'Plan mensual'!E279+parametros_recargas!$H$84*'Plan mensual'!E280+parametros_recargas!$I$84*'Plan mensual'!E281+parametros_recargas!$J$84*'Plan mensual'!E282+parametros_recargas!$K$84*'Plan mensual'!E283+parametros_recargas!$L$84*'Plan mensual'!E284</f>
        <v>1721.0101174588</v>
      </c>
      <c r="D270" s="21" t="n">
        <f aca="false">parametros_recargas!$E$84*'Plan mensual'!F277+parametros_recargas!$F$84*'Plan mensual'!F278+parametros_recargas!$G$84*'Plan mensual'!F279+parametros_recargas!$H$84*'Plan mensual'!F280+parametros_recargas!$I$84*'Plan mensual'!F281+parametros_recargas!$J$84*'Plan mensual'!F282+parametros_recargas!$K$84*'Plan mensual'!F283+parametros_recargas!$L$84*'Plan mensual'!F284</f>
        <v>1721.0101174588</v>
      </c>
      <c r="E270" s="21" t="n">
        <f aca="false">parametros_recargas!$E$84*'Plan mensual'!G277+parametros_recargas!$F$84*'Plan mensual'!G278+parametros_recargas!$G$84*'Plan mensual'!G279+parametros_recargas!$H$84*'Plan mensual'!G280+parametros_recargas!$I$84*'Plan mensual'!G281+parametros_recargas!$J$84*'Plan mensual'!G282+parametros_recargas!$K$84*'Plan mensual'!G283+parametros_recargas!$L$84*'Plan mensual'!G284</f>
        <v>1721.0101174588</v>
      </c>
      <c r="F270" s="21" t="n">
        <f aca="false">parametros_recargas!$E$84*'Plan mensual'!H277+parametros_recargas!$F$84*'Plan mensual'!H278+parametros_recargas!$G$84*'Plan mensual'!H279+parametros_recargas!$H$84*'Plan mensual'!H280+parametros_recargas!$I$84*'Plan mensual'!H281+parametros_recargas!$J$84*'Plan mensual'!H282+parametros_recargas!$K$84*'Plan mensual'!H283+parametros_recargas!$L$84*'Plan mensual'!H284</f>
        <v>1721.0101174588</v>
      </c>
      <c r="G270" s="21" t="n">
        <f aca="false">parametros_recargas!$E$84*'Plan mensual'!I277+parametros_recargas!$F$84*'Plan mensual'!I278+parametros_recargas!$G$84*'Plan mensual'!I279+parametros_recargas!$H$84*'Plan mensual'!I280+parametros_recargas!$I$84*'Plan mensual'!I281+parametros_recargas!$J$84*'Plan mensual'!I282+parametros_recargas!$K$84*'Plan mensual'!I283+parametros_recargas!$L$84*'Plan mensual'!I284</f>
        <v>1721.0101174588</v>
      </c>
      <c r="H270" s="21" t="n">
        <f aca="false">parametros_recargas!$E$84*'Plan mensual'!J277+parametros_recargas!$F$84*'Plan mensual'!J278+parametros_recargas!$G$84*'Plan mensual'!J279+parametros_recargas!$H$84*'Plan mensual'!J280+parametros_recargas!$I$84*'Plan mensual'!J281+parametros_recargas!$J$84*'Plan mensual'!J282+parametros_recargas!$K$84*'Plan mensual'!J283+parametros_recargas!$L$84*'Plan mensual'!J284</f>
        <v>1721.0101174588</v>
      </c>
      <c r="I270" s="21" t="n">
        <f aca="false">parametros_recargas!$E$84*'Plan mensual'!K277+parametros_recargas!$F$84*'Plan mensual'!K278+parametros_recargas!$G$84*'Plan mensual'!K279+parametros_recargas!$H$84*'Plan mensual'!K280+parametros_recargas!$I$84*'Plan mensual'!K281+parametros_recargas!$J$84*'Plan mensual'!K282+parametros_recargas!$K$84*'Plan mensual'!K283+parametros_recargas!$L$84*'Plan mensual'!K284</f>
        <v>1721.0101174588</v>
      </c>
      <c r="J270" s="21" t="n">
        <f aca="false">parametros_recargas!$E$84*'Plan mensual'!L277+parametros_recargas!$F$84*'Plan mensual'!L278+parametros_recargas!$G$84*'Plan mensual'!L279+parametros_recargas!$H$84*'Plan mensual'!L280+parametros_recargas!$I$84*'Plan mensual'!L281+parametros_recargas!$J$84*'Plan mensual'!L282+parametros_recargas!$K$84*'Plan mensual'!L283+parametros_recargas!$L$84*'Plan mensual'!L284</f>
        <v>1721.0101174588</v>
      </c>
      <c r="K270" s="21" t="n">
        <f aca="false">parametros_recargas!$E$84*'Plan mensual'!M277+parametros_recargas!$F$84*'Plan mensual'!M278+parametros_recargas!$G$84*'Plan mensual'!M279+parametros_recargas!$H$84*'Plan mensual'!M280+parametros_recargas!$I$84*'Plan mensual'!M281+parametros_recargas!$J$84*'Plan mensual'!M282+parametros_recargas!$K$84*'Plan mensual'!M283+parametros_recargas!$L$84*'Plan mensual'!M284</f>
        <v>1721.0101174588</v>
      </c>
      <c r="L270" s="21" t="n">
        <f aca="false">parametros_recargas!$E$84*'Plan mensual'!N277+parametros_recargas!$F$84*'Plan mensual'!N278+parametros_recargas!$G$84*'Plan mensual'!N279+parametros_recargas!$H$84*'Plan mensual'!N280+parametros_recargas!$I$84*'Plan mensual'!N281+parametros_recargas!$J$84*'Plan mensual'!N282+parametros_recargas!$K$84*'Plan mensual'!N283+parametros_recargas!$L$84*'Plan mensual'!N284</f>
        <v>1721.0101174588</v>
      </c>
      <c r="M270" s="21" t="n">
        <f aca="false">parametros_recargas!$E$84*'Plan mensual'!O277+parametros_recargas!$F$84*'Plan mensual'!O278+parametros_recargas!$G$84*'Plan mensual'!O279+parametros_recargas!$H$84*'Plan mensual'!O280+parametros_recargas!$I$84*'Plan mensual'!O281+parametros_recargas!$J$84*'Plan mensual'!O282+parametros_recargas!$K$84*'Plan mensual'!O283+parametros_recargas!$L$84*'Plan mensual'!O284</f>
        <v>1721.0101174588</v>
      </c>
      <c r="N270" s="6" t="n">
        <f aca="false">SUM(B270:M270)</f>
        <v>20652.1214095056</v>
      </c>
      <c r="O270" s="22" t="n">
        <f aca="false">MAX(B270:M270)</f>
        <v>1721.0101174588</v>
      </c>
      <c r="P270" s="12" t="n">
        <f aca="false">O270/parametros_recargas!$B$6</f>
        <v>11.4734007830587</v>
      </c>
    </row>
    <row r="271" customFormat="false" ht="15" hidden="false" customHeight="false" outlineLevel="0" collapsed="false">
      <c r="A271" s="8" t="str">
        <f aca="false">parametros_recargas!$B$85</f>
        <v>Inspección interior con videoscopio</v>
      </c>
      <c r="B271" s="21" t="n">
        <f aca="false">parametros_recargas!$E$85*'Plan mensual'!D277+parametros_recargas!$F$85*'Plan mensual'!D278+parametros_recargas!$G$85*'Plan mensual'!D279+parametros_recargas!$H$85*'Plan mensual'!D280+parametros_recargas!$I$85*'Plan mensual'!D281+parametros_recargas!$J$85*'Plan mensual'!D282+parametros_recargas!$K$85*'Plan mensual'!D283+parametros_recargas!$L$85*'Plan mensual'!D284</f>
        <v>1721.0101174588</v>
      </c>
      <c r="C271" s="21" t="n">
        <f aca="false">parametros_recargas!$E$85*'Plan mensual'!E277+parametros_recargas!$F$85*'Plan mensual'!E278+parametros_recargas!$G$85*'Plan mensual'!E279+parametros_recargas!$H$85*'Plan mensual'!E280+parametros_recargas!$I$85*'Plan mensual'!E281+parametros_recargas!$J$85*'Plan mensual'!E282+parametros_recargas!$K$85*'Plan mensual'!E283+parametros_recargas!$L$85*'Plan mensual'!E284</f>
        <v>1721.0101174588</v>
      </c>
      <c r="D271" s="21" t="n">
        <f aca="false">parametros_recargas!$E$85*'Plan mensual'!F277+parametros_recargas!$F$85*'Plan mensual'!F278+parametros_recargas!$G$85*'Plan mensual'!F279+parametros_recargas!$H$85*'Plan mensual'!F280+parametros_recargas!$I$85*'Plan mensual'!F281+parametros_recargas!$J$85*'Plan mensual'!F282+parametros_recargas!$K$85*'Plan mensual'!F283+parametros_recargas!$L$85*'Plan mensual'!F284</f>
        <v>1721.0101174588</v>
      </c>
      <c r="E271" s="21" t="n">
        <f aca="false">parametros_recargas!$E$85*'Plan mensual'!G277+parametros_recargas!$F$85*'Plan mensual'!G278+parametros_recargas!$G$85*'Plan mensual'!G279+parametros_recargas!$H$85*'Plan mensual'!G280+parametros_recargas!$I$85*'Plan mensual'!G281+parametros_recargas!$J$85*'Plan mensual'!G282+parametros_recargas!$K$85*'Plan mensual'!G283+parametros_recargas!$L$85*'Plan mensual'!G284</f>
        <v>1721.0101174588</v>
      </c>
      <c r="F271" s="21" t="n">
        <f aca="false">parametros_recargas!$E$85*'Plan mensual'!H277+parametros_recargas!$F$85*'Plan mensual'!H278+parametros_recargas!$G$85*'Plan mensual'!H279+parametros_recargas!$H$85*'Plan mensual'!H280+parametros_recargas!$I$85*'Plan mensual'!H281+parametros_recargas!$J$85*'Plan mensual'!H282+parametros_recargas!$K$85*'Plan mensual'!H283+parametros_recargas!$L$85*'Plan mensual'!H284</f>
        <v>1721.0101174588</v>
      </c>
      <c r="G271" s="21" t="n">
        <f aca="false">parametros_recargas!$E$85*'Plan mensual'!I277+parametros_recargas!$F$85*'Plan mensual'!I278+parametros_recargas!$G$85*'Plan mensual'!I279+parametros_recargas!$H$85*'Plan mensual'!I280+parametros_recargas!$I$85*'Plan mensual'!I281+parametros_recargas!$J$85*'Plan mensual'!I282+parametros_recargas!$K$85*'Plan mensual'!I283+parametros_recargas!$L$85*'Plan mensual'!I284</f>
        <v>1721.0101174588</v>
      </c>
      <c r="H271" s="21" t="n">
        <f aca="false">parametros_recargas!$E$85*'Plan mensual'!J277+parametros_recargas!$F$85*'Plan mensual'!J278+parametros_recargas!$G$85*'Plan mensual'!J279+parametros_recargas!$H$85*'Plan mensual'!J280+parametros_recargas!$I$85*'Plan mensual'!J281+parametros_recargas!$J$85*'Plan mensual'!J282+parametros_recargas!$K$85*'Plan mensual'!J283+parametros_recargas!$L$85*'Plan mensual'!J284</f>
        <v>1721.0101174588</v>
      </c>
      <c r="I271" s="21" t="n">
        <f aca="false">parametros_recargas!$E$85*'Plan mensual'!K277+parametros_recargas!$F$85*'Plan mensual'!K278+parametros_recargas!$G$85*'Plan mensual'!K279+parametros_recargas!$H$85*'Plan mensual'!K280+parametros_recargas!$I$85*'Plan mensual'!K281+parametros_recargas!$J$85*'Plan mensual'!K282+parametros_recargas!$K$85*'Plan mensual'!K283+parametros_recargas!$L$85*'Plan mensual'!K284</f>
        <v>1721.0101174588</v>
      </c>
      <c r="J271" s="21" t="n">
        <f aca="false">parametros_recargas!$E$85*'Plan mensual'!L277+parametros_recargas!$F$85*'Plan mensual'!L278+parametros_recargas!$G$85*'Plan mensual'!L279+parametros_recargas!$H$85*'Plan mensual'!L280+parametros_recargas!$I$85*'Plan mensual'!L281+parametros_recargas!$J$85*'Plan mensual'!L282+parametros_recargas!$K$85*'Plan mensual'!L283+parametros_recargas!$L$85*'Plan mensual'!L284</f>
        <v>1721.0101174588</v>
      </c>
      <c r="K271" s="21" t="n">
        <f aca="false">parametros_recargas!$E$85*'Plan mensual'!M277+parametros_recargas!$F$85*'Plan mensual'!M278+parametros_recargas!$G$85*'Plan mensual'!M279+parametros_recargas!$H$85*'Plan mensual'!M280+parametros_recargas!$I$85*'Plan mensual'!M281+parametros_recargas!$J$85*'Plan mensual'!M282+parametros_recargas!$K$85*'Plan mensual'!M283+parametros_recargas!$L$85*'Plan mensual'!M284</f>
        <v>1721.0101174588</v>
      </c>
      <c r="L271" s="21" t="n">
        <f aca="false">parametros_recargas!$E$85*'Plan mensual'!N277+parametros_recargas!$F$85*'Plan mensual'!N278+parametros_recargas!$G$85*'Plan mensual'!N279+parametros_recargas!$H$85*'Plan mensual'!N280+parametros_recargas!$I$85*'Plan mensual'!N281+parametros_recargas!$J$85*'Plan mensual'!N282+parametros_recargas!$K$85*'Plan mensual'!N283+parametros_recargas!$L$85*'Plan mensual'!N284</f>
        <v>1721.0101174588</v>
      </c>
      <c r="M271" s="21" t="n">
        <f aca="false">parametros_recargas!$E$85*'Plan mensual'!O277+parametros_recargas!$F$85*'Plan mensual'!O278+parametros_recargas!$G$85*'Plan mensual'!O279+parametros_recargas!$H$85*'Plan mensual'!O280+parametros_recargas!$I$85*'Plan mensual'!O281+parametros_recargas!$J$85*'Plan mensual'!O282+parametros_recargas!$K$85*'Plan mensual'!O283+parametros_recargas!$L$85*'Plan mensual'!O284</f>
        <v>1721.0101174588</v>
      </c>
      <c r="N271" s="6" t="n">
        <f aca="false">SUM(B271:M271)</f>
        <v>20652.1214095056</v>
      </c>
      <c r="O271" s="22" t="n">
        <f aca="false">MAX(B271:M271)</f>
        <v>1721.0101174588</v>
      </c>
      <c r="P271" s="12" t="n">
        <f aca="false">O271/parametros_recargas!$B$6</f>
        <v>11.4734007830587</v>
      </c>
    </row>
    <row r="272" customFormat="false" ht="15" hidden="false" customHeight="false" outlineLevel="0" collapsed="false">
      <c r="A272" s="8" t="str">
        <f aca="false">parametros_recargas!$B$86</f>
        <v>Pintura</v>
      </c>
      <c r="B272" s="21" t="n">
        <f aca="false">parametros_recargas!$E$86*'Plan mensual'!D277+parametros_recargas!$F$86*'Plan mensual'!D278+parametros_recargas!$G$86*'Plan mensual'!D279+parametros_recargas!$H$86*'Plan mensual'!D280+parametros_recargas!$I$86*'Plan mensual'!D281+parametros_recargas!$J$86*'Plan mensual'!D282+parametros_recargas!$K$86*'Plan mensual'!D283+parametros_recargas!$L$86*'Plan mensual'!D284</f>
        <v>860.682434260425</v>
      </c>
      <c r="C272" s="21" t="n">
        <f aca="false">parametros_recargas!$E$86*'Plan mensual'!E277+parametros_recargas!$F$86*'Plan mensual'!E278+parametros_recargas!$G$86*'Plan mensual'!E279+parametros_recargas!$H$86*'Plan mensual'!E280+parametros_recargas!$I$86*'Plan mensual'!E281+parametros_recargas!$J$86*'Plan mensual'!E282+parametros_recargas!$K$86*'Plan mensual'!E283+parametros_recargas!$L$86*'Plan mensual'!E284</f>
        <v>860.682434260425</v>
      </c>
      <c r="D272" s="21" t="n">
        <f aca="false">parametros_recargas!$E$86*'Plan mensual'!F277+parametros_recargas!$F$86*'Plan mensual'!F278+parametros_recargas!$G$86*'Plan mensual'!F279+parametros_recargas!$H$86*'Plan mensual'!F280+parametros_recargas!$I$86*'Plan mensual'!F281+parametros_recargas!$J$86*'Plan mensual'!F282+parametros_recargas!$K$86*'Plan mensual'!F283+parametros_recargas!$L$86*'Plan mensual'!F284</f>
        <v>860.682434260425</v>
      </c>
      <c r="E272" s="21" t="n">
        <f aca="false">parametros_recargas!$E$86*'Plan mensual'!G277+parametros_recargas!$F$86*'Plan mensual'!G278+parametros_recargas!$G$86*'Plan mensual'!G279+parametros_recargas!$H$86*'Plan mensual'!G280+parametros_recargas!$I$86*'Plan mensual'!G281+parametros_recargas!$J$86*'Plan mensual'!G282+parametros_recargas!$K$86*'Plan mensual'!G283+parametros_recargas!$L$86*'Plan mensual'!G284</f>
        <v>860.682434260425</v>
      </c>
      <c r="F272" s="21" t="n">
        <f aca="false">parametros_recargas!$E$86*'Plan mensual'!H277+parametros_recargas!$F$86*'Plan mensual'!H278+parametros_recargas!$G$86*'Plan mensual'!H279+parametros_recargas!$H$86*'Plan mensual'!H280+parametros_recargas!$I$86*'Plan mensual'!H281+parametros_recargas!$J$86*'Plan mensual'!H282+parametros_recargas!$K$86*'Plan mensual'!H283+parametros_recargas!$L$86*'Plan mensual'!H284</f>
        <v>860.682434260425</v>
      </c>
      <c r="G272" s="21" t="n">
        <f aca="false">parametros_recargas!$E$86*'Plan mensual'!I277+parametros_recargas!$F$86*'Plan mensual'!I278+parametros_recargas!$G$86*'Plan mensual'!I279+parametros_recargas!$H$86*'Plan mensual'!I280+parametros_recargas!$I$86*'Plan mensual'!I281+parametros_recargas!$J$86*'Plan mensual'!I282+parametros_recargas!$K$86*'Plan mensual'!I283+parametros_recargas!$L$86*'Plan mensual'!I284</f>
        <v>860.682434260425</v>
      </c>
      <c r="H272" s="21" t="n">
        <f aca="false">parametros_recargas!$E$86*'Plan mensual'!J277+parametros_recargas!$F$86*'Plan mensual'!J278+parametros_recargas!$G$86*'Plan mensual'!J279+parametros_recargas!$H$86*'Plan mensual'!J280+parametros_recargas!$I$86*'Plan mensual'!J281+parametros_recargas!$J$86*'Plan mensual'!J282+parametros_recargas!$K$86*'Plan mensual'!J283+parametros_recargas!$L$86*'Plan mensual'!J284</f>
        <v>860.682434260425</v>
      </c>
      <c r="I272" s="21" t="n">
        <f aca="false">parametros_recargas!$E$86*'Plan mensual'!K277+parametros_recargas!$F$86*'Plan mensual'!K278+parametros_recargas!$G$86*'Plan mensual'!K279+parametros_recargas!$H$86*'Plan mensual'!K280+parametros_recargas!$I$86*'Plan mensual'!K281+parametros_recargas!$J$86*'Plan mensual'!K282+parametros_recargas!$K$86*'Plan mensual'!K283+parametros_recargas!$L$86*'Plan mensual'!K284</f>
        <v>860.682434260425</v>
      </c>
      <c r="J272" s="21" t="n">
        <f aca="false">parametros_recargas!$E$86*'Plan mensual'!L277+parametros_recargas!$F$86*'Plan mensual'!L278+parametros_recargas!$G$86*'Plan mensual'!L279+parametros_recargas!$H$86*'Plan mensual'!L280+parametros_recargas!$I$86*'Plan mensual'!L281+parametros_recargas!$J$86*'Plan mensual'!L282+parametros_recargas!$K$86*'Plan mensual'!L283+parametros_recargas!$L$86*'Plan mensual'!L284</f>
        <v>860.682434260425</v>
      </c>
      <c r="K272" s="21" t="n">
        <f aca="false">parametros_recargas!$E$86*'Plan mensual'!M277+parametros_recargas!$F$86*'Plan mensual'!M278+parametros_recargas!$G$86*'Plan mensual'!M279+parametros_recargas!$H$86*'Plan mensual'!M280+parametros_recargas!$I$86*'Plan mensual'!M281+parametros_recargas!$J$86*'Plan mensual'!M282+parametros_recargas!$K$86*'Plan mensual'!M283+parametros_recargas!$L$86*'Plan mensual'!M284</f>
        <v>860.682434260425</v>
      </c>
      <c r="L272" s="21" t="n">
        <f aca="false">parametros_recargas!$E$86*'Plan mensual'!N277+parametros_recargas!$F$86*'Plan mensual'!N278+parametros_recargas!$G$86*'Plan mensual'!N279+parametros_recargas!$H$86*'Plan mensual'!N280+parametros_recargas!$I$86*'Plan mensual'!N281+parametros_recargas!$J$86*'Plan mensual'!N282+parametros_recargas!$K$86*'Plan mensual'!N283+parametros_recargas!$L$86*'Plan mensual'!N284</f>
        <v>860.682434260425</v>
      </c>
      <c r="M272" s="21" t="n">
        <f aca="false">parametros_recargas!$E$86*'Plan mensual'!O277+parametros_recargas!$F$86*'Plan mensual'!O278+parametros_recargas!$G$86*'Plan mensual'!O279+parametros_recargas!$H$86*'Plan mensual'!O280+parametros_recargas!$I$86*'Plan mensual'!O281+parametros_recargas!$J$86*'Plan mensual'!O282+parametros_recargas!$K$86*'Plan mensual'!O283+parametros_recargas!$L$86*'Plan mensual'!O284</f>
        <v>860.682434260425</v>
      </c>
      <c r="N272" s="6" t="n">
        <f aca="false">SUM(B272:M272)</f>
        <v>10328.1892111251</v>
      </c>
      <c r="O272" s="22" t="n">
        <f aca="false">MAX(B272:M272)</f>
        <v>860.682434260425</v>
      </c>
      <c r="P272" s="12" t="n">
        <f aca="false">O272/parametros_recargas!$B$6</f>
        <v>5.7378828950695</v>
      </c>
    </row>
    <row r="273" customFormat="false" ht="15" hidden="false" customHeight="false" outlineLevel="0" collapsed="false">
      <c r="A273" s="8" t="str">
        <f aca="false">parametros_recargas!$B$87</f>
        <v>Carga de polvo ABC</v>
      </c>
      <c r="B273" s="21" t="n">
        <f aca="false">parametros_recargas!$E$87*'Plan mensual'!D277+parametros_recargas!$F$87*'Plan mensual'!D278+parametros_recargas!$G$87*'Plan mensual'!D279+parametros_recargas!$H$87*'Plan mensual'!D280+parametros_recargas!$I$87*'Plan mensual'!D281+parametros_recargas!$J$87*'Plan mensual'!D282+parametros_recargas!$K$87*'Plan mensual'!D283+parametros_recargas!$L$87*'Plan mensual'!D284</f>
        <v>7491.46107439248</v>
      </c>
      <c r="C273" s="21" t="n">
        <f aca="false">parametros_recargas!$E$87*'Plan mensual'!E277+parametros_recargas!$F$87*'Plan mensual'!E278+parametros_recargas!$G$87*'Plan mensual'!E279+parametros_recargas!$H$87*'Plan mensual'!E280+parametros_recargas!$I$87*'Plan mensual'!E281+parametros_recargas!$J$87*'Plan mensual'!E282+parametros_recargas!$K$87*'Plan mensual'!E283+parametros_recargas!$L$87*'Plan mensual'!E284</f>
        <v>7491.46107439248</v>
      </c>
      <c r="D273" s="21" t="n">
        <f aca="false">parametros_recargas!$E$87*'Plan mensual'!F277+parametros_recargas!$F$87*'Plan mensual'!F278+parametros_recargas!$G$87*'Plan mensual'!F279+parametros_recargas!$H$87*'Plan mensual'!F280+parametros_recargas!$I$87*'Plan mensual'!F281+parametros_recargas!$J$87*'Plan mensual'!F282+parametros_recargas!$K$87*'Plan mensual'!F283+parametros_recargas!$L$87*'Plan mensual'!F284</f>
        <v>7491.46107439248</v>
      </c>
      <c r="E273" s="21" t="n">
        <f aca="false">parametros_recargas!$E$87*'Plan mensual'!G277+parametros_recargas!$F$87*'Plan mensual'!G278+parametros_recargas!$G$87*'Plan mensual'!G279+parametros_recargas!$H$87*'Plan mensual'!G280+parametros_recargas!$I$87*'Plan mensual'!G281+parametros_recargas!$J$87*'Plan mensual'!G282+parametros_recargas!$K$87*'Plan mensual'!G283+parametros_recargas!$L$87*'Plan mensual'!G284</f>
        <v>7491.46107439248</v>
      </c>
      <c r="F273" s="21" t="n">
        <f aca="false">parametros_recargas!$E$87*'Plan mensual'!H277+parametros_recargas!$F$87*'Plan mensual'!H278+parametros_recargas!$G$87*'Plan mensual'!H279+parametros_recargas!$H$87*'Plan mensual'!H280+parametros_recargas!$I$87*'Plan mensual'!H281+parametros_recargas!$J$87*'Plan mensual'!H282+parametros_recargas!$K$87*'Plan mensual'!H283+parametros_recargas!$L$87*'Plan mensual'!H284</f>
        <v>7491.46107439248</v>
      </c>
      <c r="G273" s="21" t="n">
        <f aca="false">parametros_recargas!$E$87*'Plan mensual'!I277+parametros_recargas!$F$87*'Plan mensual'!I278+parametros_recargas!$G$87*'Plan mensual'!I279+parametros_recargas!$H$87*'Plan mensual'!I280+parametros_recargas!$I$87*'Plan mensual'!I281+parametros_recargas!$J$87*'Plan mensual'!I282+parametros_recargas!$K$87*'Plan mensual'!I283+parametros_recargas!$L$87*'Plan mensual'!I284</f>
        <v>7491.46107439248</v>
      </c>
      <c r="H273" s="21" t="n">
        <f aca="false">parametros_recargas!$E$87*'Plan mensual'!J277+parametros_recargas!$F$87*'Plan mensual'!J278+parametros_recargas!$G$87*'Plan mensual'!J279+parametros_recargas!$H$87*'Plan mensual'!J280+parametros_recargas!$I$87*'Plan mensual'!J281+parametros_recargas!$J$87*'Plan mensual'!J282+parametros_recargas!$K$87*'Plan mensual'!J283+parametros_recargas!$L$87*'Plan mensual'!J284</f>
        <v>7491.46107439248</v>
      </c>
      <c r="I273" s="21" t="n">
        <f aca="false">parametros_recargas!$E$87*'Plan mensual'!K277+parametros_recargas!$F$87*'Plan mensual'!K278+parametros_recargas!$G$87*'Plan mensual'!K279+parametros_recargas!$H$87*'Plan mensual'!K280+parametros_recargas!$I$87*'Plan mensual'!K281+parametros_recargas!$J$87*'Plan mensual'!K282+parametros_recargas!$K$87*'Plan mensual'!K283+parametros_recargas!$L$87*'Plan mensual'!K284</f>
        <v>7491.46107439248</v>
      </c>
      <c r="J273" s="21" t="n">
        <f aca="false">parametros_recargas!$E$87*'Plan mensual'!L277+parametros_recargas!$F$87*'Plan mensual'!L278+parametros_recargas!$G$87*'Plan mensual'!L279+parametros_recargas!$H$87*'Plan mensual'!L280+parametros_recargas!$I$87*'Plan mensual'!L281+parametros_recargas!$J$87*'Plan mensual'!L282+parametros_recargas!$K$87*'Plan mensual'!L283+parametros_recargas!$L$87*'Plan mensual'!L284</f>
        <v>7491.46107439248</v>
      </c>
      <c r="K273" s="21" t="n">
        <f aca="false">parametros_recargas!$E$87*'Plan mensual'!M277+parametros_recargas!$F$87*'Plan mensual'!M278+parametros_recargas!$G$87*'Plan mensual'!M279+parametros_recargas!$H$87*'Plan mensual'!M280+parametros_recargas!$I$87*'Plan mensual'!M281+parametros_recargas!$J$87*'Plan mensual'!M282+parametros_recargas!$K$87*'Plan mensual'!M283+parametros_recargas!$L$87*'Plan mensual'!M284</f>
        <v>7491.46107439248</v>
      </c>
      <c r="L273" s="21" t="n">
        <f aca="false">parametros_recargas!$E$87*'Plan mensual'!N277+parametros_recargas!$F$87*'Plan mensual'!N278+parametros_recargas!$G$87*'Plan mensual'!N279+parametros_recargas!$H$87*'Plan mensual'!N280+parametros_recargas!$I$87*'Plan mensual'!N281+parametros_recargas!$J$87*'Plan mensual'!N282+parametros_recargas!$K$87*'Plan mensual'!N283+parametros_recargas!$L$87*'Plan mensual'!N284</f>
        <v>7491.46107439248</v>
      </c>
      <c r="M273" s="21" t="n">
        <f aca="false">parametros_recargas!$E$87*'Plan mensual'!O277+parametros_recargas!$F$87*'Plan mensual'!O278+parametros_recargas!$G$87*'Plan mensual'!O279+parametros_recargas!$H$87*'Plan mensual'!O280+parametros_recargas!$I$87*'Plan mensual'!O281+parametros_recargas!$J$87*'Plan mensual'!O282+parametros_recargas!$K$87*'Plan mensual'!O283+parametros_recargas!$L$87*'Plan mensual'!O284</f>
        <v>7491.46107439248</v>
      </c>
      <c r="N273" s="6" t="n">
        <f aca="false">SUM(B273:M273)</f>
        <v>89897.5328927097</v>
      </c>
      <c r="O273" s="22" t="n">
        <f aca="false">MAX(B273:M273)</f>
        <v>7491.46107439248</v>
      </c>
      <c r="P273" s="12" t="n">
        <f aca="false">O273/parametros_recargas!$B$6</f>
        <v>49.9430738292832</v>
      </c>
    </row>
    <row r="274" customFormat="false" ht="15" hidden="false" customHeight="false" outlineLevel="0" collapsed="false">
      <c r="A274" s="8" t="str">
        <f aca="false">parametros_recargas!$B$88</f>
        <v>Carga de polvo BC</v>
      </c>
      <c r="B274" s="21" t="n">
        <f aca="false">parametros_recargas!$E$88*'Plan mensual'!D277+parametros_recargas!$F$88*'Plan mensual'!D278+parametros_recargas!$G$88*'Plan mensual'!D279+parametros_recargas!$H$88*'Plan mensual'!D280+parametros_recargas!$I$88*'Plan mensual'!D281+parametros_recargas!$J$88*'Plan mensual'!D282+parametros_recargas!$K$88*'Plan mensual'!D283+parametros_recargas!$L$88*'Plan mensual'!D284</f>
        <v>10.8742191461297</v>
      </c>
      <c r="C274" s="21" t="n">
        <f aca="false">parametros_recargas!$E$88*'Plan mensual'!E277+parametros_recargas!$F$88*'Plan mensual'!E278+parametros_recargas!$G$88*'Plan mensual'!E279+parametros_recargas!$H$88*'Plan mensual'!E280+parametros_recargas!$I$88*'Plan mensual'!E281+parametros_recargas!$J$88*'Plan mensual'!E282+parametros_recargas!$K$88*'Plan mensual'!E283+parametros_recargas!$L$88*'Plan mensual'!E284</f>
        <v>10.8742191461297</v>
      </c>
      <c r="D274" s="21" t="n">
        <f aca="false">parametros_recargas!$E$88*'Plan mensual'!F277+parametros_recargas!$F$88*'Plan mensual'!F278+parametros_recargas!$G$88*'Plan mensual'!F279+parametros_recargas!$H$88*'Plan mensual'!F280+parametros_recargas!$I$88*'Plan mensual'!F281+parametros_recargas!$J$88*'Plan mensual'!F282+parametros_recargas!$K$88*'Plan mensual'!F283+parametros_recargas!$L$88*'Plan mensual'!F284</f>
        <v>10.8742191461297</v>
      </c>
      <c r="E274" s="21" t="n">
        <f aca="false">parametros_recargas!$E$88*'Plan mensual'!G277+parametros_recargas!$F$88*'Plan mensual'!G278+parametros_recargas!$G$88*'Plan mensual'!G279+parametros_recargas!$H$88*'Plan mensual'!G280+parametros_recargas!$I$88*'Plan mensual'!G281+parametros_recargas!$J$88*'Plan mensual'!G282+parametros_recargas!$K$88*'Plan mensual'!G283+parametros_recargas!$L$88*'Plan mensual'!G284</f>
        <v>10.8742191461297</v>
      </c>
      <c r="F274" s="21" t="n">
        <f aca="false">parametros_recargas!$E$88*'Plan mensual'!H277+parametros_recargas!$F$88*'Plan mensual'!H278+parametros_recargas!$G$88*'Plan mensual'!H279+parametros_recargas!$H$88*'Plan mensual'!H280+parametros_recargas!$I$88*'Plan mensual'!H281+parametros_recargas!$J$88*'Plan mensual'!H282+parametros_recargas!$K$88*'Plan mensual'!H283+parametros_recargas!$L$88*'Plan mensual'!H284</f>
        <v>10.8742191461297</v>
      </c>
      <c r="G274" s="21" t="n">
        <f aca="false">parametros_recargas!$E$88*'Plan mensual'!I277+parametros_recargas!$F$88*'Plan mensual'!I278+parametros_recargas!$G$88*'Plan mensual'!I279+parametros_recargas!$H$88*'Plan mensual'!I280+parametros_recargas!$I$88*'Plan mensual'!I281+parametros_recargas!$J$88*'Plan mensual'!I282+parametros_recargas!$K$88*'Plan mensual'!I283+parametros_recargas!$L$88*'Plan mensual'!I284</f>
        <v>10.8742191461297</v>
      </c>
      <c r="H274" s="21" t="n">
        <f aca="false">parametros_recargas!$E$88*'Plan mensual'!J277+parametros_recargas!$F$88*'Plan mensual'!J278+parametros_recargas!$G$88*'Plan mensual'!J279+parametros_recargas!$H$88*'Plan mensual'!J280+parametros_recargas!$I$88*'Plan mensual'!J281+parametros_recargas!$J$88*'Plan mensual'!J282+parametros_recargas!$K$88*'Plan mensual'!J283+parametros_recargas!$L$88*'Plan mensual'!J284</f>
        <v>10.8742191461297</v>
      </c>
      <c r="I274" s="21" t="n">
        <f aca="false">parametros_recargas!$E$88*'Plan mensual'!K277+parametros_recargas!$F$88*'Plan mensual'!K278+parametros_recargas!$G$88*'Plan mensual'!K279+parametros_recargas!$H$88*'Plan mensual'!K280+parametros_recargas!$I$88*'Plan mensual'!K281+parametros_recargas!$J$88*'Plan mensual'!K282+parametros_recargas!$K$88*'Plan mensual'!K283+parametros_recargas!$L$88*'Plan mensual'!K284</f>
        <v>10.8742191461297</v>
      </c>
      <c r="J274" s="21" t="n">
        <f aca="false">parametros_recargas!$E$88*'Plan mensual'!L277+parametros_recargas!$F$88*'Plan mensual'!L278+parametros_recargas!$G$88*'Plan mensual'!L279+parametros_recargas!$H$88*'Plan mensual'!L280+parametros_recargas!$I$88*'Plan mensual'!L281+parametros_recargas!$J$88*'Plan mensual'!L282+parametros_recargas!$K$88*'Plan mensual'!L283+parametros_recargas!$L$88*'Plan mensual'!L284</f>
        <v>10.8742191461297</v>
      </c>
      <c r="K274" s="21" t="n">
        <f aca="false">parametros_recargas!$E$88*'Plan mensual'!M277+parametros_recargas!$F$88*'Plan mensual'!M278+parametros_recargas!$G$88*'Plan mensual'!M279+parametros_recargas!$H$88*'Plan mensual'!M280+parametros_recargas!$I$88*'Plan mensual'!M281+parametros_recargas!$J$88*'Plan mensual'!M282+parametros_recargas!$K$88*'Plan mensual'!M283+parametros_recargas!$L$88*'Plan mensual'!M284</f>
        <v>10.8742191461297</v>
      </c>
      <c r="L274" s="21" t="n">
        <f aca="false">parametros_recargas!$E$88*'Plan mensual'!N277+parametros_recargas!$F$88*'Plan mensual'!N278+parametros_recargas!$G$88*'Plan mensual'!N279+parametros_recargas!$H$88*'Plan mensual'!N280+parametros_recargas!$I$88*'Plan mensual'!N281+parametros_recargas!$J$88*'Plan mensual'!N282+parametros_recargas!$K$88*'Plan mensual'!N283+parametros_recargas!$L$88*'Plan mensual'!N284</f>
        <v>10.8742191461297</v>
      </c>
      <c r="M274" s="21" t="n">
        <f aca="false">parametros_recargas!$E$88*'Plan mensual'!O277+parametros_recargas!$F$88*'Plan mensual'!O278+parametros_recargas!$G$88*'Plan mensual'!O279+parametros_recargas!$H$88*'Plan mensual'!O280+parametros_recargas!$I$88*'Plan mensual'!O281+parametros_recargas!$J$88*'Plan mensual'!O282+parametros_recargas!$K$88*'Plan mensual'!O283+parametros_recargas!$L$88*'Plan mensual'!O284</f>
        <v>10.8742191461297</v>
      </c>
      <c r="N274" s="6" t="n">
        <f aca="false">SUM(B274:M274)</f>
        <v>130.490629753557</v>
      </c>
      <c r="O274" s="22" t="n">
        <f aca="false">MAX(B274:M274)</f>
        <v>10.8742191461297</v>
      </c>
      <c r="P274" s="12" t="n">
        <f aca="false">O274/parametros_recargas!$B$6</f>
        <v>0.0724947943075315</v>
      </c>
    </row>
    <row r="275" customFormat="false" ht="15" hidden="false" customHeight="false" outlineLevel="0" collapsed="false">
      <c r="A275" s="8" t="str">
        <f aca="false">parametros_recargas!$B$89</f>
        <v>Descarga y carga Clase D</v>
      </c>
      <c r="B275" s="21" t="n">
        <f aca="false">parametros_recargas!$E$89*'Plan mensual'!D277+parametros_recargas!$F$89*'Plan mensual'!D278+parametros_recargas!$G$89*'Plan mensual'!D279+parametros_recargas!$H$89*'Plan mensual'!D280+parametros_recargas!$I$89*'Plan mensual'!D281+parametros_recargas!$J$89*'Plan mensual'!D282+parametros_recargas!$K$89*'Plan mensual'!D283+parametros_recargas!$L$89*'Plan mensual'!D284</f>
        <v>9.81494429574624</v>
      </c>
      <c r="C275" s="21" t="n">
        <f aca="false">parametros_recargas!$E$89*'Plan mensual'!E277+parametros_recargas!$F$89*'Plan mensual'!E278+parametros_recargas!$G$89*'Plan mensual'!E279+parametros_recargas!$H$89*'Plan mensual'!E280+parametros_recargas!$I$89*'Plan mensual'!E281+parametros_recargas!$J$89*'Plan mensual'!E282+parametros_recargas!$K$89*'Plan mensual'!E283+parametros_recargas!$L$89*'Plan mensual'!E284</f>
        <v>9.81494429574624</v>
      </c>
      <c r="D275" s="21" t="n">
        <f aca="false">parametros_recargas!$E$89*'Plan mensual'!F277+parametros_recargas!$F$89*'Plan mensual'!F278+parametros_recargas!$G$89*'Plan mensual'!F279+parametros_recargas!$H$89*'Plan mensual'!F280+parametros_recargas!$I$89*'Plan mensual'!F281+parametros_recargas!$J$89*'Plan mensual'!F282+parametros_recargas!$K$89*'Plan mensual'!F283+parametros_recargas!$L$89*'Plan mensual'!F284</f>
        <v>9.81494429574624</v>
      </c>
      <c r="E275" s="21" t="n">
        <f aca="false">parametros_recargas!$E$89*'Plan mensual'!G277+parametros_recargas!$F$89*'Plan mensual'!G278+parametros_recargas!$G$89*'Plan mensual'!G279+parametros_recargas!$H$89*'Plan mensual'!G280+parametros_recargas!$I$89*'Plan mensual'!G281+parametros_recargas!$J$89*'Plan mensual'!G282+parametros_recargas!$K$89*'Plan mensual'!G283+parametros_recargas!$L$89*'Plan mensual'!G284</f>
        <v>9.81494429574624</v>
      </c>
      <c r="F275" s="21" t="n">
        <f aca="false">parametros_recargas!$E$89*'Plan mensual'!H277+parametros_recargas!$F$89*'Plan mensual'!H278+parametros_recargas!$G$89*'Plan mensual'!H279+parametros_recargas!$H$89*'Plan mensual'!H280+parametros_recargas!$I$89*'Plan mensual'!H281+parametros_recargas!$J$89*'Plan mensual'!H282+parametros_recargas!$K$89*'Plan mensual'!H283+parametros_recargas!$L$89*'Plan mensual'!H284</f>
        <v>9.81494429574624</v>
      </c>
      <c r="G275" s="21" t="n">
        <f aca="false">parametros_recargas!$E$89*'Plan mensual'!I277+parametros_recargas!$F$89*'Plan mensual'!I278+parametros_recargas!$G$89*'Plan mensual'!I279+parametros_recargas!$H$89*'Plan mensual'!I280+parametros_recargas!$I$89*'Plan mensual'!I281+parametros_recargas!$J$89*'Plan mensual'!I282+parametros_recargas!$K$89*'Plan mensual'!I283+parametros_recargas!$L$89*'Plan mensual'!I284</f>
        <v>9.81494429574624</v>
      </c>
      <c r="H275" s="21" t="n">
        <f aca="false">parametros_recargas!$E$89*'Plan mensual'!J277+parametros_recargas!$F$89*'Plan mensual'!J278+parametros_recargas!$G$89*'Plan mensual'!J279+parametros_recargas!$H$89*'Plan mensual'!J280+parametros_recargas!$I$89*'Plan mensual'!J281+parametros_recargas!$J$89*'Plan mensual'!J282+parametros_recargas!$K$89*'Plan mensual'!J283+parametros_recargas!$L$89*'Plan mensual'!J284</f>
        <v>9.81494429574624</v>
      </c>
      <c r="I275" s="21" t="n">
        <f aca="false">parametros_recargas!$E$89*'Plan mensual'!K277+parametros_recargas!$F$89*'Plan mensual'!K278+parametros_recargas!$G$89*'Plan mensual'!K279+parametros_recargas!$H$89*'Plan mensual'!K280+parametros_recargas!$I$89*'Plan mensual'!K281+parametros_recargas!$J$89*'Plan mensual'!K282+parametros_recargas!$K$89*'Plan mensual'!K283+parametros_recargas!$L$89*'Plan mensual'!K284</f>
        <v>9.81494429574624</v>
      </c>
      <c r="J275" s="21" t="n">
        <f aca="false">parametros_recargas!$E$89*'Plan mensual'!L277+parametros_recargas!$F$89*'Plan mensual'!L278+parametros_recargas!$G$89*'Plan mensual'!L279+parametros_recargas!$H$89*'Plan mensual'!L280+parametros_recargas!$I$89*'Plan mensual'!L281+parametros_recargas!$J$89*'Plan mensual'!L282+parametros_recargas!$K$89*'Plan mensual'!L283+parametros_recargas!$L$89*'Plan mensual'!L284</f>
        <v>9.81494429574624</v>
      </c>
      <c r="K275" s="21" t="n">
        <f aca="false">parametros_recargas!$E$89*'Plan mensual'!M277+parametros_recargas!$F$89*'Plan mensual'!M278+parametros_recargas!$G$89*'Plan mensual'!M279+parametros_recargas!$H$89*'Plan mensual'!M280+parametros_recargas!$I$89*'Plan mensual'!M281+parametros_recargas!$J$89*'Plan mensual'!M282+parametros_recargas!$K$89*'Plan mensual'!M283+parametros_recargas!$L$89*'Plan mensual'!M284</f>
        <v>9.81494429574624</v>
      </c>
      <c r="L275" s="21" t="n">
        <f aca="false">parametros_recargas!$E$89*'Plan mensual'!N277+parametros_recargas!$F$89*'Plan mensual'!N278+parametros_recargas!$G$89*'Plan mensual'!N279+parametros_recargas!$H$89*'Plan mensual'!N280+parametros_recargas!$I$89*'Plan mensual'!N281+parametros_recargas!$J$89*'Plan mensual'!N282+parametros_recargas!$K$89*'Plan mensual'!N283+parametros_recargas!$L$89*'Plan mensual'!N284</f>
        <v>9.81494429574624</v>
      </c>
      <c r="M275" s="21" t="n">
        <f aca="false">parametros_recargas!$E$89*'Plan mensual'!O277+parametros_recargas!$F$89*'Plan mensual'!O278+parametros_recargas!$G$89*'Plan mensual'!O279+parametros_recargas!$H$89*'Plan mensual'!O280+parametros_recargas!$I$89*'Plan mensual'!O281+parametros_recargas!$J$89*'Plan mensual'!O282+parametros_recargas!$K$89*'Plan mensual'!O283+parametros_recargas!$L$89*'Plan mensual'!O284</f>
        <v>9.81494429574624</v>
      </c>
      <c r="N275" s="6" t="n">
        <f aca="false">SUM(B275:M275)</f>
        <v>117.779331548955</v>
      </c>
      <c r="O275" s="22" t="n">
        <f aca="false">MAX(B275:M275)</f>
        <v>9.81494429574624</v>
      </c>
      <c r="P275" s="12" t="n">
        <f aca="false">O275/parametros_recargas!$B$6</f>
        <v>0.0654329619716416</v>
      </c>
    </row>
    <row r="276" customFormat="false" ht="15" hidden="false" customHeight="false" outlineLevel="0" collapsed="false">
      <c r="A276" s="8" t="str">
        <f aca="false">parametros_recargas!$B$90</f>
        <v>Carga de agua / AFFF / sales K</v>
      </c>
      <c r="B276" s="21" t="n">
        <f aca="false">parametros_recargas!$E$90*'Plan mensual'!D277+parametros_recargas!$F$90*'Plan mensual'!D278+parametros_recargas!$G$90*'Plan mensual'!D279+parametros_recargas!$H$90*'Plan mensual'!D280+parametros_recargas!$I$90*'Plan mensual'!D281+parametros_recargas!$J$90*'Plan mensual'!D282+parametros_recargas!$K$90*'Plan mensual'!D283+parametros_recargas!$L$90*'Plan mensual'!D284</f>
        <v>377.381267201964</v>
      </c>
      <c r="C276" s="21" t="n">
        <f aca="false">parametros_recargas!$E$90*'Plan mensual'!E277+parametros_recargas!$F$90*'Plan mensual'!E278+parametros_recargas!$G$90*'Plan mensual'!E279+parametros_recargas!$H$90*'Plan mensual'!E280+parametros_recargas!$I$90*'Plan mensual'!E281+parametros_recargas!$J$90*'Plan mensual'!E282+parametros_recargas!$K$90*'Plan mensual'!E283+parametros_recargas!$L$90*'Plan mensual'!E284</f>
        <v>377.381267201964</v>
      </c>
      <c r="D276" s="21" t="n">
        <f aca="false">parametros_recargas!$E$90*'Plan mensual'!F277+parametros_recargas!$F$90*'Plan mensual'!F278+parametros_recargas!$G$90*'Plan mensual'!F279+parametros_recargas!$H$90*'Plan mensual'!F280+parametros_recargas!$I$90*'Plan mensual'!F281+parametros_recargas!$J$90*'Plan mensual'!F282+parametros_recargas!$K$90*'Plan mensual'!F283+parametros_recargas!$L$90*'Plan mensual'!F284</f>
        <v>377.381267201964</v>
      </c>
      <c r="E276" s="21" t="n">
        <f aca="false">parametros_recargas!$E$90*'Plan mensual'!G277+parametros_recargas!$F$90*'Plan mensual'!G278+parametros_recargas!$G$90*'Plan mensual'!G279+parametros_recargas!$H$90*'Plan mensual'!G280+parametros_recargas!$I$90*'Plan mensual'!G281+parametros_recargas!$J$90*'Plan mensual'!G282+parametros_recargas!$K$90*'Plan mensual'!G283+parametros_recargas!$L$90*'Plan mensual'!G284</f>
        <v>377.381267201964</v>
      </c>
      <c r="F276" s="21" t="n">
        <f aca="false">parametros_recargas!$E$90*'Plan mensual'!H277+parametros_recargas!$F$90*'Plan mensual'!H278+parametros_recargas!$G$90*'Plan mensual'!H279+parametros_recargas!$H$90*'Plan mensual'!H280+parametros_recargas!$I$90*'Plan mensual'!H281+parametros_recargas!$J$90*'Plan mensual'!H282+parametros_recargas!$K$90*'Plan mensual'!H283+parametros_recargas!$L$90*'Plan mensual'!H284</f>
        <v>377.381267201964</v>
      </c>
      <c r="G276" s="21" t="n">
        <f aca="false">parametros_recargas!$E$90*'Plan mensual'!I277+parametros_recargas!$F$90*'Plan mensual'!I278+parametros_recargas!$G$90*'Plan mensual'!I279+parametros_recargas!$H$90*'Plan mensual'!I280+parametros_recargas!$I$90*'Plan mensual'!I281+parametros_recargas!$J$90*'Plan mensual'!I282+parametros_recargas!$K$90*'Plan mensual'!I283+parametros_recargas!$L$90*'Plan mensual'!I284</f>
        <v>377.381267201964</v>
      </c>
      <c r="H276" s="21" t="n">
        <f aca="false">parametros_recargas!$E$90*'Plan mensual'!J277+parametros_recargas!$F$90*'Plan mensual'!J278+parametros_recargas!$G$90*'Plan mensual'!J279+parametros_recargas!$H$90*'Plan mensual'!J280+parametros_recargas!$I$90*'Plan mensual'!J281+parametros_recargas!$J$90*'Plan mensual'!J282+parametros_recargas!$K$90*'Plan mensual'!J283+parametros_recargas!$L$90*'Plan mensual'!J284</f>
        <v>377.381267201964</v>
      </c>
      <c r="I276" s="21" t="n">
        <f aca="false">parametros_recargas!$E$90*'Plan mensual'!K277+parametros_recargas!$F$90*'Plan mensual'!K278+parametros_recargas!$G$90*'Plan mensual'!K279+parametros_recargas!$H$90*'Plan mensual'!K280+parametros_recargas!$I$90*'Plan mensual'!K281+parametros_recargas!$J$90*'Plan mensual'!K282+parametros_recargas!$K$90*'Plan mensual'!K283+parametros_recargas!$L$90*'Plan mensual'!K284</f>
        <v>377.381267201964</v>
      </c>
      <c r="J276" s="21" t="n">
        <f aca="false">parametros_recargas!$E$90*'Plan mensual'!L277+parametros_recargas!$F$90*'Plan mensual'!L278+parametros_recargas!$G$90*'Plan mensual'!L279+parametros_recargas!$H$90*'Plan mensual'!L280+parametros_recargas!$I$90*'Plan mensual'!L281+parametros_recargas!$J$90*'Plan mensual'!L282+parametros_recargas!$K$90*'Plan mensual'!L283+parametros_recargas!$L$90*'Plan mensual'!L284</f>
        <v>377.381267201964</v>
      </c>
      <c r="K276" s="21" t="n">
        <f aca="false">parametros_recargas!$E$90*'Plan mensual'!M277+parametros_recargas!$F$90*'Plan mensual'!M278+parametros_recargas!$G$90*'Plan mensual'!M279+parametros_recargas!$H$90*'Plan mensual'!M280+parametros_recargas!$I$90*'Plan mensual'!M281+parametros_recargas!$J$90*'Plan mensual'!M282+parametros_recargas!$K$90*'Plan mensual'!M283+parametros_recargas!$L$90*'Plan mensual'!M284</f>
        <v>377.381267201964</v>
      </c>
      <c r="L276" s="21" t="n">
        <f aca="false">parametros_recargas!$E$90*'Plan mensual'!N277+parametros_recargas!$F$90*'Plan mensual'!N278+parametros_recargas!$G$90*'Plan mensual'!N279+parametros_recargas!$H$90*'Plan mensual'!N280+parametros_recargas!$I$90*'Plan mensual'!N281+parametros_recargas!$J$90*'Plan mensual'!N282+parametros_recargas!$K$90*'Plan mensual'!N283+parametros_recargas!$L$90*'Plan mensual'!N284</f>
        <v>377.381267201964</v>
      </c>
      <c r="M276" s="21" t="n">
        <f aca="false">parametros_recargas!$E$90*'Plan mensual'!O277+parametros_recargas!$F$90*'Plan mensual'!O278+parametros_recargas!$G$90*'Plan mensual'!O279+parametros_recargas!$H$90*'Plan mensual'!O280+parametros_recargas!$I$90*'Plan mensual'!O281+parametros_recargas!$J$90*'Plan mensual'!O282+parametros_recargas!$K$90*'Plan mensual'!O283+parametros_recargas!$L$90*'Plan mensual'!O284</f>
        <v>377.381267201964</v>
      </c>
      <c r="N276" s="6" t="n">
        <f aca="false">SUM(B276:M276)</f>
        <v>4528.57520642357</v>
      </c>
      <c r="O276" s="22" t="n">
        <f aca="false">MAX(B276:M276)</f>
        <v>377.381267201964</v>
      </c>
      <c r="P276" s="12" t="n">
        <f aca="false">O276/parametros_recargas!$B$6</f>
        <v>2.51587511467976</v>
      </c>
    </row>
    <row r="277" customFormat="false" ht="15" hidden="false" customHeight="false" outlineLevel="0" collapsed="false">
      <c r="A277" s="8" t="str">
        <f aca="false">parametros_recargas!$B$91</f>
        <v>Carga de CO₂</v>
      </c>
      <c r="B277" s="21" t="n">
        <f aca="false">parametros_recargas!$E$91*'Plan mensual'!D277+parametros_recargas!$F$91*'Plan mensual'!D278+parametros_recargas!$G$91*'Plan mensual'!D279+parametros_recargas!$H$91*'Plan mensual'!D280+parametros_recargas!$I$91*'Plan mensual'!D281+parametros_recargas!$J$91*'Plan mensual'!D282+parametros_recargas!$K$91*'Plan mensual'!D283+parametros_recargas!$L$91*'Plan mensual'!D284</f>
        <v>206.644714036534</v>
      </c>
      <c r="C277" s="21" t="n">
        <f aca="false">parametros_recargas!$E$91*'Plan mensual'!E277+parametros_recargas!$F$91*'Plan mensual'!E278+parametros_recargas!$G$91*'Plan mensual'!E279+parametros_recargas!$H$91*'Plan mensual'!E280+parametros_recargas!$I$91*'Plan mensual'!E281+parametros_recargas!$J$91*'Plan mensual'!E282+parametros_recargas!$K$91*'Plan mensual'!E283+parametros_recargas!$L$91*'Plan mensual'!E284</f>
        <v>206.644714036534</v>
      </c>
      <c r="D277" s="21" t="n">
        <f aca="false">parametros_recargas!$E$91*'Plan mensual'!F277+parametros_recargas!$F$91*'Plan mensual'!F278+parametros_recargas!$G$91*'Plan mensual'!F279+parametros_recargas!$H$91*'Plan mensual'!F280+parametros_recargas!$I$91*'Plan mensual'!F281+parametros_recargas!$J$91*'Plan mensual'!F282+parametros_recargas!$K$91*'Plan mensual'!F283+parametros_recargas!$L$91*'Plan mensual'!F284</f>
        <v>206.644714036534</v>
      </c>
      <c r="E277" s="21" t="n">
        <f aca="false">parametros_recargas!$E$91*'Plan mensual'!G277+parametros_recargas!$F$91*'Plan mensual'!G278+parametros_recargas!$G$91*'Plan mensual'!G279+parametros_recargas!$H$91*'Plan mensual'!G280+parametros_recargas!$I$91*'Plan mensual'!G281+parametros_recargas!$J$91*'Plan mensual'!G282+parametros_recargas!$K$91*'Plan mensual'!G283+parametros_recargas!$L$91*'Plan mensual'!G284</f>
        <v>206.644714036534</v>
      </c>
      <c r="F277" s="21" t="n">
        <f aca="false">parametros_recargas!$E$91*'Plan mensual'!H277+parametros_recargas!$F$91*'Plan mensual'!H278+parametros_recargas!$G$91*'Plan mensual'!H279+parametros_recargas!$H$91*'Plan mensual'!H280+parametros_recargas!$I$91*'Plan mensual'!H281+parametros_recargas!$J$91*'Plan mensual'!H282+parametros_recargas!$K$91*'Plan mensual'!H283+parametros_recargas!$L$91*'Plan mensual'!H284</f>
        <v>206.644714036534</v>
      </c>
      <c r="G277" s="21" t="n">
        <f aca="false">parametros_recargas!$E$91*'Plan mensual'!I277+parametros_recargas!$F$91*'Plan mensual'!I278+parametros_recargas!$G$91*'Plan mensual'!I279+parametros_recargas!$H$91*'Plan mensual'!I280+parametros_recargas!$I$91*'Plan mensual'!I281+parametros_recargas!$J$91*'Plan mensual'!I282+parametros_recargas!$K$91*'Plan mensual'!I283+parametros_recargas!$L$91*'Plan mensual'!I284</f>
        <v>206.644714036534</v>
      </c>
      <c r="H277" s="21" t="n">
        <f aca="false">parametros_recargas!$E$91*'Plan mensual'!J277+parametros_recargas!$F$91*'Plan mensual'!J278+parametros_recargas!$G$91*'Plan mensual'!J279+parametros_recargas!$H$91*'Plan mensual'!J280+parametros_recargas!$I$91*'Plan mensual'!J281+parametros_recargas!$J$91*'Plan mensual'!J282+parametros_recargas!$K$91*'Plan mensual'!J283+parametros_recargas!$L$91*'Plan mensual'!J284</f>
        <v>206.644714036534</v>
      </c>
      <c r="I277" s="21" t="n">
        <f aca="false">parametros_recargas!$E$91*'Plan mensual'!K277+parametros_recargas!$F$91*'Plan mensual'!K278+parametros_recargas!$G$91*'Plan mensual'!K279+parametros_recargas!$H$91*'Plan mensual'!K280+parametros_recargas!$I$91*'Plan mensual'!K281+parametros_recargas!$J$91*'Plan mensual'!K282+parametros_recargas!$K$91*'Plan mensual'!K283+parametros_recargas!$L$91*'Plan mensual'!K284</f>
        <v>206.644714036534</v>
      </c>
      <c r="J277" s="21" t="n">
        <f aca="false">parametros_recargas!$E$91*'Plan mensual'!L277+parametros_recargas!$F$91*'Plan mensual'!L278+parametros_recargas!$G$91*'Plan mensual'!L279+parametros_recargas!$H$91*'Plan mensual'!L280+parametros_recargas!$I$91*'Plan mensual'!L281+parametros_recargas!$J$91*'Plan mensual'!L282+parametros_recargas!$K$91*'Plan mensual'!L283+parametros_recargas!$L$91*'Plan mensual'!L284</f>
        <v>206.644714036534</v>
      </c>
      <c r="K277" s="21" t="n">
        <f aca="false">parametros_recargas!$E$91*'Plan mensual'!M277+parametros_recargas!$F$91*'Plan mensual'!M278+parametros_recargas!$G$91*'Plan mensual'!M279+parametros_recargas!$H$91*'Plan mensual'!M280+parametros_recargas!$I$91*'Plan mensual'!M281+parametros_recargas!$J$91*'Plan mensual'!M282+parametros_recargas!$K$91*'Plan mensual'!M283+parametros_recargas!$L$91*'Plan mensual'!M284</f>
        <v>206.644714036534</v>
      </c>
      <c r="L277" s="21" t="n">
        <f aca="false">parametros_recargas!$E$91*'Plan mensual'!N277+parametros_recargas!$F$91*'Plan mensual'!N278+parametros_recargas!$G$91*'Plan mensual'!N279+parametros_recargas!$H$91*'Plan mensual'!N280+parametros_recargas!$I$91*'Plan mensual'!N281+parametros_recargas!$J$91*'Plan mensual'!N282+parametros_recargas!$K$91*'Plan mensual'!N283+parametros_recargas!$L$91*'Plan mensual'!N284</f>
        <v>206.644714036534</v>
      </c>
      <c r="M277" s="21" t="n">
        <f aca="false">parametros_recargas!$E$91*'Plan mensual'!O277+parametros_recargas!$F$91*'Plan mensual'!O278+parametros_recargas!$G$91*'Plan mensual'!O279+parametros_recargas!$H$91*'Plan mensual'!O280+parametros_recargas!$I$91*'Plan mensual'!O281+parametros_recargas!$J$91*'Plan mensual'!O282+parametros_recargas!$K$91*'Plan mensual'!O283+parametros_recargas!$L$91*'Plan mensual'!O284</f>
        <v>206.644714036534</v>
      </c>
      <c r="N277" s="6" t="n">
        <f aca="false">SUM(B277:M277)</f>
        <v>2479.7365684384</v>
      </c>
      <c r="O277" s="22" t="n">
        <f aca="false">MAX(B277:M277)</f>
        <v>206.644714036534</v>
      </c>
      <c r="P277" s="12" t="n">
        <f aca="false">O277/parametros_recargas!$B$6</f>
        <v>1.37763142691022</v>
      </c>
    </row>
    <row r="278" customFormat="false" ht="15" hidden="false" customHeight="false" outlineLevel="0" collapsed="false">
      <c r="A278" s="8" t="str">
        <f aca="false">parametros_recargas!$B$92</f>
        <v>Ensamblaje y marbete — recinto</v>
      </c>
      <c r="B278" s="21" t="n">
        <f aca="false">parametros_recargas!$E$92*'Plan mensual'!D277+parametros_recargas!$F$92*'Plan mensual'!D278+parametros_recargas!$G$92*'Plan mensual'!D279+parametros_recargas!$H$92*'Plan mensual'!D280+parametros_recargas!$I$92*'Plan mensual'!D281+parametros_recargas!$J$92*'Plan mensual'!D282+parametros_recargas!$K$92*'Plan mensual'!D283+parametros_recargas!$L$92*'Plan mensual'!D284</f>
        <v>7512.15023783435</v>
      </c>
      <c r="C278" s="21" t="n">
        <f aca="false">parametros_recargas!$E$92*'Plan mensual'!E277+parametros_recargas!$F$92*'Plan mensual'!E278+parametros_recargas!$G$92*'Plan mensual'!E279+parametros_recargas!$H$92*'Plan mensual'!E280+parametros_recargas!$I$92*'Plan mensual'!E281+parametros_recargas!$J$92*'Plan mensual'!E282+parametros_recargas!$K$92*'Plan mensual'!E283+parametros_recargas!$L$92*'Plan mensual'!E284</f>
        <v>7512.15023783435</v>
      </c>
      <c r="D278" s="21" t="n">
        <f aca="false">parametros_recargas!$E$92*'Plan mensual'!F277+parametros_recargas!$F$92*'Plan mensual'!F278+parametros_recargas!$G$92*'Plan mensual'!F279+parametros_recargas!$H$92*'Plan mensual'!F280+parametros_recargas!$I$92*'Plan mensual'!F281+parametros_recargas!$J$92*'Plan mensual'!F282+parametros_recargas!$K$92*'Plan mensual'!F283+parametros_recargas!$L$92*'Plan mensual'!F284</f>
        <v>7512.15023783435</v>
      </c>
      <c r="E278" s="21" t="n">
        <f aca="false">parametros_recargas!$E$92*'Plan mensual'!G277+parametros_recargas!$F$92*'Plan mensual'!G278+parametros_recargas!$G$92*'Plan mensual'!G279+parametros_recargas!$H$92*'Plan mensual'!G280+parametros_recargas!$I$92*'Plan mensual'!G281+parametros_recargas!$J$92*'Plan mensual'!G282+parametros_recargas!$K$92*'Plan mensual'!G283+parametros_recargas!$L$92*'Plan mensual'!G284</f>
        <v>7512.15023783435</v>
      </c>
      <c r="F278" s="21" t="n">
        <f aca="false">parametros_recargas!$E$92*'Plan mensual'!H277+parametros_recargas!$F$92*'Plan mensual'!H278+parametros_recargas!$G$92*'Plan mensual'!H279+parametros_recargas!$H$92*'Plan mensual'!H280+parametros_recargas!$I$92*'Plan mensual'!H281+parametros_recargas!$J$92*'Plan mensual'!H282+parametros_recargas!$K$92*'Plan mensual'!H283+parametros_recargas!$L$92*'Plan mensual'!H284</f>
        <v>7512.15023783435</v>
      </c>
      <c r="G278" s="21" t="n">
        <f aca="false">parametros_recargas!$E$92*'Plan mensual'!I277+parametros_recargas!$F$92*'Plan mensual'!I278+parametros_recargas!$G$92*'Plan mensual'!I279+parametros_recargas!$H$92*'Plan mensual'!I280+parametros_recargas!$I$92*'Plan mensual'!I281+parametros_recargas!$J$92*'Plan mensual'!I282+parametros_recargas!$K$92*'Plan mensual'!I283+parametros_recargas!$L$92*'Plan mensual'!I284</f>
        <v>7512.15023783435</v>
      </c>
      <c r="H278" s="21" t="n">
        <f aca="false">parametros_recargas!$E$92*'Plan mensual'!J277+parametros_recargas!$F$92*'Plan mensual'!J278+parametros_recargas!$G$92*'Plan mensual'!J279+parametros_recargas!$H$92*'Plan mensual'!J280+parametros_recargas!$I$92*'Plan mensual'!J281+parametros_recargas!$J$92*'Plan mensual'!J282+parametros_recargas!$K$92*'Plan mensual'!J283+parametros_recargas!$L$92*'Plan mensual'!J284</f>
        <v>7512.15023783435</v>
      </c>
      <c r="I278" s="21" t="n">
        <f aca="false">parametros_recargas!$E$92*'Plan mensual'!K277+parametros_recargas!$F$92*'Plan mensual'!K278+parametros_recargas!$G$92*'Plan mensual'!K279+parametros_recargas!$H$92*'Plan mensual'!K280+parametros_recargas!$I$92*'Plan mensual'!K281+parametros_recargas!$J$92*'Plan mensual'!K282+parametros_recargas!$K$92*'Plan mensual'!K283+parametros_recargas!$L$92*'Plan mensual'!K284</f>
        <v>7512.15023783435</v>
      </c>
      <c r="J278" s="21" t="n">
        <f aca="false">parametros_recargas!$E$92*'Plan mensual'!L277+parametros_recargas!$F$92*'Plan mensual'!L278+parametros_recargas!$G$92*'Plan mensual'!L279+parametros_recargas!$H$92*'Plan mensual'!L280+parametros_recargas!$I$92*'Plan mensual'!L281+parametros_recargas!$J$92*'Plan mensual'!L282+parametros_recargas!$K$92*'Plan mensual'!L283+parametros_recargas!$L$92*'Plan mensual'!L284</f>
        <v>7512.15023783435</v>
      </c>
      <c r="K278" s="21" t="n">
        <f aca="false">parametros_recargas!$E$92*'Plan mensual'!M277+parametros_recargas!$F$92*'Plan mensual'!M278+parametros_recargas!$G$92*'Plan mensual'!M279+parametros_recargas!$H$92*'Plan mensual'!M280+parametros_recargas!$I$92*'Plan mensual'!M281+parametros_recargas!$J$92*'Plan mensual'!M282+parametros_recargas!$K$92*'Plan mensual'!M283+parametros_recargas!$L$92*'Plan mensual'!M284</f>
        <v>7512.15023783435</v>
      </c>
      <c r="L278" s="21" t="n">
        <f aca="false">parametros_recargas!$E$92*'Plan mensual'!N277+parametros_recargas!$F$92*'Plan mensual'!N278+parametros_recargas!$G$92*'Plan mensual'!N279+parametros_recargas!$H$92*'Plan mensual'!N280+parametros_recargas!$I$92*'Plan mensual'!N281+parametros_recargas!$J$92*'Plan mensual'!N282+parametros_recargas!$K$92*'Plan mensual'!N283+parametros_recargas!$L$92*'Plan mensual'!N284</f>
        <v>7512.15023783435</v>
      </c>
      <c r="M278" s="21" t="n">
        <f aca="false">parametros_recargas!$E$92*'Plan mensual'!O277+parametros_recargas!$F$92*'Plan mensual'!O278+parametros_recargas!$G$92*'Plan mensual'!O279+parametros_recargas!$H$92*'Plan mensual'!O280+parametros_recargas!$I$92*'Plan mensual'!O281+parametros_recargas!$J$92*'Plan mensual'!O282+parametros_recargas!$K$92*'Plan mensual'!O283+parametros_recargas!$L$92*'Plan mensual'!O284</f>
        <v>7512.15023783435</v>
      </c>
      <c r="N278" s="6" t="n">
        <f aca="false">SUM(B278:M278)</f>
        <v>90145.8028540122</v>
      </c>
      <c r="O278" s="22" t="n">
        <f aca="false">MAX(B278:M278)</f>
        <v>7512.15023783435</v>
      </c>
      <c r="P278" s="12" t="n">
        <f aca="false">O278/parametros_recargas!$B$6</f>
        <v>50.0810015855623</v>
      </c>
    </row>
    <row r="279" customFormat="false" ht="15" hidden="false" customHeight="false" outlineLevel="0" collapsed="false">
      <c r="A279" s="8" t="str">
        <f aca="false">parametros_recargas!$B$93</f>
        <v>Presurización — recinto</v>
      </c>
      <c r="B279" s="21" t="n">
        <f aca="false">parametros_recargas!$E$93*'Plan mensual'!D277+parametros_recargas!$F$93*'Plan mensual'!D278+parametros_recargas!$G$93*'Plan mensual'!D279+parametros_recargas!$H$93*'Plan mensual'!D280+parametros_recargas!$I$93*'Plan mensual'!D281+parametros_recargas!$J$93*'Plan mensual'!D282+parametros_recargas!$K$93*'Plan mensual'!D283+parametros_recargas!$L$93*'Plan mensual'!D284</f>
        <v>7512.15023783435</v>
      </c>
      <c r="C279" s="21" t="n">
        <f aca="false">parametros_recargas!$E$93*'Plan mensual'!E277+parametros_recargas!$F$93*'Plan mensual'!E278+parametros_recargas!$G$93*'Plan mensual'!E279+parametros_recargas!$H$93*'Plan mensual'!E280+parametros_recargas!$I$93*'Plan mensual'!E281+parametros_recargas!$J$93*'Plan mensual'!E282+parametros_recargas!$K$93*'Plan mensual'!E283+parametros_recargas!$L$93*'Plan mensual'!E284</f>
        <v>7512.15023783435</v>
      </c>
      <c r="D279" s="21" t="n">
        <f aca="false">parametros_recargas!$E$93*'Plan mensual'!F277+parametros_recargas!$F$93*'Plan mensual'!F278+parametros_recargas!$G$93*'Plan mensual'!F279+parametros_recargas!$H$93*'Plan mensual'!F280+parametros_recargas!$I$93*'Plan mensual'!F281+parametros_recargas!$J$93*'Plan mensual'!F282+parametros_recargas!$K$93*'Plan mensual'!F283+parametros_recargas!$L$93*'Plan mensual'!F284</f>
        <v>7512.15023783435</v>
      </c>
      <c r="E279" s="21" t="n">
        <f aca="false">parametros_recargas!$E$93*'Plan mensual'!G277+parametros_recargas!$F$93*'Plan mensual'!G278+parametros_recargas!$G$93*'Plan mensual'!G279+parametros_recargas!$H$93*'Plan mensual'!G280+parametros_recargas!$I$93*'Plan mensual'!G281+parametros_recargas!$J$93*'Plan mensual'!G282+parametros_recargas!$K$93*'Plan mensual'!G283+parametros_recargas!$L$93*'Plan mensual'!G284</f>
        <v>7512.15023783435</v>
      </c>
      <c r="F279" s="21" t="n">
        <f aca="false">parametros_recargas!$E$93*'Plan mensual'!H277+parametros_recargas!$F$93*'Plan mensual'!H278+parametros_recargas!$G$93*'Plan mensual'!H279+parametros_recargas!$H$93*'Plan mensual'!H280+parametros_recargas!$I$93*'Plan mensual'!H281+parametros_recargas!$J$93*'Plan mensual'!H282+parametros_recargas!$K$93*'Plan mensual'!H283+parametros_recargas!$L$93*'Plan mensual'!H284</f>
        <v>7512.15023783435</v>
      </c>
      <c r="G279" s="21" t="n">
        <f aca="false">parametros_recargas!$E$93*'Plan mensual'!I277+parametros_recargas!$F$93*'Plan mensual'!I278+parametros_recargas!$G$93*'Plan mensual'!I279+parametros_recargas!$H$93*'Plan mensual'!I280+parametros_recargas!$I$93*'Plan mensual'!I281+parametros_recargas!$J$93*'Plan mensual'!I282+parametros_recargas!$K$93*'Plan mensual'!I283+parametros_recargas!$L$93*'Plan mensual'!I284</f>
        <v>7512.15023783435</v>
      </c>
      <c r="H279" s="21" t="n">
        <f aca="false">parametros_recargas!$E$93*'Plan mensual'!J277+parametros_recargas!$F$93*'Plan mensual'!J278+parametros_recargas!$G$93*'Plan mensual'!J279+parametros_recargas!$H$93*'Plan mensual'!J280+parametros_recargas!$I$93*'Plan mensual'!J281+parametros_recargas!$J$93*'Plan mensual'!J282+parametros_recargas!$K$93*'Plan mensual'!J283+parametros_recargas!$L$93*'Plan mensual'!J284</f>
        <v>7512.15023783435</v>
      </c>
      <c r="I279" s="21" t="n">
        <f aca="false">parametros_recargas!$E$93*'Plan mensual'!K277+parametros_recargas!$F$93*'Plan mensual'!K278+parametros_recargas!$G$93*'Plan mensual'!K279+parametros_recargas!$H$93*'Plan mensual'!K280+parametros_recargas!$I$93*'Plan mensual'!K281+parametros_recargas!$J$93*'Plan mensual'!K282+parametros_recargas!$K$93*'Plan mensual'!K283+parametros_recargas!$L$93*'Plan mensual'!K284</f>
        <v>7512.15023783435</v>
      </c>
      <c r="J279" s="21" t="n">
        <f aca="false">parametros_recargas!$E$93*'Plan mensual'!L277+parametros_recargas!$F$93*'Plan mensual'!L278+parametros_recargas!$G$93*'Plan mensual'!L279+parametros_recargas!$H$93*'Plan mensual'!L280+parametros_recargas!$I$93*'Plan mensual'!L281+parametros_recargas!$J$93*'Plan mensual'!L282+parametros_recargas!$K$93*'Plan mensual'!L283+parametros_recargas!$L$93*'Plan mensual'!L284</f>
        <v>7512.15023783435</v>
      </c>
      <c r="K279" s="21" t="n">
        <f aca="false">parametros_recargas!$E$93*'Plan mensual'!M277+parametros_recargas!$F$93*'Plan mensual'!M278+parametros_recargas!$G$93*'Plan mensual'!M279+parametros_recargas!$H$93*'Plan mensual'!M280+parametros_recargas!$I$93*'Plan mensual'!M281+parametros_recargas!$J$93*'Plan mensual'!M282+parametros_recargas!$K$93*'Plan mensual'!M283+parametros_recargas!$L$93*'Plan mensual'!M284</f>
        <v>7512.15023783435</v>
      </c>
      <c r="L279" s="21" t="n">
        <f aca="false">parametros_recargas!$E$93*'Plan mensual'!N277+parametros_recargas!$F$93*'Plan mensual'!N278+parametros_recargas!$G$93*'Plan mensual'!N279+parametros_recargas!$H$93*'Plan mensual'!N280+parametros_recargas!$I$93*'Plan mensual'!N281+parametros_recargas!$J$93*'Plan mensual'!N282+parametros_recargas!$K$93*'Plan mensual'!N283+parametros_recargas!$L$93*'Plan mensual'!N284</f>
        <v>7512.15023783435</v>
      </c>
      <c r="M279" s="21" t="n">
        <f aca="false">parametros_recargas!$E$93*'Plan mensual'!O277+parametros_recargas!$F$93*'Plan mensual'!O278+parametros_recargas!$G$93*'Plan mensual'!O279+parametros_recargas!$H$93*'Plan mensual'!O280+parametros_recargas!$I$93*'Plan mensual'!O281+parametros_recargas!$J$93*'Plan mensual'!O282+parametros_recargas!$K$93*'Plan mensual'!O283+parametros_recargas!$L$93*'Plan mensual'!O284</f>
        <v>7512.15023783435</v>
      </c>
      <c r="N279" s="6" t="n">
        <f aca="false">SUM(B279:M279)</f>
        <v>90145.8028540122</v>
      </c>
      <c r="O279" s="22" t="n">
        <f aca="false">MAX(B279:M279)</f>
        <v>7512.15023783435</v>
      </c>
      <c r="P279" s="12" t="n">
        <f aca="false">O279/parametros_recargas!$B$6</f>
        <v>50.0810015855623</v>
      </c>
    </row>
    <row r="280" customFormat="false" ht="15" hidden="false" customHeight="false" outlineLevel="0" collapsed="false">
      <c r="A280" s="8" t="str">
        <f aca="false">parametros_recargas!$B$94</f>
        <v>Ensamblaje y presurización — zona general</v>
      </c>
      <c r="B280" s="21" t="n">
        <f aca="false">parametros_recargas!$E$94*'Plan mensual'!D277+parametros_recargas!$F$94*'Plan mensual'!D278+parametros_recargas!$G$94*'Plan mensual'!D279+parametros_recargas!$H$94*'Plan mensual'!D280+parametros_recargas!$I$94*'Plan mensual'!D281+parametros_recargas!$J$94*'Plan mensual'!D282+parametros_recargas!$K$94*'Plan mensual'!D283+parametros_recargas!$L$94*'Plan mensual'!D284</f>
        <v>556.704476593949</v>
      </c>
      <c r="C280" s="21" t="n">
        <f aca="false">parametros_recargas!$E$94*'Plan mensual'!E277+parametros_recargas!$F$94*'Plan mensual'!E278+parametros_recargas!$G$94*'Plan mensual'!E279+parametros_recargas!$H$94*'Plan mensual'!E280+parametros_recargas!$I$94*'Plan mensual'!E281+parametros_recargas!$J$94*'Plan mensual'!E282+parametros_recargas!$K$94*'Plan mensual'!E283+parametros_recargas!$L$94*'Plan mensual'!E284</f>
        <v>556.704476593949</v>
      </c>
      <c r="D280" s="21" t="n">
        <f aca="false">parametros_recargas!$E$94*'Plan mensual'!F277+parametros_recargas!$F$94*'Plan mensual'!F278+parametros_recargas!$G$94*'Plan mensual'!F279+parametros_recargas!$H$94*'Plan mensual'!F280+parametros_recargas!$I$94*'Plan mensual'!F281+parametros_recargas!$J$94*'Plan mensual'!F282+parametros_recargas!$K$94*'Plan mensual'!F283+parametros_recargas!$L$94*'Plan mensual'!F284</f>
        <v>556.704476593949</v>
      </c>
      <c r="E280" s="21" t="n">
        <f aca="false">parametros_recargas!$E$94*'Plan mensual'!G277+parametros_recargas!$F$94*'Plan mensual'!G278+parametros_recargas!$G$94*'Plan mensual'!G279+parametros_recargas!$H$94*'Plan mensual'!G280+parametros_recargas!$I$94*'Plan mensual'!G281+parametros_recargas!$J$94*'Plan mensual'!G282+parametros_recargas!$K$94*'Plan mensual'!G283+parametros_recargas!$L$94*'Plan mensual'!G284</f>
        <v>556.704476593949</v>
      </c>
      <c r="F280" s="21" t="n">
        <f aca="false">parametros_recargas!$E$94*'Plan mensual'!H277+parametros_recargas!$F$94*'Plan mensual'!H278+parametros_recargas!$G$94*'Plan mensual'!H279+parametros_recargas!$H$94*'Plan mensual'!H280+parametros_recargas!$I$94*'Plan mensual'!H281+parametros_recargas!$J$94*'Plan mensual'!H282+parametros_recargas!$K$94*'Plan mensual'!H283+parametros_recargas!$L$94*'Plan mensual'!H284</f>
        <v>556.704476593949</v>
      </c>
      <c r="G280" s="21" t="n">
        <f aca="false">parametros_recargas!$E$94*'Plan mensual'!I277+parametros_recargas!$F$94*'Plan mensual'!I278+parametros_recargas!$G$94*'Plan mensual'!I279+parametros_recargas!$H$94*'Plan mensual'!I280+parametros_recargas!$I$94*'Plan mensual'!I281+parametros_recargas!$J$94*'Plan mensual'!I282+parametros_recargas!$K$94*'Plan mensual'!I283+parametros_recargas!$L$94*'Plan mensual'!I284</f>
        <v>556.704476593949</v>
      </c>
      <c r="H280" s="21" t="n">
        <f aca="false">parametros_recargas!$E$94*'Plan mensual'!J277+parametros_recargas!$F$94*'Plan mensual'!J278+parametros_recargas!$G$94*'Plan mensual'!J279+parametros_recargas!$H$94*'Plan mensual'!J280+parametros_recargas!$I$94*'Plan mensual'!J281+parametros_recargas!$J$94*'Plan mensual'!J282+parametros_recargas!$K$94*'Plan mensual'!J283+parametros_recargas!$L$94*'Plan mensual'!J284</f>
        <v>556.704476593949</v>
      </c>
      <c r="I280" s="21" t="n">
        <f aca="false">parametros_recargas!$E$94*'Plan mensual'!K277+parametros_recargas!$F$94*'Plan mensual'!K278+parametros_recargas!$G$94*'Plan mensual'!K279+parametros_recargas!$H$94*'Plan mensual'!K280+parametros_recargas!$I$94*'Plan mensual'!K281+parametros_recargas!$J$94*'Plan mensual'!K282+parametros_recargas!$K$94*'Plan mensual'!K283+parametros_recargas!$L$94*'Plan mensual'!K284</f>
        <v>556.704476593949</v>
      </c>
      <c r="J280" s="21" t="n">
        <f aca="false">parametros_recargas!$E$94*'Plan mensual'!L277+parametros_recargas!$F$94*'Plan mensual'!L278+parametros_recargas!$G$94*'Plan mensual'!L279+parametros_recargas!$H$94*'Plan mensual'!L280+parametros_recargas!$I$94*'Plan mensual'!L281+parametros_recargas!$J$94*'Plan mensual'!L282+parametros_recargas!$K$94*'Plan mensual'!L283+parametros_recargas!$L$94*'Plan mensual'!L284</f>
        <v>556.704476593949</v>
      </c>
      <c r="K280" s="21" t="n">
        <f aca="false">parametros_recargas!$E$94*'Plan mensual'!M277+parametros_recargas!$F$94*'Plan mensual'!M278+parametros_recargas!$G$94*'Plan mensual'!M279+parametros_recargas!$H$94*'Plan mensual'!M280+parametros_recargas!$I$94*'Plan mensual'!M281+parametros_recargas!$J$94*'Plan mensual'!M282+parametros_recargas!$K$94*'Plan mensual'!M283+parametros_recargas!$L$94*'Plan mensual'!M284</f>
        <v>556.704476593949</v>
      </c>
      <c r="L280" s="21" t="n">
        <f aca="false">parametros_recargas!$E$94*'Plan mensual'!N277+parametros_recargas!$F$94*'Plan mensual'!N278+parametros_recargas!$G$94*'Plan mensual'!N279+parametros_recargas!$H$94*'Plan mensual'!N280+parametros_recargas!$I$94*'Plan mensual'!N281+parametros_recargas!$J$94*'Plan mensual'!N282+parametros_recargas!$K$94*'Plan mensual'!N283+parametros_recargas!$L$94*'Plan mensual'!N284</f>
        <v>556.704476593949</v>
      </c>
      <c r="M280" s="21" t="n">
        <f aca="false">parametros_recargas!$E$94*'Plan mensual'!O277+parametros_recargas!$F$94*'Plan mensual'!O278+parametros_recargas!$G$94*'Plan mensual'!O279+parametros_recargas!$H$94*'Plan mensual'!O280+parametros_recargas!$I$94*'Plan mensual'!O281+parametros_recargas!$J$94*'Plan mensual'!O282+parametros_recargas!$K$94*'Plan mensual'!O283+parametros_recargas!$L$94*'Plan mensual'!O284</f>
        <v>556.704476593949</v>
      </c>
      <c r="N280" s="6" t="n">
        <f aca="false">SUM(B280:M280)</f>
        <v>6680.45371912738</v>
      </c>
      <c r="O280" s="22" t="n">
        <f aca="false">MAX(B280:M280)</f>
        <v>556.704476593949</v>
      </c>
      <c r="P280" s="12" t="n">
        <f aca="false">O280/parametros_recargas!$B$6</f>
        <v>3.71136317729299</v>
      </c>
    </row>
    <row r="281" customFormat="false" ht="15" hidden="false" customHeight="false" outlineLevel="0" collapsed="false">
      <c r="A281" s="8" t="str">
        <f aca="false">parametros_recargas!$B$95</f>
        <v>Carga y presurización de halogenado</v>
      </c>
      <c r="B281" s="21" t="n">
        <f aca="false">parametros_recargas!$E$95*'Plan mensual'!D277+parametros_recargas!$F$95*'Plan mensual'!D278+parametros_recargas!$G$95*'Plan mensual'!D279+parametros_recargas!$H$95*'Plan mensual'!D280+parametros_recargas!$I$95*'Plan mensual'!D281+parametros_recargas!$J$95*'Plan mensual'!D282+parametros_recargas!$K$95*'Plan mensual'!D283+parametros_recargas!$L$95*'Plan mensual'!D284</f>
        <v>7.11928102820648</v>
      </c>
      <c r="C281" s="21" t="n">
        <f aca="false">parametros_recargas!$E$95*'Plan mensual'!E277+parametros_recargas!$F$95*'Plan mensual'!E278+parametros_recargas!$G$95*'Plan mensual'!E279+parametros_recargas!$H$95*'Plan mensual'!E280+parametros_recargas!$I$95*'Plan mensual'!E281+parametros_recargas!$J$95*'Plan mensual'!E282+parametros_recargas!$K$95*'Plan mensual'!E283+parametros_recargas!$L$95*'Plan mensual'!E284</f>
        <v>7.11928102820648</v>
      </c>
      <c r="D281" s="21" t="n">
        <f aca="false">parametros_recargas!$E$95*'Plan mensual'!F277+parametros_recargas!$F$95*'Plan mensual'!F278+parametros_recargas!$G$95*'Plan mensual'!F279+parametros_recargas!$H$95*'Plan mensual'!F280+parametros_recargas!$I$95*'Plan mensual'!F281+parametros_recargas!$J$95*'Plan mensual'!F282+parametros_recargas!$K$95*'Plan mensual'!F283+parametros_recargas!$L$95*'Plan mensual'!F284</f>
        <v>7.11928102820648</v>
      </c>
      <c r="E281" s="21" t="n">
        <f aca="false">parametros_recargas!$E$95*'Plan mensual'!G277+parametros_recargas!$F$95*'Plan mensual'!G278+parametros_recargas!$G$95*'Plan mensual'!G279+parametros_recargas!$H$95*'Plan mensual'!G280+parametros_recargas!$I$95*'Plan mensual'!G281+parametros_recargas!$J$95*'Plan mensual'!G282+parametros_recargas!$K$95*'Plan mensual'!G283+parametros_recargas!$L$95*'Plan mensual'!G284</f>
        <v>7.11928102820648</v>
      </c>
      <c r="F281" s="21" t="n">
        <f aca="false">parametros_recargas!$E$95*'Plan mensual'!H277+parametros_recargas!$F$95*'Plan mensual'!H278+parametros_recargas!$G$95*'Plan mensual'!H279+parametros_recargas!$H$95*'Plan mensual'!H280+parametros_recargas!$I$95*'Plan mensual'!H281+parametros_recargas!$J$95*'Plan mensual'!H282+parametros_recargas!$K$95*'Plan mensual'!H283+parametros_recargas!$L$95*'Plan mensual'!H284</f>
        <v>7.11928102820648</v>
      </c>
      <c r="G281" s="21" t="n">
        <f aca="false">parametros_recargas!$E$95*'Plan mensual'!I277+parametros_recargas!$F$95*'Plan mensual'!I278+parametros_recargas!$G$95*'Plan mensual'!I279+parametros_recargas!$H$95*'Plan mensual'!I280+parametros_recargas!$I$95*'Plan mensual'!I281+parametros_recargas!$J$95*'Plan mensual'!I282+parametros_recargas!$K$95*'Plan mensual'!I283+parametros_recargas!$L$95*'Plan mensual'!I284</f>
        <v>7.11928102820648</v>
      </c>
      <c r="H281" s="21" t="n">
        <f aca="false">parametros_recargas!$E$95*'Plan mensual'!J277+parametros_recargas!$F$95*'Plan mensual'!J278+parametros_recargas!$G$95*'Plan mensual'!J279+parametros_recargas!$H$95*'Plan mensual'!J280+parametros_recargas!$I$95*'Plan mensual'!J281+parametros_recargas!$J$95*'Plan mensual'!J282+parametros_recargas!$K$95*'Plan mensual'!J283+parametros_recargas!$L$95*'Plan mensual'!J284</f>
        <v>7.11928102820648</v>
      </c>
      <c r="I281" s="21" t="n">
        <f aca="false">parametros_recargas!$E$95*'Plan mensual'!K277+parametros_recargas!$F$95*'Plan mensual'!K278+parametros_recargas!$G$95*'Plan mensual'!K279+parametros_recargas!$H$95*'Plan mensual'!K280+parametros_recargas!$I$95*'Plan mensual'!K281+parametros_recargas!$J$95*'Plan mensual'!K282+parametros_recargas!$K$95*'Plan mensual'!K283+parametros_recargas!$L$95*'Plan mensual'!K284</f>
        <v>7.11928102820648</v>
      </c>
      <c r="J281" s="21" t="n">
        <f aca="false">parametros_recargas!$E$95*'Plan mensual'!L277+parametros_recargas!$F$95*'Plan mensual'!L278+parametros_recargas!$G$95*'Plan mensual'!L279+parametros_recargas!$H$95*'Plan mensual'!L280+parametros_recargas!$I$95*'Plan mensual'!L281+parametros_recargas!$J$95*'Plan mensual'!L282+parametros_recargas!$K$95*'Plan mensual'!L283+parametros_recargas!$L$95*'Plan mensual'!L284</f>
        <v>7.11928102820648</v>
      </c>
      <c r="K281" s="21" t="n">
        <f aca="false">parametros_recargas!$E$95*'Plan mensual'!M277+parametros_recargas!$F$95*'Plan mensual'!M278+parametros_recargas!$G$95*'Plan mensual'!M279+parametros_recargas!$H$95*'Plan mensual'!M280+parametros_recargas!$I$95*'Plan mensual'!M281+parametros_recargas!$J$95*'Plan mensual'!M282+parametros_recargas!$K$95*'Plan mensual'!M283+parametros_recargas!$L$95*'Plan mensual'!M284</f>
        <v>7.11928102820648</v>
      </c>
      <c r="L281" s="21" t="n">
        <f aca="false">parametros_recargas!$E$95*'Plan mensual'!N277+parametros_recargas!$F$95*'Plan mensual'!N278+parametros_recargas!$G$95*'Plan mensual'!N279+parametros_recargas!$H$95*'Plan mensual'!N280+parametros_recargas!$I$95*'Plan mensual'!N281+parametros_recargas!$J$95*'Plan mensual'!N282+parametros_recargas!$K$95*'Plan mensual'!N283+parametros_recargas!$L$95*'Plan mensual'!N284</f>
        <v>7.11928102820648</v>
      </c>
      <c r="M281" s="21" t="n">
        <f aca="false">parametros_recargas!$E$95*'Plan mensual'!O277+parametros_recargas!$F$95*'Plan mensual'!O278+parametros_recargas!$G$95*'Plan mensual'!O279+parametros_recargas!$H$95*'Plan mensual'!O280+parametros_recargas!$I$95*'Plan mensual'!O281+parametros_recargas!$J$95*'Plan mensual'!O282+parametros_recargas!$K$95*'Plan mensual'!O283+parametros_recargas!$L$95*'Plan mensual'!O284</f>
        <v>7.11928102820648</v>
      </c>
      <c r="N281" s="6" t="n">
        <f aca="false">SUM(B281:M281)</f>
        <v>85.4313723384778</v>
      </c>
      <c r="O281" s="22" t="n">
        <f aca="false">MAX(B281:M281)</f>
        <v>7.11928102820648</v>
      </c>
      <c r="P281" s="12" t="n">
        <f aca="false">O281/parametros_recargas!$B$6</f>
        <v>0.0474618735213765</v>
      </c>
    </row>
    <row r="282" customFormat="false" ht="15" hidden="false" customHeight="false" outlineLevel="0" collapsed="false">
      <c r="A282" s="8" t="str">
        <f aca="false">parametros_recargas!$B$96</f>
        <v>Control de peso (CO₂ y halogenados sin recarga)</v>
      </c>
      <c r="B282" s="21" t="n">
        <f aca="false">parametros_recargas!$E$96*'Plan mensual'!D277+parametros_recargas!$F$96*'Plan mensual'!D278+parametros_recargas!$G$96*'Plan mensual'!D279+parametros_recargas!$H$96*'Plan mensual'!D280+parametros_recargas!$I$96*'Plan mensual'!D281+parametros_recargas!$J$96*'Plan mensual'!D282+parametros_recargas!$K$96*'Plan mensual'!D283+parametros_recargas!$L$96*'Plan mensual'!D284</f>
        <v>503.528842503198</v>
      </c>
      <c r="C282" s="21" t="n">
        <f aca="false">parametros_recargas!$E$96*'Plan mensual'!E277+parametros_recargas!$F$96*'Plan mensual'!E278+parametros_recargas!$G$96*'Plan mensual'!E279+parametros_recargas!$H$96*'Plan mensual'!E280+parametros_recargas!$I$96*'Plan mensual'!E281+parametros_recargas!$J$96*'Plan mensual'!E282+parametros_recargas!$K$96*'Plan mensual'!E283+parametros_recargas!$L$96*'Plan mensual'!E284</f>
        <v>503.528842503198</v>
      </c>
      <c r="D282" s="21" t="n">
        <f aca="false">parametros_recargas!$E$96*'Plan mensual'!F277+parametros_recargas!$F$96*'Plan mensual'!F278+parametros_recargas!$G$96*'Plan mensual'!F279+parametros_recargas!$H$96*'Plan mensual'!F280+parametros_recargas!$I$96*'Plan mensual'!F281+parametros_recargas!$J$96*'Plan mensual'!F282+parametros_recargas!$K$96*'Plan mensual'!F283+parametros_recargas!$L$96*'Plan mensual'!F284</f>
        <v>503.528842503198</v>
      </c>
      <c r="E282" s="21" t="n">
        <f aca="false">parametros_recargas!$E$96*'Plan mensual'!G277+parametros_recargas!$F$96*'Plan mensual'!G278+parametros_recargas!$G$96*'Plan mensual'!G279+parametros_recargas!$H$96*'Plan mensual'!G280+parametros_recargas!$I$96*'Plan mensual'!G281+parametros_recargas!$J$96*'Plan mensual'!G282+parametros_recargas!$K$96*'Plan mensual'!G283+parametros_recargas!$L$96*'Plan mensual'!G284</f>
        <v>503.528842503198</v>
      </c>
      <c r="F282" s="21" t="n">
        <f aca="false">parametros_recargas!$E$96*'Plan mensual'!H277+parametros_recargas!$F$96*'Plan mensual'!H278+parametros_recargas!$G$96*'Plan mensual'!H279+parametros_recargas!$H$96*'Plan mensual'!H280+parametros_recargas!$I$96*'Plan mensual'!H281+parametros_recargas!$J$96*'Plan mensual'!H282+parametros_recargas!$K$96*'Plan mensual'!H283+parametros_recargas!$L$96*'Plan mensual'!H284</f>
        <v>503.528842503198</v>
      </c>
      <c r="G282" s="21" t="n">
        <f aca="false">parametros_recargas!$E$96*'Plan mensual'!I277+parametros_recargas!$F$96*'Plan mensual'!I278+parametros_recargas!$G$96*'Plan mensual'!I279+parametros_recargas!$H$96*'Plan mensual'!I280+parametros_recargas!$I$96*'Plan mensual'!I281+parametros_recargas!$J$96*'Plan mensual'!I282+parametros_recargas!$K$96*'Plan mensual'!I283+parametros_recargas!$L$96*'Plan mensual'!I284</f>
        <v>503.528842503198</v>
      </c>
      <c r="H282" s="21" t="n">
        <f aca="false">parametros_recargas!$E$96*'Plan mensual'!J277+parametros_recargas!$F$96*'Plan mensual'!J278+parametros_recargas!$G$96*'Plan mensual'!J279+parametros_recargas!$H$96*'Plan mensual'!J280+parametros_recargas!$I$96*'Plan mensual'!J281+parametros_recargas!$J$96*'Plan mensual'!J282+parametros_recargas!$K$96*'Plan mensual'!J283+parametros_recargas!$L$96*'Plan mensual'!J284</f>
        <v>503.528842503198</v>
      </c>
      <c r="I282" s="21" t="n">
        <f aca="false">parametros_recargas!$E$96*'Plan mensual'!K277+parametros_recargas!$F$96*'Plan mensual'!K278+parametros_recargas!$G$96*'Plan mensual'!K279+parametros_recargas!$H$96*'Plan mensual'!K280+parametros_recargas!$I$96*'Plan mensual'!K281+parametros_recargas!$J$96*'Plan mensual'!K282+parametros_recargas!$K$96*'Plan mensual'!K283+parametros_recargas!$L$96*'Plan mensual'!K284</f>
        <v>503.528842503198</v>
      </c>
      <c r="J282" s="21" t="n">
        <f aca="false">parametros_recargas!$E$96*'Plan mensual'!L277+parametros_recargas!$F$96*'Plan mensual'!L278+parametros_recargas!$G$96*'Plan mensual'!L279+parametros_recargas!$H$96*'Plan mensual'!L280+parametros_recargas!$I$96*'Plan mensual'!L281+parametros_recargas!$J$96*'Plan mensual'!L282+parametros_recargas!$K$96*'Plan mensual'!L283+parametros_recargas!$L$96*'Plan mensual'!L284</f>
        <v>503.528842503198</v>
      </c>
      <c r="K282" s="21" t="n">
        <f aca="false">parametros_recargas!$E$96*'Plan mensual'!M277+parametros_recargas!$F$96*'Plan mensual'!M278+parametros_recargas!$G$96*'Plan mensual'!M279+parametros_recargas!$H$96*'Plan mensual'!M280+parametros_recargas!$I$96*'Plan mensual'!M281+parametros_recargas!$J$96*'Plan mensual'!M282+parametros_recargas!$K$96*'Plan mensual'!M283+parametros_recargas!$L$96*'Plan mensual'!M284</f>
        <v>503.528842503198</v>
      </c>
      <c r="L282" s="21" t="n">
        <f aca="false">parametros_recargas!$E$96*'Plan mensual'!N277+parametros_recargas!$F$96*'Plan mensual'!N278+parametros_recargas!$G$96*'Plan mensual'!N279+parametros_recargas!$H$96*'Plan mensual'!N280+parametros_recargas!$I$96*'Plan mensual'!N281+parametros_recargas!$J$96*'Plan mensual'!N282+parametros_recargas!$K$96*'Plan mensual'!N283+parametros_recargas!$L$96*'Plan mensual'!N284</f>
        <v>503.528842503198</v>
      </c>
      <c r="M282" s="21" t="n">
        <f aca="false">parametros_recargas!$E$96*'Plan mensual'!O277+parametros_recargas!$F$96*'Plan mensual'!O278+parametros_recargas!$G$96*'Plan mensual'!O279+parametros_recargas!$H$96*'Plan mensual'!O280+parametros_recargas!$I$96*'Plan mensual'!O281+parametros_recargas!$J$96*'Plan mensual'!O282+parametros_recargas!$K$96*'Plan mensual'!O283+parametros_recargas!$L$96*'Plan mensual'!O284</f>
        <v>503.528842503198</v>
      </c>
      <c r="N282" s="6" t="n">
        <f aca="false">SUM(B282:M282)</f>
        <v>6042.34611003838</v>
      </c>
      <c r="O282" s="22" t="n">
        <f aca="false">MAX(B282:M282)</f>
        <v>503.528842503198</v>
      </c>
      <c r="P282" s="12" t="n">
        <f aca="false">O282/parametros_recargas!$B$6</f>
        <v>3.35685895002132</v>
      </c>
    </row>
    <row r="283" customFormat="false" ht="15" hidden="false" customHeight="false" outlineLevel="0" collapsed="false">
      <c r="A283" s="8" t="str">
        <f aca="false">parametros_recargas!$B$97</f>
        <v>Ensayo de pérdidas</v>
      </c>
      <c r="B283" s="21" t="n">
        <f aca="false">parametros_recargas!$E$97*'Plan mensual'!D277+parametros_recargas!$F$97*'Plan mensual'!D278+parametros_recargas!$G$97*'Plan mensual'!D279+parametros_recargas!$H$97*'Plan mensual'!D280+parametros_recargas!$I$97*'Plan mensual'!D281+parametros_recargas!$J$97*'Plan mensual'!D282+parametros_recargas!$K$97*'Plan mensual'!D283+parametros_recargas!$L$97*'Plan mensual'!D284</f>
        <v>8606.82434260425</v>
      </c>
      <c r="C283" s="21" t="n">
        <f aca="false">parametros_recargas!$E$97*'Plan mensual'!E277+parametros_recargas!$F$97*'Plan mensual'!E278+parametros_recargas!$G$97*'Plan mensual'!E279+parametros_recargas!$H$97*'Plan mensual'!E280+parametros_recargas!$I$97*'Plan mensual'!E281+parametros_recargas!$J$97*'Plan mensual'!E282+parametros_recargas!$K$97*'Plan mensual'!E283+parametros_recargas!$L$97*'Plan mensual'!E284</f>
        <v>8606.82434260425</v>
      </c>
      <c r="D283" s="21" t="n">
        <f aca="false">parametros_recargas!$E$97*'Plan mensual'!F277+parametros_recargas!$F$97*'Plan mensual'!F278+parametros_recargas!$G$97*'Plan mensual'!F279+parametros_recargas!$H$97*'Plan mensual'!F280+parametros_recargas!$I$97*'Plan mensual'!F281+parametros_recargas!$J$97*'Plan mensual'!F282+parametros_recargas!$K$97*'Plan mensual'!F283+parametros_recargas!$L$97*'Plan mensual'!F284</f>
        <v>8606.82434260425</v>
      </c>
      <c r="E283" s="21" t="n">
        <f aca="false">parametros_recargas!$E$97*'Plan mensual'!G277+parametros_recargas!$F$97*'Plan mensual'!G278+parametros_recargas!$G$97*'Plan mensual'!G279+parametros_recargas!$H$97*'Plan mensual'!G280+parametros_recargas!$I$97*'Plan mensual'!G281+parametros_recargas!$J$97*'Plan mensual'!G282+parametros_recargas!$K$97*'Plan mensual'!G283+parametros_recargas!$L$97*'Plan mensual'!G284</f>
        <v>8606.82434260425</v>
      </c>
      <c r="F283" s="21" t="n">
        <f aca="false">parametros_recargas!$E$97*'Plan mensual'!H277+parametros_recargas!$F$97*'Plan mensual'!H278+parametros_recargas!$G$97*'Plan mensual'!H279+parametros_recargas!$H$97*'Plan mensual'!H280+parametros_recargas!$I$97*'Plan mensual'!H281+parametros_recargas!$J$97*'Plan mensual'!H282+parametros_recargas!$K$97*'Plan mensual'!H283+parametros_recargas!$L$97*'Plan mensual'!H284</f>
        <v>8606.82434260425</v>
      </c>
      <c r="G283" s="21" t="n">
        <f aca="false">parametros_recargas!$E$97*'Plan mensual'!I277+parametros_recargas!$F$97*'Plan mensual'!I278+parametros_recargas!$G$97*'Plan mensual'!I279+parametros_recargas!$H$97*'Plan mensual'!I280+parametros_recargas!$I$97*'Plan mensual'!I281+parametros_recargas!$J$97*'Plan mensual'!I282+parametros_recargas!$K$97*'Plan mensual'!I283+parametros_recargas!$L$97*'Plan mensual'!I284</f>
        <v>8606.82434260425</v>
      </c>
      <c r="H283" s="21" t="n">
        <f aca="false">parametros_recargas!$E$97*'Plan mensual'!J277+parametros_recargas!$F$97*'Plan mensual'!J278+parametros_recargas!$G$97*'Plan mensual'!J279+parametros_recargas!$H$97*'Plan mensual'!J280+parametros_recargas!$I$97*'Plan mensual'!J281+parametros_recargas!$J$97*'Plan mensual'!J282+parametros_recargas!$K$97*'Plan mensual'!J283+parametros_recargas!$L$97*'Plan mensual'!J284</f>
        <v>8606.82434260425</v>
      </c>
      <c r="I283" s="21" t="n">
        <f aca="false">parametros_recargas!$E$97*'Plan mensual'!K277+parametros_recargas!$F$97*'Plan mensual'!K278+parametros_recargas!$G$97*'Plan mensual'!K279+parametros_recargas!$H$97*'Plan mensual'!K280+parametros_recargas!$I$97*'Plan mensual'!K281+parametros_recargas!$J$97*'Plan mensual'!K282+parametros_recargas!$K$97*'Plan mensual'!K283+parametros_recargas!$L$97*'Plan mensual'!K284</f>
        <v>8606.82434260425</v>
      </c>
      <c r="J283" s="21" t="n">
        <f aca="false">parametros_recargas!$E$97*'Plan mensual'!L277+parametros_recargas!$F$97*'Plan mensual'!L278+parametros_recargas!$G$97*'Plan mensual'!L279+parametros_recargas!$H$97*'Plan mensual'!L280+parametros_recargas!$I$97*'Plan mensual'!L281+parametros_recargas!$J$97*'Plan mensual'!L282+parametros_recargas!$K$97*'Plan mensual'!L283+parametros_recargas!$L$97*'Plan mensual'!L284</f>
        <v>8606.82434260425</v>
      </c>
      <c r="K283" s="21" t="n">
        <f aca="false">parametros_recargas!$E$97*'Plan mensual'!M277+parametros_recargas!$F$97*'Plan mensual'!M278+parametros_recargas!$G$97*'Plan mensual'!M279+parametros_recargas!$H$97*'Plan mensual'!M280+parametros_recargas!$I$97*'Plan mensual'!M281+parametros_recargas!$J$97*'Plan mensual'!M282+parametros_recargas!$K$97*'Plan mensual'!M283+parametros_recargas!$L$97*'Plan mensual'!M284</f>
        <v>8606.82434260425</v>
      </c>
      <c r="L283" s="21" t="n">
        <f aca="false">parametros_recargas!$E$97*'Plan mensual'!N277+parametros_recargas!$F$97*'Plan mensual'!N278+parametros_recargas!$G$97*'Plan mensual'!N279+parametros_recargas!$H$97*'Plan mensual'!N280+parametros_recargas!$I$97*'Plan mensual'!N281+parametros_recargas!$J$97*'Plan mensual'!N282+parametros_recargas!$K$97*'Plan mensual'!N283+parametros_recargas!$L$97*'Plan mensual'!N284</f>
        <v>8606.82434260425</v>
      </c>
      <c r="M283" s="21" t="n">
        <f aca="false">parametros_recargas!$E$97*'Plan mensual'!O277+parametros_recargas!$F$97*'Plan mensual'!O278+parametros_recargas!$G$97*'Plan mensual'!O279+parametros_recargas!$H$97*'Plan mensual'!O280+parametros_recargas!$I$97*'Plan mensual'!O281+parametros_recargas!$J$97*'Plan mensual'!O282+parametros_recargas!$K$97*'Plan mensual'!O283+parametros_recargas!$L$97*'Plan mensual'!O284</f>
        <v>8606.82434260425</v>
      </c>
      <c r="N283" s="6" t="n">
        <f aca="false">SUM(B283:M283)</f>
        <v>103281.892111251</v>
      </c>
      <c r="O283" s="22" t="n">
        <f aca="false">MAX(B283:M283)</f>
        <v>8606.82434260425</v>
      </c>
      <c r="P283" s="12" t="n">
        <f aca="false">O283/parametros_recargas!$B$6</f>
        <v>57.378828950695</v>
      </c>
    </row>
    <row r="284" customFormat="false" ht="15" hidden="false" customHeight="false" outlineLevel="0" collapsed="false">
      <c r="A284" s="8" t="str">
        <f aca="false">parametros_recargas!$B$98</f>
        <v>Precinto, etiqueta y despacho</v>
      </c>
      <c r="B284" s="21" t="n">
        <f aca="false">parametros_recargas!$E$98*'Plan mensual'!D277+parametros_recargas!$F$98*'Plan mensual'!D278+parametros_recargas!$G$98*'Plan mensual'!D279+parametros_recargas!$H$98*'Plan mensual'!D280+parametros_recargas!$I$98*'Plan mensual'!D281+parametros_recargas!$J$98*'Plan mensual'!D282+parametros_recargas!$K$98*'Plan mensual'!D283+parametros_recargas!$L$98*'Plan mensual'!D284</f>
        <v>8606.82434260425</v>
      </c>
      <c r="C284" s="21" t="n">
        <f aca="false">parametros_recargas!$E$98*'Plan mensual'!E277+parametros_recargas!$F$98*'Plan mensual'!E278+parametros_recargas!$G$98*'Plan mensual'!E279+parametros_recargas!$H$98*'Plan mensual'!E280+parametros_recargas!$I$98*'Plan mensual'!E281+parametros_recargas!$J$98*'Plan mensual'!E282+parametros_recargas!$K$98*'Plan mensual'!E283+parametros_recargas!$L$98*'Plan mensual'!E284</f>
        <v>8606.82434260425</v>
      </c>
      <c r="D284" s="21" t="n">
        <f aca="false">parametros_recargas!$E$98*'Plan mensual'!F277+parametros_recargas!$F$98*'Plan mensual'!F278+parametros_recargas!$G$98*'Plan mensual'!F279+parametros_recargas!$H$98*'Plan mensual'!F280+parametros_recargas!$I$98*'Plan mensual'!F281+parametros_recargas!$J$98*'Plan mensual'!F282+parametros_recargas!$K$98*'Plan mensual'!F283+parametros_recargas!$L$98*'Plan mensual'!F284</f>
        <v>8606.82434260425</v>
      </c>
      <c r="E284" s="21" t="n">
        <f aca="false">parametros_recargas!$E$98*'Plan mensual'!G277+parametros_recargas!$F$98*'Plan mensual'!G278+parametros_recargas!$G$98*'Plan mensual'!G279+parametros_recargas!$H$98*'Plan mensual'!G280+parametros_recargas!$I$98*'Plan mensual'!G281+parametros_recargas!$J$98*'Plan mensual'!G282+parametros_recargas!$K$98*'Plan mensual'!G283+parametros_recargas!$L$98*'Plan mensual'!G284</f>
        <v>8606.82434260425</v>
      </c>
      <c r="F284" s="21" t="n">
        <f aca="false">parametros_recargas!$E$98*'Plan mensual'!H277+parametros_recargas!$F$98*'Plan mensual'!H278+parametros_recargas!$G$98*'Plan mensual'!H279+parametros_recargas!$H$98*'Plan mensual'!H280+parametros_recargas!$I$98*'Plan mensual'!H281+parametros_recargas!$J$98*'Plan mensual'!H282+parametros_recargas!$K$98*'Plan mensual'!H283+parametros_recargas!$L$98*'Plan mensual'!H284</f>
        <v>8606.82434260425</v>
      </c>
      <c r="G284" s="21" t="n">
        <f aca="false">parametros_recargas!$E$98*'Plan mensual'!I277+parametros_recargas!$F$98*'Plan mensual'!I278+parametros_recargas!$G$98*'Plan mensual'!I279+parametros_recargas!$H$98*'Plan mensual'!I280+parametros_recargas!$I$98*'Plan mensual'!I281+parametros_recargas!$J$98*'Plan mensual'!I282+parametros_recargas!$K$98*'Plan mensual'!I283+parametros_recargas!$L$98*'Plan mensual'!I284</f>
        <v>8606.82434260425</v>
      </c>
      <c r="H284" s="21" t="n">
        <f aca="false">parametros_recargas!$E$98*'Plan mensual'!J277+parametros_recargas!$F$98*'Plan mensual'!J278+parametros_recargas!$G$98*'Plan mensual'!J279+parametros_recargas!$H$98*'Plan mensual'!J280+parametros_recargas!$I$98*'Plan mensual'!J281+parametros_recargas!$J$98*'Plan mensual'!J282+parametros_recargas!$K$98*'Plan mensual'!J283+parametros_recargas!$L$98*'Plan mensual'!J284</f>
        <v>8606.82434260425</v>
      </c>
      <c r="I284" s="21" t="n">
        <f aca="false">parametros_recargas!$E$98*'Plan mensual'!K277+parametros_recargas!$F$98*'Plan mensual'!K278+parametros_recargas!$G$98*'Plan mensual'!K279+parametros_recargas!$H$98*'Plan mensual'!K280+parametros_recargas!$I$98*'Plan mensual'!K281+parametros_recargas!$J$98*'Plan mensual'!K282+parametros_recargas!$K$98*'Plan mensual'!K283+parametros_recargas!$L$98*'Plan mensual'!K284</f>
        <v>8606.82434260425</v>
      </c>
      <c r="J284" s="21" t="n">
        <f aca="false">parametros_recargas!$E$98*'Plan mensual'!L277+parametros_recargas!$F$98*'Plan mensual'!L278+parametros_recargas!$G$98*'Plan mensual'!L279+parametros_recargas!$H$98*'Plan mensual'!L280+parametros_recargas!$I$98*'Plan mensual'!L281+parametros_recargas!$J$98*'Plan mensual'!L282+parametros_recargas!$K$98*'Plan mensual'!L283+parametros_recargas!$L$98*'Plan mensual'!L284</f>
        <v>8606.82434260425</v>
      </c>
      <c r="K284" s="21" t="n">
        <f aca="false">parametros_recargas!$E$98*'Plan mensual'!M277+parametros_recargas!$F$98*'Plan mensual'!M278+parametros_recargas!$G$98*'Plan mensual'!M279+parametros_recargas!$H$98*'Plan mensual'!M280+parametros_recargas!$I$98*'Plan mensual'!M281+parametros_recargas!$J$98*'Plan mensual'!M282+parametros_recargas!$K$98*'Plan mensual'!M283+parametros_recargas!$L$98*'Plan mensual'!M284</f>
        <v>8606.82434260425</v>
      </c>
      <c r="L284" s="21" t="n">
        <f aca="false">parametros_recargas!$E$98*'Plan mensual'!N277+parametros_recargas!$F$98*'Plan mensual'!N278+parametros_recargas!$G$98*'Plan mensual'!N279+parametros_recargas!$H$98*'Plan mensual'!N280+parametros_recargas!$I$98*'Plan mensual'!N281+parametros_recargas!$J$98*'Plan mensual'!N282+parametros_recargas!$K$98*'Plan mensual'!N283+parametros_recargas!$L$98*'Plan mensual'!N284</f>
        <v>8606.82434260425</v>
      </c>
      <c r="M284" s="21" t="n">
        <f aca="false">parametros_recargas!$E$98*'Plan mensual'!O277+parametros_recargas!$F$98*'Plan mensual'!O278+parametros_recargas!$G$98*'Plan mensual'!O279+parametros_recargas!$H$98*'Plan mensual'!O280+parametros_recargas!$I$98*'Plan mensual'!O281+parametros_recargas!$J$98*'Plan mensual'!O282+parametros_recargas!$K$98*'Plan mensual'!O283+parametros_recargas!$L$98*'Plan mensual'!O284</f>
        <v>8606.82434260425</v>
      </c>
      <c r="N284" s="6" t="n">
        <f aca="false">SUM(B284:M284)</f>
        <v>103281.892111251</v>
      </c>
      <c r="O284" s="22" t="n">
        <f aca="false">MAX(B284:M284)</f>
        <v>8606.82434260425</v>
      </c>
      <c r="P284" s="12" t="n">
        <f aca="false">O284/parametros_recargas!$B$6</f>
        <v>57.378828950695</v>
      </c>
    </row>
    <row r="285" customFormat="false" ht="15" hidden="false" customHeight="false" outlineLevel="0" collapsed="false">
      <c r="A285" s="8" t="str">
        <f aca="false">parametros_recargas!$B$99</f>
        <v>Inutilización y disposición final</v>
      </c>
      <c r="B285" s="21" t="n">
        <f aca="false">parametros_recargas!$E$99*'Plan mensual'!D277+parametros_recargas!$F$99*'Plan mensual'!D278+parametros_recargas!$G$99*'Plan mensual'!D279+parametros_recargas!$H$99*'Plan mensual'!D280+parametros_recargas!$I$99*'Plan mensual'!D281+parametros_recargas!$J$99*'Plan mensual'!D282+parametros_recargas!$K$99*'Plan mensual'!D283+parametros_recargas!$L$99*'Plan mensual'!D284</f>
        <v>677.065685517422</v>
      </c>
      <c r="C285" s="21" t="n">
        <f aca="false">parametros_recargas!$E$99*'Plan mensual'!E277+parametros_recargas!$F$99*'Plan mensual'!E278+parametros_recargas!$G$99*'Plan mensual'!E279+parametros_recargas!$H$99*'Plan mensual'!E280+parametros_recargas!$I$99*'Plan mensual'!E281+parametros_recargas!$J$99*'Plan mensual'!E282+parametros_recargas!$K$99*'Plan mensual'!E283+parametros_recargas!$L$99*'Plan mensual'!E284</f>
        <v>677.065685517422</v>
      </c>
      <c r="D285" s="21" t="n">
        <f aca="false">parametros_recargas!$E$99*'Plan mensual'!F277+parametros_recargas!$F$99*'Plan mensual'!F278+parametros_recargas!$G$99*'Plan mensual'!F279+parametros_recargas!$H$99*'Plan mensual'!F280+parametros_recargas!$I$99*'Plan mensual'!F281+parametros_recargas!$J$99*'Plan mensual'!F282+parametros_recargas!$K$99*'Plan mensual'!F283+parametros_recargas!$L$99*'Plan mensual'!F284</f>
        <v>677.065685517422</v>
      </c>
      <c r="E285" s="21" t="n">
        <f aca="false">parametros_recargas!$E$99*'Plan mensual'!G277+parametros_recargas!$F$99*'Plan mensual'!G278+parametros_recargas!$G$99*'Plan mensual'!G279+parametros_recargas!$H$99*'Plan mensual'!G280+parametros_recargas!$I$99*'Plan mensual'!G281+parametros_recargas!$J$99*'Plan mensual'!G282+parametros_recargas!$K$99*'Plan mensual'!G283+parametros_recargas!$L$99*'Plan mensual'!G284</f>
        <v>677.065685517422</v>
      </c>
      <c r="F285" s="21" t="n">
        <f aca="false">parametros_recargas!$E$99*'Plan mensual'!H277+parametros_recargas!$F$99*'Plan mensual'!H278+parametros_recargas!$G$99*'Plan mensual'!H279+parametros_recargas!$H$99*'Plan mensual'!H280+parametros_recargas!$I$99*'Plan mensual'!H281+parametros_recargas!$J$99*'Plan mensual'!H282+parametros_recargas!$K$99*'Plan mensual'!H283+parametros_recargas!$L$99*'Plan mensual'!H284</f>
        <v>677.065685517422</v>
      </c>
      <c r="G285" s="21" t="n">
        <f aca="false">parametros_recargas!$E$99*'Plan mensual'!I277+parametros_recargas!$F$99*'Plan mensual'!I278+parametros_recargas!$G$99*'Plan mensual'!I279+parametros_recargas!$H$99*'Plan mensual'!I280+parametros_recargas!$I$99*'Plan mensual'!I281+parametros_recargas!$J$99*'Plan mensual'!I282+parametros_recargas!$K$99*'Plan mensual'!I283+parametros_recargas!$L$99*'Plan mensual'!I284</f>
        <v>677.065685517422</v>
      </c>
      <c r="H285" s="21" t="n">
        <f aca="false">parametros_recargas!$E$99*'Plan mensual'!J277+parametros_recargas!$F$99*'Plan mensual'!J278+parametros_recargas!$G$99*'Plan mensual'!J279+parametros_recargas!$H$99*'Plan mensual'!J280+parametros_recargas!$I$99*'Plan mensual'!J281+parametros_recargas!$J$99*'Plan mensual'!J282+parametros_recargas!$K$99*'Plan mensual'!J283+parametros_recargas!$L$99*'Plan mensual'!J284</f>
        <v>677.065685517422</v>
      </c>
      <c r="I285" s="21" t="n">
        <f aca="false">parametros_recargas!$E$99*'Plan mensual'!K277+parametros_recargas!$F$99*'Plan mensual'!K278+parametros_recargas!$G$99*'Plan mensual'!K279+parametros_recargas!$H$99*'Plan mensual'!K280+parametros_recargas!$I$99*'Plan mensual'!K281+parametros_recargas!$J$99*'Plan mensual'!K282+parametros_recargas!$K$99*'Plan mensual'!K283+parametros_recargas!$L$99*'Plan mensual'!K284</f>
        <v>677.065685517422</v>
      </c>
      <c r="J285" s="21" t="n">
        <f aca="false">parametros_recargas!$E$99*'Plan mensual'!L277+parametros_recargas!$F$99*'Plan mensual'!L278+parametros_recargas!$G$99*'Plan mensual'!L279+parametros_recargas!$H$99*'Plan mensual'!L280+parametros_recargas!$I$99*'Plan mensual'!L281+parametros_recargas!$J$99*'Plan mensual'!L282+parametros_recargas!$K$99*'Plan mensual'!L283+parametros_recargas!$L$99*'Plan mensual'!L284</f>
        <v>677.065685517422</v>
      </c>
      <c r="K285" s="21" t="n">
        <f aca="false">parametros_recargas!$E$99*'Plan mensual'!M277+parametros_recargas!$F$99*'Plan mensual'!M278+parametros_recargas!$G$99*'Plan mensual'!M279+parametros_recargas!$H$99*'Plan mensual'!M280+parametros_recargas!$I$99*'Plan mensual'!M281+parametros_recargas!$J$99*'Plan mensual'!M282+parametros_recargas!$K$99*'Plan mensual'!M283+parametros_recargas!$L$99*'Plan mensual'!M284</f>
        <v>677.065685517422</v>
      </c>
      <c r="L285" s="21" t="n">
        <f aca="false">parametros_recargas!$E$99*'Plan mensual'!N277+parametros_recargas!$F$99*'Plan mensual'!N278+parametros_recargas!$G$99*'Plan mensual'!N279+parametros_recargas!$H$99*'Plan mensual'!N280+parametros_recargas!$I$99*'Plan mensual'!N281+parametros_recargas!$J$99*'Plan mensual'!N282+parametros_recargas!$K$99*'Plan mensual'!N283+parametros_recargas!$L$99*'Plan mensual'!N284</f>
        <v>677.065685517422</v>
      </c>
      <c r="M285" s="21" t="n">
        <f aca="false">parametros_recargas!$E$99*'Plan mensual'!O277+parametros_recargas!$F$99*'Plan mensual'!O278+parametros_recargas!$G$99*'Plan mensual'!O279+parametros_recargas!$H$99*'Plan mensual'!O280+parametros_recargas!$I$99*'Plan mensual'!O281+parametros_recargas!$J$99*'Plan mensual'!O282+parametros_recargas!$K$99*'Plan mensual'!O283+parametros_recargas!$L$99*'Plan mensual'!O284</f>
        <v>677.065685517422</v>
      </c>
      <c r="N285" s="6" t="n">
        <f aca="false">SUM(B285:M285)</f>
        <v>8124.78822620906</v>
      </c>
      <c r="O285" s="22" t="n">
        <f aca="false">MAX(B285:M285)</f>
        <v>677.065685517422</v>
      </c>
      <c r="P285" s="12" t="n">
        <f aca="false">O285/parametros_recargas!$B$6</f>
        <v>4.51377123678281</v>
      </c>
    </row>
    <row r="286" customFormat="false" ht="15" hidden="false" customHeight="false" outlineLevel="0" collapsed="false">
      <c r="A286" s="8" t="str">
        <f aca="false">parametros_recargas!$B$100</f>
        <v>PH de mangueras (CO₂ y rodantes)</v>
      </c>
      <c r="B286" s="21" t="n">
        <f aca="false">'Plan mensual'!D285</f>
        <v>287.505030005207</v>
      </c>
      <c r="C286" s="21" t="n">
        <f aca="false">'Plan mensual'!E285</f>
        <v>287.505030005207</v>
      </c>
      <c r="D286" s="21" t="n">
        <f aca="false">'Plan mensual'!F285</f>
        <v>287.505030005207</v>
      </c>
      <c r="E286" s="21" t="n">
        <f aca="false">'Plan mensual'!G285</f>
        <v>287.505030005207</v>
      </c>
      <c r="F286" s="21" t="n">
        <f aca="false">'Plan mensual'!H285</f>
        <v>287.505030005207</v>
      </c>
      <c r="G286" s="21" t="n">
        <f aca="false">'Plan mensual'!I285</f>
        <v>287.505030005207</v>
      </c>
      <c r="H286" s="21" t="n">
        <f aca="false">'Plan mensual'!J285</f>
        <v>287.505030005207</v>
      </c>
      <c r="I286" s="21" t="n">
        <f aca="false">'Plan mensual'!K285</f>
        <v>287.505030005207</v>
      </c>
      <c r="J286" s="21" t="n">
        <f aca="false">'Plan mensual'!L285</f>
        <v>287.505030005207</v>
      </c>
      <c r="K286" s="21" t="n">
        <f aca="false">'Plan mensual'!M285</f>
        <v>287.505030005207</v>
      </c>
      <c r="L286" s="21" t="n">
        <f aca="false">'Plan mensual'!N285</f>
        <v>287.505030005207</v>
      </c>
      <c r="M286" s="21" t="n">
        <f aca="false">'Plan mensual'!O285</f>
        <v>287.505030005207</v>
      </c>
      <c r="N286" s="6" t="n">
        <f aca="false">SUM(B286:M286)</f>
        <v>3450.06036006249</v>
      </c>
      <c r="O286" s="22" t="n">
        <f aca="false">MAX(B286:M286)</f>
        <v>287.505030005207</v>
      </c>
      <c r="P286" s="12" t="n">
        <f aca="false">O286/parametros_recargas!$B$6</f>
        <v>1.91670020003471</v>
      </c>
    </row>
    <row r="289" customFormat="false" ht="23.85" hidden="false" customHeight="false" outlineLevel="0" collapsed="false">
      <c r="A289" s="2" t="s">
        <v>321</v>
      </c>
      <c r="B289" s="2" t="s">
        <v>130</v>
      </c>
      <c r="C289" s="2" t="s">
        <v>131</v>
      </c>
      <c r="D289" s="2" t="s">
        <v>132</v>
      </c>
      <c r="E289" s="2" t="s">
        <v>133</v>
      </c>
      <c r="F289" s="2" t="s">
        <v>134</v>
      </c>
      <c r="G289" s="2" t="s">
        <v>135</v>
      </c>
      <c r="H289" s="2" t="s">
        <v>136</v>
      </c>
      <c r="I289" s="2" t="s">
        <v>137</v>
      </c>
      <c r="J289" s="2" t="s">
        <v>138</v>
      </c>
      <c r="K289" s="2" t="s">
        <v>139</v>
      </c>
      <c r="L289" s="2" t="s">
        <v>140</v>
      </c>
      <c r="M289" s="2" t="s">
        <v>141</v>
      </c>
      <c r="N289" s="2" t="s">
        <v>310</v>
      </c>
      <c r="O289" s="2" t="s">
        <v>311</v>
      </c>
      <c r="P289" s="2" t="s">
        <v>312</v>
      </c>
    </row>
    <row r="290" customFormat="false" ht="15" hidden="false" customHeight="false" outlineLevel="0" collapsed="false">
      <c r="A290" s="8" t="str">
        <f aca="false">parametros_recargas!$B$72</f>
        <v>Recepción y registro</v>
      </c>
      <c r="B290" s="21" t="n">
        <f aca="false">parametros_recargas!$E$72*'Plan mensual'!D309+parametros_recargas!$F$72*'Plan mensual'!D310+parametros_recargas!$G$72*'Plan mensual'!D311+parametros_recargas!$H$72*'Plan mensual'!D312+parametros_recargas!$I$72*'Plan mensual'!D313+parametros_recargas!$J$72*'Plan mensual'!D314+parametros_recargas!$K$72*'Plan mensual'!D315+parametros_recargas!$L$72*'Plan mensual'!D316</f>
        <v>9226.42557904347</v>
      </c>
      <c r="C290" s="21" t="n">
        <f aca="false">parametros_recargas!$E$72*'Plan mensual'!E309+parametros_recargas!$F$72*'Plan mensual'!E310+parametros_recargas!$G$72*'Plan mensual'!E311+parametros_recargas!$H$72*'Plan mensual'!E312+parametros_recargas!$I$72*'Plan mensual'!E313+parametros_recargas!$J$72*'Plan mensual'!E314+parametros_recargas!$K$72*'Plan mensual'!E315+parametros_recargas!$L$72*'Plan mensual'!E316</f>
        <v>9226.42557904347</v>
      </c>
      <c r="D290" s="21" t="n">
        <f aca="false">parametros_recargas!$E$72*'Plan mensual'!F309+parametros_recargas!$F$72*'Plan mensual'!F310+parametros_recargas!$G$72*'Plan mensual'!F311+parametros_recargas!$H$72*'Plan mensual'!F312+parametros_recargas!$I$72*'Plan mensual'!F313+parametros_recargas!$J$72*'Plan mensual'!F314+parametros_recargas!$K$72*'Plan mensual'!F315+parametros_recargas!$L$72*'Plan mensual'!F316</f>
        <v>9226.42557904347</v>
      </c>
      <c r="E290" s="21" t="n">
        <f aca="false">parametros_recargas!$E$72*'Plan mensual'!G309+parametros_recargas!$F$72*'Plan mensual'!G310+parametros_recargas!$G$72*'Plan mensual'!G311+parametros_recargas!$H$72*'Plan mensual'!G312+parametros_recargas!$I$72*'Plan mensual'!G313+parametros_recargas!$J$72*'Plan mensual'!G314+parametros_recargas!$K$72*'Plan mensual'!G315+parametros_recargas!$L$72*'Plan mensual'!G316</f>
        <v>9226.42557904347</v>
      </c>
      <c r="F290" s="21" t="n">
        <f aca="false">parametros_recargas!$E$72*'Plan mensual'!H309+parametros_recargas!$F$72*'Plan mensual'!H310+parametros_recargas!$G$72*'Plan mensual'!H311+parametros_recargas!$H$72*'Plan mensual'!H312+parametros_recargas!$I$72*'Plan mensual'!H313+parametros_recargas!$J$72*'Plan mensual'!H314+parametros_recargas!$K$72*'Plan mensual'!H315+parametros_recargas!$L$72*'Plan mensual'!H316</f>
        <v>9226.42557904347</v>
      </c>
      <c r="G290" s="21" t="n">
        <f aca="false">parametros_recargas!$E$72*'Plan mensual'!I309+parametros_recargas!$F$72*'Plan mensual'!I310+parametros_recargas!$G$72*'Plan mensual'!I311+parametros_recargas!$H$72*'Plan mensual'!I312+parametros_recargas!$I$72*'Plan mensual'!I313+parametros_recargas!$J$72*'Plan mensual'!I314+parametros_recargas!$K$72*'Plan mensual'!I315+parametros_recargas!$L$72*'Plan mensual'!I316</f>
        <v>9226.42557904347</v>
      </c>
      <c r="H290" s="21" t="n">
        <f aca="false">parametros_recargas!$E$72*'Plan mensual'!J309+parametros_recargas!$F$72*'Plan mensual'!J310+parametros_recargas!$G$72*'Plan mensual'!J311+parametros_recargas!$H$72*'Plan mensual'!J312+parametros_recargas!$I$72*'Plan mensual'!J313+parametros_recargas!$J$72*'Plan mensual'!J314+parametros_recargas!$K$72*'Plan mensual'!J315+parametros_recargas!$L$72*'Plan mensual'!J316</f>
        <v>9226.42557904347</v>
      </c>
      <c r="I290" s="21" t="n">
        <f aca="false">parametros_recargas!$E$72*'Plan mensual'!K309+parametros_recargas!$F$72*'Plan mensual'!K310+parametros_recargas!$G$72*'Plan mensual'!K311+parametros_recargas!$H$72*'Plan mensual'!K312+parametros_recargas!$I$72*'Plan mensual'!K313+parametros_recargas!$J$72*'Plan mensual'!K314+parametros_recargas!$K$72*'Plan mensual'!K315+parametros_recargas!$L$72*'Plan mensual'!K316</f>
        <v>9226.42557904347</v>
      </c>
      <c r="J290" s="21" t="n">
        <f aca="false">parametros_recargas!$E$72*'Plan mensual'!L309+parametros_recargas!$F$72*'Plan mensual'!L310+parametros_recargas!$G$72*'Plan mensual'!L311+parametros_recargas!$H$72*'Plan mensual'!L312+parametros_recargas!$I$72*'Plan mensual'!L313+parametros_recargas!$J$72*'Plan mensual'!L314+parametros_recargas!$K$72*'Plan mensual'!L315+parametros_recargas!$L$72*'Plan mensual'!L316</f>
        <v>9226.42557904347</v>
      </c>
      <c r="K290" s="21" t="n">
        <f aca="false">parametros_recargas!$E$72*'Plan mensual'!M309+parametros_recargas!$F$72*'Plan mensual'!M310+parametros_recargas!$G$72*'Plan mensual'!M311+parametros_recargas!$H$72*'Plan mensual'!M312+parametros_recargas!$I$72*'Plan mensual'!M313+parametros_recargas!$J$72*'Plan mensual'!M314+parametros_recargas!$K$72*'Plan mensual'!M315+parametros_recargas!$L$72*'Plan mensual'!M316</f>
        <v>9226.42557904347</v>
      </c>
      <c r="L290" s="21" t="n">
        <f aca="false">parametros_recargas!$E$72*'Plan mensual'!N309+parametros_recargas!$F$72*'Plan mensual'!N310+parametros_recargas!$G$72*'Plan mensual'!N311+parametros_recargas!$H$72*'Plan mensual'!N312+parametros_recargas!$I$72*'Plan mensual'!N313+parametros_recargas!$J$72*'Plan mensual'!N314+parametros_recargas!$K$72*'Plan mensual'!N315+parametros_recargas!$L$72*'Plan mensual'!N316</f>
        <v>9226.42557904347</v>
      </c>
      <c r="M290" s="21" t="n">
        <f aca="false">parametros_recargas!$E$72*'Plan mensual'!O309+parametros_recargas!$F$72*'Plan mensual'!O310+parametros_recargas!$G$72*'Plan mensual'!O311+parametros_recargas!$H$72*'Plan mensual'!O312+parametros_recargas!$I$72*'Plan mensual'!O313+parametros_recargas!$J$72*'Plan mensual'!O314+parametros_recargas!$K$72*'Plan mensual'!O315+parametros_recargas!$L$72*'Plan mensual'!O316</f>
        <v>9226.42557904347</v>
      </c>
      <c r="N290" s="6" t="n">
        <f aca="false">SUM(B290:M290)</f>
        <v>110717.106948522</v>
      </c>
      <c r="O290" s="22" t="n">
        <f aca="false">MAX(B290:M290)</f>
        <v>9226.42557904347</v>
      </c>
      <c r="P290" s="12" t="n">
        <f aca="false">O290/parametros_recargas!$B$6</f>
        <v>61.5095038602898</v>
      </c>
    </row>
    <row r="291" customFormat="false" ht="15" hidden="false" customHeight="false" outlineLevel="0" collapsed="false">
      <c r="A291" s="8" t="str">
        <f aca="false">parametros_recargas!$B$73</f>
        <v>Inspección visual</v>
      </c>
      <c r="B291" s="21" t="n">
        <f aca="false">parametros_recargas!$E$73*'Plan mensual'!D309+parametros_recargas!$F$73*'Plan mensual'!D310+parametros_recargas!$G$73*'Plan mensual'!D311+parametros_recargas!$H$73*'Plan mensual'!D312+parametros_recargas!$I$73*'Plan mensual'!D313+parametros_recargas!$J$73*'Plan mensual'!D314+parametros_recargas!$K$73*'Plan mensual'!D315+parametros_recargas!$L$73*'Plan mensual'!D316</f>
        <v>9226.42557904347</v>
      </c>
      <c r="C291" s="21" t="n">
        <f aca="false">parametros_recargas!$E$73*'Plan mensual'!E309+parametros_recargas!$F$73*'Plan mensual'!E310+parametros_recargas!$G$73*'Plan mensual'!E311+parametros_recargas!$H$73*'Plan mensual'!E312+parametros_recargas!$I$73*'Plan mensual'!E313+parametros_recargas!$J$73*'Plan mensual'!E314+parametros_recargas!$K$73*'Plan mensual'!E315+parametros_recargas!$L$73*'Plan mensual'!E316</f>
        <v>9226.42557904347</v>
      </c>
      <c r="D291" s="21" t="n">
        <f aca="false">parametros_recargas!$E$73*'Plan mensual'!F309+parametros_recargas!$F$73*'Plan mensual'!F310+parametros_recargas!$G$73*'Plan mensual'!F311+parametros_recargas!$H$73*'Plan mensual'!F312+parametros_recargas!$I$73*'Plan mensual'!F313+parametros_recargas!$J$73*'Plan mensual'!F314+parametros_recargas!$K$73*'Plan mensual'!F315+parametros_recargas!$L$73*'Plan mensual'!F316</f>
        <v>9226.42557904347</v>
      </c>
      <c r="E291" s="21" t="n">
        <f aca="false">parametros_recargas!$E$73*'Plan mensual'!G309+parametros_recargas!$F$73*'Plan mensual'!G310+parametros_recargas!$G$73*'Plan mensual'!G311+parametros_recargas!$H$73*'Plan mensual'!G312+parametros_recargas!$I$73*'Plan mensual'!G313+parametros_recargas!$J$73*'Plan mensual'!G314+parametros_recargas!$K$73*'Plan mensual'!G315+parametros_recargas!$L$73*'Plan mensual'!G316</f>
        <v>9226.42557904347</v>
      </c>
      <c r="F291" s="21" t="n">
        <f aca="false">parametros_recargas!$E$73*'Plan mensual'!H309+parametros_recargas!$F$73*'Plan mensual'!H310+parametros_recargas!$G$73*'Plan mensual'!H311+parametros_recargas!$H$73*'Plan mensual'!H312+parametros_recargas!$I$73*'Plan mensual'!H313+parametros_recargas!$J$73*'Plan mensual'!H314+parametros_recargas!$K$73*'Plan mensual'!H315+parametros_recargas!$L$73*'Plan mensual'!H316</f>
        <v>9226.42557904347</v>
      </c>
      <c r="G291" s="21" t="n">
        <f aca="false">parametros_recargas!$E$73*'Plan mensual'!I309+parametros_recargas!$F$73*'Plan mensual'!I310+parametros_recargas!$G$73*'Plan mensual'!I311+parametros_recargas!$H$73*'Plan mensual'!I312+parametros_recargas!$I$73*'Plan mensual'!I313+parametros_recargas!$J$73*'Plan mensual'!I314+parametros_recargas!$K$73*'Plan mensual'!I315+parametros_recargas!$L$73*'Plan mensual'!I316</f>
        <v>9226.42557904347</v>
      </c>
      <c r="H291" s="21" t="n">
        <f aca="false">parametros_recargas!$E$73*'Plan mensual'!J309+parametros_recargas!$F$73*'Plan mensual'!J310+parametros_recargas!$G$73*'Plan mensual'!J311+parametros_recargas!$H$73*'Plan mensual'!J312+parametros_recargas!$I$73*'Plan mensual'!J313+parametros_recargas!$J$73*'Plan mensual'!J314+parametros_recargas!$K$73*'Plan mensual'!J315+parametros_recargas!$L$73*'Plan mensual'!J316</f>
        <v>9226.42557904347</v>
      </c>
      <c r="I291" s="21" t="n">
        <f aca="false">parametros_recargas!$E$73*'Plan mensual'!K309+parametros_recargas!$F$73*'Plan mensual'!K310+parametros_recargas!$G$73*'Plan mensual'!K311+parametros_recargas!$H$73*'Plan mensual'!K312+parametros_recargas!$I$73*'Plan mensual'!K313+parametros_recargas!$J$73*'Plan mensual'!K314+parametros_recargas!$K$73*'Plan mensual'!K315+parametros_recargas!$L$73*'Plan mensual'!K316</f>
        <v>9226.42557904347</v>
      </c>
      <c r="J291" s="21" t="n">
        <f aca="false">parametros_recargas!$E$73*'Plan mensual'!L309+parametros_recargas!$F$73*'Plan mensual'!L310+parametros_recargas!$G$73*'Plan mensual'!L311+parametros_recargas!$H$73*'Plan mensual'!L312+parametros_recargas!$I$73*'Plan mensual'!L313+parametros_recargas!$J$73*'Plan mensual'!L314+parametros_recargas!$K$73*'Plan mensual'!L315+parametros_recargas!$L$73*'Plan mensual'!L316</f>
        <v>9226.42557904347</v>
      </c>
      <c r="K291" s="21" t="n">
        <f aca="false">parametros_recargas!$E$73*'Plan mensual'!M309+parametros_recargas!$F$73*'Plan mensual'!M310+parametros_recargas!$G$73*'Plan mensual'!M311+parametros_recargas!$H$73*'Plan mensual'!M312+parametros_recargas!$I$73*'Plan mensual'!M313+parametros_recargas!$J$73*'Plan mensual'!M314+parametros_recargas!$K$73*'Plan mensual'!M315+parametros_recargas!$L$73*'Plan mensual'!M316</f>
        <v>9226.42557904347</v>
      </c>
      <c r="L291" s="21" t="n">
        <f aca="false">parametros_recargas!$E$73*'Plan mensual'!N309+parametros_recargas!$F$73*'Plan mensual'!N310+parametros_recargas!$G$73*'Plan mensual'!N311+parametros_recargas!$H$73*'Plan mensual'!N312+parametros_recargas!$I$73*'Plan mensual'!N313+parametros_recargas!$J$73*'Plan mensual'!N314+parametros_recargas!$K$73*'Plan mensual'!N315+parametros_recargas!$L$73*'Plan mensual'!N316</f>
        <v>9226.42557904347</v>
      </c>
      <c r="M291" s="21" t="n">
        <f aca="false">parametros_recargas!$E$73*'Plan mensual'!O309+parametros_recargas!$F$73*'Plan mensual'!O310+parametros_recargas!$G$73*'Plan mensual'!O311+parametros_recargas!$H$73*'Plan mensual'!O312+parametros_recargas!$I$73*'Plan mensual'!O313+parametros_recargas!$J$73*'Plan mensual'!O314+parametros_recargas!$K$73*'Plan mensual'!O315+parametros_recargas!$L$73*'Plan mensual'!O316</f>
        <v>9226.42557904347</v>
      </c>
      <c r="N291" s="6" t="n">
        <f aca="false">SUM(B291:M291)</f>
        <v>110717.106948522</v>
      </c>
      <c r="O291" s="22" t="n">
        <f aca="false">MAX(B291:M291)</f>
        <v>9226.42557904347</v>
      </c>
      <c r="P291" s="12" t="n">
        <f aca="false">O291/parametros_recargas!$B$6</f>
        <v>61.5095038602898</v>
      </c>
    </row>
    <row r="292" customFormat="false" ht="15" hidden="false" customHeight="false" outlineLevel="0" collapsed="false">
      <c r="A292" s="8" t="str">
        <f aca="false">parametros_recargas!$B$74</f>
        <v>Descarga ABC — ruta recuperable</v>
      </c>
      <c r="B292" s="21" t="n">
        <f aca="false">parametros_recargas!$E$74*'Plan mensual'!D309+parametros_recargas!$F$74*'Plan mensual'!D310+parametros_recargas!$G$74*'Plan mensual'!D311+parametros_recargas!$H$74*'Plan mensual'!D312+parametros_recargas!$I$74*'Plan mensual'!D313+parametros_recargas!$J$74*'Plan mensual'!D314+parametros_recargas!$K$74*'Plan mensual'!D315+parametros_recargas!$L$74*'Plan mensual'!D316</f>
        <v>6821.25974278895</v>
      </c>
      <c r="C292" s="21" t="n">
        <f aca="false">parametros_recargas!$E$74*'Plan mensual'!E309+parametros_recargas!$F$74*'Plan mensual'!E310+parametros_recargas!$G$74*'Plan mensual'!E311+parametros_recargas!$H$74*'Plan mensual'!E312+parametros_recargas!$I$74*'Plan mensual'!E313+parametros_recargas!$J$74*'Plan mensual'!E314+parametros_recargas!$K$74*'Plan mensual'!E315+parametros_recargas!$L$74*'Plan mensual'!E316</f>
        <v>6821.25974278895</v>
      </c>
      <c r="D292" s="21" t="n">
        <f aca="false">parametros_recargas!$E$74*'Plan mensual'!F309+parametros_recargas!$F$74*'Plan mensual'!F310+parametros_recargas!$G$74*'Plan mensual'!F311+parametros_recargas!$H$74*'Plan mensual'!F312+parametros_recargas!$I$74*'Plan mensual'!F313+parametros_recargas!$J$74*'Plan mensual'!F314+parametros_recargas!$K$74*'Plan mensual'!F315+parametros_recargas!$L$74*'Plan mensual'!F316</f>
        <v>6821.25974278895</v>
      </c>
      <c r="E292" s="21" t="n">
        <f aca="false">parametros_recargas!$E$74*'Plan mensual'!G309+parametros_recargas!$F$74*'Plan mensual'!G310+parametros_recargas!$G$74*'Plan mensual'!G311+parametros_recargas!$H$74*'Plan mensual'!G312+parametros_recargas!$I$74*'Plan mensual'!G313+parametros_recargas!$J$74*'Plan mensual'!G314+parametros_recargas!$K$74*'Plan mensual'!G315+parametros_recargas!$L$74*'Plan mensual'!G316</f>
        <v>6821.25974278895</v>
      </c>
      <c r="F292" s="21" t="n">
        <f aca="false">parametros_recargas!$E$74*'Plan mensual'!H309+parametros_recargas!$F$74*'Plan mensual'!H310+parametros_recargas!$G$74*'Plan mensual'!H311+parametros_recargas!$H$74*'Plan mensual'!H312+parametros_recargas!$I$74*'Plan mensual'!H313+parametros_recargas!$J$74*'Plan mensual'!H314+parametros_recargas!$K$74*'Plan mensual'!H315+parametros_recargas!$L$74*'Plan mensual'!H316</f>
        <v>6821.25974278895</v>
      </c>
      <c r="G292" s="21" t="n">
        <f aca="false">parametros_recargas!$E$74*'Plan mensual'!I309+parametros_recargas!$F$74*'Plan mensual'!I310+parametros_recargas!$G$74*'Plan mensual'!I311+parametros_recargas!$H$74*'Plan mensual'!I312+parametros_recargas!$I$74*'Plan mensual'!I313+parametros_recargas!$J$74*'Plan mensual'!I314+parametros_recargas!$K$74*'Plan mensual'!I315+parametros_recargas!$L$74*'Plan mensual'!I316</f>
        <v>6821.25974278895</v>
      </c>
      <c r="H292" s="21" t="n">
        <f aca="false">parametros_recargas!$E$74*'Plan mensual'!J309+parametros_recargas!$F$74*'Plan mensual'!J310+parametros_recargas!$G$74*'Plan mensual'!J311+parametros_recargas!$H$74*'Plan mensual'!J312+parametros_recargas!$I$74*'Plan mensual'!J313+parametros_recargas!$J$74*'Plan mensual'!J314+parametros_recargas!$K$74*'Plan mensual'!J315+parametros_recargas!$L$74*'Plan mensual'!J316</f>
        <v>6821.25974278895</v>
      </c>
      <c r="I292" s="21" t="n">
        <f aca="false">parametros_recargas!$E$74*'Plan mensual'!K309+parametros_recargas!$F$74*'Plan mensual'!K310+parametros_recargas!$G$74*'Plan mensual'!K311+parametros_recargas!$H$74*'Plan mensual'!K312+parametros_recargas!$I$74*'Plan mensual'!K313+parametros_recargas!$J$74*'Plan mensual'!K314+parametros_recargas!$K$74*'Plan mensual'!K315+parametros_recargas!$L$74*'Plan mensual'!K316</f>
        <v>6821.25974278895</v>
      </c>
      <c r="J292" s="21" t="n">
        <f aca="false">parametros_recargas!$E$74*'Plan mensual'!L309+parametros_recargas!$F$74*'Plan mensual'!L310+parametros_recargas!$G$74*'Plan mensual'!L311+parametros_recargas!$H$74*'Plan mensual'!L312+parametros_recargas!$I$74*'Plan mensual'!L313+parametros_recargas!$J$74*'Plan mensual'!L314+parametros_recargas!$K$74*'Plan mensual'!L315+parametros_recargas!$L$74*'Plan mensual'!L316</f>
        <v>6821.25974278895</v>
      </c>
      <c r="K292" s="21" t="n">
        <f aca="false">parametros_recargas!$E$74*'Plan mensual'!M309+parametros_recargas!$F$74*'Plan mensual'!M310+parametros_recargas!$G$74*'Plan mensual'!M311+parametros_recargas!$H$74*'Plan mensual'!M312+parametros_recargas!$I$74*'Plan mensual'!M313+parametros_recargas!$J$74*'Plan mensual'!M314+parametros_recargas!$K$74*'Plan mensual'!M315+parametros_recargas!$L$74*'Plan mensual'!M316</f>
        <v>6821.25974278895</v>
      </c>
      <c r="L292" s="21" t="n">
        <f aca="false">parametros_recargas!$E$74*'Plan mensual'!N309+parametros_recargas!$F$74*'Plan mensual'!N310+parametros_recargas!$G$74*'Plan mensual'!N311+parametros_recargas!$H$74*'Plan mensual'!N312+parametros_recargas!$I$74*'Plan mensual'!N313+parametros_recargas!$J$74*'Plan mensual'!N314+parametros_recargas!$K$74*'Plan mensual'!N315+parametros_recargas!$L$74*'Plan mensual'!N316</f>
        <v>6821.25974278895</v>
      </c>
      <c r="M292" s="21" t="n">
        <f aca="false">parametros_recargas!$E$74*'Plan mensual'!O309+parametros_recargas!$F$74*'Plan mensual'!O310+parametros_recargas!$G$74*'Plan mensual'!O311+parametros_recargas!$H$74*'Plan mensual'!O312+parametros_recargas!$I$74*'Plan mensual'!O313+parametros_recargas!$J$74*'Plan mensual'!O314+parametros_recargas!$K$74*'Plan mensual'!O315+parametros_recargas!$L$74*'Plan mensual'!O316</f>
        <v>6821.25974278895</v>
      </c>
      <c r="N292" s="6" t="n">
        <f aca="false">SUM(B292:M292)</f>
        <v>81855.1169134675</v>
      </c>
      <c r="O292" s="22" t="n">
        <f aca="false">MAX(B292:M292)</f>
        <v>6821.25974278895</v>
      </c>
      <c r="P292" s="12" t="n">
        <f aca="false">O292/parametros_recargas!$B$6</f>
        <v>45.4750649519264</v>
      </c>
    </row>
    <row r="293" customFormat="false" ht="15" hidden="false" customHeight="false" outlineLevel="0" collapsed="false">
      <c r="A293" s="8" t="str">
        <f aca="false">parametros_recargas!$B$75</f>
        <v>Descarga ABC — ruta descarte</v>
      </c>
      <c r="B293" s="21" t="n">
        <f aca="false">parametros_recargas!$E$75*'Plan mensual'!D309+parametros_recargas!$F$75*'Plan mensual'!D310+parametros_recargas!$G$75*'Plan mensual'!D311+parametros_recargas!$H$75*'Plan mensual'!D312+parametros_recargas!$I$75*'Plan mensual'!D313+parametros_recargas!$J$75*'Plan mensual'!D314+parametros_recargas!$K$75*'Plan mensual'!D315+parametros_recargas!$L$75*'Plan mensual'!D316</f>
        <v>802.501146210465</v>
      </c>
      <c r="C293" s="21" t="n">
        <f aca="false">parametros_recargas!$E$75*'Plan mensual'!E309+parametros_recargas!$F$75*'Plan mensual'!E310+parametros_recargas!$G$75*'Plan mensual'!E311+parametros_recargas!$H$75*'Plan mensual'!E312+parametros_recargas!$I$75*'Plan mensual'!E313+parametros_recargas!$J$75*'Plan mensual'!E314+parametros_recargas!$K$75*'Plan mensual'!E315+parametros_recargas!$L$75*'Plan mensual'!E316</f>
        <v>802.501146210465</v>
      </c>
      <c r="D293" s="21" t="n">
        <f aca="false">parametros_recargas!$E$75*'Plan mensual'!F309+parametros_recargas!$F$75*'Plan mensual'!F310+parametros_recargas!$G$75*'Plan mensual'!F311+parametros_recargas!$H$75*'Plan mensual'!F312+parametros_recargas!$I$75*'Plan mensual'!F313+parametros_recargas!$J$75*'Plan mensual'!F314+parametros_recargas!$K$75*'Plan mensual'!F315+parametros_recargas!$L$75*'Plan mensual'!F316</f>
        <v>802.501146210465</v>
      </c>
      <c r="E293" s="21" t="n">
        <f aca="false">parametros_recargas!$E$75*'Plan mensual'!G309+parametros_recargas!$F$75*'Plan mensual'!G310+parametros_recargas!$G$75*'Plan mensual'!G311+parametros_recargas!$H$75*'Plan mensual'!G312+parametros_recargas!$I$75*'Plan mensual'!G313+parametros_recargas!$J$75*'Plan mensual'!G314+parametros_recargas!$K$75*'Plan mensual'!G315+parametros_recargas!$L$75*'Plan mensual'!G316</f>
        <v>802.501146210465</v>
      </c>
      <c r="F293" s="21" t="n">
        <f aca="false">parametros_recargas!$E$75*'Plan mensual'!H309+parametros_recargas!$F$75*'Plan mensual'!H310+parametros_recargas!$G$75*'Plan mensual'!H311+parametros_recargas!$H$75*'Plan mensual'!H312+parametros_recargas!$I$75*'Plan mensual'!H313+parametros_recargas!$J$75*'Plan mensual'!H314+parametros_recargas!$K$75*'Plan mensual'!H315+parametros_recargas!$L$75*'Plan mensual'!H316</f>
        <v>802.501146210465</v>
      </c>
      <c r="G293" s="21" t="n">
        <f aca="false">parametros_recargas!$E$75*'Plan mensual'!I309+parametros_recargas!$F$75*'Plan mensual'!I310+parametros_recargas!$G$75*'Plan mensual'!I311+parametros_recargas!$H$75*'Plan mensual'!I312+parametros_recargas!$I$75*'Plan mensual'!I313+parametros_recargas!$J$75*'Plan mensual'!I314+parametros_recargas!$K$75*'Plan mensual'!I315+parametros_recargas!$L$75*'Plan mensual'!I316</f>
        <v>802.501146210465</v>
      </c>
      <c r="H293" s="21" t="n">
        <f aca="false">parametros_recargas!$E$75*'Plan mensual'!J309+parametros_recargas!$F$75*'Plan mensual'!J310+parametros_recargas!$G$75*'Plan mensual'!J311+parametros_recargas!$H$75*'Plan mensual'!J312+parametros_recargas!$I$75*'Plan mensual'!J313+parametros_recargas!$J$75*'Plan mensual'!J314+parametros_recargas!$K$75*'Plan mensual'!J315+parametros_recargas!$L$75*'Plan mensual'!J316</f>
        <v>802.501146210465</v>
      </c>
      <c r="I293" s="21" t="n">
        <f aca="false">parametros_recargas!$E$75*'Plan mensual'!K309+parametros_recargas!$F$75*'Plan mensual'!K310+parametros_recargas!$G$75*'Plan mensual'!K311+parametros_recargas!$H$75*'Plan mensual'!K312+parametros_recargas!$I$75*'Plan mensual'!K313+parametros_recargas!$J$75*'Plan mensual'!K314+parametros_recargas!$K$75*'Plan mensual'!K315+parametros_recargas!$L$75*'Plan mensual'!K316</f>
        <v>802.501146210465</v>
      </c>
      <c r="J293" s="21" t="n">
        <f aca="false">parametros_recargas!$E$75*'Plan mensual'!L309+parametros_recargas!$F$75*'Plan mensual'!L310+parametros_recargas!$G$75*'Plan mensual'!L311+parametros_recargas!$H$75*'Plan mensual'!L312+parametros_recargas!$I$75*'Plan mensual'!L313+parametros_recargas!$J$75*'Plan mensual'!L314+parametros_recargas!$K$75*'Plan mensual'!L315+parametros_recargas!$L$75*'Plan mensual'!L316</f>
        <v>802.501146210465</v>
      </c>
      <c r="K293" s="21" t="n">
        <f aca="false">parametros_recargas!$E$75*'Plan mensual'!M309+parametros_recargas!$F$75*'Plan mensual'!M310+parametros_recargas!$G$75*'Plan mensual'!M311+parametros_recargas!$H$75*'Plan mensual'!M312+parametros_recargas!$I$75*'Plan mensual'!M313+parametros_recargas!$J$75*'Plan mensual'!M314+parametros_recargas!$K$75*'Plan mensual'!M315+parametros_recargas!$L$75*'Plan mensual'!M316</f>
        <v>802.501146210465</v>
      </c>
      <c r="L293" s="21" t="n">
        <f aca="false">parametros_recargas!$E$75*'Plan mensual'!N309+parametros_recargas!$F$75*'Plan mensual'!N310+parametros_recargas!$G$75*'Plan mensual'!N311+parametros_recargas!$H$75*'Plan mensual'!N312+parametros_recargas!$I$75*'Plan mensual'!N313+parametros_recargas!$J$75*'Plan mensual'!N314+parametros_recargas!$K$75*'Plan mensual'!N315+parametros_recargas!$L$75*'Plan mensual'!N316</f>
        <v>802.501146210465</v>
      </c>
      <c r="M293" s="21" t="n">
        <f aca="false">parametros_recargas!$E$75*'Plan mensual'!O309+parametros_recargas!$F$75*'Plan mensual'!O310+parametros_recargas!$G$75*'Plan mensual'!O311+parametros_recargas!$H$75*'Plan mensual'!O312+parametros_recargas!$I$75*'Plan mensual'!O313+parametros_recargas!$J$75*'Plan mensual'!O314+parametros_recargas!$K$75*'Plan mensual'!O315+parametros_recargas!$L$75*'Plan mensual'!O316</f>
        <v>802.501146210465</v>
      </c>
      <c r="N293" s="6" t="n">
        <f aca="false">SUM(B293:M293)</f>
        <v>9630.01375452558</v>
      </c>
      <c r="O293" s="22" t="n">
        <f aca="false">MAX(B293:M293)</f>
        <v>802.501146210465</v>
      </c>
      <c r="P293" s="12" t="n">
        <f aca="false">O293/parametros_recargas!$B$6</f>
        <v>5.3500076414031</v>
      </c>
    </row>
    <row r="294" customFormat="false" ht="15" hidden="false" customHeight="false" outlineLevel="0" collapsed="false">
      <c r="A294" s="8" t="str">
        <f aca="false">parametros_recargas!$B$76</f>
        <v>Descarga BC</v>
      </c>
      <c r="B294" s="21" t="n">
        <f aca="false">parametros_recargas!$E$76*'Plan mensual'!D309+parametros_recargas!$F$76*'Plan mensual'!D310+parametros_recargas!$G$76*'Plan mensual'!D311+parametros_recargas!$H$76*'Plan mensual'!D312+parametros_recargas!$I$76*'Plan mensual'!D313+parametros_recargas!$J$76*'Plan mensual'!D314+parametros_recargas!$K$76*'Plan mensual'!D315+parametros_recargas!$L$76*'Plan mensual'!D316</f>
        <v>11.7796963295538</v>
      </c>
      <c r="C294" s="21" t="n">
        <f aca="false">parametros_recargas!$E$76*'Plan mensual'!E309+parametros_recargas!$F$76*'Plan mensual'!E310+parametros_recargas!$G$76*'Plan mensual'!E311+parametros_recargas!$H$76*'Plan mensual'!E312+parametros_recargas!$I$76*'Plan mensual'!E313+parametros_recargas!$J$76*'Plan mensual'!E314+parametros_recargas!$K$76*'Plan mensual'!E315+parametros_recargas!$L$76*'Plan mensual'!E316</f>
        <v>11.7796963295538</v>
      </c>
      <c r="D294" s="21" t="n">
        <f aca="false">parametros_recargas!$E$76*'Plan mensual'!F309+parametros_recargas!$F$76*'Plan mensual'!F310+parametros_recargas!$G$76*'Plan mensual'!F311+parametros_recargas!$H$76*'Plan mensual'!F312+parametros_recargas!$I$76*'Plan mensual'!F313+parametros_recargas!$J$76*'Plan mensual'!F314+parametros_recargas!$K$76*'Plan mensual'!F315+parametros_recargas!$L$76*'Plan mensual'!F316</f>
        <v>11.7796963295538</v>
      </c>
      <c r="E294" s="21" t="n">
        <f aca="false">parametros_recargas!$E$76*'Plan mensual'!G309+parametros_recargas!$F$76*'Plan mensual'!G310+parametros_recargas!$G$76*'Plan mensual'!G311+parametros_recargas!$H$76*'Plan mensual'!G312+parametros_recargas!$I$76*'Plan mensual'!G313+parametros_recargas!$J$76*'Plan mensual'!G314+parametros_recargas!$K$76*'Plan mensual'!G315+parametros_recargas!$L$76*'Plan mensual'!G316</f>
        <v>11.7796963295538</v>
      </c>
      <c r="F294" s="21" t="n">
        <f aca="false">parametros_recargas!$E$76*'Plan mensual'!H309+parametros_recargas!$F$76*'Plan mensual'!H310+parametros_recargas!$G$76*'Plan mensual'!H311+parametros_recargas!$H$76*'Plan mensual'!H312+parametros_recargas!$I$76*'Plan mensual'!H313+parametros_recargas!$J$76*'Plan mensual'!H314+parametros_recargas!$K$76*'Plan mensual'!H315+parametros_recargas!$L$76*'Plan mensual'!H316</f>
        <v>11.7796963295538</v>
      </c>
      <c r="G294" s="21" t="n">
        <f aca="false">parametros_recargas!$E$76*'Plan mensual'!I309+parametros_recargas!$F$76*'Plan mensual'!I310+parametros_recargas!$G$76*'Plan mensual'!I311+parametros_recargas!$H$76*'Plan mensual'!I312+parametros_recargas!$I$76*'Plan mensual'!I313+parametros_recargas!$J$76*'Plan mensual'!I314+parametros_recargas!$K$76*'Plan mensual'!I315+parametros_recargas!$L$76*'Plan mensual'!I316</f>
        <v>11.7796963295538</v>
      </c>
      <c r="H294" s="21" t="n">
        <f aca="false">parametros_recargas!$E$76*'Plan mensual'!J309+parametros_recargas!$F$76*'Plan mensual'!J310+parametros_recargas!$G$76*'Plan mensual'!J311+parametros_recargas!$H$76*'Plan mensual'!J312+parametros_recargas!$I$76*'Plan mensual'!J313+parametros_recargas!$J$76*'Plan mensual'!J314+parametros_recargas!$K$76*'Plan mensual'!J315+parametros_recargas!$L$76*'Plan mensual'!J316</f>
        <v>11.7796963295538</v>
      </c>
      <c r="I294" s="21" t="n">
        <f aca="false">parametros_recargas!$E$76*'Plan mensual'!K309+parametros_recargas!$F$76*'Plan mensual'!K310+parametros_recargas!$G$76*'Plan mensual'!K311+parametros_recargas!$H$76*'Plan mensual'!K312+parametros_recargas!$I$76*'Plan mensual'!K313+parametros_recargas!$J$76*'Plan mensual'!K314+parametros_recargas!$K$76*'Plan mensual'!K315+parametros_recargas!$L$76*'Plan mensual'!K316</f>
        <v>11.7796963295538</v>
      </c>
      <c r="J294" s="21" t="n">
        <f aca="false">parametros_recargas!$E$76*'Plan mensual'!L309+parametros_recargas!$F$76*'Plan mensual'!L310+parametros_recargas!$G$76*'Plan mensual'!L311+parametros_recargas!$H$76*'Plan mensual'!L312+parametros_recargas!$I$76*'Plan mensual'!L313+parametros_recargas!$J$76*'Plan mensual'!L314+parametros_recargas!$K$76*'Plan mensual'!L315+parametros_recargas!$L$76*'Plan mensual'!L316</f>
        <v>11.7796963295538</v>
      </c>
      <c r="K294" s="21" t="n">
        <f aca="false">parametros_recargas!$E$76*'Plan mensual'!M309+parametros_recargas!$F$76*'Plan mensual'!M310+parametros_recargas!$G$76*'Plan mensual'!M311+parametros_recargas!$H$76*'Plan mensual'!M312+parametros_recargas!$I$76*'Plan mensual'!M313+parametros_recargas!$J$76*'Plan mensual'!M314+parametros_recargas!$K$76*'Plan mensual'!M315+parametros_recargas!$L$76*'Plan mensual'!M316</f>
        <v>11.7796963295538</v>
      </c>
      <c r="L294" s="21" t="n">
        <f aca="false">parametros_recargas!$E$76*'Plan mensual'!N309+parametros_recargas!$F$76*'Plan mensual'!N310+parametros_recargas!$G$76*'Plan mensual'!N311+parametros_recargas!$H$76*'Plan mensual'!N312+parametros_recargas!$I$76*'Plan mensual'!N313+parametros_recargas!$J$76*'Plan mensual'!N314+parametros_recargas!$K$76*'Plan mensual'!N315+parametros_recargas!$L$76*'Plan mensual'!N316</f>
        <v>11.7796963295538</v>
      </c>
      <c r="M294" s="21" t="n">
        <f aca="false">parametros_recargas!$E$76*'Plan mensual'!O309+parametros_recargas!$F$76*'Plan mensual'!O310+parametros_recargas!$G$76*'Plan mensual'!O311+parametros_recargas!$H$76*'Plan mensual'!O312+parametros_recargas!$I$76*'Plan mensual'!O313+parametros_recargas!$J$76*'Plan mensual'!O314+parametros_recargas!$K$76*'Plan mensual'!O315+parametros_recargas!$L$76*'Plan mensual'!O316</f>
        <v>11.7796963295538</v>
      </c>
      <c r="N294" s="6" t="n">
        <f aca="false">SUM(B294:M294)</f>
        <v>141.356355954645</v>
      </c>
      <c r="O294" s="22" t="n">
        <f aca="false">MAX(B294:M294)</f>
        <v>11.7796963295538</v>
      </c>
      <c r="P294" s="12" t="n">
        <f aca="false">O294/parametros_recargas!$B$6</f>
        <v>0.0785313088636917</v>
      </c>
    </row>
    <row r="295" customFormat="false" ht="15" hidden="false" customHeight="false" outlineLevel="0" collapsed="false">
      <c r="A295" s="8" t="str">
        <f aca="false">parametros_recargas!$B$77</f>
        <v>Descarga de agua / AFFF / sales K</v>
      </c>
      <c r="B295" s="21" t="n">
        <f aca="false">parametros_recargas!$E$77*'Plan mensual'!D309+parametros_recargas!$F$77*'Plan mensual'!D310+parametros_recargas!$G$77*'Plan mensual'!D311+parametros_recargas!$H$77*'Plan mensual'!D312+parametros_recargas!$I$77*'Plan mensual'!D313+parametros_recargas!$J$77*'Plan mensual'!D314+parametros_recargas!$K$77*'Plan mensual'!D315+parametros_recargas!$L$77*'Plan mensual'!D316</f>
        <v>406.727919184874</v>
      </c>
      <c r="C295" s="21" t="n">
        <f aca="false">parametros_recargas!$E$77*'Plan mensual'!E309+parametros_recargas!$F$77*'Plan mensual'!E310+parametros_recargas!$G$77*'Plan mensual'!E311+parametros_recargas!$H$77*'Plan mensual'!E312+parametros_recargas!$I$77*'Plan mensual'!E313+parametros_recargas!$J$77*'Plan mensual'!E314+parametros_recargas!$K$77*'Plan mensual'!E315+parametros_recargas!$L$77*'Plan mensual'!E316</f>
        <v>406.727919184874</v>
      </c>
      <c r="D295" s="21" t="n">
        <f aca="false">parametros_recargas!$E$77*'Plan mensual'!F309+parametros_recargas!$F$77*'Plan mensual'!F310+parametros_recargas!$G$77*'Plan mensual'!F311+parametros_recargas!$H$77*'Plan mensual'!F312+parametros_recargas!$I$77*'Plan mensual'!F313+parametros_recargas!$J$77*'Plan mensual'!F314+parametros_recargas!$K$77*'Plan mensual'!F315+parametros_recargas!$L$77*'Plan mensual'!F316</f>
        <v>406.727919184874</v>
      </c>
      <c r="E295" s="21" t="n">
        <f aca="false">parametros_recargas!$E$77*'Plan mensual'!G309+parametros_recargas!$F$77*'Plan mensual'!G310+parametros_recargas!$G$77*'Plan mensual'!G311+parametros_recargas!$H$77*'Plan mensual'!G312+parametros_recargas!$I$77*'Plan mensual'!G313+parametros_recargas!$J$77*'Plan mensual'!G314+parametros_recargas!$K$77*'Plan mensual'!G315+parametros_recargas!$L$77*'Plan mensual'!G316</f>
        <v>406.727919184874</v>
      </c>
      <c r="F295" s="21" t="n">
        <f aca="false">parametros_recargas!$E$77*'Plan mensual'!H309+parametros_recargas!$F$77*'Plan mensual'!H310+parametros_recargas!$G$77*'Plan mensual'!H311+parametros_recargas!$H$77*'Plan mensual'!H312+parametros_recargas!$I$77*'Plan mensual'!H313+parametros_recargas!$J$77*'Plan mensual'!H314+parametros_recargas!$K$77*'Plan mensual'!H315+parametros_recargas!$L$77*'Plan mensual'!H316</f>
        <v>406.727919184874</v>
      </c>
      <c r="G295" s="21" t="n">
        <f aca="false">parametros_recargas!$E$77*'Plan mensual'!I309+parametros_recargas!$F$77*'Plan mensual'!I310+parametros_recargas!$G$77*'Plan mensual'!I311+parametros_recargas!$H$77*'Plan mensual'!I312+parametros_recargas!$I$77*'Plan mensual'!I313+parametros_recargas!$J$77*'Plan mensual'!I314+parametros_recargas!$K$77*'Plan mensual'!I315+parametros_recargas!$L$77*'Plan mensual'!I316</f>
        <v>406.727919184874</v>
      </c>
      <c r="H295" s="21" t="n">
        <f aca="false">parametros_recargas!$E$77*'Plan mensual'!J309+parametros_recargas!$F$77*'Plan mensual'!J310+parametros_recargas!$G$77*'Plan mensual'!J311+parametros_recargas!$H$77*'Plan mensual'!J312+parametros_recargas!$I$77*'Plan mensual'!J313+parametros_recargas!$J$77*'Plan mensual'!J314+parametros_recargas!$K$77*'Plan mensual'!J315+parametros_recargas!$L$77*'Plan mensual'!J316</f>
        <v>406.727919184874</v>
      </c>
      <c r="I295" s="21" t="n">
        <f aca="false">parametros_recargas!$E$77*'Plan mensual'!K309+parametros_recargas!$F$77*'Plan mensual'!K310+parametros_recargas!$G$77*'Plan mensual'!K311+parametros_recargas!$H$77*'Plan mensual'!K312+parametros_recargas!$I$77*'Plan mensual'!K313+parametros_recargas!$J$77*'Plan mensual'!K314+parametros_recargas!$K$77*'Plan mensual'!K315+parametros_recargas!$L$77*'Plan mensual'!K316</f>
        <v>406.727919184874</v>
      </c>
      <c r="J295" s="21" t="n">
        <f aca="false">parametros_recargas!$E$77*'Plan mensual'!L309+parametros_recargas!$F$77*'Plan mensual'!L310+parametros_recargas!$G$77*'Plan mensual'!L311+parametros_recargas!$H$77*'Plan mensual'!L312+parametros_recargas!$I$77*'Plan mensual'!L313+parametros_recargas!$J$77*'Plan mensual'!L314+parametros_recargas!$K$77*'Plan mensual'!L315+parametros_recargas!$L$77*'Plan mensual'!L316</f>
        <v>406.727919184874</v>
      </c>
      <c r="K295" s="21" t="n">
        <f aca="false">parametros_recargas!$E$77*'Plan mensual'!M309+parametros_recargas!$F$77*'Plan mensual'!M310+parametros_recargas!$G$77*'Plan mensual'!M311+parametros_recargas!$H$77*'Plan mensual'!M312+parametros_recargas!$I$77*'Plan mensual'!M313+parametros_recargas!$J$77*'Plan mensual'!M314+parametros_recargas!$K$77*'Plan mensual'!M315+parametros_recargas!$L$77*'Plan mensual'!M316</f>
        <v>406.727919184874</v>
      </c>
      <c r="L295" s="21" t="n">
        <f aca="false">parametros_recargas!$E$77*'Plan mensual'!N309+parametros_recargas!$F$77*'Plan mensual'!N310+parametros_recargas!$G$77*'Plan mensual'!N311+parametros_recargas!$H$77*'Plan mensual'!N312+parametros_recargas!$I$77*'Plan mensual'!N313+parametros_recargas!$J$77*'Plan mensual'!N314+parametros_recargas!$K$77*'Plan mensual'!N315+parametros_recargas!$L$77*'Plan mensual'!N316</f>
        <v>406.727919184874</v>
      </c>
      <c r="M295" s="21" t="n">
        <f aca="false">parametros_recargas!$E$77*'Plan mensual'!O309+parametros_recargas!$F$77*'Plan mensual'!O310+parametros_recargas!$G$77*'Plan mensual'!O311+parametros_recargas!$H$77*'Plan mensual'!O312+parametros_recargas!$I$77*'Plan mensual'!O313+parametros_recargas!$J$77*'Plan mensual'!O314+parametros_recargas!$K$77*'Plan mensual'!O315+parametros_recargas!$L$77*'Plan mensual'!O316</f>
        <v>406.727919184874</v>
      </c>
      <c r="N295" s="6" t="n">
        <f aca="false">SUM(B295:M295)</f>
        <v>4880.73503021848</v>
      </c>
      <c r="O295" s="22" t="n">
        <f aca="false">MAX(B295:M295)</f>
        <v>406.727919184874</v>
      </c>
      <c r="P295" s="12" t="n">
        <f aca="false">O295/parametros_recargas!$B$6</f>
        <v>2.71151946123249</v>
      </c>
    </row>
    <row r="296" customFormat="false" ht="15" hidden="false" customHeight="false" outlineLevel="0" collapsed="false">
      <c r="A296" s="8" t="str">
        <f aca="false">parametros_recargas!$B$78</f>
        <v>Recuperación de CO₂</v>
      </c>
      <c r="B296" s="21" t="n">
        <f aca="false">parametros_recargas!$E$78*'Plan mensual'!D309+parametros_recargas!$F$78*'Plan mensual'!D310+parametros_recargas!$G$78*'Plan mensual'!D311+parametros_recargas!$H$78*'Plan mensual'!D312+parametros_recargas!$I$78*'Plan mensual'!D313+parametros_recargas!$J$78*'Plan mensual'!D314+parametros_recargas!$K$78*'Plan mensual'!D315+parametros_recargas!$L$78*'Plan mensual'!D316</f>
        <v>185.320605989029</v>
      </c>
      <c r="C296" s="21" t="n">
        <f aca="false">parametros_recargas!$E$78*'Plan mensual'!E309+parametros_recargas!$F$78*'Plan mensual'!E310+parametros_recargas!$G$78*'Plan mensual'!E311+parametros_recargas!$H$78*'Plan mensual'!E312+parametros_recargas!$I$78*'Plan mensual'!E313+parametros_recargas!$J$78*'Plan mensual'!E314+parametros_recargas!$K$78*'Plan mensual'!E315+parametros_recargas!$L$78*'Plan mensual'!E316</f>
        <v>185.320605989029</v>
      </c>
      <c r="D296" s="21" t="n">
        <f aca="false">parametros_recargas!$E$78*'Plan mensual'!F309+parametros_recargas!$F$78*'Plan mensual'!F310+parametros_recargas!$G$78*'Plan mensual'!F311+parametros_recargas!$H$78*'Plan mensual'!F312+parametros_recargas!$I$78*'Plan mensual'!F313+parametros_recargas!$J$78*'Plan mensual'!F314+parametros_recargas!$K$78*'Plan mensual'!F315+parametros_recargas!$L$78*'Plan mensual'!F316</f>
        <v>185.320605989029</v>
      </c>
      <c r="E296" s="21" t="n">
        <f aca="false">parametros_recargas!$E$78*'Plan mensual'!G309+parametros_recargas!$F$78*'Plan mensual'!G310+parametros_recargas!$G$78*'Plan mensual'!G311+parametros_recargas!$H$78*'Plan mensual'!G312+parametros_recargas!$I$78*'Plan mensual'!G313+parametros_recargas!$J$78*'Plan mensual'!G314+parametros_recargas!$K$78*'Plan mensual'!G315+parametros_recargas!$L$78*'Plan mensual'!G316</f>
        <v>185.320605989029</v>
      </c>
      <c r="F296" s="21" t="n">
        <f aca="false">parametros_recargas!$E$78*'Plan mensual'!H309+parametros_recargas!$F$78*'Plan mensual'!H310+parametros_recargas!$G$78*'Plan mensual'!H311+parametros_recargas!$H$78*'Plan mensual'!H312+parametros_recargas!$I$78*'Plan mensual'!H313+parametros_recargas!$J$78*'Plan mensual'!H314+parametros_recargas!$K$78*'Plan mensual'!H315+parametros_recargas!$L$78*'Plan mensual'!H316</f>
        <v>185.320605989029</v>
      </c>
      <c r="G296" s="21" t="n">
        <f aca="false">parametros_recargas!$E$78*'Plan mensual'!I309+parametros_recargas!$F$78*'Plan mensual'!I310+parametros_recargas!$G$78*'Plan mensual'!I311+parametros_recargas!$H$78*'Plan mensual'!I312+parametros_recargas!$I$78*'Plan mensual'!I313+parametros_recargas!$J$78*'Plan mensual'!I314+parametros_recargas!$K$78*'Plan mensual'!I315+parametros_recargas!$L$78*'Plan mensual'!I316</f>
        <v>185.320605989029</v>
      </c>
      <c r="H296" s="21" t="n">
        <f aca="false">parametros_recargas!$E$78*'Plan mensual'!J309+parametros_recargas!$F$78*'Plan mensual'!J310+parametros_recargas!$G$78*'Plan mensual'!J311+parametros_recargas!$H$78*'Plan mensual'!J312+parametros_recargas!$I$78*'Plan mensual'!J313+parametros_recargas!$J$78*'Plan mensual'!J314+parametros_recargas!$K$78*'Plan mensual'!J315+parametros_recargas!$L$78*'Plan mensual'!J316</f>
        <v>185.320605989029</v>
      </c>
      <c r="I296" s="21" t="n">
        <f aca="false">parametros_recargas!$E$78*'Plan mensual'!K309+parametros_recargas!$F$78*'Plan mensual'!K310+parametros_recargas!$G$78*'Plan mensual'!K311+parametros_recargas!$H$78*'Plan mensual'!K312+parametros_recargas!$I$78*'Plan mensual'!K313+parametros_recargas!$J$78*'Plan mensual'!K314+parametros_recargas!$K$78*'Plan mensual'!K315+parametros_recargas!$L$78*'Plan mensual'!K316</f>
        <v>185.320605989029</v>
      </c>
      <c r="J296" s="21" t="n">
        <f aca="false">parametros_recargas!$E$78*'Plan mensual'!L309+parametros_recargas!$F$78*'Plan mensual'!L310+parametros_recargas!$G$78*'Plan mensual'!L311+parametros_recargas!$H$78*'Plan mensual'!L312+parametros_recargas!$I$78*'Plan mensual'!L313+parametros_recargas!$J$78*'Plan mensual'!L314+parametros_recargas!$K$78*'Plan mensual'!L315+parametros_recargas!$L$78*'Plan mensual'!L316</f>
        <v>185.320605989029</v>
      </c>
      <c r="K296" s="21" t="n">
        <f aca="false">parametros_recargas!$E$78*'Plan mensual'!M309+parametros_recargas!$F$78*'Plan mensual'!M310+parametros_recargas!$G$78*'Plan mensual'!M311+parametros_recargas!$H$78*'Plan mensual'!M312+parametros_recargas!$I$78*'Plan mensual'!M313+parametros_recargas!$J$78*'Plan mensual'!M314+parametros_recargas!$K$78*'Plan mensual'!M315+parametros_recargas!$L$78*'Plan mensual'!M316</f>
        <v>185.320605989029</v>
      </c>
      <c r="L296" s="21" t="n">
        <f aca="false">parametros_recargas!$E$78*'Plan mensual'!N309+parametros_recargas!$F$78*'Plan mensual'!N310+parametros_recargas!$G$78*'Plan mensual'!N311+parametros_recargas!$H$78*'Plan mensual'!N312+parametros_recargas!$I$78*'Plan mensual'!N313+parametros_recargas!$J$78*'Plan mensual'!N314+parametros_recargas!$K$78*'Plan mensual'!N315+parametros_recargas!$L$78*'Plan mensual'!N316</f>
        <v>185.320605989029</v>
      </c>
      <c r="M296" s="21" t="n">
        <f aca="false">parametros_recargas!$E$78*'Plan mensual'!O309+parametros_recargas!$F$78*'Plan mensual'!O310+parametros_recargas!$G$78*'Plan mensual'!O311+parametros_recargas!$H$78*'Plan mensual'!O312+parametros_recargas!$I$78*'Plan mensual'!O313+parametros_recargas!$J$78*'Plan mensual'!O314+parametros_recargas!$K$78*'Plan mensual'!O315+parametros_recargas!$L$78*'Plan mensual'!O316</f>
        <v>185.320605989029</v>
      </c>
      <c r="N296" s="6" t="n">
        <f aca="false">SUM(B296:M296)</f>
        <v>2223.84727186835</v>
      </c>
      <c r="O296" s="22" t="n">
        <f aca="false">MAX(B296:M296)</f>
        <v>185.320605989029</v>
      </c>
      <c r="P296" s="12" t="n">
        <f aca="false">O296/parametros_recargas!$B$6</f>
        <v>1.23547070659353</v>
      </c>
    </row>
    <row r="297" customFormat="false" ht="15" hidden="false" customHeight="false" outlineLevel="0" collapsed="false">
      <c r="A297" s="8" t="str">
        <f aca="false">parametros_recargas!$B$79</f>
        <v>Recuperación de halogenado</v>
      </c>
      <c r="B297" s="21" t="n">
        <f aca="false">parametros_recargas!$E$79*'Plan mensual'!D309+parametros_recargas!$F$79*'Plan mensual'!D310+parametros_recargas!$G$79*'Plan mensual'!D311+parametros_recargas!$H$79*'Plan mensual'!D312+parametros_recargas!$I$79*'Plan mensual'!D313+parametros_recargas!$J$79*'Plan mensual'!D314+parametros_recargas!$K$79*'Plan mensual'!D315+parametros_recargas!$L$79*'Plan mensual'!D316</f>
        <v>7.74208036619978</v>
      </c>
      <c r="C297" s="21" t="n">
        <f aca="false">parametros_recargas!$E$79*'Plan mensual'!E309+parametros_recargas!$F$79*'Plan mensual'!E310+parametros_recargas!$G$79*'Plan mensual'!E311+parametros_recargas!$H$79*'Plan mensual'!E312+parametros_recargas!$I$79*'Plan mensual'!E313+parametros_recargas!$J$79*'Plan mensual'!E314+parametros_recargas!$K$79*'Plan mensual'!E315+parametros_recargas!$L$79*'Plan mensual'!E316</f>
        <v>7.74208036619978</v>
      </c>
      <c r="D297" s="21" t="n">
        <f aca="false">parametros_recargas!$E$79*'Plan mensual'!F309+parametros_recargas!$F$79*'Plan mensual'!F310+parametros_recargas!$G$79*'Plan mensual'!F311+parametros_recargas!$H$79*'Plan mensual'!F312+parametros_recargas!$I$79*'Plan mensual'!F313+parametros_recargas!$J$79*'Plan mensual'!F314+parametros_recargas!$K$79*'Plan mensual'!F315+parametros_recargas!$L$79*'Plan mensual'!F316</f>
        <v>7.74208036619978</v>
      </c>
      <c r="E297" s="21" t="n">
        <f aca="false">parametros_recargas!$E$79*'Plan mensual'!G309+parametros_recargas!$F$79*'Plan mensual'!G310+parametros_recargas!$G$79*'Plan mensual'!G311+parametros_recargas!$H$79*'Plan mensual'!G312+parametros_recargas!$I$79*'Plan mensual'!G313+parametros_recargas!$J$79*'Plan mensual'!G314+parametros_recargas!$K$79*'Plan mensual'!G315+parametros_recargas!$L$79*'Plan mensual'!G316</f>
        <v>7.74208036619978</v>
      </c>
      <c r="F297" s="21" t="n">
        <f aca="false">parametros_recargas!$E$79*'Plan mensual'!H309+parametros_recargas!$F$79*'Plan mensual'!H310+parametros_recargas!$G$79*'Plan mensual'!H311+parametros_recargas!$H$79*'Plan mensual'!H312+parametros_recargas!$I$79*'Plan mensual'!H313+parametros_recargas!$J$79*'Plan mensual'!H314+parametros_recargas!$K$79*'Plan mensual'!H315+parametros_recargas!$L$79*'Plan mensual'!H316</f>
        <v>7.74208036619978</v>
      </c>
      <c r="G297" s="21" t="n">
        <f aca="false">parametros_recargas!$E$79*'Plan mensual'!I309+parametros_recargas!$F$79*'Plan mensual'!I310+parametros_recargas!$G$79*'Plan mensual'!I311+parametros_recargas!$H$79*'Plan mensual'!I312+parametros_recargas!$I$79*'Plan mensual'!I313+parametros_recargas!$J$79*'Plan mensual'!I314+parametros_recargas!$K$79*'Plan mensual'!I315+parametros_recargas!$L$79*'Plan mensual'!I316</f>
        <v>7.74208036619978</v>
      </c>
      <c r="H297" s="21" t="n">
        <f aca="false">parametros_recargas!$E$79*'Plan mensual'!J309+parametros_recargas!$F$79*'Plan mensual'!J310+parametros_recargas!$G$79*'Plan mensual'!J311+parametros_recargas!$H$79*'Plan mensual'!J312+parametros_recargas!$I$79*'Plan mensual'!J313+parametros_recargas!$J$79*'Plan mensual'!J314+parametros_recargas!$K$79*'Plan mensual'!J315+parametros_recargas!$L$79*'Plan mensual'!J316</f>
        <v>7.74208036619978</v>
      </c>
      <c r="I297" s="21" t="n">
        <f aca="false">parametros_recargas!$E$79*'Plan mensual'!K309+parametros_recargas!$F$79*'Plan mensual'!K310+parametros_recargas!$G$79*'Plan mensual'!K311+parametros_recargas!$H$79*'Plan mensual'!K312+parametros_recargas!$I$79*'Plan mensual'!K313+parametros_recargas!$J$79*'Plan mensual'!K314+parametros_recargas!$K$79*'Plan mensual'!K315+parametros_recargas!$L$79*'Plan mensual'!K316</f>
        <v>7.74208036619978</v>
      </c>
      <c r="J297" s="21" t="n">
        <f aca="false">parametros_recargas!$E$79*'Plan mensual'!L309+parametros_recargas!$F$79*'Plan mensual'!L310+parametros_recargas!$G$79*'Plan mensual'!L311+parametros_recargas!$H$79*'Plan mensual'!L312+parametros_recargas!$I$79*'Plan mensual'!L313+parametros_recargas!$J$79*'Plan mensual'!L314+parametros_recargas!$K$79*'Plan mensual'!L315+parametros_recargas!$L$79*'Plan mensual'!L316</f>
        <v>7.74208036619978</v>
      </c>
      <c r="K297" s="21" t="n">
        <f aca="false">parametros_recargas!$E$79*'Plan mensual'!M309+parametros_recargas!$F$79*'Plan mensual'!M310+parametros_recargas!$G$79*'Plan mensual'!M311+parametros_recargas!$H$79*'Plan mensual'!M312+parametros_recargas!$I$79*'Plan mensual'!M313+parametros_recargas!$J$79*'Plan mensual'!M314+parametros_recargas!$K$79*'Plan mensual'!M315+parametros_recargas!$L$79*'Plan mensual'!M316</f>
        <v>7.74208036619978</v>
      </c>
      <c r="L297" s="21" t="n">
        <f aca="false">parametros_recargas!$E$79*'Plan mensual'!N309+parametros_recargas!$F$79*'Plan mensual'!N310+parametros_recargas!$G$79*'Plan mensual'!N311+parametros_recargas!$H$79*'Plan mensual'!N312+parametros_recargas!$I$79*'Plan mensual'!N313+parametros_recargas!$J$79*'Plan mensual'!N314+parametros_recargas!$K$79*'Plan mensual'!N315+parametros_recargas!$L$79*'Plan mensual'!N316</f>
        <v>7.74208036619978</v>
      </c>
      <c r="M297" s="21" t="n">
        <f aca="false">parametros_recargas!$E$79*'Plan mensual'!O309+parametros_recargas!$F$79*'Plan mensual'!O310+parametros_recargas!$G$79*'Plan mensual'!O311+parametros_recargas!$H$79*'Plan mensual'!O312+parametros_recargas!$I$79*'Plan mensual'!O313+parametros_recargas!$J$79*'Plan mensual'!O314+parametros_recargas!$K$79*'Plan mensual'!O315+parametros_recargas!$L$79*'Plan mensual'!O316</f>
        <v>7.74208036619978</v>
      </c>
      <c r="N297" s="6" t="n">
        <f aca="false">SUM(B297:M297)</f>
        <v>92.9049643943974</v>
      </c>
      <c r="O297" s="22" t="n">
        <f aca="false">MAX(B297:M297)</f>
        <v>7.74208036619978</v>
      </c>
      <c r="P297" s="12" t="n">
        <f aca="false">O297/parametros_recargas!$B$6</f>
        <v>0.0516138691079986</v>
      </c>
    </row>
    <row r="298" customFormat="false" ht="15" hidden="false" customHeight="false" outlineLevel="0" collapsed="false">
      <c r="A298" s="8" t="str">
        <f aca="false">parametros_recargas!$B$80</f>
        <v>Desarme y limpieza — recinto</v>
      </c>
      <c r="B298" s="21" t="n">
        <f aca="false">parametros_recargas!$E$80*'Plan mensual'!D309+parametros_recargas!$F$80*'Plan mensual'!D310+parametros_recargas!$G$80*'Plan mensual'!D311+parametros_recargas!$H$80*'Plan mensual'!D312+parametros_recargas!$I$80*'Plan mensual'!D313+parametros_recargas!$J$80*'Plan mensual'!D314+parametros_recargas!$K$80*'Plan mensual'!D315+parametros_recargas!$L$80*'Plan mensual'!D316</f>
        <v>8047.44691443768</v>
      </c>
      <c r="C298" s="21" t="n">
        <f aca="false">parametros_recargas!$E$80*'Plan mensual'!E309+parametros_recargas!$F$80*'Plan mensual'!E310+parametros_recargas!$G$80*'Plan mensual'!E311+parametros_recargas!$H$80*'Plan mensual'!E312+parametros_recargas!$I$80*'Plan mensual'!E313+parametros_recargas!$J$80*'Plan mensual'!E314+parametros_recargas!$K$80*'Plan mensual'!E315+parametros_recargas!$L$80*'Plan mensual'!E316</f>
        <v>8047.44691443768</v>
      </c>
      <c r="D298" s="21" t="n">
        <f aca="false">parametros_recargas!$E$80*'Plan mensual'!F309+parametros_recargas!$F$80*'Plan mensual'!F310+parametros_recargas!$G$80*'Plan mensual'!F311+parametros_recargas!$H$80*'Plan mensual'!F312+parametros_recargas!$I$80*'Plan mensual'!F313+parametros_recargas!$J$80*'Plan mensual'!F314+parametros_recargas!$K$80*'Plan mensual'!F315+parametros_recargas!$L$80*'Plan mensual'!F316</f>
        <v>8047.44691443768</v>
      </c>
      <c r="E298" s="21" t="n">
        <f aca="false">parametros_recargas!$E$80*'Plan mensual'!G309+parametros_recargas!$F$80*'Plan mensual'!G310+parametros_recargas!$G$80*'Plan mensual'!G311+parametros_recargas!$H$80*'Plan mensual'!G312+parametros_recargas!$I$80*'Plan mensual'!G313+parametros_recargas!$J$80*'Plan mensual'!G314+parametros_recargas!$K$80*'Plan mensual'!G315+parametros_recargas!$L$80*'Plan mensual'!G316</f>
        <v>8047.44691443768</v>
      </c>
      <c r="F298" s="21" t="n">
        <f aca="false">parametros_recargas!$E$80*'Plan mensual'!H309+parametros_recargas!$F$80*'Plan mensual'!H310+parametros_recargas!$G$80*'Plan mensual'!H311+parametros_recargas!$H$80*'Plan mensual'!H312+parametros_recargas!$I$80*'Plan mensual'!H313+parametros_recargas!$J$80*'Plan mensual'!H314+parametros_recargas!$K$80*'Plan mensual'!H315+parametros_recargas!$L$80*'Plan mensual'!H316</f>
        <v>8047.44691443768</v>
      </c>
      <c r="G298" s="21" t="n">
        <f aca="false">parametros_recargas!$E$80*'Plan mensual'!I309+parametros_recargas!$F$80*'Plan mensual'!I310+parametros_recargas!$G$80*'Plan mensual'!I311+parametros_recargas!$H$80*'Plan mensual'!I312+parametros_recargas!$I$80*'Plan mensual'!I313+parametros_recargas!$J$80*'Plan mensual'!I314+parametros_recargas!$K$80*'Plan mensual'!I315+parametros_recargas!$L$80*'Plan mensual'!I316</f>
        <v>8047.44691443768</v>
      </c>
      <c r="H298" s="21" t="n">
        <f aca="false">parametros_recargas!$E$80*'Plan mensual'!J309+parametros_recargas!$F$80*'Plan mensual'!J310+parametros_recargas!$G$80*'Plan mensual'!J311+parametros_recargas!$H$80*'Plan mensual'!J312+parametros_recargas!$I$80*'Plan mensual'!J313+parametros_recargas!$J$80*'Plan mensual'!J314+parametros_recargas!$K$80*'Plan mensual'!J315+parametros_recargas!$L$80*'Plan mensual'!J316</f>
        <v>8047.44691443768</v>
      </c>
      <c r="I298" s="21" t="n">
        <f aca="false">parametros_recargas!$E$80*'Plan mensual'!K309+parametros_recargas!$F$80*'Plan mensual'!K310+parametros_recargas!$G$80*'Plan mensual'!K311+parametros_recargas!$H$80*'Plan mensual'!K312+parametros_recargas!$I$80*'Plan mensual'!K313+parametros_recargas!$J$80*'Plan mensual'!K314+parametros_recargas!$K$80*'Plan mensual'!K315+parametros_recargas!$L$80*'Plan mensual'!K316</f>
        <v>8047.44691443768</v>
      </c>
      <c r="J298" s="21" t="n">
        <f aca="false">parametros_recargas!$E$80*'Plan mensual'!L309+parametros_recargas!$F$80*'Plan mensual'!L310+parametros_recargas!$G$80*'Plan mensual'!L311+parametros_recargas!$H$80*'Plan mensual'!L312+parametros_recargas!$I$80*'Plan mensual'!L313+parametros_recargas!$J$80*'Plan mensual'!L314+parametros_recargas!$K$80*'Plan mensual'!L315+parametros_recargas!$L$80*'Plan mensual'!L316</f>
        <v>8047.44691443768</v>
      </c>
      <c r="K298" s="21" t="n">
        <f aca="false">parametros_recargas!$E$80*'Plan mensual'!M309+parametros_recargas!$F$80*'Plan mensual'!M310+parametros_recargas!$G$80*'Plan mensual'!M311+parametros_recargas!$H$80*'Plan mensual'!M312+parametros_recargas!$I$80*'Plan mensual'!M313+parametros_recargas!$J$80*'Plan mensual'!M314+parametros_recargas!$K$80*'Plan mensual'!M315+parametros_recargas!$L$80*'Plan mensual'!M316</f>
        <v>8047.44691443768</v>
      </c>
      <c r="L298" s="21" t="n">
        <f aca="false">parametros_recargas!$E$80*'Plan mensual'!N309+parametros_recargas!$F$80*'Plan mensual'!N310+parametros_recargas!$G$80*'Plan mensual'!N311+parametros_recargas!$H$80*'Plan mensual'!N312+parametros_recargas!$I$80*'Plan mensual'!N313+parametros_recargas!$J$80*'Plan mensual'!N314+parametros_recargas!$K$80*'Plan mensual'!N315+parametros_recargas!$L$80*'Plan mensual'!N316</f>
        <v>8047.44691443768</v>
      </c>
      <c r="M298" s="21" t="n">
        <f aca="false">parametros_recargas!$E$80*'Plan mensual'!O309+parametros_recargas!$F$80*'Plan mensual'!O310+parametros_recargas!$G$80*'Plan mensual'!O311+parametros_recargas!$H$80*'Plan mensual'!O312+parametros_recargas!$I$80*'Plan mensual'!O313+parametros_recargas!$J$80*'Plan mensual'!O314+parametros_recargas!$K$80*'Plan mensual'!O315+parametros_recargas!$L$80*'Plan mensual'!O316</f>
        <v>8047.44691443768</v>
      </c>
      <c r="N298" s="6" t="n">
        <f aca="false">SUM(B298:M298)</f>
        <v>96569.3629732522</v>
      </c>
      <c r="O298" s="22" t="n">
        <f aca="false">MAX(B298:M298)</f>
        <v>8047.44691443768</v>
      </c>
      <c r="P298" s="12" t="n">
        <f aca="false">O298/parametros_recargas!$B$6</f>
        <v>53.6496460962512</v>
      </c>
    </row>
    <row r="299" customFormat="false" ht="15" hidden="false" customHeight="false" outlineLevel="0" collapsed="false">
      <c r="A299" s="8" t="str">
        <f aca="false">parametros_recargas!$B$81</f>
        <v>Desarme e inspección interior — zona general</v>
      </c>
      <c r="B299" s="21" t="n">
        <f aca="false">parametros_recargas!$E$81*'Plan mensual'!D309+parametros_recargas!$F$81*'Plan mensual'!D310+parametros_recargas!$G$81*'Plan mensual'!D311+parametros_recargas!$H$81*'Plan mensual'!D312+parametros_recargas!$I$81*'Plan mensual'!D313+parametros_recargas!$J$81*'Plan mensual'!D314+parametros_recargas!$K$81*'Plan mensual'!D315+parametros_recargas!$L$81*'Plan mensual'!D316</f>
        <v>599.790605540102</v>
      </c>
      <c r="C299" s="21" t="n">
        <f aca="false">parametros_recargas!$E$81*'Plan mensual'!E309+parametros_recargas!$F$81*'Plan mensual'!E310+parametros_recargas!$G$81*'Plan mensual'!E311+parametros_recargas!$H$81*'Plan mensual'!E312+parametros_recargas!$I$81*'Plan mensual'!E313+parametros_recargas!$J$81*'Plan mensual'!E314+parametros_recargas!$K$81*'Plan mensual'!E315+parametros_recargas!$L$81*'Plan mensual'!E316</f>
        <v>599.790605540102</v>
      </c>
      <c r="D299" s="21" t="n">
        <f aca="false">parametros_recargas!$E$81*'Plan mensual'!F309+parametros_recargas!$F$81*'Plan mensual'!F310+parametros_recargas!$G$81*'Plan mensual'!F311+parametros_recargas!$H$81*'Plan mensual'!F312+parametros_recargas!$I$81*'Plan mensual'!F313+parametros_recargas!$J$81*'Plan mensual'!F314+parametros_recargas!$K$81*'Plan mensual'!F315+parametros_recargas!$L$81*'Plan mensual'!F316</f>
        <v>599.790605540102</v>
      </c>
      <c r="E299" s="21" t="n">
        <f aca="false">parametros_recargas!$E$81*'Plan mensual'!G309+parametros_recargas!$F$81*'Plan mensual'!G310+parametros_recargas!$G$81*'Plan mensual'!G311+parametros_recargas!$H$81*'Plan mensual'!G312+parametros_recargas!$I$81*'Plan mensual'!G313+parametros_recargas!$J$81*'Plan mensual'!G314+parametros_recargas!$K$81*'Plan mensual'!G315+parametros_recargas!$L$81*'Plan mensual'!G316</f>
        <v>599.790605540102</v>
      </c>
      <c r="F299" s="21" t="n">
        <f aca="false">parametros_recargas!$E$81*'Plan mensual'!H309+parametros_recargas!$F$81*'Plan mensual'!H310+parametros_recargas!$G$81*'Plan mensual'!H311+parametros_recargas!$H$81*'Plan mensual'!H312+parametros_recargas!$I$81*'Plan mensual'!H313+parametros_recargas!$J$81*'Plan mensual'!H314+parametros_recargas!$K$81*'Plan mensual'!H315+parametros_recargas!$L$81*'Plan mensual'!H316</f>
        <v>599.790605540102</v>
      </c>
      <c r="G299" s="21" t="n">
        <f aca="false">parametros_recargas!$E$81*'Plan mensual'!I309+parametros_recargas!$F$81*'Plan mensual'!I310+parametros_recargas!$G$81*'Plan mensual'!I311+parametros_recargas!$H$81*'Plan mensual'!I312+parametros_recargas!$I$81*'Plan mensual'!I313+parametros_recargas!$J$81*'Plan mensual'!I314+parametros_recargas!$K$81*'Plan mensual'!I315+parametros_recargas!$L$81*'Plan mensual'!I316</f>
        <v>599.790605540102</v>
      </c>
      <c r="H299" s="21" t="n">
        <f aca="false">parametros_recargas!$E$81*'Plan mensual'!J309+parametros_recargas!$F$81*'Plan mensual'!J310+parametros_recargas!$G$81*'Plan mensual'!J311+parametros_recargas!$H$81*'Plan mensual'!J312+parametros_recargas!$I$81*'Plan mensual'!J313+parametros_recargas!$J$81*'Plan mensual'!J314+parametros_recargas!$K$81*'Plan mensual'!J315+parametros_recargas!$L$81*'Plan mensual'!J316</f>
        <v>599.790605540102</v>
      </c>
      <c r="I299" s="21" t="n">
        <f aca="false">parametros_recargas!$E$81*'Plan mensual'!K309+parametros_recargas!$F$81*'Plan mensual'!K310+parametros_recargas!$G$81*'Plan mensual'!K311+parametros_recargas!$H$81*'Plan mensual'!K312+parametros_recargas!$I$81*'Plan mensual'!K313+parametros_recargas!$J$81*'Plan mensual'!K314+parametros_recargas!$K$81*'Plan mensual'!K315+parametros_recargas!$L$81*'Plan mensual'!K316</f>
        <v>599.790605540102</v>
      </c>
      <c r="J299" s="21" t="n">
        <f aca="false">parametros_recargas!$E$81*'Plan mensual'!L309+parametros_recargas!$F$81*'Plan mensual'!L310+parametros_recargas!$G$81*'Plan mensual'!L311+parametros_recargas!$H$81*'Plan mensual'!L312+parametros_recargas!$I$81*'Plan mensual'!L313+parametros_recargas!$J$81*'Plan mensual'!L314+parametros_recargas!$K$81*'Plan mensual'!L315+parametros_recargas!$L$81*'Plan mensual'!L316</f>
        <v>599.790605540102</v>
      </c>
      <c r="K299" s="21" t="n">
        <f aca="false">parametros_recargas!$E$81*'Plan mensual'!M309+parametros_recargas!$F$81*'Plan mensual'!M310+parametros_recargas!$G$81*'Plan mensual'!M311+parametros_recargas!$H$81*'Plan mensual'!M312+parametros_recargas!$I$81*'Plan mensual'!M313+parametros_recargas!$J$81*'Plan mensual'!M314+parametros_recargas!$K$81*'Plan mensual'!M315+parametros_recargas!$L$81*'Plan mensual'!M316</f>
        <v>599.790605540102</v>
      </c>
      <c r="L299" s="21" t="n">
        <f aca="false">parametros_recargas!$E$81*'Plan mensual'!N309+parametros_recargas!$F$81*'Plan mensual'!N310+parametros_recargas!$G$81*'Plan mensual'!N311+parametros_recargas!$H$81*'Plan mensual'!N312+parametros_recargas!$I$81*'Plan mensual'!N313+parametros_recargas!$J$81*'Plan mensual'!N314+parametros_recargas!$K$81*'Plan mensual'!N315+parametros_recargas!$L$81*'Plan mensual'!N316</f>
        <v>599.790605540102</v>
      </c>
      <c r="M299" s="21" t="n">
        <f aca="false">parametros_recargas!$E$81*'Plan mensual'!O309+parametros_recargas!$F$81*'Plan mensual'!O310+parametros_recargas!$G$81*'Plan mensual'!O311+parametros_recargas!$H$81*'Plan mensual'!O312+parametros_recargas!$I$81*'Plan mensual'!O313+parametros_recargas!$J$81*'Plan mensual'!O314+parametros_recargas!$K$81*'Plan mensual'!O315+parametros_recargas!$L$81*'Plan mensual'!O316</f>
        <v>599.790605540102</v>
      </c>
      <c r="N299" s="6" t="n">
        <f aca="false">SUM(B299:M299)</f>
        <v>7197.48726648123</v>
      </c>
      <c r="O299" s="22" t="n">
        <f aca="false">MAX(B299:M299)</f>
        <v>599.790605540102</v>
      </c>
      <c r="P299" s="12" t="n">
        <f aca="false">O299/parametros_recargas!$B$6</f>
        <v>3.99860403693401</v>
      </c>
    </row>
    <row r="300" customFormat="false" ht="15" hidden="false" customHeight="false" outlineLevel="0" collapsed="false">
      <c r="A300" s="8" t="str">
        <f aca="false">parametros_recargas!$B$82</f>
        <v>Laboratorio — Puffer y mufla</v>
      </c>
      <c r="B300" s="21" t="n">
        <f aca="false">parametros_recargas!$E$82*'Plan mensual'!D309+parametros_recargas!$F$82*'Plan mensual'!D310+parametros_recargas!$G$82*'Plan mensual'!D311+parametros_recargas!$H$82*'Plan mensual'!D312+parametros_recargas!$I$82*'Plan mensual'!D313+parametros_recargas!$J$82*'Plan mensual'!D314+parametros_recargas!$K$82*'Plan mensual'!D315+parametros_recargas!$L$82*'Plan mensual'!D316</f>
        <v>8.03679115843421</v>
      </c>
      <c r="C300" s="21" t="n">
        <f aca="false">parametros_recargas!$E$82*'Plan mensual'!E309+parametros_recargas!$F$82*'Plan mensual'!E310+parametros_recargas!$G$82*'Plan mensual'!E311+parametros_recargas!$H$82*'Plan mensual'!E312+parametros_recargas!$I$82*'Plan mensual'!E313+parametros_recargas!$J$82*'Plan mensual'!E314+parametros_recargas!$K$82*'Plan mensual'!E315+parametros_recargas!$L$82*'Plan mensual'!E316</f>
        <v>8.03679115843421</v>
      </c>
      <c r="D300" s="21" t="n">
        <f aca="false">parametros_recargas!$E$82*'Plan mensual'!F309+parametros_recargas!$F$82*'Plan mensual'!F310+parametros_recargas!$G$82*'Plan mensual'!F311+parametros_recargas!$H$82*'Plan mensual'!F312+parametros_recargas!$I$82*'Plan mensual'!F313+parametros_recargas!$J$82*'Plan mensual'!F314+parametros_recargas!$K$82*'Plan mensual'!F315+parametros_recargas!$L$82*'Plan mensual'!F316</f>
        <v>8.03679115843421</v>
      </c>
      <c r="E300" s="21" t="n">
        <f aca="false">parametros_recargas!$E$82*'Plan mensual'!G309+parametros_recargas!$F$82*'Plan mensual'!G310+parametros_recargas!$G$82*'Plan mensual'!G311+parametros_recargas!$H$82*'Plan mensual'!G312+parametros_recargas!$I$82*'Plan mensual'!G313+parametros_recargas!$J$82*'Plan mensual'!G314+parametros_recargas!$K$82*'Plan mensual'!G315+parametros_recargas!$L$82*'Plan mensual'!G316</f>
        <v>8.03679115843421</v>
      </c>
      <c r="F300" s="21" t="n">
        <f aca="false">parametros_recargas!$E$82*'Plan mensual'!H309+parametros_recargas!$F$82*'Plan mensual'!H310+parametros_recargas!$G$82*'Plan mensual'!H311+parametros_recargas!$H$82*'Plan mensual'!H312+parametros_recargas!$I$82*'Plan mensual'!H313+parametros_recargas!$J$82*'Plan mensual'!H314+parametros_recargas!$K$82*'Plan mensual'!H315+parametros_recargas!$L$82*'Plan mensual'!H316</f>
        <v>8.03679115843421</v>
      </c>
      <c r="G300" s="21" t="n">
        <f aca="false">parametros_recargas!$E$82*'Plan mensual'!I309+parametros_recargas!$F$82*'Plan mensual'!I310+parametros_recargas!$G$82*'Plan mensual'!I311+parametros_recargas!$H$82*'Plan mensual'!I312+parametros_recargas!$I$82*'Plan mensual'!I313+parametros_recargas!$J$82*'Plan mensual'!I314+parametros_recargas!$K$82*'Plan mensual'!I315+parametros_recargas!$L$82*'Plan mensual'!I316</f>
        <v>8.03679115843421</v>
      </c>
      <c r="H300" s="21" t="n">
        <f aca="false">parametros_recargas!$E$82*'Plan mensual'!J309+parametros_recargas!$F$82*'Plan mensual'!J310+parametros_recargas!$G$82*'Plan mensual'!J311+parametros_recargas!$H$82*'Plan mensual'!J312+parametros_recargas!$I$82*'Plan mensual'!J313+parametros_recargas!$J$82*'Plan mensual'!J314+parametros_recargas!$K$82*'Plan mensual'!J315+parametros_recargas!$L$82*'Plan mensual'!J316</f>
        <v>8.03679115843421</v>
      </c>
      <c r="I300" s="21" t="n">
        <f aca="false">parametros_recargas!$E$82*'Plan mensual'!K309+parametros_recargas!$F$82*'Plan mensual'!K310+parametros_recargas!$G$82*'Plan mensual'!K311+parametros_recargas!$H$82*'Plan mensual'!K312+parametros_recargas!$I$82*'Plan mensual'!K313+parametros_recargas!$J$82*'Plan mensual'!K314+parametros_recargas!$K$82*'Plan mensual'!K315+parametros_recargas!$L$82*'Plan mensual'!K316</f>
        <v>8.03679115843421</v>
      </c>
      <c r="J300" s="21" t="n">
        <f aca="false">parametros_recargas!$E$82*'Plan mensual'!L309+parametros_recargas!$F$82*'Plan mensual'!L310+parametros_recargas!$G$82*'Plan mensual'!L311+parametros_recargas!$H$82*'Plan mensual'!L312+parametros_recargas!$I$82*'Plan mensual'!L313+parametros_recargas!$J$82*'Plan mensual'!L314+parametros_recargas!$K$82*'Plan mensual'!L315+parametros_recargas!$L$82*'Plan mensual'!L316</f>
        <v>8.03679115843421</v>
      </c>
      <c r="K300" s="21" t="n">
        <f aca="false">parametros_recargas!$E$82*'Plan mensual'!M309+parametros_recargas!$F$82*'Plan mensual'!M310+parametros_recargas!$G$82*'Plan mensual'!M311+parametros_recargas!$H$82*'Plan mensual'!M312+parametros_recargas!$I$82*'Plan mensual'!M313+parametros_recargas!$J$82*'Plan mensual'!M314+parametros_recargas!$K$82*'Plan mensual'!M315+parametros_recargas!$L$82*'Plan mensual'!M316</f>
        <v>8.03679115843421</v>
      </c>
      <c r="L300" s="21" t="n">
        <f aca="false">parametros_recargas!$E$82*'Plan mensual'!N309+parametros_recargas!$F$82*'Plan mensual'!N310+parametros_recargas!$G$82*'Plan mensual'!N311+parametros_recargas!$H$82*'Plan mensual'!N312+parametros_recargas!$I$82*'Plan mensual'!N313+parametros_recargas!$J$82*'Plan mensual'!N314+parametros_recargas!$K$82*'Plan mensual'!N315+parametros_recargas!$L$82*'Plan mensual'!N316</f>
        <v>8.03679115843421</v>
      </c>
      <c r="M300" s="21" t="n">
        <f aca="false">parametros_recargas!$E$82*'Plan mensual'!O309+parametros_recargas!$F$82*'Plan mensual'!O310+parametros_recargas!$G$82*'Plan mensual'!O311+parametros_recargas!$H$82*'Plan mensual'!O312+parametros_recargas!$I$82*'Plan mensual'!O313+parametros_recargas!$J$82*'Plan mensual'!O314+parametros_recargas!$K$82*'Plan mensual'!O315+parametros_recargas!$L$82*'Plan mensual'!O316</f>
        <v>8.03679115843421</v>
      </c>
      <c r="N300" s="6" t="n">
        <f aca="false">SUM(B300:M300)</f>
        <v>96.4414939012105</v>
      </c>
      <c r="O300" s="22" t="n">
        <f aca="false">MAX(B300:M300)</f>
        <v>8.03679115843421</v>
      </c>
      <c r="P300" s="12" t="n">
        <f aca="false">O300/parametros_recargas!$B$6</f>
        <v>0.0535786077228947</v>
      </c>
    </row>
    <row r="301" customFormat="false" ht="15" hidden="false" customHeight="false" outlineLevel="0" collapsed="false">
      <c r="A301" s="8" t="str">
        <f aca="false">parametros_recargas!$B$83</f>
        <v>Prueba hidráulica</v>
      </c>
      <c r="B301" s="21" t="n">
        <f aca="false">parametros_recargas!$E$83*'Plan mensual'!D309+parametros_recargas!$F$83*'Plan mensual'!D310+parametros_recargas!$G$83*'Plan mensual'!D311+parametros_recargas!$H$83*'Plan mensual'!D312+parametros_recargas!$I$83*'Plan mensual'!D313+parametros_recargas!$J$83*'Plan mensual'!D314+parametros_recargas!$K$83*'Plan mensual'!D315+parametros_recargas!$L$83*'Plan mensual'!D316</f>
        <v>1967.30349156416</v>
      </c>
      <c r="C301" s="21" t="n">
        <f aca="false">parametros_recargas!$E$83*'Plan mensual'!E309+parametros_recargas!$F$83*'Plan mensual'!E310+parametros_recargas!$G$83*'Plan mensual'!E311+parametros_recargas!$H$83*'Plan mensual'!E312+parametros_recargas!$I$83*'Plan mensual'!E313+parametros_recargas!$J$83*'Plan mensual'!E314+parametros_recargas!$K$83*'Plan mensual'!E315+parametros_recargas!$L$83*'Plan mensual'!E316</f>
        <v>1967.30349156416</v>
      </c>
      <c r="D301" s="21" t="n">
        <f aca="false">parametros_recargas!$E$83*'Plan mensual'!F309+parametros_recargas!$F$83*'Plan mensual'!F310+parametros_recargas!$G$83*'Plan mensual'!F311+parametros_recargas!$H$83*'Plan mensual'!F312+parametros_recargas!$I$83*'Plan mensual'!F313+parametros_recargas!$J$83*'Plan mensual'!F314+parametros_recargas!$K$83*'Plan mensual'!F315+parametros_recargas!$L$83*'Plan mensual'!F316</f>
        <v>1967.30349156416</v>
      </c>
      <c r="E301" s="21" t="n">
        <f aca="false">parametros_recargas!$E$83*'Plan mensual'!G309+parametros_recargas!$F$83*'Plan mensual'!G310+parametros_recargas!$G$83*'Plan mensual'!G311+parametros_recargas!$H$83*'Plan mensual'!G312+parametros_recargas!$I$83*'Plan mensual'!G313+parametros_recargas!$J$83*'Plan mensual'!G314+parametros_recargas!$K$83*'Plan mensual'!G315+parametros_recargas!$L$83*'Plan mensual'!G316</f>
        <v>1967.30349156416</v>
      </c>
      <c r="F301" s="21" t="n">
        <f aca="false">parametros_recargas!$E$83*'Plan mensual'!H309+parametros_recargas!$F$83*'Plan mensual'!H310+parametros_recargas!$G$83*'Plan mensual'!H311+parametros_recargas!$H$83*'Plan mensual'!H312+parametros_recargas!$I$83*'Plan mensual'!H313+parametros_recargas!$J$83*'Plan mensual'!H314+parametros_recargas!$K$83*'Plan mensual'!H315+parametros_recargas!$L$83*'Plan mensual'!H316</f>
        <v>1967.30349156416</v>
      </c>
      <c r="G301" s="21" t="n">
        <f aca="false">parametros_recargas!$E$83*'Plan mensual'!I309+parametros_recargas!$F$83*'Plan mensual'!I310+parametros_recargas!$G$83*'Plan mensual'!I311+parametros_recargas!$H$83*'Plan mensual'!I312+parametros_recargas!$I$83*'Plan mensual'!I313+parametros_recargas!$J$83*'Plan mensual'!I314+parametros_recargas!$K$83*'Plan mensual'!I315+parametros_recargas!$L$83*'Plan mensual'!I316</f>
        <v>1967.30349156416</v>
      </c>
      <c r="H301" s="21" t="n">
        <f aca="false">parametros_recargas!$E$83*'Plan mensual'!J309+parametros_recargas!$F$83*'Plan mensual'!J310+parametros_recargas!$G$83*'Plan mensual'!J311+parametros_recargas!$H$83*'Plan mensual'!J312+parametros_recargas!$I$83*'Plan mensual'!J313+parametros_recargas!$J$83*'Plan mensual'!J314+parametros_recargas!$K$83*'Plan mensual'!J315+parametros_recargas!$L$83*'Plan mensual'!J316</f>
        <v>1967.30349156416</v>
      </c>
      <c r="I301" s="21" t="n">
        <f aca="false">parametros_recargas!$E$83*'Plan mensual'!K309+parametros_recargas!$F$83*'Plan mensual'!K310+parametros_recargas!$G$83*'Plan mensual'!K311+parametros_recargas!$H$83*'Plan mensual'!K312+parametros_recargas!$I$83*'Plan mensual'!K313+parametros_recargas!$J$83*'Plan mensual'!K314+parametros_recargas!$K$83*'Plan mensual'!K315+parametros_recargas!$L$83*'Plan mensual'!K316</f>
        <v>1967.30349156416</v>
      </c>
      <c r="J301" s="21" t="n">
        <f aca="false">parametros_recargas!$E$83*'Plan mensual'!L309+parametros_recargas!$F$83*'Plan mensual'!L310+parametros_recargas!$G$83*'Plan mensual'!L311+parametros_recargas!$H$83*'Plan mensual'!L312+parametros_recargas!$I$83*'Plan mensual'!L313+parametros_recargas!$J$83*'Plan mensual'!L314+parametros_recargas!$K$83*'Plan mensual'!L315+parametros_recargas!$L$83*'Plan mensual'!L316</f>
        <v>1967.30349156416</v>
      </c>
      <c r="K301" s="21" t="n">
        <f aca="false">parametros_recargas!$E$83*'Plan mensual'!M309+parametros_recargas!$F$83*'Plan mensual'!M310+parametros_recargas!$G$83*'Plan mensual'!M311+parametros_recargas!$H$83*'Plan mensual'!M312+parametros_recargas!$I$83*'Plan mensual'!M313+parametros_recargas!$J$83*'Plan mensual'!M314+parametros_recargas!$K$83*'Plan mensual'!M315+parametros_recargas!$L$83*'Plan mensual'!M316</f>
        <v>1967.30349156416</v>
      </c>
      <c r="L301" s="21" t="n">
        <f aca="false">parametros_recargas!$E$83*'Plan mensual'!N309+parametros_recargas!$F$83*'Plan mensual'!N310+parametros_recargas!$G$83*'Plan mensual'!N311+parametros_recargas!$H$83*'Plan mensual'!N312+parametros_recargas!$I$83*'Plan mensual'!N313+parametros_recargas!$J$83*'Plan mensual'!N314+parametros_recargas!$K$83*'Plan mensual'!N315+parametros_recargas!$L$83*'Plan mensual'!N316</f>
        <v>1967.30349156416</v>
      </c>
      <c r="M301" s="21" t="n">
        <f aca="false">parametros_recargas!$E$83*'Plan mensual'!O309+parametros_recargas!$F$83*'Plan mensual'!O310+parametros_recargas!$G$83*'Plan mensual'!O311+parametros_recargas!$H$83*'Plan mensual'!O312+parametros_recargas!$I$83*'Plan mensual'!O313+parametros_recargas!$J$83*'Plan mensual'!O314+parametros_recargas!$K$83*'Plan mensual'!O315+parametros_recargas!$L$83*'Plan mensual'!O316</f>
        <v>1967.30349156416</v>
      </c>
      <c r="N301" s="6" t="n">
        <f aca="false">SUM(B301:M301)</f>
        <v>23607.6418987699</v>
      </c>
      <c r="O301" s="22" t="n">
        <f aca="false">MAX(B301:M301)</f>
        <v>1967.30349156416</v>
      </c>
      <c r="P301" s="12" t="n">
        <f aca="false">O301/parametros_recargas!$B$6</f>
        <v>13.1153566104277</v>
      </c>
    </row>
    <row r="302" customFormat="false" ht="15" hidden="false" customHeight="false" outlineLevel="0" collapsed="false">
      <c r="A302" s="8" t="str">
        <f aca="false">parametros_recargas!$B$84</f>
        <v>Secado</v>
      </c>
      <c r="B302" s="21" t="n">
        <f aca="false">parametros_recargas!$E$84*'Plan mensual'!D309+parametros_recargas!$F$84*'Plan mensual'!D310+parametros_recargas!$G$84*'Plan mensual'!D311+parametros_recargas!$H$84*'Plan mensual'!D312+parametros_recargas!$I$84*'Plan mensual'!D313+parametros_recargas!$J$84*'Plan mensual'!D314+parametros_recargas!$K$84*'Plan mensual'!D315+parametros_recargas!$L$84*'Plan mensual'!D316</f>
        <v>1844.4140011161</v>
      </c>
      <c r="C302" s="21" t="n">
        <f aca="false">parametros_recargas!$E$84*'Plan mensual'!E309+parametros_recargas!$F$84*'Plan mensual'!E310+parametros_recargas!$G$84*'Plan mensual'!E311+parametros_recargas!$H$84*'Plan mensual'!E312+parametros_recargas!$I$84*'Plan mensual'!E313+parametros_recargas!$J$84*'Plan mensual'!E314+parametros_recargas!$K$84*'Plan mensual'!E315+parametros_recargas!$L$84*'Plan mensual'!E316</f>
        <v>1844.4140011161</v>
      </c>
      <c r="D302" s="21" t="n">
        <f aca="false">parametros_recargas!$E$84*'Plan mensual'!F309+parametros_recargas!$F$84*'Plan mensual'!F310+parametros_recargas!$G$84*'Plan mensual'!F311+parametros_recargas!$H$84*'Plan mensual'!F312+parametros_recargas!$I$84*'Plan mensual'!F313+parametros_recargas!$J$84*'Plan mensual'!F314+parametros_recargas!$K$84*'Plan mensual'!F315+parametros_recargas!$L$84*'Plan mensual'!F316</f>
        <v>1844.4140011161</v>
      </c>
      <c r="E302" s="21" t="n">
        <f aca="false">parametros_recargas!$E$84*'Plan mensual'!G309+parametros_recargas!$F$84*'Plan mensual'!G310+parametros_recargas!$G$84*'Plan mensual'!G311+parametros_recargas!$H$84*'Plan mensual'!G312+parametros_recargas!$I$84*'Plan mensual'!G313+parametros_recargas!$J$84*'Plan mensual'!G314+parametros_recargas!$K$84*'Plan mensual'!G315+parametros_recargas!$L$84*'Plan mensual'!G316</f>
        <v>1844.4140011161</v>
      </c>
      <c r="F302" s="21" t="n">
        <f aca="false">parametros_recargas!$E$84*'Plan mensual'!H309+parametros_recargas!$F$84*'Plan mensual'!H310+parametros_recargas!$G$84*'Plan mensual'!H311+parametros_recargas!$H$84*'Plan mensual'!H312+parametros_recargas!$I$84*'Plan mensual'!H313+parametros_recargas!$J$84*'Plan mensual'!H314+parametros_recargas!$K$84*'Plan mensual'!H315+parametros_recargas!$L$84*'Plan mensual'!H316</f>
        <v>1844.4140011161</v>
      </c>
      <c r="G302" s="21" t="n">
        <f aca="false">parametros_recargas!$E$84*'Plan mensual'!I309+parametros_recargas!$F$84*'Plan mensual'!I310+parametros_recargas!$G$84*'Plan mensual'!I311+parametros_recargas!$H$84*'Plan mensual'!I312+parametros_recargas!$I$84*'Plan mensual'!I313+parametros_recargas!$J$84*'Plan mensual'!I314+parametros_recargas!$K$84*'Plan mensual'!I315+parametros_recargas!$L$84*'Plan mensual'!I316</f>
        <v>1844.4140011161</v>
      </c>
      <c r="H302" s="21" t="n">
        <f aca="false">parametros_recargas!$E$84*'Plan mensual'!J309+parametros_recargas!$F$84*'Plan mensual'!J310+parametros_recargas!$G$84*'Plan mensual'!J311+parametros_recargas!$H$84*'Plan mensual'!J312+parametros_recargas!$I$84*'Plan mensual'!J313+parametros_recargas!$J$84*'Plan mensual'!J314+parametros_recargas!$K$84*'Plan mensual'!J315+parametros_recargas!$L$84*'Plan mensual'!J316</f>
        <v>1844.4140011161</v>
      </c>
      <c r="I302" s="21" t="n">
        <f aca="false">parametros_recargas!$E$84*'Plan mensual'!K309+parametros_recargas!$F$84*'Plan mensual'!K310+parametros_recargas!$G$84*'Plan mensual'!K311+parametros_recargas!$H$84*'Plan mensual'!K312+parametros_recargas!$I$84*'Plan mensual'!K313+parametros_recargas!$J$84*'Plan mensual'!K314+parametros_recargas!$K$84*'Plan mensual'!K315+parametros_recargas!$L$84*'Plan mensual'!K316</f>
        <v>1844.4140011161</v>
      </c>
      <c r="J302" s="21" t="n">
        <f aca="false">parametros_recargas!$E$84*'Plan mensual'!L309+parametros_recargas!$F$84*'Plan mensual'!L310+parametros_recargas!$G$84*'Plan mensual'!L311+parametros_recargas!$H$84*'Plan mensual'!L312+parametros_recargas!$I$84*'Plan mensual'!L313+parametros_recargas!$J$84*'Plan mensual'!L314+parametros_recargas!$K$84*'Plan mensual'!L315+parametros_recargas!$L$84*'Plan mensual'!L316</f>
        <v>1844.4140011161</v>
      </c>
      <c r="K302" s="21" t="n">
        <f aca="false">parametros_recargas!$E$84*'Plan mensual'!M309+parametros_recargas!$F$84*'Plan mensual'!M310+parametros_recargas!$G$84*'Plan mensual'!M311+parametros_recargas!$H$84*'Plan mensual'!M312+parametros_recargas!$I$84*'Plan mensual'!M313+parametros_recargas!$J$84*'Plan mensual'!M314+parametros_recargas!$K$84*'Plan mensual'!M315+parametros_recargas!$L$84*'Plan mensual'!M316</f>
        <v>1844.4140011161</v>
      </c>
      <c r="L302" s="21" t="n">
        <f aca="false">parametros_recargas!$E$84*'Plan mensual'!N309+parametros_recargas!$F$84*'Plan mensual'!N310+parametros_recargas!$G$84*'Plan mensual'!N311+parametros_recargas!$H$84*'Plan mensual'!N312+parametros_recargas!$I$84*'Plan mensual'!N313+parametros_recargas!$J$84*'Plan mensual'!N314+parametros_recargas!$K$84*'Plan mensual'!N315+parametros_recargas!$L$84*'Plan mensual'!N316</f>
        <v>1844.4140011161</v>
      </c>
      <c r="M302" s="21" t="n">
        <f aca="false">parametros_recargas!$E$84*'Plan mensual'!O309+parametros_recargas!$F$84*'Plan mensual'!O310+parametros_recargas!$G$84*'Plan mensual'!O311+parametros_recargas!$H$84*'Plan mensual'!O312+parametros_recargas!$I$84*'Plan mensual'!O313+parametros_recargas!$J$84*'Plan mensual'!O314+parametros_recargas!$K$84*'Plan mensual'!O315+parametros_recargas!$L$84*'Plan mensual'!O316</f>
        <v>1844.4140011161</v>
      </c>
      <c r="N302" s="6" t="n">
        <f aca="false">SUM(B302:M302)</f>
        <v>22132.9680133932</v>
      </c>
      <c r="O302" s="22" t="n">
        <f aca="false">MAX(B302:M302)</f>
        <v>1844.4140011161</v>
      </c>
      <c r="P302" s="12" t="n">
        <f aca="false">O302/parametros_recargas!$B$6</f>
        <v>12.296093340774</v>
      </c>
    </row>
    <row r="303" customFormat="false" ht="15" hidden="false" customHeight="false" outlineLevel="0" collapsed="false">
      <c r="A303" s="8" t="str">
        <f aca="false">parametros_recargas!$B$85</f>
        <v>Inspección interior con videoscopio</v>
      </c>
      <c r="B303" s="21" t="n">
        <f aca="false">parametros_recargas!$E$85*'Plan mensual'!D309+parametros_recargas!$F$85*'Plan mensual'!D310+parametros_recargas!$G$85*'Plan mensual'!D311+parametros_recargas!$H$85*'Plan mensual'!D312+parametros_recargas!$I$85*'Plan mensual'!D313+parametros_recargas!$J$85*'Plan mensual'!D314+parametros_recargas!$K$85*'Plan mensual'!D315+parametros_recargas!$L$85*'Plan mensual'!D316</f>
        <v>1844.4140011161</v>
      </c>
      <c r="C303" s="21" t="n">
        <f aca="false">parametros_recargas!$E$85*'Plan mensual'!E309+parametros_recargas!$F$85*'Plan mensual'!E310+parametros_recargas!$G$85*'Plan mensual'!E311+parametros_recargas!$H$85*'Plan mensual'!E312+parametros_recargas!$I$85*'Plan mensual'!E313+parametros_recargas!$J$85*'Plan mensual'!E314+parametros_recargas!$K$85*'Plan mensual'!E315+parametros_recargas!$L$85*'Plan mensual'!E316</f>
        <v>1844.4140011161</v>
      </c>
      <c r="D303" s="21" t="n">
        <f aca="false">parametros_recargas!$E$85*'Plan mensual'!F309+parametros_recargas!$F$85*'Plan mensual'!F310+parametros_recargas!$G$85*'Plan mensual'!F311+parametros_recargas!$H$85*'Plan mensual'!F312+parametros_recargas!$I$85*'Plan mensual'!F313+parametros_recargas!$J$85*'Plan mensual'!F314+parametros_recargas!$K$85*'Plan mensual'!F315+parametros_recargas!$L$85*'Plan mensual'!F316</f>
        <v>1844.4140011161</v>
      </c>
      <c r="E303" s="21" t="n">
        <f aca="false">parametros_recargas!$E$85*'Plan mensual'!G309+parametros_recargas!$F$85*'Plan mensual'!G310+parametros_recargas!$G$85*'Plan mensual'!G311+parametros_recargas!$H$85*'Plan mensual'!G312+parametros_recargas!$I$85*'Plan mensual'!G313+parametros_recargas!$J$85*'Plan mensual'!G314+parametros_recargas!$K$85*'Plan mensual'!G315+parametros_recargas!$L$85*'Plan mensual'!G316</f>
        <v>1844.4140011161</v>
      </c>
      <c r="F303" s="21" t="n">
        <f aca="false">parametros_recargas!$E$85*'Plan mensual'!H309+parametros_recargas!$F$85*'Plan mensual'!H310+parametros_recargas!$G$85*'Plan mensual'!H311+parametros_recargas!$H$85*'Plan mensual'!H312+parametros_recargas!$I$85*'Plan mensual'!H313+parametros_recargas!$J$85*'Plan mensual'!H314+parametros_recargas!$K$85*'Plan mensual'!H315+parametros_recargas!$L$85*'Plan mensual'!H316</f>
        <v>1844.4140011161</v>
      </c>
      <c r="G303" s="21" t="n">
        <f aca="false">parametros_recargas!$E$85*'Plan mensual'!I309+parametros_recargas!$F$85*'Plan mensual'!I310+parametros_recargas!$G$85*'Plan mensual'!I311+parametros_recargas!$H$85*'Plan mensual'!I312+parametros_recargas!$I$85*'Plan mensual'!I313+parametros_recargas!$J$85*'Plan mensual'!I314+parametros_recargas!$K$85*'Plan mensual'!I315+parametros_recargas!$L$85*'Plan mensual'!I316</f>
        <v>1844.4140011161</v>
      </c>
      <c r="H303" s="21" t="n">
        <f aca="false">parametros_recargas!$E$85*'Plan mensual'!J309+parametros_recargas!$F$85*'Plan mensual'!J310+parametros_recargas!$G$85*'Plan mensual'!J311+parametros_recargas!$H$85*'Plan mensual'!J312+parametros_recargas!$I$85*'Plan mensual'!J313+parametros_recargas!$J$85*'Plan mensual'!J314+parametros_recargas!$K$85*'Plan mensual'!J315+parametros_recargas!$L$85*'Plan mensual'!J316</f>
        <v>1844.4140011161</v>
      </c>
      <c r="I303" s="21" t="n">
        <f aca="false">parametros_recargas!$E$85*'Plan mensual'!K309+parametros_recargas!$F$85*'Plan mensual'!K310+parametros_recargas!$G$85*'Plan mensual'!K311+parametros_recargas!$H$85*'Plan mensual'!K312+parametros_recargas!$I$85*'Plan mensual'!K313+parametros_recargas!$J$85*'Plan mensual'!K314+parametros_recargas!$K$85*'Plan mensual'!K315+parametros_recargas!$L$85*'Plan mensual'!K316</f>
        <v>1844.4140011161</v>
      </c>
      <c r="J303" s="21" t="n">
        <f aca="false">parametros_recargas!$E$85*'Plan mensual'!L309+parametros_recargas!$F$85*'Plan mensual'!L310+parametros_recargas!$G$85*'Plan mensual'!L311+parametros_recargas!$H$85*'Plan mensual'!L312+parametros_recargas!$I$85*'Plan mensual'!L313+parametros_recargas!$J$85*'Plan mensual'!L314+parametros_recargas!$K$85*'Plan mensual'!L315+parametros_recargas!$L$85*'Plan mensual'!L316</f>
        <v>1844.4140011161</v>
      </c>
      <c r="K303" s="21" t="n">
        <f aca="false">parametros_recargas!$E$85*'Plan mensual'!M309+parametros_recargas!$F$85*'Plan mensual'!M310+parametros_recargas!$G$85*'Plan mensual'!M311+parametros_recargas!$H$85*'Plan mensual'!M312+parametros_recargas!$I$85*'Plan mensual'!M313+parametros_recargas!$J$85*'Plan mensual'!M314+parametros_recargas!$K$85*'Plan mensual'!M315+parametros_recargas!$L$85*'Plan mensual'!M316</f>
        <v>1844.4140011161</v>
      </c>
      <c r="L303" s="21" t="n">
        <f aca="false">parametros_recargas!$E$85*'Plan mensual'!N309+parametros_recargas!$F$85*'Plan mensual'!N310+parametros_recargas!$G$85*'Plan mensual'!N311+parametros_recargas!$H$85*'Plan mensual'!N312+parametros_recargas!$I$85*'Plan mensual'!N313+parametros_recargas!$J$85*'Plan mensual'!N314+parametros_recargas!$K$85*'Plan mensual'!N315+parametros_recargas!$L$85*'Plan mensual'!N316</f>
        <v>1844.4140011161</v>
      </c>
      <c r="M303" s="21" t="n">
        <f aca="false">parametros_recargas!$E$85*'Plan mensual'!O309+parametros_recargas!$F$85*'Plan mensual'!O310+parametros_recargas!$G$85*'Plan mensual'!O311+parametros_recargas!$H$85*'Plan mensual'!O312+parametros_recargas!$I$85*'Plan mensual'!O313+parametros_recargas!$J$85*'Plan mensual'!O314+parametros_recargas!$K$85*'Plan mensual'!O315+parametros_recargas!$L$85*'Plan mensual'!O316</f>
        <v>1844.4140011161</v>
      </c>
      <c r="N303" s="6" t="n">
        <f aca="false">SUM(B303:M303)</f>
        <v>22132.9680133932</v>
      </c>
      <c r="O303" s="22" t="n">
        <f aca="false">MAX(B303:M303)</f>
        <v>1844.4140011161</v>
      </c>
      <c r="P303" s="12" t="n">
        <f aca="false">O303/parametros_recargas!$B$6</f>
        <v>12.296093340774</v>
      </c>
    </row>
    <row r="304" customFormat="false" ht="15" hidden="false" customHeight="false" outlineLevel="0" collapsed="false">
      <c r="A304" s="8" t="str">
        <f aca="false">parametros_recargas!$B$86</f>
        <v>Pintura</v>
      </c>
      <c r="B304" s="21" t="n">
        <f aca="false">parametros_recargas!$E$86*'Plan mensual'!D309+parametros_recargas!$F$86*'Plan mensual'!D310+parametros_recargas!$G$86*'Plan mensual'!D311+parametros_recargas!$H$86*'Plan mensual'!D312+parametros_recargas!$I$86*'Plan mensual'!D313+parametros_recargas!$J$86*'Plan mensual'!D314+parametros_recargas!$K$86*'Plan mensual'!D315+parametros_recargas!$L$86*'Plan mensual'!D316</f>
        <v>922.642557904347</v>
      </c>
      <c r="C304" s="21" t="n">
        <f aca="false">parametros_recargas!$E$86*'Plan mensual'!E309+parametros_recargas!$F$86*'Plan mensual'!E310+parametros_recargas!$G$86*'Plan mensual'!E311+parametros_recargas!$H$86*'Plan mensual'!E312+parametros_recargas!$I$86*'Plan mensual'!E313+parametros_recargas!$J$86*'Plan mensual'!E314+parametros_recargas!$K$86*'Plan mensual'!E315+parametros_recargas!$L$86*'Plan mensual'!E316</f>
        <v>922.642557904347</v>
      </c>
      <c r="D304" s="21" t="n">
        <f aca="false">parametros_recargas!$E$86*'Plan mensual'!F309+parametros_recargas!$F$86*'Plan mensual'!F310+parametros_recargas!$G$86*'Plan mensual'!F311+parametros_recargas!$H$86*'Plan mensual'!F312+parametros_recargas!$I$86*'Plan mensual'!F313+parametros_recargas!$J$86*'Plan mensual'!F314+parametros_recargas!$K$86*'Plan mensual'!F315+parametros_recargas!$L$86*'Plan mensual'!F316</f>
        <v>922.642557904347</v>
      </c>
      <c r="E304" s="21" t="n">
        <f aca="false">parametros_recargas!$E$86*'Plan mensual'!G309+parametros_recargas!$F$86*'Plan mensual'!G310+parametros_recargas!$G$86*'Plan mensual'!G311+parametros_recargas!$H$86*'Plan mensual'!G312+parametros_recargas!$I$86*'Plan mensual'!G313+parametros_recargas!$J$86*'Plan mensual'!G314+parametros_recargas!$K$86*'Plan mensual'!G315+parametros_recargas!$L$86*'Plan mensual'!G316</f>
        <v>922.642557904347</v>
      </c>
      <c r="F304" s="21" t="n">
        <f aca="false">parametros_recargas!$E$86*'Plan mensual'!H309+parametros_recargas!$F$86*'Plan mensual'!H310+parametros_recargas!$G$86*'Plan mensual'!H311+parametros_recargas!$H$86*'Plan mensual'!H312+parametros_recargas!$I$86*'Plan mensual'!H313+parametros_recargas!$J$86*'Plan mensual'!H314+parametros_recargas!$K$86*'Plan mensual'!H315+parametros_recargas!$L$86*'Plan mensual'!H316</f>
        <v>922.642557904347</v>
      </c>
      <c r="G304" s="21" t="n">
        <f aca="false">parametros_recargas!$E$86*'Plan mensual'!I309+parametros_recargas!$F$86*'Plan mensual'!I310+parametros_recargas!$G$86*'Plan mensual'!I311+parametros_recargas!$H$86*'Plan mensual'!I312+parametros_recargas!$I$86*'Plan mensual'!I313+parametros_recargas!$J$86*'Plan mensual'!I314+parametros_recargas!$K$86*'Plan mensual'!I315+parametros_recargas!$L$86*'Plan mensual'!I316</f>
        <v>922.642557904347</v>
      </c>
      <c r="H304" s="21" t="n">
        <f aca="false">parametros_recargas!$E$86*'Plan mensual'!J309+parametros_recargas!$F$86*'Plan mensual'!J310+parametros_recargas!$G$86*'Plan mensual'!J311+parametros_recargas!$H$86*'Plan mensual'!J312+parametros_recargas!$I$86*'Plan mensual'!J313+parametros_recargas!$J$86*'Plan mensual'!J314+parametros_recargas!$K$86*'Plan mensual'!J315+parametros_recargas!$L$86*'Plan mensual'!J316</f>
        <v>922.642557904347</v>
      </c>
      <c r="I304" s="21" t="n">
        <f aca="false">parametros_recargas!$E$86*'Plan mensual'!K309+parametros_recargas!$F$86*'Plan mensual'!K310+parametros_recargas!$G$86*'Plan mensual'!K311+parametros_recargas!$H$86*'Plan mensual'!K312+parametros_recargas!$I$86*'Plan mensual'!K313+parametros_recargas!$J$86*'Plan mensual'!K314+parametros_recargas!$K$86*'Plan mensual'!K315+parametros_recargas!$L$86*'Plan mensual'!K316</f>
        <v>922.642557904347</v>
      </c>
      <c r="J304" s="21" t="n">
        <f aca="false">parametros_recargas!$E$86*'Plan mensual'!L309+parametros_recargas!$F$86*'Plan mensual'!L310+parametros_recargas!$G$86*'Plan mensual'!L311+parametros_recargas!$H$86*'Plan mensual'!L312+parametros_recargas!$I$86*'Plan mensual'!L313+parametros_recargas!$J$86*'Plan mensual'!L314+parametros_recargas!$K$86*'Plan mensual'!L315+parametros_recargas!$L$86*'Plan mensual'!L316</f>
        <v>922.642557904347</v>
      </c>
      <c r="K304" s="21" t="n">
        <f aca="false">parametros_recargas!$E$86*'Plan mensual'!M309+parametros_recargas!$F$86*'Plan mensual'!M310+parametros_recargas!$G$86*'Plan mensual'!M311+parametros_recargas!$H$86*'Plan mensual'!M312+parametros_recargas!$I$86*'Plan mensual'!M313+parametros_recargas!$J$86*'Plan mensual'!M314+parametros_recargas!$K$86*'Plan mensual'!M315+parametros_recargas!$L$86*'Plan mensual'!M316</f>
        <v>922.642557904347</v>
      </c>
      <c r="L304" s="21" t="n">
        <f aca="false">parametros_recargas!$E$86*'Plan mensual'!N309+parametros_recargas!$F$86*'Plan mensual'!N310+parametros_recargas!$G$86*'Plan mensual'!N311+parametros_recargas!$H$86*'Plan mensual'!N312+parametros_recargas!$I$86*'Plan mensual'!N313+parametros_recargas!$J$86*'Plan mensual'!N314+parametros_recargas!$K$86*'Plan mensual'!N315+parametros_recargas!$L$86*'Plan mensual'!N316</f>
        <v>922.642557904347</v>
      </c>
      <c r="M304" s="21" t="n">
        <f aca="false">parametros_recargas!$E$86*'Plan mensual'!O309+parametros_recargas!$F$86*'Plan mensual'!O310+parametros_recargas!$G$86*'Plan mensual'!O311+parametros_recargas!$H$86*'Plan mensual'!O312+parametros_recargas!$I$86*'Plan mensual'!O313+parametros_recargas!$J$86*'Plan mensual'!O314+parametros_recargas!$K$86*'Plan mensual'!O315+parametros_recargas!$L$86*'Plan mensual'!O316</f>
        <v>922.642557904347</v>
      </c>
      <c r="N304" s="6" t="n">
        <f aca="false">SUM(B304:M304)</f>
        <v>11071.7106948522</v>
      </c>
      <c r="O304" s="22" t="n">
        <f aca="false">MAX(B304:M304)</f>
        <v>922.642557904347</v>
      </c>
      <c r="P304" s="12" t="n">
        <f aca="false">O304/parametros_recargas!$B$6</f>
        <v>6.15095038602898</v>
      </c>
    </row>
    <row r="305" customFormat="false" ht="15" hidden="false" customHeight="false" outlineLevel="0" collapsed="false">
      <c r="A305" s="8" t="str">
        <f aca="false">parametros_recargas!$B$87</f>
        <v>Carga de polvo ABC</v>
      </c>
      <c r="B305" s="21" t="n">
        <f aca="false">parametros_recargas!$E$87*'Plan mensual'!D309+parametros_recargas!$F$87*'Plan mensual'!D310+parametros_recargas!$G$87*'Plan mensual'!D311+parametros_recargas!$H$87*'Plan mensual'!D312+parametros_recargas!$I$87*'Plan mensual'!D313+parametros_recargas!$J$87*'Plan mensual'!D314+parametros_recargas!$K$87*'Plan mensual'!D315+parametros_recargas!$L$87*'Plan mensual'!D316</f>
        <v>8025.01146210465</v>
      </c>
      <c r="C305" s="21" t="n">
        <f aca="false">parametros_recargas!$E$87*'Plan mensual'!E309+parametros_recargas!$F$87*'Plan mensual'!E310+parametros_recargas!$G$87*'Plan mensual'!E311+parametros_recargas!$H$87*'Plan mensual'!E312+parametros_recargas!$I$87*'Plan mensual'!E313+parametros_recargas!$J$87*'Plan mensual'!E314+parametros_recargas!$K$87*'Plan mensual'!E315+parametros_recargas!$L$87*'Plan mensual'!E316</f>
        <v>8025.01146210465</v>
      </c>
      <c r="D305" s="21" t="n">
        <f aca="false">parametros_recargas!$E$87*'Plan mensual'!F309+parametros_recargas!$F$87*'Plan mensual'!F310+parametros_recargas!$G$87*'Plan mensual'!F311+parametros_recargas!$H$87*'Plan mensual'!F312+parametros_recargas!$I$87*'Plan mensual'!F313+parametros_recargas!$J$87*'Plan mensual'!F314+parametros_recargas!$K$87*'Plan mensual'!F315+parametros_recargas!$L$87*'Plan mensual'!F316</f>
        <v>8025.01146210465</v>
      </c>
      <c r="E305" s="21" t="n">
        <f aca="false">parametros_recargas!$E$87*'Plan mensual'!G309+parametros_recargas!$F$87*'Plan mensual'!G310+parametros_recargas!$G$87*'Plan mensual'!G311+parametros_recargas!$H$87*'Plan mensual'!G312+parametros_recargas!$I$87*'Plan mensual'!G313+parametros_recargas!$J$87*'Plan mensual'!G314+parametros_recargas!$K$87*'Plan mensual'!G315+parametros_recargas!$L$87*'Plan mensual'!G316</f>
        <v>8025.01146210465</v>
      </c>
      <c r="F305" s="21" t="n">
        <f aca="false">parametros_recargas!$E$87*'Plan mensual'!H309+parametros_recargas!$F$87*'Plan mensual'!H310+parametros_recargas!$G$87*'Plan mensual'!H311+parametros_recargas!$H$87*'Plan mensual'!H312+parametros_recargas!$I$87*'Plan mensual'!H313+parametros_recargas!$J$87*'Plan mensual'!H314+parametros_recargas!$K$87*'Plan mensual'!H315+parametros_recargas!$L$87*'Plan mensual'!H316</f>
        <v>8025.01146210465</v>
      </c>
      <c r="G305" s="21" t="n">
        <f aca="false">parametros_recargas!$E$87*'Plan mensual'!I309+parametros_recargas!$F$87*'Plan mensual'!I310+parametros_recargas!$G$87*'Plan mensual'!I311+parametros_recargas!$H$87*'Plan mensual'!I312+parametros_recargas!$I$87*'Plan mensual'!I313+parametros_recargas!$J$87*'Plan mensual'!I314+parametros_recargas!$K$87*'Plan mensual'!I315+parametros_recargas!$L$87*'Plan mensual'!I316</f>
        <v>8025.01146210465</v>
      </c>
      <c r="H305" s="21" t="n">
        <f aca="false">parametros_recargas!$E$87*'Plan mensual'!J309+parametros_recargas!$F$87*'Plan mensual'!J310+parametros_recargas!$G$87*'Plan mensual'!J311+parametros_recargas!$H$87*'Plan mensual'!J312+parametros_recargas!$I$87*'Plan mensual'!J313+parametros_recargas!$J$87*'Plan mensual'!J314+parametros_recargas!$K$87*'Plan mensual'!J315+parametros_recargas!$L$87*'Plan mensual'!J316</f>
        <v>8025.01146210465</v>
      </c>
      <c r="I305" s="21" t="n">
        <f aca="false">parametros_recargas!$E$87*'Plan mensual'!K309+parametros_recargas!$F$87*'Plan mensual'!K310+parametros_recargas!$G$87*'Plan mensual'!K311+parametros_recargas!$H$87*'Plan mensual'!K312+parametros_recargas!$I$87*'Plan mensual'!K313+parametros_recargas!$J$87*'Plan mensual'!K314+parametros_recargas!$K$87*'Plan mensual'!K315+parametros_recargas!$L$87*'Plan mensual'!K316</f>
        <v>8025.01146210465</v>
      </c>
      <c r="J305" s="21" t="n">
        <f aca="false">parametros_recargas!$E$87*'Plan mensual'!L309+parametros_recargas!$F$87*'Plan mensual'!L310+parametros_recargas!$G$87*'Plan mensual'!L311+parametros_recargas!$H$87*'Plan mensual'!L312+parametros_recargas!$I$87*'Plan mensual'!L313+parametros_recargas!$J$87*'Plan mensual'!L314+parametros_recargas!$K$87*'Plan mensual'!L315+parametros_recargas!$L$87*'Plan mensual'!L316</f>
        <v>8025.01146210465</v>
      </c>
      <c r="K305" s="21" t="n">
        <f aca="false">parametros_recargas!$E$87*'Plan mensual'!M309+parametros_recargas!$F$87*'Plan mensual'!M310+parametros_recargas!$G$87*'Plan mensual'!M311+parametros_recargas!$H$87*'Plan mensual'!M312+parametros_recargas!$I$87*'Plan mensual'!M313+parametros_recargas!$J$87*'Plan mensual'!M314+parametros_recargas!$K$87*'Plan mensual'!M315+parametros_recargas!$L$87*'Plan mensual'!M316</f>
        <v>8025.01146210465</v>
      </c>
      <c r="L305" s="21" t="n">
        <f aca="false">parametros_recargas!$E$87*'Plan mensual'!N309+parametros_recargas!$F$87*'Plan mensual'!N310+parametros_recargas!$G$87*'Plan mensual'!N311+parametros_recargas!$H$87*'Plan mensual'!N312+parametros_recargas!$I$87*'Plan mensual'!N313+parametros_recargas!$J$87*'Plan mensual'!N314+parametros_recargas!$K$87*'Plan mensual'!N315+parametros_recargas!$L$87*'Plan mensual'!N316</f>
        <v>8025.01146210465</v>
      </c>
      <c r="M305" s="21" t="n">
        <f aca="false">parametros_recargas!$E$87*'Plan mensual'!O309+parametros_recargas!$F$87*'Plan mensual'!O310+parametros_recargas!$G$87*'Plan mensual'!O311+parametros_recargas!$H$87*'Plan mensual'!O312+parametros_recargas!$I$87*'Plan mensual'!O313+parametros_recargas!$J$87*'Plan mensual'!O314+parametros_recargas!$K$87*'Plan mensual'!O315+parametros_recargas!$L$87*'Plan mensual'!O316</f>
        <v>8025.01146210465</v>
      </c>
      <c r="N305" s="6" t="n">
        <f aca="false">SUM(B305:M305)</f>
        <v>96300.1375452558</v>
      </c>
      <c r="O305" s="22" t="n">
        <f aca="false">MAX(B305:M305)</f>
        <v>8025.01146210465</v>
      </c>
      <c r="P305" s="12" t="n">
        <f aca="false">O305/parametros_recargas!$B$6</f>
        <v>53.500076414031</v>
      </c>
    </row>
    <row r="306" customFormat="false" ht="15" hidden="false" customHeight="false" outlineLevel="0" collapsed="false">
      <c r="A306" s="8" t="str">
        <f aca="false">parametros_recargas!$B$88</f>
        <v>Carga de polvo BC</v>
      </c>
      <c r="B306" s="21" t="n">
        <f aca="false">parametros_recargas!$E$88*'Plan mensual'!D309+parametros_recargas!$F$88*'Plan mensual'!D310+parametros_recargas!$G$88*'Plan mensual'!D311+parametros_recargas!$H$88*'Plan mensual'!D312+parametros_recargas!$I$88*'Plan mensual'!D313+parametros_recargas!$J$88*'Plan mensual'!D314+parametros_recargas!$K$88*'Plan mensual'!D315+parametros_recargas!$L$88*'Plan mensual'!D316</f>
        <v>11.7796963295538</v>
      </c>
      <c r="C306" s="21" t="n">
        <f aca="false">parametros_recargas!$E$88*'Plan mensual'!E309+parametros_recargas!$F$88*'Plan mensual'!E310+parametros_recargas!$G$88*'Plan mensual'!E311+parametros_recargas!$H$88*'Plan mensual'!E312+parametros_recargas!$I$88*'Plan mensual'!E313+parametros_recargas!$J$88*'Plan mensual'!E314+parametros_recargas!$K$88*'Plan mensual'!E315+parametros_recargas!$L$88*'Plan mensual'!E316</f>
        <v>11.7796963295538</v>
      </c>
      <c r="D306" s="21" t="n">
        <f aca="false">parametros_recargas!$E$88*'Plan mensual'!F309+parametros_recargas!$F$88*'Plan mensual'!F310+parametros_recargas!$G$88*'Plan mensual'!F311+parametros_recargas!$H$88*'Plan mensual'!F312+parametros_recargas!$I$88*'Plan mensual'!F313+parametros_recargas!$J$88*'Plan mensual'!F314+parametros_recargas!$K$88*'Plan mensual'!F315+parametros_recargas!$L$88*'Plan mensual'!F316</f>
        <v>11.7796963295538</v>
      </c>
      <c r="E306" s="21" t="n">
        <f aca="false">parametros_recargas!$E$88*'Plan mensual'!G309+parametros_recargas!$F$88*'Plan mensual'!G310+parametros_recargas!$G$88*'Plan mensual'!G311+parametros_recargas!$H$88*'Plan mensual'!G312+parametros_recargas!$I$88*'Plan mensual'!G313+parametros_recargas!$J$88*'Plan mensual'!G314+parametros_recargas!$K$88*'Plan mensual'!G315+parametros_recargas!$L$88*'Plan mensual'!G316</f>
        <v>11.7796963295538</v>
      </c>
      <c r="F306" s="21" t="n">
        <f aca="false">parametros_recargas!$E$88*'Plan mensual'!H309+parametros_recargas!$F$88*'Plan mensual'!H310+parametros_recargas!$G$88*'Plan mensual'!H311+parametros_recargas!$H$88*'Plan mensual'!H312+parametros_recargas!$I$88*'Plan mensual'!H313+parametros_recargas!$J$88*'Plan mensual'!H314+parametros_recargas!$K$88*'Plan mensual'!H315+parametros_recargas!$L$88*'Plan mensual'!H316</f>
        <v>11.7796963295538</v>
      </c>
      <c r="G306" s="21" t="n">
        <f aca="false">parametros_recargas!$E$88*'Plan mensual'!I309+parametros_recargas!$F$88*'Plan mensual'!I310+parametros_recargas!$G$88*'Plan mensual'!I311+parametros_recargas!$H$88*'Plan mensual'!I312+parametros_recargas!$I$88*'Plan mensual'!I313+parametros_recargas!$J$88*'Plan mensual'!I314+parametros_recargas!$K$88*'Plan mensual'!I315+parametros_recargas!$L$88*'Plan mensual'!I316</f>
        <v>11.7796963295538</v>
      </c>
      <c r="H306" s="21" t="n">
        <f aca="false">parametros_recargas!$E$88*'Plan mensual'!J309+parametros_recargas!$F$88*'Plan mensual'!J310+parametros_recargas!$G$88*'Plan mensual'!J311+parametros_recargas!$H$88*'Plan mensual'!J312+parametros_recargas!$I$88*'Plan mensual'!J313+parametros_recargas!$J$88*'Plan mensual'!J314+parametros_recargas!$K$88*'Plan mensual'!J315+parametros_recargas!$L$88*'Plan mensual'!J316</f>
        <v>11.7796963295538</v>
      </c>
      <c r="I306" s="21" t="n">
        <f aca="false">parametros_recargas!$E$88*'Plan mensual'!K309+parametros_recargas!$F$88*'Plan mensual'!K310+parametros_recargas!$G$88*'Plan mensual'!K311+parametros_recargas!$H$88*'Plan mensual'!K312+parametros_recargas!$I$88*'Plan mensual'!K313+parametros_recargas!$J$88*'Plan mensual'!K314+parametros_recargas!$K$88*'Plan mensual'!K315+parametros_recargas!$L$88*'Plan mensual'!K316</f>
        <v>11.7796963295538</v>
      </c>
      <c r="J306" s="21" t="n">
        <f aca="false">parametros_recargas!$E$88*'Plan mensual'!L309+parametros_recargas!$F$88*'Plan mensual'!L310+parametros_recargas!$G$88*'Plan mensual'!L311+parametros_recargas!$H$88*'Plan mensual'!L312+parametros_recargas!$I$88*'Plan mensual'!L313+parametros_recargas!$J$88*'Plan mensual'!L314+parametros_recargas!$K$88*'Plan mensual'!L315+parametros_recargas!$L$88*'Plan mensual'!L316</f>
        <v>11.7796963295538</v>
      </c>
      <c r="K306" s="21" t="n">
        <f aca="false">parametros_recargas!$E$88*'Plan mensual'!M309+parametros_recargas!$F$88*'Plan mensual'!M310+parametros_recargas!$G$88*'Plan mensual'!M311+parametros_recargas!$H$88*'Plan mensual'!M312+parametros_recargas!$I$88*'Plan mensual'!M313+parametros_recargas!$J$88*'Plan mensual'!M314+parametros_recargas!$K$88*'Plan mensual'!M315+parametros_recargas!$L$88*'Plan mensual'!M316</f>
        <v>11.7796963295538</v>
      </c>
      <c r="L306" s="21" t="n">
        <f aca="false">parametros_recargas!$E$88*'Plan mensual'!N309+parametros_recargas!$F$88*'Plan mensual'!N310+parametros_recargas!$G$88*'Plan mensual'!N311+parametros_recargas!$H$88*'Plan mensual'!N312+parametros_recargas!$I$88*'Plan mensual'!N313+parametros_recargas!$J$88*'Plan mensual'!N314+parametros_recargas!$K$88*'Plan mensual'!N315+parametros_recargas!$L$88*'Plan mensual'!N316</f>
        <v>11.7796963295538</v>
      </c>
      <c r="M306" s="21" t="n">
        <f aca="false">parametros_recargas!$E$88*'Plan mensual'!O309+parametros_recargas!$F$88*'Plan mensual'!O310+parametros_recargas!$G$88*'Plan mensual'!O311+parametros_recargas!$H$88*'Plan mensual'!O312+parametros_recargas!$I$88*'Plan mensual'!O313+parametros_recargas!$J$88*'Plan mensual'!O314+parametros_recargas!$K$88*'Plan mensual'!O315+parametros_recargas!$L$88*'Plan mensual'!O316</f>
        <v>11.7796963295538</v>
      </c>
      <c r="N306" s="6" t="n">
        <f aca="false">SUM(B306:M306)</f>
        <v>141.356355954645</v>
      </c>
      <c r="O306" s="22" t="n">
        <f aca="false">MAX(B306:M306)</f>
        <v>11.7796963295538</v>
      </c>
      <c r="P306" s="12" t="n">
        <f aca="false">O306/parametros_recargas!$B$6</f>
        <v>0.0785313088636917</v>
      </c>
    </row>
    <row r="307" customFormat="false" ht="15" hidden="false" customHeight="false" outlineLevel="0" collapsed="false">
      <c r="A307" s="8" t="str">
        <f aca="false">parametros_recargas!$B$89</f>
        <v>Descarga y carga Clase D</v>
      </c>
      <c r="B307" s="21" t="n">
        <f aca="false">parametros_recargas!$E$89*'Plan mensual'!D309+parametros_recargas!$F$89*'Plan mensual'!D310+parametros_recargas!$G$89*'Plan mensual'!D311+parametros_recargas!$H$89*'Plan mensual'!D312+parametros_recargas!$I$89*'Plan mensual'!D313+parametros_recargas!$J$89*'Plan mensual'!D314+parametros_recargas!$K$89*'Plan mensual'!D315+parametros_recargas!$L$89*'Plan mensual'!D316</f>
        <v>10.6557560034767</v>
      </c>
      <c r="C307" s="21" t="n">
        <f aca="false">parametros_recargas!$E$89*'Plan mensual'!E309+parametros_recargas!$F$89*'Plan mensual'!E310+parametros_recargas!$G$89*'Plan mensual'!E311+parametros_recargas!$H$89*'Plan mensual'!E312+parametros_recargas!$I$89*'Plan mensual'!E313+parametros_recargas!$J$89*'Plan mensual'!E314+parametros_recargas!$K$89*'Plan mensual'!E315+parametros_recargas!$L$89*'Plan mensual'!E316</f>
        <v>10.6557560034767</v>
      </c>
      <c r="D307" s="21" t="n">
        <f aca="false">parametros_recargas!$E$89*'Plan mensual'!F309+parametros_recargas!$F$89*'Plan mensual'!F310+parametros_recargas!$G$89*'Plan mensual'!F311+parametros_recargas!$H$89*'Plan mensual'!F312+parametros_recargas!$I$89*'Plan mensual'!F313+parametros_recargas!$J$89*'Plan mensual'!F314+parametros_recargas!$K$89*'Plan mensual'!F315+parametros_recargas!$L$89*'Plan mensual'!F316</f>
        <v>10.6557560034767</v>
      </c>
      <c r="E307" s="21" t="n">
        <f aca="false">parametros_recargas!$E$89*'Plan mensual'!G309+parametros_recargas!$F$89*'Plan mensual'!G310+parametros_recargas!$G$89*'Plan mensual'!G311+parametros_recargas!$H$89*'Plan mensual'!G312+parametros_recargas!$I$89*'Plan mensual'!G313+parametros_recargas!$J$89*'Plan mensual'!G314+parametros_recargas!$K$89*'Plan mensual'!G315+parametros_recargas!$L$89*'Plan mensual'!G316</f>
        <v>10.6557560034767</v>
      </c>
      <c r="F307" s="21" t="n">
        <f aca="false">parametros_recargas!$E$89*'Plan mensual'!H309+parametros_recargas!$F$89*'Plan mensual'!H310+parametros_recargas!$G$89*'Plan mensual'!H311+parametros_recargas!$H$89*'Plan mensual'!H312+parametros_recargas!$I$89*'Plan mensual'!H313+parametros_recargas!$J$89*'Plan mensual'!H314+parametros_recargas!$K$89*'Plan mensual'!H315+parametros_recargas!$L$89*'Plan mensual'!H316</f>
        <v>10.6557560034767</v>
      </c>
      <c r="G307" s="21" t="n">
        <f aca="false">parametros_recargas!$E$89*'Plan mensual'!I309+parametros_recargas!$F$89*'Plan mensual'!I310+parametros_recargas!$G$89*'Plan mensual'!I311+parametros_recargas!$H$89*'Plan mensual'!I312+parametros_recargas!$I$89*'Plan mensual'!I313+parametros_recargas!$J$89*'Plan mensual'!I314+parametros_recargas!$K$89*'Plan mensual'!I315+parametros_recargas!$L$89*'Plan mensual'!I316</f>
        <v>10.6557560034767</v>
      </c>
      <c r="H307" s="21" t="n">
        <f aca="false">parametros_recargas!$E$89*'Plan mensual'!J309+parametros_recargas!$F$89*'Plan mensual'!J310+parametros_recargas!$G$89*'Plan mensual'!J311+parametros_recargas!$H$89*'Plan mensual'!J312+parametros_recargas!$I$89*'Plan mensual'!J313+parametros_recargas!$J$89*'Plan mensual'!J314+parametros_recargas!$K$89*'Plan mensual'!J315+parametros_recargas!$L$89*'Plan mensual'!J316</f>
        <v>10.6557560034767</v>
      </c>
      <c r="I307" s="21" t="n">
        <f aca="false">parametros_recargas!$E$89*'Plan mensual'!K309+parametros_recargas!$F$89*'Plan mensual'!K310+parametros_recargas!$G$89*'Plan mensual'!K311+parametros_recargas!$H$89*'Plan mensual'!K312+parametros_recargas!$I$89*'Plan mensual'!K313+parametros_recargas!$J$89*'Plan mensual'!K314+parametros_recargas!$K$89*'Plan mensual'!K315+parametros_recargas!$L$89*'Plan mensual'!K316</f>
        <v>10.6557560034767</v>
      </c>
      <c r="J307" s="21" t="n">
        <f aca="false">parametros_recargas!$E$89*'Plan mensual'!L309+parametros_recargas!$F$89*'Plan mensual'!L310+parametros_recargas!$G$89*'Plan mensual'!L311+parametros_recargas!$H$89*'Plan mensual'!L312+parametros_recargas!$I$89*'Plan mensual'!L313+parametros_recargas!$J$89*'Plan mensual'!L314+parametros_recargas!$K$89*'Plan mensual'!L315+parametros_recargas!$L$89*'Plan mensual'!L316</f>
        <v>10.6557560034767</v>
      </c>
      <c r="K307" s="21" t="n">
        <f aca="false">parametros_recargas!$E$89*'Plan mensual'!M309+parametros_recargas!$F$89*'Plan mensual'!M310+parametros_recargas!$G$89*'Plan mensual'!M311+parametros_recargas!$H$89*'Plan mensual'!M312+parametros_recargas!$I$89*'Plan mensual'!M313+parametros_recargas!$J$89*'Plan mensual'!M314+parametros_recargas!$K$89*'Plan mensual'!M315+parametros_recargas!$L$89*'Plan mensual'!M316</f>
        <v>10.6557560034767</v>
      </c>
      <c r="L307" s="21" t="n">
        <f aca="false">parametros_recargas!$E$89*'Plan mensual'!N309+parametros_recargas!$F$89*'Plan mensual'!N310+parametros_recargas!$G$89*'Plan mensual'!N311+parametros_recargas!$H$89*'Plan mensual'!N312+parametros_recargas!$I$89*'Plan mensual'!N313+parametros_recargas!$J$89*'Plan mensual'!N314+parametros_recargas!$K$89*'Plan mensual'!N315+parametros_recargas!$L$89*'Plan mensual'!N316</f>
        <v>10.6557560034767</v>
      </c>
      <c r="M307" s="21" t="n">
        <f aca="false">parametros_recargas!$E$89*'Plan mensual'!O309+parametros_recargas!$F$89*'Plan mensual'!O310+parametros_recargas!$G$89*'Plan mensual'!O311+parametros_recargas!$H$89*'Plan mensual'!O312+parametros_recargas!$I$89*'Plan mensual'!O313+parametros_recargas!$J$89*'Plan mensual'!O314+parametros_recargas!$K$89*'Plan mensual'!O315+parametros_recargas!$L$89*'Plan mensual'!O316</f>
        <v>10.6557560034767</v>
      </c>
      <c r="N307" s="6" t="n">
        <f aca="false">SUM(B307:M307)</f>
        <v>127.86907204172</v>
      </c>
      <c r="O307" s="22" t="n">
        <f aca="false">MAX(B307:M307)</f>
        <v>10.6557560034767</v>
      </c>
      <c r="P307" s="12" t="n">
        <f aca="false">O307/parametros_recargas!$B$6</f>
        <v>0.0710383733565113</v>
      </c>
    </row>
    <row r="308" customFormat="false" ht="15" hidden="false" customHeight="false" outlineLevel="0" collapsed="false">
      <c r="A308" s="8" t="str">
        <f aca="false">parametros_recargas!$B$90</f>
        <v>Carga de agua / AFFF / sales K</v>
      </c>
      <c r="B308" s="21" t="n">
        <f aca="false">parametros_recargas!$E$90*'Plan mensual'!D309+parametros_recargas!$F$90*'Plan mensual'!D310+parametros_recargas!$G$90*'Plan mensual'!D311+parametros_recargas!$H$90*'Plan mensual'!D312+parametros_recargas!$I$90*'Plan mensual'!D313+parametros_recargas!$J$90*'Plan mensual'!D314+parametros_recargas!$K$90*'Plan mensual'!D315+parametros_recargas!$L$90*'Plan mensual'!D316</f>
        <v>406.727919184874</v>
      </c>
      <c r="C308" s="21" t="n">
        <f aca="false">parametros_recargas!$E$90*'Plan mensual'!E309+parametros_recargas!$F$90*'Plan mensual'!E310+parametros_recargas!$G$90*'Plan mensual'!E311+parametros_recargas!$H$90*'Plan mensual'!E312+parametros_recargas!$I$90*'Plan mensual'!E313+parametros_recargas!$J$90*'Plan mensual'!E314+parametros_recargas!$K$90*'Plan mensual'!E315+parametros_recargas!$L$90*'Plan mensual'!E316</f>
        <v>406.727919184874</v>
      </c>
      <c r="D308" s="21" t="n">
        <f aca="false">parametros_recargas!$E$90*'Plan mensual'!F309+parametros_recargas!$F$90*'Plan mensual'!F310+parametros_recargas!$G$90*'Plan mensual'!F311+parametros_recargas!$H$90*'Plan mensual'!F312+parametros_recargas!$I$90*'Plan mensual'!F313+parametros_recargas!$J$90*'Plan mensual'!F314+parametros_recargas!$K$90*'Plan mensual'!F315+parametros_recargas!$L$90*'Plan mensual'!F316</f>
        <v>406.727919184874</v>
      </c>
      <c r="E308" s="21" t="n">
        <f aca="false">parametros_recargas!$E$90*'Plan mensual'!G309+parametros_recargas!$F$90*'Plan mensual'!G310+parametros_recargas!$G$90*'Plan mensual'!G311+parametros_recargas!$H$90*'Plan mensual'!G312+parametros_recargas!$I$90*'Plan mensual'!G313+parametros_recargas!$J$90*'Plan mensual'!G314+parametros_recargas!$K$90*'Plan mensual'!G315+parametros_recargas!$L$90*'Plan mensual'!G316</f>
        <v>406.727919184874</v>
      </c>
      <c r="F308" s="21" t="n">
        <f aca="false">parametros_recargas!$E$90*'Plan mensual'!H309+parametros_recargas!$F$90*'Plan mensual'!H310+parametros_recargas!$G$90*'Plan mensual'!H311+parametros_recargas!$H$90*'Plan mensual'!H312+parametros_recargas!$I$90*'Plan mensual'!H313+parametros_recargas!$J$90*'Plan mensual'!H314+parametros_recargas!$K$90*'Plan mensual'!H315+parametros_recargas!$L$90*'Plan mensual'!H316</f>
        <v>406.727919184874</v>
      </c>
      <c r="G308" s="21" t="n">
        <f aca="false">parametros_recargas!$E$90*'Plan mensual'!I309+parametros_recargas!$F$90*'Plan mensual'!I310+parametros_recargas!$G$90*'Plan mensual'!I311+parametros_recargas!$H$90*'Plan mensual'!I312+parametros_recargas!$I$90*'Plan mensual'!I313+parametros_recargas!$J$90*'Plan mensual'!I314+parametros_recargas!$K$90*'Plan mensual'!I315+parametros_recargas!$L$90*'Plan mensual'!I316</f>
        <v>406.727919184874</v>
      </c>
      <c r="H308" s="21" t="n">
        <f aca="false">parametros_recargas!$E$90*'Plan mensual'!J309+parametros_recargas!$F$90*'Plan mensual'!J310+parametros_recargas!$G$90*'Plan mensual'!J311+parametros_recargas!$H$90*'Plan mensual'!J312+parametros_recargas!$I$90*'Plan mensual'!J313+parametros_recargas!$J$90*'Plan mensual'!J314+parametros_recargas!$K$90*'Plan mensual'!J315+parametros_recargas!$L$90*'Plan mensual'!J316</f>
        <v>406.727919184874</v>
      </c>
      <c r="I308" s="21" t="n">
        <f aca="false">parametros_recargas!$E$90*'Plan mensual'!K309+parametros_recargas!$F$90*'Plan mensual'!K310+parametros_recargas!$G$90*'Plan mensual'!K311+parametros_recargas!$H$90*'Plan mensual'!K312+parametros_recargas!$I$90*'Plan mensual'!K313+parametros_recargas!$J$90*'Plan mensual'!K314+parametros_recargas!$K$90*'Plan mensual'!K315+parametros_recargas!$L$90*'Plan mensual'!K316</f>
        <v>406.727919184874</v>
      </c>
      <c r="J308" s="21" t="n">
        <f aca="false">parametros_recargas!$E$90*'Plan mensual'!L309+parametros_recargas!$F$90*'Plan mensual'!L310+parametros_recargas!$G$90*'Plan mensual'!L311+parametros_recargas!$H$90*'Plan mensual'!L312+parametros_recargas!$I$90*'Plan mensual'!L313+parametros_recargas!$J$90*'Plan mensual'!L314+parametros_recargas!$K$90*'Plan mensual'!L315+parametros_recargas!$L$90*'Plan mensual'!L316</f>
        <v>406.727919184874</v>
      </c>
      <c r="K308" s="21" t="n">
        <f aca="false">parametros_recargas!$E$90*'Plan mensual'!M309+parametros_recargas!$F$90*'Plan mensual'!M310+parametros_recargas!$G$90*'Plan mensual'!M311+parametros_recargas!$H$90*'Plan mensual'!M312+parametros_recargas!$I$90*'Plan mensual'!M313+parametros_recargas!$J$90*'Plan mensual'!M314+parametros_recargas!$K$90*'Plan mensual'!M315+parametros_recargas!$L$90*'Plan mensual'!M316</f>
        <v>406.727919184874</v>
      </c>
      <c r="L308" s="21" t="n">
        <f aca="false">parametros_recargas!$E$90*'Plan mensual'!N309+parametros_recargas!$F$90*'Plan mensual'!N310+parametros_recargas!$G$90*'Plan mensual'!N311+parametros_recargas!$H$90*'Plan mensual'!N312+parametros_recargas!$I$90*'Plan mensual'!N313+parametros_recargas!$J$90*'Plan mensual'!N314+parametros_recargas!$K$90*'Plan mensual'!N315+parametros_recargas!$L$90*'Plan mensual'!N316</f>
        <v>406.727919184874</v>
      </c>
      <c r="M308" s="21" t="n">
        <f aca="false">parametros_recargas!$E$90*'Plan mensual'!O309+parametros_recargas!$F$90*'Plan mensual'!O310+parametros_recargas!$G$90*'Plan mensual'!O311+parametros_recargas!$H$90*'Plan mensual'!O312+parametros_recargas!$I$90*'Plan mensual'!O313+parametros_recargas!$J$90*'Plan mensual'!O314+parametros_recargas!$K$90*'Plan mensual'!O315+parametros_recargas!$L$90*'Plan mensual'!O316</f>
        <v>406.727919184874</v>
      </c>
      <c r="N308" s="6" t="n">
        <f aca="false">SUM(B308:M308)</f>
        <v>4880.73503021848</v>
      </c>
      <c r="O308" s="22" t="n">
        <f aca="false">MAX(B308:M308)</f>
        <v>406.727919184874</v>
      </c>
      <c r="P308" s="12" t="n">
        <f aca="false">O308/parametros_recargas!$B$6</f>
        <v>2.71151946123249</v>
      </c>
    </row>
    <row r="309" customFormat="false" ht="15" hidden="false" customHeight="false" outlineLevel="0" collapsed="false">
      <c r="A309" s="8" t="str">
        <f aca="false">parametros_recargas!$B$91</f>
        <v>Carga de CO₂</v>
      </c>
      <c r="B309" s="21" t="n">
        <f aca="false">parametros_recargas!$E$91*'Plan mensual'!D309+parametros_recargas!$F$91*'Plan mensual'!D310+parametros_recargas!$G$91*'Plan mensual'!D311+parametros_recargas!$H$91*'Plan mensual'!D312+parametros_recargas!$I$91*'Plan mensual'!D313+parametros_recargas!$J$91*'Plan mensual'!D314+parametros_recargas!$K$91*'Plan mensual'!D315+parametros_recargas!$L$91*'Plan mensual'!D316</f>
        <v>222.384727186835</v>
      </c>
      <c r="C309" s="21" t="n">
        <f aca="false">parametros_recargas!$E$91*'Plan mensual'!E309+parametros_recargas!$F$91*'Plan mensual'!E310+parametros_recargas!$G$91*'Plan mensual'!E311+parametros_recargas!$H$91*'Plan mensual'!E312+parametros_recargas!$I$91*'Plan mensual'!E313+parametros_recargas!$J$91*'Plan mensual'!E314+parametros_recargas!$K$91*'Plan mensual'!E315+parametros_recargas!$L$91*'Plan mensual'!E316</f>
        <v>222.384727186835</v>
      </c>
      <c r="D309" s="21" t="n">
        <f aca="false">parametros_recargas!$E$91*'Plan mensual'!F309+parametros_recargas!$F$91*'Plan mensual'!F310+parametros_recargas!$G$91*'Plan mensual'!F311+parametros_recargas!$H$91*'Plan mensual'!F312+parametros_recargas!$I$91*'Plan mensual'!F313+parametros_recargas!$J$91*'Plan mensual'!F314+parametros_recargas!$K$91*'Plan mensual'!F315+parametros_recargas!$L$91*'Plan mensual'!F316</f>
        <v>222.384727186835</v>
      </c>
      <c r="E309" s="21" t="n">
        <f aca="false">parametros_recargas!$E$91*'Plan mensual'!G309+parametros_recargas!$F$91*'Plan mensual'!G310+parametros_recargas!$G$91*'Plan mensual'!G311+parametros_recargas!$H$91*'Plan mensual'!G312+parametros_recargas!$I$91*'Plan mensual'!G313+parametros_recargas!$J$91*'Plan mensual'!G314+parametros_recargas!$K$91*'Plan mensual'!G315+parametros_recargas!$L$91*'Plan mensual'!G316</f>
        <v>222.384727186835</v>
      </c>
      <c r="F309" s="21" t="n">
        <f aca="false">parametros_recargas!$E$91*'Plan mensual'!H309+parametros_recargas!$F$91*'Plan mensual'!H310+parametros_recargas!$G$91*'Plan mensual'!H311+parametros_recargas!$H$91*'Plan mensual'!H312+parametros_recargas!$I$91*'Plan mensual'!H313+parametros_recargas!$J$91*'Plan mensual'!H314+parametros_recargas!$K$91*'Plan mensual'!H315+parametros_recargas!$L$91*'Plan mensual'!H316</f>
        <v>222.384727186835</v>
      </c>
      <c r="G309" s="21" t="n">
        <f aca="false">parametros_recargas!$E$91*'Plan mensual'!I309+parametros_recargas!$F$91*'Plan mensual'!I310+parametros_recargas!$G$91*'Plan mensual'!I311+parametros_recargas!$H$91*'Plan mensual'!I312+parametros_recargas!$I$91*'Plan mensual'!I313+parametros_recargas!$J$91*'Plan mensual'!I314+parametros_recargas!$K$91*'Plan mensual'!I315+parametros_recargas!$L$91*'Plan mensual'!I316</f>
        <v>222.384727186835</v>
      </c>
      <c r="H309" s="21" t="n">
        <f aca="false">parametros_recargas!$E$91*'Plan mensual'!J309+parametros_recargas!$F$91*'Plan mensual'!J310+parametros_recargas!$G$91*'Plan mensual'!J311+parametros_recargas!$H$91*'Plan mensual'!J312+parametros_recargas!$I$91*'Plan mensual'!J313+parametros_recargas!$J$91*'Plan mensual'!J314+parametros_recargas!$K$91*'Plan mensual'!J315+parametros_recargas!$L$91*'Plan mensual'!J316</f>
        <v>222.384727186835</v>
      </c>
      <c r="I309" s="21" t="n">
        <f aca="false">parametros_recargas!$E$91*'Plan mensual'!K309+parametros_recargas!$F$91*'Plan mensual'!K310+parametros_recargas!$G$91*'Plan mensual'!K311+parametros_recargas!$H$91*'Plan mensual'!K312+parametros_recargas!$I$91*'Plan mensual'!K313+parametros_recargas!$J$91*'Plan mensual'!K314+parametros_recargas!$K$91*'Plan mensual'!K315+parametros_recargas!$L$91*'Plan mensual'!K316</f>
        <v>222.384727186835</v>
      </c>
      <c r="J309" s="21" t="n">
        <f aca="false">parametros_recargas!$E$91*'Plan mensual'!L309+parametros_recargas!$F$91*'Plan mensual'!L310+parametros_recargas!$G$91*'Plan mensual'!L311+parametros_recargas!$H$91*'Plan mensual'!L312+parametros_recargas!$I$91*'Plan mensual'!L313+parametros_recargas!$J$91*'Plan mensual'!L314+parametros_recargas!$K$91*'Plan mensual'!L315+parametros_recargas!$L$91*'Plan mensual'!L316</f>
        <v>222.384727186835</v>
      </c>
      <c r="K309" s="21" t="n">
        <f aca="false">parametros_recargas!$E$91*'Plan mensual'!M309+parametros_recargas!$F$91*'Plan mensual'!M310+parametros_recargas!$G$91*'Plan mensual'!M311+parametros_recargas!$H$91*'Plan mensual'!M312+parametros_recargas!$I$91*'Plan mensual'!M313+parametros_recargas!$J$91*'Plan mensual'!M314+parametros_recargas!$K$91*'Plan mensual'!M315+parametros_recargas!$L$91*'Plan mensual'!M316</f>
        <v>222.384727186835</v>
      </c>
      <c r="L309" s="21" t="n">
        <f aca="false">parametros_recargas!$E$91*'Plan mensual'!N309+parametros_recargas!$F$91*'Plan mensual'!N310+parametros_recargas!$G$91*'Plan mensual'!N311+parametros_recargas!$H$91*'Plan mensual'!N312+parametros_recargas!$I$91*'Plan mensual'!N313+parametros_recargas!$J$91*'Plan mensual'!N314+parametros_recargas!$K$91*'Plan mensual'!N315+parametros_recargas!$L$91*'Plan mensual'!N316</f>
        <v>222.384727186835</v>
      </c>
      <c r="M309" s="21" t="n">
        <f aca="false">parametros_recargas!$E$91*'Plan mensual'!O309+parametros_recargas!$F$91*'Plan mensual'!O310+parametros_recargas!$G$91*'Plan mensual'!O311+parametros_recargas!$H$91*'Plan mensual'!O312+parametros_recargas!$I$91*'Plan mensual'!O313+parametros_recargas!$J$91*'Plan mensual'!O314+parametros_recargas!$K$91*'Plan mensual'!O315+parametros_recargas!$L$91*'Plan mensual'!O316</f>
        <v>222.384727186835</v>
      </c>
      <c r="N309" s="6" t="n">
        <f aca="false">SUM(B309:M309)</f>
        <v>2668.61672624201</v>
      </c>
      <c r="O309" s="22" t="n">
        <f aca="false">MAX(B309:M309)</f>
        <v>222.384727186835</v>
      </c>
      <c r="P309" s="12" t="n">
        <f aca="false">O309/parametros_recargas!$B$6</f>
        <v>1.48256484791223</v>
      </c>
    </row>
    <row r="310" customFormat="false" ht="15" hidden="false" customHeight="false" outlineLevel="0" collapsed="false">
      <c r="A310" s="8" t="str">
        <f aca="false">parametros_recargas!$B$92</f>
        <v>Ensamblaje y marbete — recinto</v>
      </c>
      <c r="B310" s="21" t="n">
        <f aca="false">parametros_recargas!$E$92*'Plan mensual'!D309+parametros_recargas!$F$92*'Plan mensual'!D310+parametros_recargas!$G$92*'Plan mensual'!D311+parametros_recargas!$H$92*'Plan mensual'!D312+parametros_recargas!$I$92*'Plan mensual'!D313+parametros_recargas!$J$92*'Plan mensual'!D314+parametros_recargas!$K$92*'Plan mensual'!D315+parametros_recargas!$L$92*'Plan mensual'!D316</f>
        <v>8047.44691443768</v>
      </c>
      <c r="C310" s="21" t="n">
        <f aca="false">parametros_recargas!$E$92*'Plan mensual'!E309+parametros_recargas!$F$92*'Plan mensual'!E310+parametros_recargas!$G$92*'Plan mensual'!E311+parametros_recargas!$H$92*'Plan mensual'!E312+parametros_recargas!$I$92*'Plan mensual'!E313+parametros_recargas!$J$92*'Plan mensual'!E314+parametros_recargas!$K$92*'Plan mensual'!E315+parametros_recargas!$L$92*'Plan mensual'!E316</f>
        <v>8047.44691443768</v>
      </c>
      <c r="D310" s="21" t="n">
        <f aca="false">parametros_recargas!$E$92*'Plan mensual'!F309+parametros_recargas!$F$92*'Plan mensual'!F310+parametros_recargas!$G$92*'Plan mensual'!F311+parametros_recargas!$H$92*'Plan mensual'!F312+parametros_recargas!$I$92*'Plan mensual'!F313+parametros_recargas!$J$92*'Plan mensual'!F314+parametros_recargas!$K$92*'Plan mensual'!F315+parametros_recargas!$L$92*'Plan mensual'!F316</f>
        <v>8047.44691443768</v>
      </c>
      <c r="E310" s="21" t="n">
        <f aca="false">parametros_recargas!$E$92*'Plan mensual'!G309+parametros_recargas!$F$92*'Plan mensual'!G310+parametros_recargas!$G$92*'Plan mensual'!G311+parametros_recargas!$H$92*'Plan mensual'!G312+parametros_recargas!$I$92*'Plan mensual'!G313+parametros_recargas!$J$92*'Plan mensual'!G314+parametros_recargas!$K$92*'Plan mensual'!G315+parametros_recargas!$L$92*'Plan mensual'!G316</f>
        <v>8047.44691443768</v>
      </c>
      <c r="F310" s="21" t="n">
        <f aca="false">parametros_recargas!$E$92*'Plan mensual'!H309+parametros_recargas!$F$92*'Plan mensual'!H310+parametros_recargas!$G$92*'Plan mensual'!H311+parametros_recargas!$H$92*'Plan mensual'!H312+parametros_recargas!$I$92*'Plan mensual'!H313+parametros_recargas!$J$92*'Plan mensual'!H314+parametros_recargas!$K$92*'Plan mensual'!H315+parametros_recargas!$L$92*'Plan mensual'!H316</f>
        <v>8047.44691443768</v>
      </c>
      <c r="G310" s="21" t="n">
        <f aca="false">parametros_recargas!$E$92*'Plan mensual'!I309+parametros_recargas!$F$92*'Plan mensual'!I310+parametros_recargas!$G$92*'Plan mensual'!I311+parametros_recargas!$H$92*'Plan mensual'!I312+parametros_recargas!$I$92*'Plan mensual'!I313+parametros_recargas!$J$92*'Plan mensual'!I314+parametros_recargas!$K$92*'Plan mensual'!I315+parametros_recargas!$L$92*'Plan mensual'!I316</f>
        <v>8047.44691443768</v>
      </c>
      <c r="H310" s="21" t="n">
        <f aca="false">parametros_recargas!$E$92*'Plan mensual'!J309+parametros_recargas!$F$92*'Plan mensual'!J310+parametros_recargas!$G$92*'Plan mensual'!J311+parametros_recargas!$H$92*'Plan mensual'!J312+parametros_recargas!$I$92*'Plan mensual'!J313+parametros_recargas!$J$92*'Plan mensual'!J314+parametros_recargas!$K$92*'Plan mensual'!J315+parametros_recargas!$L$92*'Plan mensual'!J316</f>
        <v>8047.44691443768</v>
      </c>
      <c r="I310" s="21" t="n">
        <f aca="false">parametros_recargas!$E$92*'Plan mensual'!K309+parametros_recargas!$F$92*'Plan mensual'!K310+parametros_recargas!$G$92*'Plan mensual'!K311+parametros_recargas!$H$92*'Plan mensual'!K312+parametros_recargas!$I$92*'Plan mensual'!K313+parametros_recargas!$J$92*'Plan mensual'!K314+parametros_recargas!$K$92*'Plan mensual'!K315+parametros_recargas!$L$92*'Plan mensual'!K316</f>
        <v>8047.44691443768</v>
      </c>
      <c r="J310" s="21" t="n">
        <f aca="false">parametros_recargas!$E$92*'Plan mensual'!L309+parametros_recargas!$F$92*'Plan mensual'!L310+parametros_recargas!$G$92*'Plan mensual'!L311+parametros_recargas!$H$92*'Plan mensual'!L312+parametros_recargas!$I$92*'Plan mensual'!L313+parametros_recargas!$J$92*'Plan mensual'!L314+parametros_recargas!$K$92*'Plan mensual'!L315+parametros_recargas!$L$92*'Plan mensual'!L316</f>
        <v>8047.44691443768</v>
      </c>
      <c r="K310" s="21" t="n">
        <f aca="false">parametros_recargas!$E$92*'Plan mensual'!M309+parametros_recargas!$F$92*'Plan mensual'!M310+parametros_recargas!$G$92*'Plan mensual'!M311+parametros_recargas!$H$92*'Plan mensual'!M312+parametros_recargas!$I$92*'Plan mensual'!M313+parametros_recargas!$J$92*'Plan mensual'!M314+parametros_recargas!$K$92*'Plan mensual'!M315+parametros_recargas!$L$92*'Plan mensual'!M316</f>
        <v>8047.44691443768</v>
      </c>
      <c r="L310" s="21" t="n">
        <f aca="false">parametros_recargas!$E$92*'Plan mensual'!N309+parametros_recargas!$F$92*'Plan mensual'!N310+parametros_recargas!$G$92*'Plan mensual'!N311+parametros_recargas!$H$92*'Plan mensual'!N312+parametros_recargas!$I$92*'Plan mensual'!N313+parametros_recargas!$J$92*'Plan mensual'!N314+parametros_recargas!$K$92*'Plan mensual'!N315+parametros_recargas!$L$92*'Plan mensual'!N316</f>
        <v>8047.44691443768</v>
      </c>
      <c r="M310" s="21" t="n">
        <f aca="false">parametros_recargas!$E$92*'Plan mensual'!O309+parametros_recargas!$F$92*'Plan mensual'!O310+parametros_recargas!$G$92*'Plan mensual'!O311+parametros_recargas!$H$92*'Plan mensual'!O312+parametros_recargas!$I$92*'Plan mensual'!O313+parametros_recargas!$J$92*'Plan mensual'!O314+parametros_recargas!$K$92*'Plan mensual'!O315+parametros_recargas!$L$92*'Plan mensual'!O316</f>
        <v>8047.44691443768</v>
      </c>
      <c r="N310" s="6" t="n">
        <f aca="false">SUM(B310:M310)</f>
        <v>96569.3629732522</v>
      </c>
      <c r="O310" s="22" t="n">
        <f aca="false">MAX(B310:M310)</f>
        <v>8047.44691443768</v>
      </c>
      <c r="P310" s="12" t="n">
        <f aca="false">O310/parametros_recargas!$B$6</f>
        <v>53.6496460962512</v>
      </c>
    </row>
    <row r="311" customFormat="false" ht="15" hidden="false" customHeight="false" outlineLevel="0" collapsed="false">
      <c r="A311" s="8" t="str">
        <f aca="false">parametros_recargas!$B$93</f>
        <v>Presurización — recinto</v>
      </c>
      <c r="B311" s="21" t="n">
        <f aca="false">parametros_recargas!$E$93*'Plan mensual'!D309+parametros_recargas!$F$93*'Plan mensual'!D310+parametros_recargas!$G$93*'Plan mensual'!D311+parametros_recargas!$H$93*'Plan mensual'!D312+parametros_recargas!$I$93*'Plan mensual'!D313+parametros_recargas!$J$93*'Plan mensual'!D314+parametros_recargas!$K$93*'Plan mensual'!D315+parametros_recargas!$L$93*'Plan mensual'!D316</f>
        <v>8047.44691443768</v>
      </c>
      <c r="C311" s="21" t="n">
        <f aca="false">parametros_recargas!$E$93*'Plan mensual'!E309+parametros_recargas!$F$93*'Plan mensual'!E310+parametros_recargas!$G$93*'Plan mensual'!E311+parametros_recargas!$H$93*'Plan mensual'!E312+parametros_recargas!$I$93*'Plan mensual'!E313+parametros_recargas!$J$93*'Plan mensual'!E314+parametros_recargas!$K$93*'Plan mensual'!E315+parametros_recargas!$L$93*'Plan mensual'!E316</f>
        <v>8047.44691443768</v>
      </c>
      <c r="D311" s="21" t="n">
        <f aca="false">parametros_recargas!$E$93*'Plan mensual'!F309+parametros_recargas!$F$93*'Plan mensual'!F310+parametros_recargas!$G$93*'Plan mensual'!F311+parametros_recargas!$H$93*'Plan mensual'!F312+parametros_recargas!$I$93*'Plan mensual'!F313+parametros_recargas!$J$93*'Plan mensual'!F314+parametros_recargas!$K$93*'Plan mensual'!F315+parametros_recargas!$L$93*'Plan mensual'!F316</f>
        <v>8047.44691443768</v>
      </c>
      <c r="E311" s="21" t="n">
        <f aca="false">parametros_recargas!$E$93*'Plan mensual'!G309+parametros_recargas!$F$93*'Plan mensual'!G310+parametros_recargas!$G$93*'Plan mensual'!G311+parametros_recargas!$H$93*'Plan mensual'!G312+parametros_recargas!$I$93*'Plan mensual'!G313+parametros_recargas!$J$93*'Plan mensual'!G314+parametros_recargas!$K$93*'Plan mensual'!G315+parametros_recargas!$L$93*'Plan mensual'!G316</f>
        <v>8047.44691443768</v>
      </c>
      <c r="F311" s="21" t="n">
        <f aca="false">parametros_recargas!$E$93*'Plan mensual'!H309+parametros_recargas!$F$93*'Plan mensual'!H310+parametros_recargas!$G$93*'Plan mensual'!H311+parametros_recargas!$H$93*'Plan mensual'!H312+parametros_recargas!$I$93*'Plan mensual'!H313+parametros_recargas!$J$93*'Plan mensual'!H314+parametros_recargas!$K$93*'Plan mensual'!H315+parametros_recargas!$L$93*'Plan mensual'!H316</f>
        <v>8047.44691443768</v>
      </c>
      <c r="G311" s="21" t="n">
        <f aca="false">parametros_recargas!$E$93*'Plan mensual'!I309+parametros_recargas!$F$93*'Plan mensual'!I310+parametros_recargas!$G$93*'Plan mensual'!I311+parametros_recargas!$H$93*'Plan mensual'!I312+parametros_recargas!$I$93*'Plan mensual'!I313+parametros_recargas!$J$93*'Plan mensual'!I314+parametros_recargas!$K$93*'Plan mensual'!I315+parametros_recargas!$L$93*'Plan mensual'!I316</f>
        <v>8047.44691443768</v>
      </c>
      <c r="H311" s="21" t="n">
        <f aca="false">parametros_recargas!$E$93*'Plan mensual'!J309+parametros_recargas!$F$93*'Plan mensual'!J310+parametros_recargas!$G$93*'Plan mensual'!J311+parametros_recargas!$H$93*'Plan mensual'!J312+parametros_recargas!$I$93*'Plan mensual'!J313+parametros_recargas!$J$93*'Plan mensual'!J314+parametros_recargas!$K$93*'Plan mensual'!J315+parametros_recargas!$L$93*'Plan mensual'!J316</f>
        <v>8047.44691443768</v>
      </c>
      <c r="I311" s="21" t="n">
        <f aca="false">parametros_recargas!$E$93*'Plan mensual'!K309+parametros_recargas!$F$93*'Plan mensual'!K310+parametros_recargas!$G$93*'Plan mensual'!K311+parametros_recargas!$H$93*'Plan mensual'!K312+parametros_recargas!$I$93*'Plan mensual'!K313+parametros_recargas!$J$93*'Plan mensual'!K314+parametros_recargas!$K$93*'Plan mensual'!K315+parametros_recargas!$L$93*'Plan mensual'!K316</f>
        <v>8047.44691443768</v>
      </c>
      <c r="J311" s="21" t="n">
        <f aca="false">parametros_recargas!$E$93*'Plan mensual'!L309+parametros_recargas!$F$93*'Plan mensual'!L310+parametros_recargas!$G$93*'Plan mensual'!L311+parametros_recargas!$H$93*'Plan mensual'!L312+parametros_recargas!$I$93*'Plan mensual'!L313+parametros_recargas!$J$93*'Plan mensual'!L314+parametros_recargas!$K$93*'Plan mensual'!L315+parametros_recargas!$L$93*'Plan mensual'!L316</f>
        <v>8047.44691443768</v>
      </c>
      <c r="K311" s="21" t="n">
        <f aca="false">parametros_recargas!$E$93*'Plan mensual'!M309+parametros_recargas!$F$93*'Plan mensual'!M310+parametros_recargas!$G$93*'Plan mensual'!M311+parametros_recargas!$H$93*'Plan mensual'!M312+parametros_recargas!$I$93*'Plan mensual'!M313+parametros_recargas!$J$93*'Plan mensual'!M314+parametros_recargas!$K$93*'Plan mensual'!M315+parametros_recargas!$L$93*'Plan mensual'!M316</f>
        <v>8047.44691443768</v>
      </c>
      <c r="L311" s="21" t="n">
        <f aca="false">parametros_recargas!$E$93*'Plan mensual'!N309+parametros_recargas!$F$93*'Plan mensual'!N310+parametros_recargas!$G$93*'Plan mensual'!N311+parametros_recargas!$H$93*'Plan mensual'!N312+parametros_recargas!$I$93*'Plan mensual'!N313+parametros_recargas!$J$93*'Plan mensual'!N314+parametros_recargas!$K$93*'Plan mensual'!N315+parametros_recargas!$L$93*'Plan mensual'!N316</f>
        <v>8047.44691443768</v>
      </c>
      <c r="M311" s="21" t="n">
        <f aca="false">parametros_recargas!$E$93*'Plan mensual'!O309+parametros_recargas!$F$93*'Plan mensual'!O310+parametros_recargas!$G$93*'Plan mensual'!O311+parametros_recargas!$H$93*'Plan mensual'!O312+parametros_recargas!$I$93*'Plan mensual'!O313+parametros_recargas!$J$93*'Plan mensual'!O314+parametros_recargas!$K$93*'Plan mensual'!O315+parametros_recargas!$L$93*'Plan mensual'!O316</f>
        <v>8047.44691443768</v>
      </c>
      <c r="N311" s="6" t="n">
        <f aca="false">SUM(B311:M311)</f>
        <v>96569.3629732522</v>
      </c>
      <c r="O311" s="22" t="n">
        <f aca="false">MAX(B311:M311)</f>
        <v>8047.44691443768</v>
      </c>
      <c r="P311" s="12" t="n">
        <f aca="false">O311/parametros_recargas!$B$6</f>
        <v>53.6496460962512</v>
      </c>
    </row>
    <row r="312" customFormat="false" ht="15" hidden="false" customHeight="false" outlineLevel="0" collapsed="false">
      <c r="A312" s="8" t="str">
        <f aca="false">parametros_recargas!$B$94</f>
        <v>Ensamblaje y presurización — zona general</v>
      </c>
      <c r="B312" s="21" t="n">
        <f aca="false">parametros_recargas!$E$94*'Plan mensual'!D309+parametros_recargas!$F$94*'Plan mensual'!D310+parametros_recargas!$G$94*'Plan mensual'!D311+parametros_recargas!$H$94*'Plan mensual'!D312+parametros_recargas!$I$94*'Plan mensual'!D313+parametros_recargas!$J$94*'Plan mensual'!D314+parametros_recargas!$K$94*'Plan mensual'!D315+parametros_recargas!$L$94*'Plan mensual'!D316</f>
        <v>599.790605540102</v>
      </c>
      <c r="C312" s="21" t="n">
        <f aca="false">parametros_recargas!$E$94*'Plan mensual'!E309+parametros_recargas!$F$94*'Plan mensual'!E310+parametros_recargas!$G$94*'Plan mensual'!E311+parametros_recargas!$H$94*'Plan mensual'!E312+parametros_recargas!$I$94*'Plan mensual'!E313+parametros_recargas!$J$94*'Plan mensual'!E314+parametros_recargas!$K$94*'Plan mensual'!E315+parametros_recargas!$L$94*'Plan mensual'!E316</f>
        <v>599.790605540102</v>
      </c>
      <c r="D312" s="21" t="n">
        <f aca="false">parametros_recargas!$E$94*'Plan mensual'!F309+parametros_recargas!$F$94*'Plan mensual'!F310+parametros_recargas!$G$94*'Plan mensual'!F311+parametros_recargas!$H$94*'Plan mensual'!F312+parametros_recargas!$I$94*'Plan mensual'!F313+parametros_recargas!$J$94*'Plan mensual'!F314+parametros_recargas!$K$94*'Plan mensual'!F315+parametros_recargas!$L$94*'Plan mensual'!F316</f>
        <v>599.790605540102</v>
      </c>
      <c r="E312" s="21" t="n">
        <f aca="false">parametros_recargas!$E$94*'Plan mensual'!G309+parametros_recargas!$F$94*'Plan mensual'!G310+parametros_recargas!$G$94*'Plan mensual'!G311+parametros_recargas!$H$94*'Plan mensual'!G312+parametros_recargas!$I$94*'Plan mensual'!G313+parametros_recargas!$J$94*'Plan mensual'!G314+parametros_recargas!$K$94*'Plan mensual'!G315+parametros_recargas!$L$94*'Plan mensual'!G316</f>
        <v>599.790605540102</v>
      </c>
      <c r="F312" s="21" t="n">
        <f aca="false">parametros_recargas!$E$94*'Plan mensual'!H309+parametros_recargas!$F$94*'Plan mensual'!H310+parametros_recargas!$G$94*'Plan mensual'!H311+parametros_recargas!$H$94*'Plan mensual'!H312+parametros_recargas!$I$94*'Plan mensual'!H313+parametros_recargas!$J$94*'Plan mensual'!H314+parametros_recargas!$K$94*'Plan mensual'!H315+parametros_recargas!$L$94*'Plan mensual'!H316</f>
        <v>599.790605540102</v>
      </c>
      <c r="G312" s="21" t="n">
        <f aca="false">parametros_recargas!$E$94*'Plan mensual'!I309+parametros_recargas!$F$94*'Plan mensual'!I310+parametros_recargas!$G$94*'Plan mensual'!I311+parametros_recargas!$H$94*'Plan mensual'!I312+parametros_recargas!$I$94*'Plan mensual'!I313+parametros_recargas!$J$94*'Plan mensual'!I314+parametros_recargas!$K$94*'Plan mensual'!I315+parametros_recargas!$L$94*'Plan mensual'!I316</f>
        <v>599.790605540102</v>
      </c>
      <c r="H312" s="21" t="n">
        <f aca="false">parametros_recargas!$E$94*'Plan mensual'!J309+parametros_recargas!$F$94*'Plan mensual'!J310+parametros_recargas!$G$94*'Plan mensual'!J311+parametros_recargas!$H$94*'Plan mensual'!J312+parametros_recargas!$I$94*'Plan mensual'!J313+parametros_recargas!$J$94*'Plan mensual'!J314+parametros_recargas!$K$94*'Plan mensual'!J315+parametros_recargas!$L$94*'Plan mensual'!J316</f>
        <v>599.790605540102</v>
      </c>
      <c r="I312" s="21" t="n">
        <f aca="false">parametros_recargas!$E$94*'Plan mensual'!K309+parametros_recargas!$F$94*'Plan mensual'!K310+parametros_recargas!$G$94*'Plan mensual'!K311+parametros_recargas!$H$94*'Plan mensual'!K312+parametros_recargas!$I$94*'Plan mensual'!K313+parametros_recargas!$J$94*'Plan mensual'!K314+parametros_recargas!$K$94*'Plan mensual'!K315+parametros_recargas!$L$94*'Plan mensual'!K316</f>
        <v>599.790605540102</v>
      </c>
      <c r="J312" s="21" t="n">
        <f aca="false">parametros_recargas!$E$94*'Plan mensual'!L309+parametros_recargas!$F$94*'Plan mensual'!L310+parametros_recargas!$G$94*'Plan mensual'!L311+parametros_recargas!$H$94*'Plan mensual'!L312+parametros_recargas!$I$94*'Plan mensual'!L313+parametros_recargas!$J$94*'Plan mensual'!L314+parametros_recargas!$K$94*'Plan mensual'!L315+parametros_recargas!$L$94*'Plan mensual'!L316</f>
        <v>599.790605540102</v>
      </c>
      <c r="K312" s="21" t="n">
        <f aca="false">parametros_recargas!$E$94*'Plan mensual'!M309+parametros_recargas!$F$94*'Plan mensual'!M310+parametros_recargas!$G$94*'Plan mensual'!M311+parametros_recargas!$H$94*'Plan mensual'!M312+parametros_recargas!$I$94*'Plan mensual'!M313+parametros_recargas!$J$94*'Plan mensual'!M314+parametros_recargas!$K$94*'Plan mensual'!M315+parametros_recargas!$L$94*'Plan mensual'!M316</f>
        <v>599.790605540102</v>
      </c>
      <c r="L312" s="21" t="n">
        <f aca="false">parametros_recargas!$E$94*'Plan mensual'!N309+parametros_recargas!$F$94*'Plan mensual'!N310+parametros_recargas!$G$94*'Plan mensual'!N311+parametros_recargas!$H$94*'Plan mensual'!N312+parametros_recargas!$I$94*'Plan mensual'!N313+parametros_recargas!$J$94*'Plan mensual'!N314+parametros_recargas!$K$94*'Plan mensual'!N315+parametros_recargas!$L$94*'Plan mensual'!N316</f>
        <v>599.790605540102</v>
      </c>
      <c r="M312" s="21" t="n">
        <f aca="false">parametros_recargas!$E$94*'Plan mensual'!O309+parametros_recargas!$F$94*'Plan mensual'!O310+parametros_recargas!$G$94*'Plan mensual'!O311+parametros_recargas!$H$94*'Plan mensual'!O312+parametros_recargas!$I$94*'Plan mensual'!O313+parametros_recargas!$J$94*'Plan mensual'!O314+parametros_recargas!$K$94*'Plan mensual'!O315+parametros_recargas!$L$94*'Plan mensual'!O316</f>
        <v>599.790605540102</v>
      </c>
      <c r="N312" s="6" t="n">
        <f aca="false">SUM(B312:M312)</f>
        <v>7197.48726648123</v>
      </c>
      <c r="O312" s="22" t="n">
        <f aca="false">MAX(B312:M312)</f>
        <v>599.790605540102</v>
      </c>
      <c r="P312" s="12" t="n">
        <f aca="false">O312/parametros_recargas!$B$6</f>
        <v>3.99860403693401</v>
      </c>
    </row>
    <row r="313" customFormat="false" ht="15" hidden="false" customHeight="false" outlineLevel="0" collapsed="false">
      <c r="A313" s="8" t="str">
        <f aca="false">parametros_recargas!$B$95</f>
        <v>Carga y presurización de halogenado</v>
      </c>
      <c r="B313" s="21" t="n">
        <f aca="false">parametros_recargas!$E$95*'Plan mensual'!D309+parametros_recargas!$F$95*'Plan mensual'!D310+parametros_recargas!$G$95*'Plan mensual'!D311+parametros_recargas!$H$95*'Plan mensual'!D312+parametros_recargas!$I$95*'Plan mensual'!D313+parametros_recargas!$J$95*'Plan mensual'!D314+parametros_recargas!$K$95*'Plan mensual'!D315+parametros_recargas!$L$95*'Plan mensual'!D316</f>
        <v>7.74208036619978</v>
      </c>
      <c r="C313" s="21" t="n">
        <f aca="false">parametros_recargas!$E$95*'Plan mensual'!E309+parametros_recargas!$F$95*'Plan mensual'!E310+parametros_recargas!$G$95*'Plan mensual'!E311+parametros_recargas!$H$95*'Plan mensual'!E312+parametros_recargas!$I$95*'Plan mensual'!E313+parametros_recargas!$J$95*'Plan mensual'!E314+parametros_recargas!$K$95*'Plan mensual'!E315+parametros_recargas!$L$95*'Plan mensual'!E316</f>
        <v>7.74208036619978</v>
      </c>
      <c r="D313" s="21" t="n">
        <f aca="false">parametros_recargas!$E$95*'Plan mensual'!F309+parametros_recargas!$F$95*'Plan mensual'!F310+parametros_recargas!$G$95*'Plan mensual'!F311+parametros_recargas!$H$95*'Plan mensual'!F312+parametros_recargas!$I$95*'Plan mensual'!F313+parametros_recargas!$J$95*'Plan mensual'!F314+parametros_recargas!$K$95*'Plan mensual'!F315+parametros_recargas!$L$95*'Plan mensual'!F316</f>
        <v>7.74208036619978</v>
      </c>
      <c r="E313" s="21" t="n">
        <f aca="false">parametros_recargas!$E$95*'Plan mensual'!G309+parametros_recargas!$F$95*'Plan mensual'!G310+parametros_recargas!$G$95*'Plan mensual'!G311+parametros_recargas!$H$95*'Plan mensual'!G312+parametros_recargas!$I$95*'Plan mensual'!G313+parametros_recargas!$J$95*'Plan mensual'!G314+parametros_recargas!$K$95*'Plan mensual'!G315+parametros_recargas!$L$95*'Plan mensual'!G316</f>
        <v>7.74208036619978</v>
      </c>
      <c r="F313" s="21" t="n">
        <f aca="false">parametros_recargas!$E$95*'Plan mensual'!H309+parametros_recargas!$F$95*'Plan mensual'!H310+parametros_recargas!$G$95*'Plan mensual'!H311+parametros_recargas!$H$95*'Plan mensual'!H312+parametros_recargas!$I$95*'Plan mensual'!H313+parametros_recargas!$J$95*'Plan mensual'!H314+parametros_recargas!$K$95*'Plan mensual'!H315+parametros_recargas!$L$95*'Plan mensual'!H316</f>
        <v>7.74208036619978</v>
      </c>
      <c r="G313" s="21" t="n">
        <f aca="false">parametros_recargas!$E$95*'Plan mensual'!I309+parametros_recargas!$F$95*'Plan mensual'!I310+parametros_recargas!$G$95*'Plan mensual'!I311+parametros_recargas!$H$95*'Plan mensual'!I312+parametros_recargas!$I$95*'Plan mensual'!I313+parametros_recargas!$J$95*'Plan mensual'!I314+parametros_recargas!$K$95*'Plan mensual'!I315+parametros_recargas!$L$95*'Plan mensual'!I316</f>
        <v>7.74208036619978</v>
      </c>
      <c r="H313" s="21" t="n">
        <f aca="false">parametros_recargas!$E$95*'Plan mensual'!J309+parametros_recargas!$F$95*'Plan mensual'!J310+parametros_recargas!$G$95*'Plan mensual'!J311+parametros_recargas!$H$95*'Plan mensual'!J312+parametros_recargas!$I$95*'Plan mensual'!J313+parametros_recargas!$J$95*'Plan mensual'!J314+parametros_recargas!$K$95*'Plan mensual'!J315+parametros_recargas!$L$95*'Plan mensual'!J316</f>
        <v>7.74208036619978</v>
      </c>
      <c r="I313" s="21" t="n">
        <f aca="false">parametros_recargas!$E$95*'Plan mensual'!K309+parametros_recargas!$F$95*'Plan mensual'!K310+parametros_recargas!$G$95*'Plan mensual'!K311+parametros_recargas!$H$95*'Plan mensual'!K312+parametros_recargas!$I$95*'Plan mensual'!K313+parametros_recargas!$J$95*'Plan mensual'!K314+parametros_recargas!$K$95*'Plan mensual'!K315+parametros_recargas!$L$95*'Plan mensual'!K316</f>
        <v>7.74208036619978</v>
      </c>
      <c r="J313" s="21" t="n">
        <f aca="false">parametros_recargas!$E$95*'Plan mensual'!L309+parametros_recargas!$F$95*'Plan mensual'!L310+parametros_recargas!$G$95*'Plan mensual'!L311+parametros_recargas!$H$95*'Plan mensual'!L312+parametros_recargas!$I$95*'Plan mensual'!L313+parametros_recargas!$J$95*'Plan mensual'!L314+parametros_recargas!$K$95*'Plan mensual'!L315+parametros_recargas!$L$95*'Plan mensual'!L316</f>
        <v>7.74208036619978</v>
      </c>
      <c r="K313" s="21" t="n">
        <f aca="false">parametros_recargas!$E$95*'Plan mensual'!M309+parametros_recargas!$F$95*'Plan mensual'!M310+parametros_recargas!$G$95*'Plan mensual'!M311+parametros_recargas!$H$95*'Plan mensual'!M312+parametros_recargas!$I$95*'Plan mensual'!M313+parametros_recargas!$J$95*'Plan mensual'!M314+parametros_recargas!$K$95*'Plan mensual'!M315+parametros_recargas!$L$95*'Plan mensual'!M316</f>
        <v>7.74208036619978</v>
      </c>
      <c r="L313" s="21" t="n">
        <f aca="false">parametros_recargas!$E$95*'Plan mensual'!N309+parametros_recargas!$F$95*'Plan mensual'!N310+parametros_recargas!$G$95*'Plan mensual'!N311+parametros_recargas!$H$95*'Plan mensual'!N312+parametros_recargas!$I$95*'Plan mensual'!N313+parametros_recargas!$J$95*'Plan mensual'!N314+parametros_recargas!$K$95*'Plan mensual'!N315+parametros_recargas!$L$95*'Plan mensual'!N316</f>
        <v>7.74208036619978</v>
      </c>
      <c r="M313" s="21" t="n">
        <f aca="false">parametros_recargas!$E$95*'Plan mensual'!O309+parametros_recargas!$F$95*'Plan mensual'!O310+parametros_recargas!$G$95*'Plan mensual'!O311+parametros_recargas!$H$95*'Plan mensual'!O312+parametros_recargas!$I$95*'Plan mensual'!O313+parametros_recargas!$J$95*'Plan mensual'!O314+parametros_recargas!$K$95*'Plan mensual'!O315+parametros_recargas!$L$95*'Plan mensual'!O316</f>
        <v>7.74208036619978</v>
      </c>
      <c r="N313" s="6" t="n">
        <f aca="false">SUM(B313:M313)</f>
        <v>92.9049643943974</v>
      </c>
      <c r="O313" s="22" t="n">
        <f aca="false">MAX(B313:M313)</f>
        <v>7.74208036619978</v>
      </c>
      <c r="P313" s="12" t="n">
        <f aca="false">O313/parametros_recargas!$B$6</f>
        <v>0.0516138691079986</v>
      </c>
    </row>
    <row r="314" customFormat="false" ht="15" hidden="false" customHeight="false" outlineLevel="0" collapsed="false">
      <c r="A314" s="8" t="str">
        <f aca="false">parametros_recargas!$B$96</f>
        <v>Control de peso (CO₂ y halogenados sin recarga)</v>
      </c>
      <c r="B314" s="21" t="n">
        <f aca="false">parametros_recargas!$E$96*'Plan mensual'!D309+parametros_recargas!$F$96*'Plan mensual'!D310+parametros_recargas!$G$96*'Plan mensual'!D311+parametros_recargas!$H$96*'Plan mensual'!D312+parametros_recargas!$I$96*'Plan mensual'!D313+parametros_recargas!$J$96*'Plan mensual'!D314+parametros_recargas!$K$96*'Plan mensual'!D315+parametros_recargas!$L$96*'Plan mensual'!D316</f>
        <v>542.12393786788</v>
      </c>
      <c r="C314" s="21" t="n">
        <f aca="false">parametros_recargas!$E$96*'Plan mensual'!E309+parametros_recargas!$F$96*'Plan mensual'!E310+parametros_recargas!$G$96*'Plan mensual'!E311+parametros_recargas!$H$96*'Plan mensual'!E312+parametros_recargas!$I$96*'Plan mensual'!E313+parametros_recargas!$J$96*'Plan mensual'!E314+parametros_recargas!$K$96*'Plan mensual'!E315+parametros_recargas!$L$96*'Plan mensual'!E316</f>
        <v>542.12393786788</v>
      </c>
      <c r="D314" s="21" t="n">
        <f aca="false">parametros_recargas!$E$96*'Plan mensual'!F309+parametros_recargas!$F$96*'Plan mensual'!F310+parametros_recargas!$G$96*'Plan mensual'!F311+parametros_recargas!$H$96*'Plan mensual'!F312+parametros_recargas!$I$96*'Plan mensual'!F313+parametros_recargas!$J$96*'Plan mensual'!F314+parametros_recargas!$K$96*'Plan mensual'!F315+parametros_recargas!$L$96*'Plan mensual'!F316</f>
        <v>542.12393786788</v>
      </c>
      <c r="E314" s="21" t="n">
        <f aca="false">parametros_recargas!$E$96*'Plan mensual'!G309+parametros_recargas!$F$96*'Plan mensual'!G310+parametros_recargas!$G$96*'Plan mensual'!G311+parametros_recargas!$H$96*'Plan mensual'!G312+parametros_recargas!$I$96*'Plan mensual'!G313+parametros_recargas!$J$96*'Plan mensual'!G314+parametros_recargas!$K$96*'Plan mensual'!G315+parametros_recargas!$L$96*'Plan mensual'!G316</f>
        <v>542.12393786788</v>
      </c>
      <c r="F314" s="21" t="n">
        <f aca="false">parametros_recargas!$E$96*'Plan mensual'!H309+parametros_recargas!$F$96*'Plan mensual'!H310+parametros_recargas!$G$96*'Plan mensual'!H311+parametros_recargas!$H$96*'Plan mensual'!H312+parametros_recargas!$I$96*'Plan mensual'!H313+parametros_recargas!$J$96*'Plan mensual'!H314+parametros_recargas!$K$96*'Plan mensual'!H315+parametros_recargas!$L$96*'Plan mensual'!H316</f>
        <v>542.12393786788</v>
      </c>
      <c r="G314" s="21" t="n">
        <f aca="false">parametros_recargas!$E$96*'Plan mensual'!I309+parametros_recargas!$F$96*'Plan mensual'!I310+parametros_recargas!$G$96*'Plan mensual'!I311+parametros_recargas!$H$96*'Plan mensual'!I312+parametros_recargas!$I$96*'Plan mensual'!I313+parametros_recargas!$J$96*'Plan mensual'!I314+parametros_recargas!$K$96*'Plan mensual'!I315+parametros_recargas!$L$96*'Plan mensual'!I316</f>
        <v>542.12393786788</v>
      </c>
      <c r="H314" s="21" t="n">
        <f aca="false">parametros_recargas!$E$96*'Plan mensual'!J309+parametros_recargas!$F$96*'Plan mensual'!J310+parametros_recargas!$G$96*'Plan mensual'!J311+parametros_recargas!$H$96*'Plan mensual'!J312+parametros_recargas!$I$96*'Plan mensual'!J313+parametros_recargas!$J$96*'Plan mensual'!J314+parametros_recargas!$K$96*'Plan mensual'!J315+parametros_recargas!$L$96*'Plan mensual'!J316</f>
        <v>542.12393786788</v>
      </c>
      <c r="I314" s="21" t="n">
        <f aca="false">parametros_recargas!$E$96*'Plan mensual'!K309+parametros_recargas!$F$96*'Plan mensual'!K310+parametros_recargas!$G$96*'Plan mensual'!K311+parametros_recargas!$H$96*'Plan mensual'!K312+parametros_recargas!$I$96*'Plan mensual'!K313+parametros_recargas!$J$96*'Plan mensual'!K314+parametros_recargas!$K$96*'Plan mensual'!K315+parametros_recargas!$L$96*'Plan mensual'!K316</f>
        <v>542.12393786788</v>
      </c>
      <c r="J314" s="21" t="n">
        <f aca="false">parametros_recargas!$E$96*'Plan mensual'!L309+parametros_recargas!$F$96*'Plan mensual'!L310+parametros_recargas!$G$96*'Plan mensual'!L311+parametros_recargas!$H$96*'Plan mensual'!L312+parametros_recargas!$I$96*'Plan mensual'!L313+parametros_recargas!$J$96*'Plan mensual'!L314+parametros_recargas!$K$96*'Plan mensual'!L315+parametros_recargas!$L$96*'Plan mensual'!L316</f>
        <v>542.12393786788</v>
      </c>
      <c r="K314" s="21" t="n">
        <f aca="false">parametros_recargas!$E$96*'Plan mensual'!M309+parametros_recargas!$F$96*'Plan mensual'!M310+parametros_recargas!$G$96*'Plan mensual'!M311+parametros_recargas!$H$96*'Plan mensual'!M312+parametros_recargas!$I$96*'Plan mensual'!M313+parametros_recargas!$J$96*'Plan mensual'!M314+parametros_recargas!$K$96*'Plan mensual'!M315+parametros_recargas!$L$96*'Plan mensual'!M316</f>
        <v>542.12393786788</v>
      </c>
      <c r="L314" s="21" t="n">
        <f aca="false">parametros_recargas!$E$96*'Plan mensual'!N309+parametros_recargas!$F$96*'Plan mensual'!N310+parametros_recargas!$G$96*'Plan mensual'!N311+parametros_recargas!$H$96*'Plan mensual'!N312+parametros_recargas!$I$96*'Plan mensual'!N313+parametros_recargas!$J$96*'Plan mensual'!N314+parametros_recargas!$K$96*'Plan mensual'!N315+parametros_recargas!$L$96*'Plan mensual'!N316</f>
        <v>542.12393786788</v>
      </c>
      <c r="M314" s="21" t="n">
        <f aca="false">parametros_recargas!$E$96*'Plan mensual'!O309+parametros_recargas!$F$96*'Plan mensual'!O310+parametros_recargas!$G$96*'Plan mensual'!O311+parametros_recargas!$H$96*'Plan mensual'!O312+parametros_recargas!$I$96*'Plan mensual'!O313+parametros_recargas!$J$96*'Plan mensual'!O314+parametros_recargas!$K$96*'Plan mensual'!O315+parametros_recargas!$L$96*'Plan mensual'!O316</f>
        <v>542.12393786788</v>
      </c>
      <c r="N314" s="6" t="n">
        <f aca="false">SUM(B314:M314)</f>
        <v>6505.48725441456</v>
      </c>
      <c r="O314" s="22" t="n">
        <f aca="false">MAX(B314:M314)</f>
        <v>542.12393786788</v>
      </c>
      <c r="P314" s="12" t="n">
        <f aca="false">O314/parametros_recargas!$B$6</f>
        <v>3.61415958578587</v>
      </c>
    </row>
    <row r="315" customFormat="false" ht="15" hidden="false" customHeight="false" outlineLevel="0" collapsed="false">
      <c r="A315" s="8" t="str">
        <f aca="false">parametros_recargas!$B$97</f>
        <v>Ensayo de pérdidas</v>
      </c>
      <c r="B315" s="21" t="n">
        <f aca="false">parametros_recargas!$E$97*'Plan mensual'!D309+parametros_recargas!$F$97*'Plan mensual'!D310+parametros_recargas!$G$97*'Plan mensual'!D311+parametros_recargas!$H$97*'Plan mensual'!D312+parametros_recargas!$I$97*'Plan mensual'!D313+parametros_recargas!$J$97*'Plan mensual'!D314+parametros_recargas!$K$97*'Plan mensual'!D315+parametros_recargas!$L$97*'Plan mensual'!D316</f>
        <v>9226.42557904347</v>
      </c>
      <c r="C315" s="21" t="n">
        <f aca="false">parametros_recargas!$E$97*'Plan mensual'!E309+parametros_recargas!$F$97*'Plan mensual'!E310+parametros_recargas!$G$97*'Plan mensual'!E311+parametros_recargas!$H$97*'Plan mensual'!E312+parametros_recargas!$I$97*'Plan mensual'!E313+parametros_recargas!$J$97*'Plan mensual'!E314+parametros_recargas!$K$97*'Plan mensual'!E315+parametros_recargas!$L$97*'Plan mensual'!E316</f>
        <v>9226.42557904347</v>
      </c>
      <c r="D315" s="21" t="n">
        <f aca="false">parametros_recargas!$E$97*'Plan mensual'!F309+parametros_recargas!$F$97*'Plan mensual'!F310+parametros_recargas!$G$97*'Plan mensual'!F311+parametros_recargas!$H$97*'Plan mensual'!F312+parametros_recargas!$I$97*'Plan mensual'!F313+parametros_recargas!$J$97*'Plan mensual'!F314+parametros_recargas!$K$97*'Plan mensual'!F315+parametros_recargas!$L$97*'Plan mensual'!F316</f>
        <v>9226.42557904347</v>
      </c>
      <c r="E315" s="21" t="n">
        <f aca="false">parametros_recargas!$E$97*'Plan mensual'!G309+parametros_recargas!$F$97*'Plan mensual'!G310+parametros_recargas!$G$97*'Plan mensual'!G311+parametros_recargas!$H$97*'Plan mensual'!G312+parametros_recargas!$I$97*'Plan mensual'!G313+parametros_recargas!$J$97*'Plan mensual'!G314+parametros_recargas!$K$97*'Plan mensual'!G315+parametros_recargas!$L$97*'Plan mensual'!G316</f>
        <v>9226.42557904347</v>
      </c>
      <c r="F315" s="21" t="n">
        <f aca="false">parametros_recargas!$E$97*'Plan mensual'!H309+parametros_recargas!$F$97*'Plan mensual'!H310+parametros_recargas!$G$97*'Plan mensual'!H311+parametros_recargas!$H$97*'Plan mensual'!H312+parametros_recargas!$I$97*'Plan mensual'!H313+parametros_recargas!$J$97*'Plan mensual'!H314+parametros_recargas!$K$97*'Plan mensual'!H315+parametros_recargas!$L$97*'Plan mensual'!H316</f>
        <v>9226.42557904347</v>
      </c>
      <c r="G315" s="21" t="n">
        <f aca="false">parametros_recargas!$E$97*'Plan mensual'!I309+parametros_recargas!$F$97*'Plan mensual'!I310+parametros_recargas!$G$97*'Plan mensual'!I311+parametros_recargas!$H$97*'Plan mensual'!I312+parametros_recargas!$I$97*'Plan mensual'!I313+parametros_recargas!$J$97*'Plan mensual'!I314+parametros_recargas!$K$97*'Plan mensual'!I315+parametros_recargas!$L$97*'Plan mensual'!I316</f>
        <v>9226.42557904347</v>
      </c>
      <c r="H315" s="21" t="n">
        <f aca="false">parametros_recargas!$E$97*'Plan mensual'!J309+parametros_recargas!$F$97*'Plan mensual'!J310+parametros_recargas!$G$97*'Plan mensual'!J311+parametros_recargas!$H$97*'Plan mensual'!J312+parametros_recargas!$I$97*'Plan mensual'!J313+parametros_recargas!$J$97*'Plan mensual'!J314+parametros_recargas!$K$97*'Plan mensual'!J315+parametros_recargas!$L$97*'Plan mensual'!J316</f>
        <v>9226.42557904347</v>
      </c>
      <c r="I315" s="21" t="n">
        <f aca="false">parametros_recargas!$E$97*'Plan mensual'!K309+parametros_recargas!$F$97*'Plan mensual'!K310+parametros_recargas!$G$97*'Plan mensual'!K311+parametros_recargas!$H$97*'Plan mensual'!K312+parametros_recargas!$I$97*'Plan mensual'!K313+parametros_recargas!$J$97*'Plan mensual'!K314+parametros_recargas!$K$97*'Plan mensual'!K315+parametros_recargas!$L$97*'Plan mensual'!K316</f>
        <v>9226.42557904347</v>
      </c>
      <c r="J315" s="21" t="n">
        <f aca="false">parametros_recargas!$E$97*'Plan mensual'!L309+parametros_recargas!$F$97*'Plan mensual'!L310+parametros_recargas!$G$97*'Plan mensual'!L311+parametros_recargas!$H$97*'Plan mensual'!L312+parametros_recargas!$I$97*'Plan mensual'!L313+parametros_recargas!$J$97*'Plan mensual'!L314+parametros_recargas!$K$97*'Plan mensual'!L315+parametros_recargas!$L$97*'Plan mensual'!L316</f>
        <v>9226.42557904347</v>
      </c>
      <c r="K315" s="21" t="n">
        <f aca="false">parametros_recargas!$E$97*'Plan mensual'!M309+parametros_recargas!$F$97*'Plan mensual'!M310+parametros_recargas!$G$97*'Plan mensual'!M311+parametros_recargas!$H$97*'Plan mensual'!M312+parametros_recargas!$I$97*'Plan mensual'!M313+parametros_recargas!$J$97*'Plan mensual'!M314+parametros_recargas!$K$97*'Plan mensual'!M315+parametros_recargas!$L$97*'Plan mensual'!M316</f>
        <v>9226.42557904347</v>
      </c>
      <c r="L315" s="21" t="n">
        <f aca="false">parametros_recargas!$E$97*'Plan mensual'!N309+parametros_recargas!$F$97*'Plan mensual'!N310+parametros_recargas!$G$97*'Plan mensual'!N311+parametros_recargas!$H$97*'Plan mensual'!N312+parametros_recargas!$I$97*'Plan mensual'!N313+parametros_recargas!$J$97*'Plan mensual'!N314+parametros_recargas!$K$97*'Plan mensual'!N315+parametros_recargas!$L$97*'Plan mensual'!N316</f>
        <v>9226.42557904347</v>
      </c>
      <c r="M315" s="21" t="n">
        <f aca="false">parametros_recargas!$E$97*'Plan mensual'!O309+parametros_recargas!$F$97*'Plan mensual'!O310+parametros_recargas!$G$97*'Plan mensual'!O311+parametros_recargas!$H$97*'Plan mensual'!O312+parametros_recargas!$I$97*'Plan mensual'!O313+parametros_recargas!$J$97*'Plan mensual'!O314+parametros_recargas!$K$97*'Plan mensual'!O315+parametros_recargas!$L$97*'Plan mensual'!O316</f>
        <v>9226.42557904347</v>
      </c>
      <c r="N315" s="6" t="n">
        <f aca="false">SUM(B315:M315)</f>
        <v>110717.106948522</v>
      </c>
      <c r="O315" s="22" t="n">
        <f aca="false">MAX(B315:M315)</f>
        <v>9226.42557904347</v>
      </c>
      <c r="P315" s="12" t="n">
        <f aca="false">O315/parametros_recargas!$B$6</f>
        <v>61.5095038602898</v>
      </c>
    </row>
    <row r="316" customFormat="false" ht="15" hidden="false" customHeight="false" outlineLevel="0" collapsed="false">
      <c r="A316" s="8" t="str">
        <f aca="false">parametros_recargas!$B$98</f>
        <v>Precinto, etiqueta y despacho</v>
      </c>
      <c r="B316" s="21" t="n">
        <f aca="false">parametros_recargas!$E$98*'Plan mensual'!D309+parametros_recargas!$F$98*'Plan mensual'!D310+parametros_recargas!$G$98*'Plan mensual'!D311+parametros_recargas!$H$98*'Plan mensual'!D312+parametros_recargas!$I$98*'Plan mensual'!D313+parametros_recargas!$J$98*'Plan mensual'!D314+parametros_recargas!$K$98*'Plan mensual'!D315+parametros_recargas!$L$98*'Plan mensual'!D316</f>
        <v>9226.42557904347</v>
      </c>
      <c r="C316" s="21" t="n">
        <f aca="false">parametros_recargas!$E$98*'Plan mensual'!E309+parametros_recargas!$F$98*'Plan mensual'!E310+parametros_recargas!$G$98*'Plan mensual'!E311+parametros_recargas!$H$98*'Plan mensual'!E312+parametros_recargas!$I$98*'Plan mensual'!E313+parametros_recargas!$J$98*'Plan mensual'!E314+parametros_recargas!$K$98*'Plan mensual'!E315+parametros_recargas!$L$98*'Plan mensual'!E316</f>
        <v>9226.42557904347</v>
      </c>
      <c r="D316" s="21" t="n">
        <f aca="false">parametros_recargas!$E$98*'Plan mensual'!F309+parametros_recargas!$F$98*'Plan mensual'!F310+parametros_recargas!$G$98*'Plan mensual'!F311+parametros_recargas!$H$98*'Plan mensual'!F312+parametros_recargas!$I$98*'Plan mensual'!F313+parametros_recargas!$J$98*'Plan mensual'!F314+parametros_recargas!$K$98*'Plan mensual'!F315+parametros_recargas!$L$98*'Plan mensual'!F316</f>
        <v>9226.42557904347</v>
      </c>
      <c r="E316" s="21" t="n">
        <f aca="false">parametros_recargas!$E$98*'Plan mensual'!G309+parametros_recargas!$F$98*'Plan mensual'!G310+parametros_recargas!$G$98*'Plan mensual'!G311+parametros_recargas!$H$98*'Plan mensual'!G312+parametros_recargas!$I$98*'Plan mensual'!G313+parametros_recargas!$J$98*'Plan mensual'!G314+parametros_recargas!$K$98*'Plan mensual'!G315+parametros_recargas!$L$98*'Plan mensual'!G316</f>
        <v>9226.42557904347</v>
      </c>
      <c r="F316" s="21" t="n">
        <f aca="false">parametros_recargas!$E$98*'Plan mensual'!H309+parametros_recargas!$F$98*'Plan mensual'!H310+parametros_recargas!$G$98*'Plan mensual'!H311+parametros_recargas!$H$98*'Plan mensual'!H312+parametros_recargas!$I$98*'Plan mensual'!H313+parametros_recargas!$J$98*'Plan mensual'!H314+parametros_recargas!$K$98*'Plan mensual'!H315+parametros_recargas!$L$98*'Plan mensual'!H316</f>
        <v>9226.42557904347</v>
      </c>
      <c r="G316" s="21" t="n">
        <f aca="false">parametros_recargas!$E$98*'Plan mensual'!I309+parametros_recargas!$F$98*'Plan mensual'!I310+parametros_recargas!$G$98*'Plan mensual'!I311+parametros_recargas!$H$98*'Plan mensual'!I312+parametros_recargas!$I$98*'Plan mensual'!I313+parametros_recargas!$J$98*'Plan mensual'!I314+parametros_recargas!$K$98*'Plan mensual'!I315+parametros_recargas!$L$98*'Plan mensual'!I316</f>
        <v>9226.42557904347</v>
      </c>
      <c r="H316" s="21" t="n">
        <f aca="false">parametros_recargas!$E$98*'Plan mensual'!J309+parametros_recargas!$F$98*'Plan mensual'!J310+parametros_recargas!$G$98*'Plan mensual'!J311+parametros_recargas!$H$98*'Plan mensual'!J312+parametros_recargas!$I$98*'Plan mensual'!J313+parametros_recargas!$J$98*'Plan mensual'!J314+parametros_recargas!$K$98*'Plan mensual'!J315+parametros_recargas!$L$98*'Plan mensual'!J316</f>
        <v>9226.42557904347</v>
      </c>
      <c r="I316" s="21" t="n">
        <f aca="false">parametros_recargas!$E$98*'Plan mensual'!K309+parametros_recargas!$F$98*'Plan mensual'!K310+parametros_recargas!$G$98*'Plan mensual'!K311+parametros_recargas!$H$98*'Plan mensual'!K312+parametros_recargas!$I$98*'Plan mensual'!K313+parametros_recargas!$J$98*'Plan mensual'!K314+parametros_recargas!$K$98*'Plan mensual'!K315+parametros_recargas!$L$98*'Plan mensual'!K316</f>
        <v>9226.42557904347</v>
      </c>
      <c r="J316" s="21" t="n">
        <f aca="false">parametros_recargas!$E$98*'Plan mensual'!L309+parametros_recargas!$F$98*'Plan mensual'!L310+parametros_recargas!$G$98*'Plan mensual'!L311+parametros_recargas!$H$98*'Plan mensual'!L312+parametros_recargas!$I$98*'Plan mensual'!L313+parametros_recargas!$J$98*'Plan mensual'!L314+parametros_recargas!$K$98*'Plan mensual'!L315+parametros_recargas!$L$98*'Plan mensual'!L316</f>
        <v>9226.42557904347</v>
      </c>
      <c r="K316" s="21" t="n">
        <f aca="false">parametros_recargas!$E$98*'Plan mensual'!M309+parametros_recargas!$F$98*'Plan mensual'!M310+parametros_recargas!$G$98*'Plan mensual'!M311+parametros_recargas!$H$98*'Plan mensual'!M312+parametros_recargas!$I$98*'Plan mensual'!M313+parametros_recargas!$J$98*'Plan mensual'!M314+parametros_recargas!$K$98*'Plan mensual'!M315+parametros_recargas!$L$98*'Plan mensual'!M316</f>
        <v>9226.42557904347</v>
      </c>
      <c r="L316" s="21" t="n">
        <f aca="false">parametros_recargas!$E$98*'Plan mensual'!N309+parametros_recargas!$F$98*'Plan mensual'!N310+parametros_recargas!$G$98*'Plan mensual'!N311+parametros_recargas!$H$98*'Plan mensual'!N312+parametros_recargas!$I$98*'Plan mensual'!N313+parametros_recargas!$J$98*'Plan mensual'!N314+parametros_recargas!$K$98*'Plan mensual'!N315+parametros_recargas!$L$98*'Plan mensual'!N316</f>
        <v>9226.42557904347</v>
      </c>
      <c r="M316" s="21" t="n">
        <f aca="false">parametros_recargas!$E$98*'Plan mensual'!O309+parametros_recargas!$F$98*'Plan mensual'!O310+parametros_recargas!$G$98*'Plan mensual'!O311+parametros_recargas!$H$98*'Plan mensual'!O312+parametros_recargas!$I$98*'Plan mensual'!O313+parametros_recargas!$J$98*'Plan mensual'!O314+parametros_recargas!$K$98*'Plan mensual'!O315+parametros_recargas!$L$98*'Plan mensual'!O316</f>
        <v>9226.42557904347</v>
      </c>
      <c r="N316" s="6" t="n">
        <f aca="false">SUM(B316:M316)</f>
        <v>110717.106948522</v>
      </c>
      <c r="O316" s="22" t="n">
        <f aca="false">MAX(B316:M316)</f>
        <v>9226.42557904347</v>
      </c>
      <c r="P316" s="12" t="n">
        <f aca="false">O316/parametros_recargas!$B$6</f>
        <v>61.5095038602898</v>
      </c>
    </row>
    <row r="317" customFormat="false" ht="15" hidden="false" customHeight="false" outlineLevel="0" collapsed="false">
      <c r="A317" s="8" t="str">
        <f aca="false">parametros_recargas!$B$99</f>
        <v>Inutilización y disposición final</v>
      </c>
      <c r="B317" s="21" t="n">
        <f aca="false">parametros_recargas!$E$99*'Plan mensual'!D309+parametros_recargas!$F$99*'Plan mensual'!D310+parametros_recargas!$G$99*'Plan mensual'!D311+parametros_recargas!$H$99*'Plan mensual'!D312+parametros_recargas!$I$99*'Plan mensual'!D313+parametros_recargas!$J$99*'Plan mensual'!D314+parametros_recargas!$K$99*'Plan mensual'!D315+parametros_recargas!$L$99*'Plan mensual'!D316</f>
        <v>725.759339257542</v>
      </c>
      <c r="C317" s="21" t="n">
        <f aca="false">parametros_recargas!$E$99*'Plan mensual'!E309+parametros_recargas!$F$99*'Plan mensual'!E310+parametros_recargas!$G$99*'Plan mensual'!E311+parametros_recargas!$H$99*'Plan mensual'!E312+parametros_recargas!$I$99*'Plan mensual'!E313+parametros_recargas!$J$99*'Plan mensual'!E314+parametros_recargas!$K$99*'Plan mensual'!E315+parametros_recargas!$L$99*'Plan mensual'!E316</f>
        <v>725.759339257542</v>
      </c>
      <c r="D317" s="21" t="n">
        <f aca="false">parametros_recargas!$E$99*'Plan mensual'!F309+parametros_recargas!$F$99*'Plan mensual'!F310+parametros_recargas!$G$99*'Plan mensual'!F311+parametros_recargas!$H$99*'Plan mensual'!F312+parametros_recargas!$I$99*'Plan mensual'!F313+parametros_recargas!$J$99*'Plan mensual'!F314+parametros_recargas!$K$99*'Plan mensual'!F315+parametros_recargas!$L$99*'Plan mensual'!F316</f>
        <v>725.759339257542</v>
      </c>
      <c r="E317" s="21" t="n">
        <f aca="false">parametros_recargas!$E$99*'Plan mensual'!G309+parametros_recargas!$F$99*'Plan mensual'!G310+parametros_recargas!$G$99*'Plan mensual'!G311+parametros_recargas!$H$99*'Plan mensual'!G312+parametros_recargas!$I$99*'Plan mensual'!G313+parametros_recargas!$J$99*'Plan mensual'!G314+parametros_recargas!$K$99*'Plan mensual'!G315+parametros_recargas!$L$99*'Plan mensual'!G316</f>
        <v>725.759339257542</v>
      </c>
      <c r="F317" s="21" t="n">
        <f aca="false">parametros_recargas!$E$99*'Plan mensual'!H309+parametros_recargas!$F$99*'Plan mensual'!H310+parametros_recargas!$G$99*'Plan mensual'!H311+parametros_recargas!$H$99*'Plan mensual'!H312+parametros_recargas!$I$99*'Plan mensual'!H313+parametros_recargas!$J$99*'Plan mensual'!H314+parametros_recargas!$K$99*'Plan mensual'!H315+parametros_recargas!$L$99*'Plan mensual'!H316</f>
        <v>725.759339257542</v>
      </c>
      <c r="G317" s="21" t="n">
        <f aca="false">parametros_recargas!$E$99*'Plan mensual'!I309+parametros_recargas!$F$99*'Plan mensual'!I310+parametros_recargas!$G$99*'Plan mensual'!I311+parametros_recargas!$H$99*'Plan mensual'!I312+parametros_recargas!$I$99*'Plan mensual'!I313+parametros_recargas!$J$99*'Plan mensual'!I314+parametros_recargas!$K$99*'Plan mensual'!I315+parametros_recargas!$L$99*'Plan mensual'!I316</f>
        <v>725.759339257542</v>
      </c>
      <c r="H317" s="21" t="n">
        <f aca="false">parametros_recargas!$E$99*'Plan mensual'!J309+parametros_recargas!$F$99*'Plan mensual'!J310+parametros_recargas!$G$99*'Plan mensual'!J311+parametros_recargas!$H$99*'Plan mensual'!J312+parametros_recargas!$I$99*'Plan mensual'!J313+parametros_recargas!$J$99*'Plan mensual'!J314+parametros_recargas!$K$99*'Plan mensual'!J315+parametros_recargas!$L$99*'Plan mensual'!J316</f>
        <v>725.759339257542</v>
      </c>
      <c r="I317" s="21" t="n">
        <f aca="false">parametros_recargas!$E$99*'Plan mensual'!K309+parametros_recargas!$F$99*'Plan mensual'!K310+parametros_recargas!$G$99*'Plan mensual'!K311+parametros_recargas!$H$99*'Plan mensual'!K312+parametros_recargas!$I$99*'Plan mensual'!K313+parametros_recargas!$J$99*'Plan mensual'!K314+parametros_recargas!$K$99*'Plan mensual'!K315+parametros_recargas!$L$99*'Plan mensual'!K316</f>
        <v>725.759339257542</v>
      </c>
      <c r="J317" s="21" t="n">
        <f aca="false">parametros_recargas!$E$99*'Plan mensual'!L309+parametros_recargas!$F$99*'Plan mensual'!L310+parametros_recargas!$G$99*'Plan mensual'!L311+parametros_recargas!$H$99*'Plan mensual'!L312+parametros_recargas!$I$99*'Plan mensual'!L313+parametros_recargas!$J$99*'Plan mensual'!L314+parametros_recargas!$K$99*'Plan mensual'!L315+parametros_recargas!$L$99*'Plan mensual'!L316</f>
        <v>725.759339257542</v>
      </c>
      <c r="K317" s="21" t="n">
        <f aca="false">parametros_recargas!$E$99*'Plan mensual'!M309+parametros_recargas!$F$99*'Plan mensual'!M310+parametros_recargas!$G$99*'Plan mensual'!M311+parametros_recargas!$H$99*'Plan mensual'!M312+parametros_recargas!$I$99*'Plan mensual'!M313+parametros_recargas!$J$99*'Plan mensual'!M314+parametros_recargas!$K$99*'Plan mensual'!M315+parametros_recargas!$L$99*'Plan mensual'!M316</f>
        <v>725.759339257542</v>
      </c>
      <c r="L317" s="21" t="n">
        <f aca="false">parametros_recargas!$E$99*'Plan mensual'!N309+parametros_recargas!$F$99*'Plan mensual'!N310+parametros_recargas!$G$99*'Plan mensual'!N311+parametros_recargas!$H$99*'Plan mensual'!N312+parametros_recargas!$I$99*'Plan mensual'!N313+parametros_recargas!$J$99*'Plan mensual'!N314+parametros_recargas!$K$99*'Plan mensual'!N315+parametros_recargas!$L$99*'Plan mensual'!N316</f>
        <v>725.759339257542</v>
      </c>
      <c r="M317" s="21" t="n">
        <f aca="false">parametros_recargas!$E$99*'Plan mensual'!O309+parametros_recargas!$F$99*'Plan mensual'!O310+parametros_recargas!$G$99*'Plan mensual'!O311+parametros_recargas!$H$99*'Plan mensual'!O312+parametros_recargas!$I$99*'Plan mensual'!O313+parametros_recargas!$J$99*'Plan mensual'!O314+parametros_recargas!$K$99*'Plan mensual'!O315+parametros_recargas!$L$99*'Plan mensual'!O316</f>
        <v>725.759339257542</v>
      </c>
      <c r="N317" s="6" t="n">
        <f aca="false">SUM(B317:M317)</f>
        <v>8709.11207109051</v>
      </c>
      <c r="O317" s="22" t="n">
        <f aca="false">MAX(B317:M317)</f>
        <v>725.759339257542</v>
      </c>
      <c r="P317" s="12" t="n">
        <f aca="false">O317/parametros_recargas!$B$6</f>
        <v>4.83839559505028</v>
      </c>
    </row>
    <row r="318" customFormat="false" ht="15" hidden="false" customHeight="false" outlineLevel="0" collapsed="false">
      <c r="A318" s="8" t="str">
        <f aca="false">parametros_recargas!$B$100</f>
        <v>PH de mangueras (CO₂ y rodantes)</v>
      </c>
      <c r="B318" s="21" t="n">
        <f aca="false">'Plan mensual'!D317</f>
        <v>310.570235642735</v>
      </c>
      <c r="C318" s="21" t="n">
        <f aca="false">'Plan mensual'!E317</f>
        <v>310.570235642735</v>
      </c>
      <c r="D318" s="21" t="n">
        <f aca="false">'Plan mensual'!F317</f>
        <v>310.570235642735</v>
      </c>
      <c r="E318" s="21" t="n">
        <f aca="false">'Plan mensual'!G317</f>
        <v>310.570235642735</v>
      </c>
      <c r="F318" s="21" t="n">
        <f aca="false">'Plan mensual'!H317</f>
        <v>310.570235642735</v>
      </c>
      <c r="G318" s="21" t="n">
        <f aca="false">'Plan mensual'!I317</f>
        <v>310.570235642735</v>
      </c>
      <c r="H318" s="21" t="n">
        <f aca="false">'Plan mensual'!J317</f>
        <v>310.570235642735</v>
      </c>
      <c r="I318" s="21" t="n">
        <f aca="false">'Plan mensual'!K317</f>
        <v>310.570235642735</v>
      </c>
      <c r="J318" s="21" t="n">
        <f aca="false">'Plan mensual'!L317</f>
        <v>310.570235642735</v>
      </c>
      <c r="K318" s="21" t="n">
        <f aca="false">'Plan mensual'!M317</f>
        <v>310.570235642735</v>
      </c>
      <c r="L318" s="21" t="n">
        <f aca="false">'Plan mensual'!N317</f>
        <v>310.570235642735</v>
      </c>
      <c r="M318" s="21" t="n">
        <f aca="false">'Plan mensual'!O317</f>
        <v>310.570235642735</v>
      </c>
      <c r="N318" s="6" t="n">
        <f aca="false">SUM(B318:M318)</f>
        <v>3726.84282771281</v>
      </c>
      <c r="O318" s="22" t="n">
        <f aca="false">MAX(B318:M318)</f>
        <v>310.570235642735</v>
      </c>
      <c r="P318" s="12" t="n">
        <f aca="false">O318/parametros_recargas!$B$6</f>
        <v>2.07046823761823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1" min="2" style="0" width="10"/>
    <col collapsed="false" customWidth="true" hidden="false" outlineLevel="0" max="12" min="12" style="0" width="13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56"/>
  </cols>
  <sheetData>
    <row r="1" customFormat="false" ht="23.85" hidden="false" customHeight="false" outlineLevel="0" collapsed="false">
      <c r="A1" s="2" t="s">
        <v>322</v>
      </c>
      <c r="B1" s="2" t="n">
        <v>2026</v>
      </c>
      <c r="C1" s="2" t="n">
        <v>2027</v>
      </c>
      <c r="D1" s="2" t="n">
        <v>2028</v>
      </c>
      <c r="E1" s="2" t="n">
        <v>2029</v>
      </c>
      <c r="F1" s="2" t="n">
        <v>2030</v>
      </c>
      <c r="G1" s="2" t="n">
        <v>2031</v>
      </c>
      <c r="H1" s="2" t="n">
        <v>2032</v>
      </c>
      <c r="I1" s="2" t="n">
        <v>2033</v>
      </c>
      <c r="J1" s="2" t="n">
        <v>2034</v>
      </c>
      <c r="K1" s="2" t="n">
        <v>2035</v>
      </c>
      <c r="L1" s="5" t="s">
        <v>166</v>
      </c>
      <c r="N1" s="2" t="s">
        <v>323</v>
      </c>
      <c r="O1" s="2" t="s">
        <v>324</v>
      </c>
    </row>
    <row r="2" customFormat="false" ht="15" hidden="false" customHeight="false" outlineLevel="0" collapsed="false">
      <c r="A2" s="8" t="str">
        <f aca="false">parametros_recargas!$B$72</f>
        <v>Recepción y registro</v>
      </c>
      <c r="B2" s="14" t="n">
        <f aca="false">IF(parametros_recargas!$N$72*B34*B66=0,0,'Demanda por puesto'!$P$2/(parametros_recargas!$N$72*B34*B66))</f>
        <v>0.0233313223161108</v>
      </c>
      <c r="C2" s="14" t="n">
        <f aca="false">IF(parametros_recargas!$N$72*C34*C66=0,0,'Demanda por puesto'!$P$34/(parametros_recargas!$N$72*C34*C66))</f>
        <v>0.105548133534292</v>
      </c>
      <c r="D2" s="14" t="n">
        <f aca="false">IF(parametros_recargas!$N$72*D34*D66=0,0,'Demanda por puesto'!$P$66/(parametros_recargas!$N$72*D34*D66))</f>
        <v>0.212006617998376</v>
      </c>
      <c r="E2" s="14" t="n">
        <f aca="false">IF(parametros_recargas!$N$72*E34*E66=0,0,'Demanda por puesto'!$P$98/(parametros_recargas!$N$72*E34*E66))</f>
        <v>0.392869372640885</v>
      </c>
      <c r="F2" s="14" t="n">
        <f aca="false">IF(parametros_recargas!$N$72*F34*F66=0,0,'Demanda por puesto'!$P$130/(parametros_recargas!$N$72*F34*F66))</f>
        <v>0.578329748814454</v>
      </c>
      <c r="G2" s="14" t="n">
        <f aca="false">IF(parametros_recargas!$N$72*G34*G66=0,0,'Demanda por puesto'!$P$162/(parametros_recargas!$N$72*G34*G66))</f>
        <v>0.786666645418878</v>
      </c>
      <c r="H2" s="14" t="n">
        <f aca="false">IF(parametros_recargas!$N$72*H34*H66=0,0,'Demanda por puesto'!$P$194/(parametros_recargas!$N$72*H34*H66))</f>
        <v>0.488553342639033</v>
      </c>
      <c r="I2" s="14" t="n">
        <f aca="false">IF(parametros_recargas!$N$72*I34*I66=0,0,'Demanda por puesto'!$P$226/(parametros_recargas!$N$72*I34*I66))</f>
        <v>0.555446179745826</v>
      </c>
      <c r="J2" s="14" t="n">
        <f aca="false">IF(parametros_recargas!$N$72*J34*J66=0,0,'Demanda por puesto'!$P$258/(parametros_recargas!$N$72*J34*J66))</f>
        <v>0.597696134903073</v>
      </c>
      <c r="K2" s="14" t="n">
        <f aca="false">IF(parametros_recargas!$N$72*K34*K66=0,0,'Demanda por puesto'!$P$290/(parametros_recargas!$N$72*K34*K66))</f>
        <v>0.640723998544686</v>
      </c>
      <c r="L2" s="8" t="str">
        <f aca="false">parametros_recargas!$D$72</f>
        <v>Manual</v>
      </c>
      <c r="N2" s="3" t="s">
        <v>325</v>
      </c>
      <c r="O2" s="3" t="s">
        <v>326</v>
      </c>
    </row>
    <row r="3" customFormat="false" ht="15" hidden="false" customHeight="false" outlineLevel="0" collapsed="false">
      <c r="A3" s="8" t="str">
        <f aca="false">parametros_recargas!$B$73</f>
        <v>Inspección visual</v>
      </c>
      <c r="B3" s="14" t="n">
        <f aca="false">IF(parametros_recargas!$N$73*B35*B67=0,0,'Demanda por puesto'!$P$3/(parametros_recargas!$N$73*B35*B67))</f>
        <v>0.027997586779333</v>
      </c>
      <c r="C3" s="14" t="n">
        <f aca="false">IF(parametros_recargas!$N$73*C35*C67=0,0,'Demanda por puesto'!$P$35/(parametros_recargas!$N$73*C35*C67))</f>
        <v>0.12665776024115</v>
      </c>
      <c r="D3" s="14" t="n">
        <f aca="false">IF(parametros_recargas!$N$73*D35*D67=0,0,'Demanda por puesto'!$P$67/(parametros_recargas!$N$73*D35*D67))</f>
        <v>0.254407941598051</v>
      </c>
      <c r="E3" s="14" t="n">
        <f aca="false">IF(parametros_recargas!$N$73*E35*E67=0,0,'Demanda por puesto'!$P$99/(parametros_recargas!$N$73*E35*E67))</f>
        <v>0.471443247169062</v>
      </c>
      <c r="F3" s="14" t="n">
        <f aca="false">IF(parametros_recargas!$N$73*F35*F67=0,0,'Demanda por puesto'!$P$131/(parametros_recargas!$N$73*F35*F67))</f>
        <v>0.693995698577345</v>
      </c>
      <c r="G3" s="14" t="n">
        <f aca="false">IF(parametros_recargas!$N$73*G35*G67=0,0,'Demanda por puesto'!$P$163/(parametros_recargas!$N$73*G35*G67))</f>
        <v>0.471999987251327</v>
      </c>
      <c r="H3" s="14" t="n">
        <f aca="false">IF(parametros_recargas!$N$73*H35*H67=0,0,'Demanda por puesto'!$P$195/(parametros_recargas!$N$73*H35*H67))</f>
        <v>0.58626401116684</v>
      </c>
      <c r="I3" s="14" t="n">
        <f aca="false">IF(parametros_recargas!$N$73*I35*I67=0,0,'Demanda por puesto'!$P$227/(parametros_recargas!$N$73*I35*I67))</f>
        <v>0.666535415694992</v>
      </c>
      <c r="J3" s="14" t="n">
        <f aca="false">IF(parametros_recargas!$N$73*J35*J67=0,0,'Demanda por puesto'!$P$259/(parametros_recargas!$N$73*J35*J67))</f>
        <v>0.717235361883688</v>
      </c>
      <c r="K3" s="14" t="n">
        <f aca="false">IF(parametros_recargas!$N$73*K35*K67=0,0,'Demanda por puesto'!$P$291/(parametros_recargas!$N$73*K35*K67))</f>
        <v>0.768868798253623</v>
      </c>
      <c r="L3" s="8" t="str">
        <f aca="false">parametros_recargas!$D$73</f>
        <v>Manual</v>
      </c>
      <c r="N3" s="24" t="s">
        <v>327</v>
      </c>
      <c r="O3" s="3" t="s">
        <v>328</v>
      </c>
    </row>
    <row r="4" customFormat="false" ht="15" hidden="false" customHeight="false" outlineLevel="0" collapsed="false">
      <c r="A4" s="8" t="str">
        <f aca="false">parametros_recargas!$B$74</f>
        <v>Descarga ABC — ruta recuperable</v>
      </c>
      <c r="B4" s="14" t="n">
        <f aca="false">IF(parametros_recargas!$N$74*B36*B68=0,0,'Demanda por puesto'!$P$4/(parametros_recargas!$N$74*B36*B68))</f>
        <v>0.019564879056613</v>
      </c>
      <c r="C4" s="14" t="n">
        <f aca="false">IF(parametros_recargas!$N$74*C36*C68=0,0,'Demanda por puesto'!$P$36/(parametros_recargas!$N$74*C36*C68))</f>
        <v>0.0888922208846966</v>
      </c>
      <c r="D4" s="14" t="n">
        <f aca="false">IF(parametros_recargas!$N$74*D36*D68=0,0,'Demanda por puesto'!$P$68/(parametros_recargas!$N$74*D36*D68))</f>
        <v>0.17580183856042</v>
      </c>
      <c r="E4" s="14" t="n">
        <f aca="false">IF(parametros_recargas!$N$74*E36*E68=0,0,'Demanda por puesto'!$P$100/(parametros_recargas!$N$74*E36*E68))</f>
        <v>0.325902742092249</v>
      </c>
      <c r="F4" s="14" t="n">
        <f aca="false">IF(parametros_recargas!$N$74*F36*F68=0,0,'Demanda por puesto'!$P$132/(parametros_recargas!$N$74*F36*F68))</f>
        <v>0.481343953440395</v>
      </c>
      <c r="G4" s="14" t="n">
        <f aca="false">IF(parametros_recargas!$N$74*G36*G68=0,0,'Demanda por puesto'!$P$164/(parametros_recargas!$N$74*G36*G68))</f>
        <v>0.657253340110604</v>
      </c>
      <c r="H4" s="14" t="n">
        <f aca="false">IF(parametros_recargas!$N$74*H36*H68=0,0,'Demanda por puesto'!$P$196/(parametros_recargas!$N$74*H36*H68))</f>
        <v>0.817656857875675</v>
      </c>
      <c r="I4" s="14" t="n">
        <f aca="false">IF(parametros_recargas!$N$74*I36*I68=0,0,'Demanda por puesto'!$P$228/(parametros_recargas!$N$74*I36*I68))</f>
        <v>0.466134772697939</v>
      </c>
      <c r="J4" s="14" t="n">
        <f aca="false">IF(parametros_recargas!$N$74*J36*J68=0,0,'Demanda por puesto'!$P$260/(parametros_recargas!$N$74*J36*J68))</f>
        <v>0.501164872800793</v>
      </c>
      <c r="K4" s="14" t="n">
        <f aca="false">IF(parametros_recargas!$N$74*K36*K68=0,0,'Demanda por puesto'!$P$292/(parametros_recargas!$N$74*K36*K68))</f>
        <v>0.536858405682464</v>
      </c>
      <c r="L4" s="8" t="str">
        <f aca="false">parametros_recargas!$D$74</f>
        <v>Máquina</v>
      </c>
      <c r="N4" s="25" t="s">
        <v>329</v>
      </c>
      <c r="O4" s="3" t="s">
        <v>330</v>
      </c>
    </row>
    <row r="5" customFormat="false" ht="15" hidden="false" customHeight="false" outlineLevel="0" collapsed="false">
      <c r="A5" s="8" t="str">
        <f aca="false">parametros_recargas!$B$75</f>
        <v>Descarga ABC — ruta descarte</v>
      </c>
      <c r="B5" s="14" t="n">
        <f aca="false">IF(parametros_recargas!$N$75*B37*B69=0,0,'Demanda por puesto'!$P$5/(parametros_recargas!$N$75*B37*B69))</f>
        <v>0.00230175047724859</v>
      </c>
      <c r="C5" s="14" t="n">
        <f aca="false">IF(parametros_recargas!$N$75*C37*C69=0,0,'Demanda por puesto'!$P$37/(parametros_recargas!$N$75*C37*C69))</f>
        <v>0.0104579083393761</v>
      </c>
      <c r="D5" s="14" t="n">
        <f aca="false">IF(parametros_recargas!$N$75*D37*D69=0,0,'Demanda por puesto'!$P$69/(parametros_recargas!$N$75*D37*D69))</f>
        <v>0.0206825692424024</v>
      </c>
      <c r="E5" s="14" t="n">
        <f aca="false">IF(parametros_recargas!$N$75*E37*E69=0,0,'Demanda por puesto'!$P$101/(parametros_recargas!$N$75*E37*E69))</f>
        <v>0.0383414990696764</v>
      </c>
      <c r="F5" s="14" t="n">
        <f aca="false">IF(parametros_recargas!$N$75*F37*F69=0,0,'Demanda por puesto'!$P$133/(parametros_recargas!$N$75*F37*F69))</f>
        <v>0.0566287004047524</v>
      </c>
      <c r="G5" s="14" t="n">
        <f aca="false">IF(parametros_recargas!$N$75*G37*G69=0,0,'Demanda por puesto'!$P$165/(parametros_recargas!$N$75*G37*G69))</f>
        <v>0.0773239223659535</v>
      </c>
      <c r="H5" s="14" t="n">
        <f aca="false">IF(parametros_recargas!$N$75*H37*H69=0,0,'Demanda por puesto'!$P$197/(parametros_recargas!$N$75*H37*H69))</f>
        <v>0.0961949244559617</v>
      </c>
      <c r="I5" s="14" t="n">
        <f aca="false">IF(parametros_recargas!$N$75*I37*I69=0,0,'Demanda por puesto'!$P$229/(parametros_recargas!$N$75*I37*I69))</f>
        <v>0.109678770046574</v>
      </c>
      <c r="J5" s="14" t="n">
        <f aca="false">IF(parametros_recargas!$N$75*J37*J69=0,0,'Demanda por puesto'!$P$261/(parametros_recargas!$N$75*J37*J69))</f>
        <v>0.117921146541363</v>
      </c>
      <c r="K5" s="14" t="n">
        <f aca="false">IF(parametros_recargas!$N$75*K37*K69=0,0,'Demanda por puesto'!$P$293/(parametros_recargas!$N$75*K37*K69))</f>
        <v>0.126319624866462</v>
      </c>
      <c r="L5" s="8" t="str">
        <f aca="false">parametros_recargas!$D$75</f>
        <v>Máquina</v>
      </c>
      <c r="N5" s="26" t="s">
        <v>331</v>
      </c>
      <c r="O5" s="3" t="s">
        <v>332</v>
      </c>
    </row>
    <row r="6" customFormat="false" ht="15" hidden="false" customHeight="false" outlineLevel="0" collapsed="false">
      <c r="A6" s="8" t="str">
        <f aca="false">parametros_recargas!$B$76</f>
        <v>Descarga BC</v>
      </c>
      <c r="B6" s="14" t="n">
        <f aca="false">IF(parametros_recargas!$N$76*B38*B70=0,0,'Demanda por puesto'!$P$6/(parametros_recargas!$N$76*B38*B70))</f>
        <v>2.58140230728946E-005</v>
      </c>
      <c r="C6" s="14" t="n">
        <f aca="false">IF(parametros_recargas!$N$76*C38*C70=0,0,'Demanda por puesto'!$P$38/(parametros_recargas!$N$76*C38*C70))</f>
        <v>0.000191095075771707</v>
      </c>
      <c r="D6" s="14" t="n">
        <f aca="false">IF(parametros_recargas!$N$76*D38*D70=0,0,'Demanda por puesto'!$P$70/(parametros_recargas!$N$76*D38*D70))</f>
        <v>0.000349198489930203</v>
      </c>
      <c r="E6" s="14" t="n">
        <f aca="false">IF(parametros_recargas!$N$76*E38*E70=0,0,'Demanda por puesto'!$P$102/(parametros_recargas!$N$76*E38*E70))</f>
        <v>0.000616177076091473</v>
      </c>
      <c r="F6" s="14" t="n">
        <f aca="false">IF(parametros_recargas!$N$76*F38*F70=0,0,'Demanda por puesto'!$P$134/(parametros_recargas!$N$76*F38*F70))</f>
        <v>0.000844140367417505</v>
      </c>
      <c r="G6" s="14" t="n">
        <f aca="false">IF(parametros_recargas!$N$76*G38*G70=0,0,'Demanda por puesto'!$P$166/(parametros_recargas!$N$76*G38*G70))</f>
        <v>0.00111664219932239</v>
      </c>
      <c r="H6" s="14" t="n">
        <f aca="false">IF(parametros_recargas!$N$76*H38*H70=0,0,'Demanda por puesto'!$P$198/(parametros_recargas!$N$76*H38*H70))</f>
        <v>0.00142079014189228</v>
      </c>
      <c r="I6" s="14" t="n">
        <f aca="false">IF(parametros_recargas!$N$76*I38*I70=0,0,'Demanda por puesto'!$P$230/(parametros_recargas!$N$76*I38*I70))</f>
        <v>0.00157037984588717</v>
      </c>
      <c r="J6" s="14" t="n">
        <f aca="false">IF(parametros_recargas!$N$76*J38*J70=0,0,'Demanda por puesto'!$P$262/(parametros_recargas!$N$76*J38*J70))</f>
        <v>0.00171168264337227</v>
      </c>
      <c r="K6" s="14" t="n">
        <f aca="false">IF(parametros_recargas!$N$76*K38*K70=0,0,'Demanda por puesto'!$P$294/(parametros_recargas!$N$76*K38*K70))</f>
        <v>0.00185421145928161</v>
      </c>
      <c r="L6" s="8" t="str">
        <f aca="false">parametros_recargas!$D$76</f>
        <v>Máquina</v>
      </c>
      <c r="N6" s="27" t="s">
        <v>333</v>
      </c>
      <c r="O6" s="3" t="s">
        <v>334</v>
      </c>
    </row>
    <row r="7" customFormat="false" ht="15" hidden="false" customHeight="false" outlineLevel="0" collapsed="false">
      <c r="A7" s="8" t="str">
        <f aca="false">parametros_recargas!$B$77</f>
        <v>Descarga de agua / AFFF / sales K</v>
      </c>
      <c r="B7" s="14" t="n">
        <f aca="false">IF(parametros_recargas!$N$77*B39*B71=0,0,'Demanda por puesto'!$P$7/(parametros_recargas!$N$77*B39*B71))</f>
        <v>0.00139243882069583</v>
      </c>
      <c r="C7" s="14" t="n">
        <f aca="false">IF(parametros_recargas!$N$77*C39*C71=0,0,'Demanda por puesto'!$P$39/(parametros_recargas!$N$77*C39*C71))</f>
        <v>0.0065883223082216</v>
      </c>
      <c r="D7" s="14" t="n">
        <f aca="false">IF(parametros_recargas!$N$77*D39*D71=0,0,'Demanda por puesto'!$P$71/(parametros_recargas!$N$77*D39*D71))</f>
        <v>0.0143019281729037</v>
      </c>
      <c r="E7" s="14" t="n">
        <f aca="false">IF(parametros_recargas!$N$77*E39*E71=0,0,'Demanda por puesto'!$P$103/(parametros_recargas!$N$77*E39*E71))</f>
        <v>0.0258995060472632</v>
      </c>
      <c r="F7" s="14" t="n">
        <f aca="false">IF(parametros_recargas!$N$77*F39*F71=0,0,'Demanda por puesto'!$P$135/(parametros_recargas!$N$77*F39*F71))</f>
        <v>0.0372373405954304</v>
      </c>
      <c r="G7" s="14" t="n">
        <f aca="false">IF(parametros_recargas!$N$77*G39*G71=0,0,'Demanda por puesto'!$P$167/(parametros_recargas!$N$77*G39*G71))</f>
        <v>0.0492820460214165</v>
      </c>
      <c r="H7" s="14" t="n">
        <f aca="false">IF(parametros_recargas!$N$77*H39*H71=0,0,'Demanda por puesto'!$P$199/(parametros_recargas!$N$77*H39*H71))</f>
        <v>0.0605162899066222</v>
      </c>
      <c r="I7" s="14" t="n">
        <f aca="false">IF(parametros_recargas!$N$77*I39*I71=0,0,'Demanda por puesto'!$P$231/(parametros_recargas!$N$77*I39*I71))</f>
        <v>0.0677548301400359</v>
      </c>
      <c r="J7" s="14" t="n">
        <f aca="false">IF(parametros_recargas!$N$77*J39*J71=0,0,'Demanda por puesto'!$P$263/(parametros_recargas!$N$77*J39*J71))</f>
        <v>0.0733796908448263</v>
      </c>
      <c r="K7" s="14" t="n">
        <f aca="false">IF(parametros_recargas!$N$77*K39*K71=0,0,'Demanda por puesto'!$P$295/(parametros_recargas!$N$77*K39*K71))</f>
        <v>0.0790859842859476</v>
      </c>
      <c r="L7" s="8" t="str">
        <f aca="false">parametros_recargas!$D$77</f>
        <v>Máquina</v>
      </c>
      <c r="N7" s="28" t="s">
        <v>335</v>
      </c>
      <c r="O7" s="3" t="s">
        <v>336</v>
      </c>
    </row>
    <row r="8" customFormat="false" ht="15" hidden="false" customHeight="false" outlineLevel="0" collapsed="false">
      <c r="A8" s="8" t="str">
        <f aca="false">parametros_recargas!$B$78</f>
        <v>Recuperación de CO₂</v>
      </c>
      <c r="B8" s="14" t="n">
        <f aca="false">IF(parametros_recargas!$N$78*B40*B72=0,0,'Demanda por puesto'!$P$8/(parametros_recargas!$N$78*B40*B72))</f>
        <v>0.00131259250767743</v>
      </c>
      <c r="C8" s="14" t="n">
        <f aca="false">IF(parametros_recargas!$N$78*C40*C72=0,0,'Demanda por puesto'!$P$40/(parametros_recargas!$N$78*C40*C72))</f>
        <v>0.00535995460353998</v>
      </c>
      <c r="D8" s="14" t="n">
        <f aca="false">IF(parametros_recargas!$N$78*D40*D72=0,0,'Demanda por puesto'!$P$72/(parametros_recargas!$N$78*D40*D72))</f>
        <v>0.0122314923476333</v>
      </c>
      <c r="E8" s="14" t="n">
        <f aca="false">IF(parametros_recargas!$N$78*E40*E72=0,0,'Demanda por puesto'!$P$104/(parametros_recargas!$N$78*E40*E72))</f>
        <v>0.0230037759924351</v>
      </c>
      <c r="F8" s="14" t="n">
        <f aca="false">IF(parametros_recargas!$N$78*F40*F72=0,0,'Demanda por puesto'!$P$136/(parametros_recargas!$N$78*F40*F72))</f>
        <v>0.0332686612026554</v>
      </c>
      <c r="G8" s="14" t="n">
        <f aca="false">IF(parametros_recargas!$N$78*G40*G72=0,0,'Demanda por puesto'!$P$168/(parametros_recargas!$N$78*G40*G72))</f>
        <v>0.0442758391962198</v>
      </c>
      <c r="H8" s="14" t="n">
        <f aca="false">IF(parametros_recargas!$N$78*H40*H72=0,0,'Demanda por puesto'!$P$200/(parametros_recargas!$N$78*H40*H72))</f>
        <v>0.0543621570921306</v>
      </c>
      <c r="I8" s="14" t="n">
        <f aca="false">IF(parametros_recargas!$N$78*I40*I72=0,0,'Demanda por puesto'!$P$232/(parametros_recargas!$N$78*I40*I72))</f>
        <v>0.0604654629157581</v>
      </c>
      <c r="J8" s="14" t="n">
        <f aca="false">IF(parametros_recargas!$N$78*J40*J72=0,0,'Demanda por puesto'!$P$264/(parametros_recargas!$N$78*J40*J72))</f>
        <v>0.0653737135455083</v>
      </c>
      <c r="K8" s="14" t="n">
        <f aca="false">IF(parametros_recargas!$N$78*K40*K72=0,0,'Demanda por puesto'!$P$296/(parametros_recargas!$N$78*K40*K72))</f>
        <v>0.0703531930143535</v>
      </c>
      <c r="L8" s="8" t="str">
        <f aca="false">parametros_recargas!$D$78</f>
        <v>Máquina</v>
      </c>
    </row>
    <row r="9" customFormat="false" ht="15" hidden="false" customHeight="false" outlineLevel="0" collapsed="false">
      <c r="A9" s="8" t="str">
        <f aca="false">parametros_recargas!$B$79</f>
        <v>Recuperación de halogenado</v>
      </c>
      <c r="B9" s="14" t="n">
        <f aca="false">IF(parametros_recargas!$N$79*B41*B73=0,0,'Demanda por puesto'!$P$9/(parametros_recargas!$N$79*B41*B73))</f>
        <v>9.41452657897014E-005</v>
      </c>
      <c r="C9" s="14" t="n">
        <f aca="false">IF(parametros_recargas!$N$79*C41*C73=0,0,'Demanda por puesto'!$P$41/(parametros_recargas!$N$79*C41*C73))</f>
        <v>0.000597470131413051</v>
      </c>
      <c r="D9" s="14" t="n">
        <f aca="false">IF(parametros_recargas!$N$79*D41*D73=0,0,'Demanda por puesto'!$P$73/(parametros_recargas!$N$79*D41*D73))</f>
        <v>0.00121166517581609</v>
      </c>
      <c r="E9" s="14" t="n">
        <f aca="false">IF(parametros_recargas!$N$79*E41*E73=0,0,'Demanda por puesto'!$P$105/(parametros_recargas!$N$79*E41*E73))</f>
        <v>0.00209000255482939</v>
      </c>
      <c r="F9" s="14" t="n">
        <f aca="false">IF(parametros_recargas!$N$79*F41*F73=0,0,'Demanda por puesto'!$P$137/(parametros_recargas!$N$79*F41*F73))</f>
        <v>0.00300660743171333</v>
      </c>
      <c r="G9" s="14" t="n">
        <f aca="false">IF(parametros_recargas!$N$79*G41*G73=0,0,'Demanda por puesto'!$P$169/(parametros_recargas!$N$79*G41*G73))</f>
        <v>0.00395447241649014</v>
      </c>
      <c r="H9" s="14" t="n">
        <f aca="false">IF(parametros_recargas!$N$79*H41*H73=0,0,'Demanda por puesto'!$P$201/(parametros_recargas!$N$79*H41*H73))</f>
        <v>0.00493954731706434</v>
      </c>
      <c r="I9" s="14" t="n">
        <f aca="false">IF(parametros_recargas!$N$79*I41*I73=0,0,'Demanda por puesto'!$P$233/(parametros_recargas!$N$79*I41*I73))</f>
        <v>0.00561618773958012</v>
      </c>
      <c r="J9" s="14" t="n">
        <f aca="false">IF(parametros_recargas!$N$79*J41*J73=0,0,'Demanda por puesto'!$P$265/(parametros_recargas!$N$79*J41*J73))</f>
        <v>0.00613049199651114</v>
      </c>
      <c r="K9" s="14" t="n">
        <f aca="false">IF(parametros_recargas!$N$79*K41*K73=0,0,'Demanda por puesto'!$P$297/(parametros_recargas!$N$79*K41*K73))</f>
        <v>0.00666679142644981</v>
      </c>
      <c r="L9" s="8" t="str">
        <f aca="false">parametros_recargas!$D$79</f>
        <v>Máquina</v>
      </c>
      <c r="N9" s="5" t="s">
        <v>80</v>
      </c>
      <c r="O9" s="29" t="n">
        <f aca="false">parametros_recargas!B7</f>
        <v>0.9</v>
      </c>
    </row>
    <row r="10" customFormat="false" ht="15" hidden="false" customHeight="false" outlineLevel="0" collapsed="false">
      <c r="A10" s="8" t="str">
        <f aca="false">parametros_recargas!$B$80</f>
        <v>Desarme y limpieza — recinto</v>
      </c>
      <c r="B10" s="14" t="n">
        <f aca="false">IF(parametros_recargas!$N$80*B42*B74=0,0,'Demanda por puesto'!$P$10/(parametros_recargas!$N$80*B42*B74))</f>
        <v>0.0268687546946416</v>
      </c>
      <c r="C10" s="14" t="n">
        <f aca="false">IF(parametros_recargas!$N$80*C42*C74=0,0,'Demanda por puesto'!$P$42/(parametros_recargas!$N$80*C42*C74))</f>
        <v>0.122249012717472</v>
      </c>
      <c r="D10" s="14" t="n">
        <f aca="false">IF(parametros_recargas!$N$80*D42*D74=0,0,'Demanda por puesto'!$P$74/(parametros_recargas!$N$80*D42*D74))</f>
        <v>0.241704527658642</v>
      </c>
      <c r="E10" s="14" t="n">
        <f aca="false">IF(parametros_recargas!$N$80*E42*E74=0,0,'Demanda por puesto'!$P$106/(parametros_recargas!$N$80*E42*E74))</f>
        <v>0.447951602064468</v>
      </c>
      <c r="F10" s="14" t="n">
        <f aca="false">IF(parametros_recargas!$N$80*F42*F74=0,0,'Demanda por puesto'!$P$138/(parametros_recargas!$N$80*F42*F74))</f>
        <v>0.661459993915495</v>
      </c>
      <c r="G10" s="14" t="n">
        <f aca="false">IF(parametros_recargas!$N$80*G42*G74=0,0,'Demanda por puesto'!$P$170/(parametros_recargas!$N$80*G42*G74))</f>
        <v>0.451519200283393</v>
      </c>
      <c r="H10" s="14" t="n">
        <f aca="false">IF(parametros_recargas!$N$80*H42*H74=0,0,'Demanda por puesto'!$P$202/(parametros_recargas!$N$80*H42*H74))</f>
        <v>0.561752124755659</v>
      </c>
      <c r="I10" s="14" t="n">
        <f aca="false">IF(parametros_recargas!$N$80*I42*I74=0,0,'Demanda por puesto'!$P$234/(parametros_recargas!$N$80*I42*I74))</f>
        <v>0.640455196938913</v>
      </c>
      <c r="J10" s="14" t="n">
        <f aca="false">IF(parametros_recargas!$N$80*J42*J74=0,0,'Demanda por puesto'!$P$266/(parametros_recargas!$N$80*J42*J74))</f>
        <v>0.688613771801482</v>
      </c>
      <c r="K10" s="14" t="n">
        <f aca="false">IF(parametros_recargas!$N$80*K42*K74=0,0,'Demanda por puesto'!$P$298/(parametros_recargas!$N$80*K42*K74))</f>
        <v>0.737682633823454</v>
      </c>
      <c r="L10" s="8" t="str">
        <f aca="false">parametros_recargas!$D$80</f>
        <v>Manual</v>
      </c>
      <c r="N10" s="5" t="s">
        <v>82</v>
      </c>
      <c r="O10" s="13" t="n">
        <f aca="false">parametros_recargas!B8</f>
        <v>2</v>
      </c>
    </row>
    <row r="11" customFormat="false" ht="15" hidden="false" customHeight="false" outlineLevel="0" collapsed="false">
      <c r="A11" s="8" t="str">
        <f aca="false">parametros_recargas!$B$81</f>
        <v>Desarme e inspección interior — zona general</v>
      </c>
      <c r="B11" s="14" t="n">
        <f aca="false">IF(parametros_recargas!$N$81*B43*B75=0,0,'Demanda por puesto'!$P$11/(parametros_recargas!$N$81*B43*B75))</f>
        <v>0.0034965348563905</v>
      </c>
      <c r="C11" s="14" t="n">
        <f aca="false">IF(parametros_recargas!$N$81*C43*C75=0,0,'Demanda por puesto'!$P$43/(parametros_recargas!$N$81*C43*C75))</f>
        <v>0.0158711394626883</v>
      </c>
      <c r="D11" s="14" t="n">
        <f aca="false">IF(parametros_recargas!$N$81*D43*D75=0,0,'Demanda por puesto'!$P$75/(parametros_recargas!$N$81*D43*D75))</f>
        <v>0.0349325482233646</v>
      </c>
      <c r="E11" s="14" t="n">
        <f aca="false">IF(parametros_recargas!$N$81*E43*E75=0,0,'Demanda por puesto'!$P$107/(parametros_recargas!$N$81*E43*E75))</f>
        <v>0.0639531433959565</v>
      </c>
      <c r="F11" s="14" t="n">
        <f aca="false">IF(parametros_recargas!$N$81*F43*F75=0,0,'Demanda por puesto'!$P$139/(parametros_recargas!$N$81*F43*F75))</f>
        <v>0.0921172232016901</v>
      </c>
      <c r="G11" s="14" t="n">
        <f aca="false">IF(parametros_recargas!$N$81*G43*G75=0,0,'Demanda por puesto'!$P$171/(parametros_recargas!$N$81*G43*G75))</f>
        <v>0.122115270535046</v>
      </c>
      <c r="H11" s="14" t="n">
        <f aca="false">IF(parametros_recargas!$N$81*H43*H75=0,0,'Demanda por puesto'!$P$203/(parametros_recargas!$N$81*H43*H75))</f>
        <v>0.149978321621665</v>
      </c>
      <c r="I11" s="14" t="n">
        <f aca="false">IF(parametros_recargas!$N$81*I43*I75=0,0,'Demanda por puesto'!$P$235/(parametros_recargas!$N$81*I43*I75))</f>
        <v>0.167607509925765</v>
      </c>
      <c r="J11" s="14" t="n">
        <f aca="false">IF(parametros_recargas!$N$81*J43*J75=0,0,'Demanda por puesto'!$P$267/(parametros_recargas!$N$81*J43*J75))</f>
        <v>0.181444422000991</v>
      </c>
      <c r="K11" s="14" t="n">
        <f aca="false">IF(parametros_recargas!$N$81*K43*K75=0,0,'Demanda por puesto'!$P$299/(parametros_recargas!$N$81*K43*K75))</f>
        <v>0.19548730847233</v>
      </c>
      <c r="L11" s="8" t="str">
        <f aca="false">parametros_recargas!$D$81</f>
        <v>Manual</v>
      </c>
      <c r="N11" s="5" t="s">
        <v>337</v>
      </c>
      <c r="O11" s="13" t="n">
        <f aca="false">parametros_recargas!B10</f>
        <v>2032</v>
      </c>
    </row>
    <row r="12" customFormat="false" ht="15" hidden="false" customHeight="false" outlineLevel="0" collapsed="false">
      <c r="A12" s="8" t="str">
        <f aca="false">parametros_recargas!$B$82</f>
        <v>Laboratorio — Puffer y mufla</v>
      </c>
      <c r="B12" s="14" t="n">
        <f aca="false">IF(parametros_recargas!$N$82*B44*B76=0,0,'Demanda por puesto'!$P$12/(parametros_recargas!$N$82*B44*B76))</f>
        <v>0.00086209122082208</v>
      </c>
      <c r="C12" s="14" t="n">
        <f aca="false">IF(parametros_recargas!$N$82*C44*C76=0,0,'Demanda por puesto'!$P$44/(parametros_recargas!$N$82*C44*C76))</f>
        <v>0.00391963726509545</v>
      </c>
      <c r="D12" s="14" t="n">
        <f aca="false">IF(parametros_recargas!$N$82*D44*D76=0,0,'Demanda por puesto'!$P$76/(parametros_recargas!$N$82*D44*D76))</f>
        <v>0.0077507782718397</v>
      </c>
      <c r="E12" s="14" t="n">
        <f aca="false">IF(parametros_recargas!$N$82*E44*E76=0,0,'Demanda por puesto'!$P$108/(parametros_recargas!$N$82*E44*E76))</f>
        <v>0.0143672836884433</v>
      </c>
      <c r="F12" s="14" t="n">
        <f aca="false">IF(parametros_recargas!$N$82*F44*F76=0,0,'Demanda por puesto'!$P$140/(parametros_recargas!$N$82*F44*F76))</f>
        <v>0.0212173769322296</v>
      </c>
      <c r="G12" s="14" t="n">
        <f aca="false">IF(parametros_recargas!$N$82*G44*G76=0,0,'Demanda por puesto'!$P$172/(parametros_recargas!$N$82*G44*G76))</f>
        <v>0.0289700194521314</v>
      </c>
      <c r="H12" s="14" t="n">
        <f aca="false">IF(parametros_recargas!$N$82*H44*H76=0,0,'Demanda por puesto'!$P$204/(parametros_recargas!$N$82*H44*H76))</f>
        <v>0.0360413730629506</v>
      </c>
      <c r="I12" s="14" t="n">
        <f aca="false">IF(parametros_recargas!$N$82*I44*I76=0,0,'Demanda por puesto'!$P$236/(parametros_recargas!$N$82*I44*I76))</f>
        <v>0.0410915140634232</v>
      </c>
      <c r="J12" s="14" t="n">
        <f aca="false">IF(parametros_recargas!$N$82*J44*J76=0,0,'Demanda por puesto'!$P$268/(parametros_recargas!$N$82*J44*J76))</f>
        <v>0.0441804189508385</v>
      </c>
      <c r="K12" s="14" t="n">
        <f aca="false">IF(parametros_recargas!$N$82*K44*K76=0,0,'Demanda por puesto'!$P$300/(parametros_recargas!$N$82*K44*K76))</f>
        <v>0.0473277701552237</v>
      </c>
      <c r="L12" s="8" t="str">
        <f aca="false">parametros_recargas!$D$82</f>
        <v>Máquina</v>
      </c>
    </row>
    <row r="13" customFormat="false" ht="15" hidden="false" customHeight="false" outlineLevel="0" collapsed="false">
      <c r="A13" s="8" t="str">
        <f aca="false">parametros_recargas!$B$83</f>
        <v>Prueba hidráulica</v>
      </c>
      <c r="B13" s="14" t="n">
        <f aca="false">IF(parametros_recargas!$N$83*B45*B77=0,0,'Demanda por puesto'!$P$13/(parametros_recargas!$N$83*B45*B77))</f>
        <v>0.0199909673543369</v>
      </c>
      <c r="C13" s="14" t="n">
        <f aca="false">IF(parametros_recargas!$N$83*C45*C77=0,0,'Demanda por puesto'!$P$45/(parametros_recargas!$N$83*C45*C77))</f>
        <v>0.090686211169377</v>
      </c>
      <c r="D13" s="14" t="n">
        <f aca="false">IF(parametros_recargas!$N$83*D45*D77=0,0,'Demanda por puesto'!$P$77/(parametros_recargas!$N$83*D45*D77))</f>
        <v>0.183076517241978</v>
      </c>
      <c r="E13" s="14" t="n">
        <f aca="false">IF(parametros_recargas!$N$83*E45*E77=0,0,'Demanda por puesto'!$P$109/(parametros_recargas!$N$83*E45*E77))</f>
        <v>0.338738375222812</v>
      </c>
      <c r="F13" s="14" t="n">
        <f aca="false">IF(parametros_recargas!$N$83*F45*F77=0,0,'Demanda por puesto'!$P$141/(parametros_recargas!$N$83*F45*F77))</f>
        <v>0.497878729692345</v>
      </c>
      <c r="G13" s="14" t="n">
        <f aca="false">IF(parametros_recargas!$N$83*G45*G77=0,0,'Demanda por puesto'!$P$173/(parametros_recargas!$N$83*G45*G77))</f>
        <v>0.676052237201531</v>
      </c>
      <c r="H13" s="14" t="n">
        <f aca="false">IF(parametros_recargas!$N$83*H45*H77=0,0,'Demanda por puesto'!$P$205/(parametros_recargas!$N$83*H45*H77))</f>
        <v>0.839113496882412</v>
      </c>
      <c r="I13" s="14" t="n">
        <f aca="false">IF(parametros_recargas!$N$83*I45*I77=0,0,'Demanda por puesto'!$P$237/(parametros_recargas!$N$83*I45*I77))</f>
        <v>0.476550692996674</v>
      </c>
      <c r="J13" s="14" t="n">
        <f aca="false">IF(parametros_recargas!$N$83*J45*J77=0,0,'Demanda por puesto'!$P$269/(parametros_recargas!$N$83*J45*J77))</f>
        <v>0.513002715834995</v>
      </c>
      <c r="K13" s="14" t="n">
        <f aca="false">IF(parametros_recargas!$N$83*K45*K77=0,0,'Demanda por puesto'!$P$301/(parametros_recargas!$N$83*K45*K77))</f>
        <v>0.550116346715162</v>
      </c>
      <c r="L13" s="8" t="str">
        <f aca="false">parametros_recargas!$D$83</f>
        <v>Máquina</v>
      </c>
      <c r="N13" s="10" t="s">
        <v>338</v>
      </c>
    </row>
    <row r="14" customFormat="false" ht="15" hidden="false" customHeight="false" outlineLevel="0" collapsed="false">
      <c r="A14" s="8" t="str">
        <f aca="false">parametros_recargas!$B$84</f>
        <v>Secado</v>
      </c>
      <c r="B14" s="14" t="n">
        <f aca="false">IF(parametros_recargas!$N$84*B46*B78=0,0,'Demanda por puesto'!$P$14/(parametros_recargas!$N$84*B46*B78))</f>
        <v>0.0112101499286959</v>
      </c>
      <c r="C14" s="14" t="n">
        <f aca="false">IF(parametros_recargas!$N$84*C46*C78=0,0,'Demanda por puesto'!$P$46/(parametros_recargas!$N$84*C46*C78))</f>
        <v>0.0506269600557771</v>
      </c>
      <c r="D14" s="14" t="n">
        <f aca="false">IF(parametros_recargas!$N$84*D46*D78=0,0,'Demanda por puesto'!$P$78/(parametros_recargas!$N$84*D46*D78))</f>
        <v>0.101254286184122</v>
      </c>
      <c r="E14" s="14" t="n">
        <f aca="false">IF(parametros_recargas!$N$84*E46*E78=0,0,'Demanda por puesto'!$P$110/(parametros_recargas!$N$84*E46*E78))</f>
        <v>0.187842042805839</v>
      </c>
      <c r="F14" s="14" t="n">
        <f aca="false">IF(parametros_recargas!$N$84*F46*F78=0,0,'Demanda por puesto'!$P$142/(parametros_recargas!$N$84*F46*F78))</f>
        <v>0.276857736570709</v>
      </c>
      <c r="G14" s="14" t="n">
        <f aca="false">IF(parametros_recargas!$N$84*G46*G78=0,0,'Demanda por puesto'!$P$174/(parametros_recargas!$N$84*G46*G78))</f>
        <v>0.37712216831831</v>
      </c>
      <c r="H14" s="14" t="n">
        <f aca="false">IF(parametros_recargas!$N$84*H46*H78=0,0,'Demanda por puesto'!$P$206/(parametros_recargas!$N$84*H46*H78))</f>
        <v>0.468690116670887</v>
      </c>
      <c r="I14" s="14" t="n">
        <f aca="false">IF(parametros_recargas!$N$84*I46*I78=0,0,'Demanda por puesto'!$P$238/(parametros_recargas!$N$84*I46*I78))</f>
        <v>0.533287384968098</v>
      </c>
      <c r="J14" s="14" t="n">
        <f aca="false">IF(parametros_recargas!$N$84*J46*J78=0,0,'Demanda por puesto'!$P$270/(parametros_recargas!$N$84*J46*J78))</f>
        <v>0.573670039152934</v>
      </c>
      <c r="K14" s="14" t="n">
        <f aca="false">IF(parametros_recargas!$N$84*K46*K78=0,0,'Demanda por puesto'!$P$302/(parametros_recargas!$N$84*K46*K78))</f>
        <v>0.614804667038699</v>
      </c>
      <c r="L14" s="8" t="str">
        <f aca="false">parametros_recargas!$D$84</f>
        <v>Máquina</v>
      </c>
    </row>
    <row r="15" customFormat="false" ht="15" hidden="false" customHeight="false" outlineLevel="0" collapsed="false">
      <c r="A15" s="8" t="str">
        <f aca="false">parametros_recargas!$B$85</f>
        <v>Inspección interior con videoscopio</v>
      </c>
      <c r="B15" s="14" t="n">
        <f aca="false">IF(parametros_recargas!$N$85*B47*B79=0,0,'Demanda por puesto'!$P$15/(parametros_recargas!$N$85*B47*B79))</f>
        <v>0.00529368191077306</v>
      </c>
      <c r="C15" s="14" t="n">
        <f aca="false">IF(parametros_recargas!$N$85*C47*C79=0,0,'Demanda por puesto'!$P$47/(parametros_recargas!$N$85*C47*C79))</f>
        <v>0.0239071755818947</v>
      </c>
      <c r="D15" s="14" t="n">
        <f aca="false">IF(parametros_recargas!$N$85*D47*D79=0,0,'Demanda por puesto'!$P$79/(parametros_recargas!$N$85*D47*D79))</f>
        <v>0.047814524031391</v>
      </c>
      <c r="E15" s="14" t="n">
        <f aca="false">IF(parametros_recargas!$N$85*E47*E79=0,0,'Demanda por puesto'!$P$111/(parametros_recargas!$N$85*E47*E79))</f>
        <v>0.0887031868805352</v>
      </c>
      <c r="F15" s="14" t="n">
        <f aca="false">IF(parametros_recargas!$N$85*F47*F79=0,0,'Demanda por puesto'!$P$143/(parametros_recargas!$N$85*F47*F79))</f>
        <v>0.130738375602835</v>
      </c>
      <c r="G15" s="14" t="n">
        <f aca="false">IF(parametros_recargas!$N$85*G47*G79=0,0,'Demanda por puesto'!$P$175/(parametros_recargas!$N$85*G47*G79))</f>
        <v>0.178085468372535</v>
      </c>
      <c r="H15" s="14" t="n">
        <f aca="false">IF(parametros_recargas!$N$85*H47*H79=0,0,'Demanda por puesto'!$P$207/(parametros_recargas!$N$85*H47*H79))</f>
        <v>0.221325888427919</v>
      </c>
      <c r="I15" s="14" t="n">
        <f aca="false">IF(parametros_recargas!$N$85*I47*I79=0,0,'Demanda por puesto'!$P$239/(parametros_recargas!$N$85*I47*I79))</f>
        <v>0.251830154012713</v>
      </c>
      <c r="J15" s="14" t="n">
        <f aca="false">IF(parametros_recargas!$N$85*J47*J79=0,0,'Demanda por puesto'!$P$271/(parametros_recargas!$N$85*J47*J79))</f>
        <v>0.270899740711108</v>
      </c>
      <c r="K15" s="14" t="n">
        <f aca="false">IF(parametros_recargas!$N$85*K47*K79=0,0,'Demanda por puesto'!$P$303/(parametros_recargas!$N$85*K47*K79))</f>
        <v>0.290324426101608</v>
      </c>
      <c r="L15" s="8" t="str">
        <f aca="false">parametros_recargas!$D$85</f>
        <v>Manual</v>
      </c>
    </row>
    <row r="16" customFormat="false" ht="15" hidden="false" customHeight="false" outlineLevel="0" collapsed="false">
      <c r="A16" s="8" t="str">
        <f aca="false">parametros_recargas!$B$86</f>
        <v>Pintura</v>
      </c>
      <c r="B16" s="14" t="n">
        <f aca="false">IF(parametros_recargas!$N$86*B48*B80=0,0,'Demanda por puesto'!$P$16/(parametros_recargas!$N$86*B48*B80))</f>
        <v>0.0233313223161108</v>
      </c>
      <c r="C16" s="14" t="n">
        <f aca="false">IF(parametros_recargas!$N$86*C48*C80=0,0,'Demanda por puesto'!$P$48/(parametros_recargas!$N$86*C48*C80))</f>
        <v>0.105548133534292</v>
      </c>
      <c r="D16" s="14" t="n">
        <f aca="false">IF(parametros_recargas!$N$86*D48*D80=0,0,'Demanda por puesto'!$P$80/(parametros_recargas!$N$86*D48*D80))</f>
        <v>0.212006617998376</v>
      </c>
      <c r="E16" s="14" t="n">
        <f aca="false">IF(parametros_recargas!$N$86*E48*E80=0,0,'Demanda por puesto'!$P$112/(parametros_recargas!$N$86*E48*E80))</f>
        <v>0.392869372640885</v>
      </c>
      <c r="F16" s="14" t="n">
        <f aca="false">IF(parametros_recargas!$N$86*F48*F80=0,0,'Demanda por puesto'!$P$144/(parametros_recargas!$N$86*F48*F80))</f>
        <v>0.578329748814455</v>
      </c>
      <c r="G16" s="14" t="n">
        <f aca="false">IF(parametros_recargas!$N$86*G48*G80=0,0,'Demanda por puesto'!$P$176/(parametros_recargas!$N$86*G48*G80))</f>
        <v>0.786666645418879</v>
      </c>
      <c r="H16" s="14" t="n">
        <f aca="false">IF(parametros_recargas!$N$86*H48*H80=0,0,'Demanda por puesto'!$P$208/(parametros_recargas!$N$86*H48*H80))</f>
        <v>0.488553342639033</v>
      </c>
      <c r="I16" s="14" t="n">
        <f aca="false">IF(parametros_recargas!$N$86*I48*I80=0,0,'Demanda por puesto'!$P$240/(parametros_recargas!$N$86*I48*I80))</f>
        <v>0.555446179745826</v>
      </c>
      <c r="J16" s="14" t="n">
        <f aca="false">IF(parametros_recargas!$N$86*J48*J80=0,0,'Demanda por puesto'!$P$272/(parametros_recargas!$N$86*J48*J80))</f>
        <v>0.597696134903073</v>
      </c>
      <c r="K16" s="14" t="n">
        <f aca="false">IF(parametros_recargas!$N$86*K48*K80=0,0,'Demanda por puesto'!$P$304/(parametros_recargas!$N$86*K48*K80))</f>
        <v>0.640723998544686</v>
      </c>
      <c r="L16" s="8" t="str">
        <f aca="false">parametros_recargas!$D$86</f>
        <v>Máquina</v>
      </c>
    </row>
    <row r="17" customFormat="false" ht="15" hidden="false" customHeight="false" outlineLevel="0" collapsed="false">
      <c r="A17" s="8" t="str">
        <f aca="false">parametros_recargas!$B$87</f>
        <v>Carga de polvo ABC</v>
      </c>
      <c r="B17" s="14" t="n">
        <f aca="false">IF(parametros_recargas!$N$87*B49*B81=0,0,'Demanda por puesto'!$P$17/(parametros_recargas!$N$87*B49*B81))</f>
        <v>0.0287041824221588</v>
      </c>
      <c r="C17" s="14" t="n">
        <f aca="false">IF(parametros_recargas!$N$87*C49*C81=0,0,'Demanda por puesto'!$P$49/(parametros_recargas!$N$87*C49*C81))</f>
        <v>0.130416268702807</v>
      </c>
      <c r="D17" s="14" t="n">
        <f aca="false">IF(parametros_recargas!$N$87*D49*D81=0,0,'Demanda por puesto'!$P$81/(parametros_recargas!$N$87*D49*D81))</f>
        <v>0.257923804669959</v>
      </c>
      <c r="E17" s="14" t="n">
        <f aca="false">IF(parametros_recargas!$N$87*E49*E81=0,0,'Demanda por puesto'!$P$113/(parametros_recargas!$N$87*E49*E81))</f>
        <v>0.478141047221846</v>
      </c>
      <c r="F17" s="14" t="n">
        <f aca="false">IF(parametros_recargas!$N$87*F49*F81=0,0,'Demanda por puesto'!$P$145/(parametros_recargas!$N$87*F49*F81))</f>
        <v>0.7061932050475</v>
      </c>
      <c r="G17" s="14" t="n">
        <f aca="false">IF(parametros_recargas!$N$87*G49*G81=0,0,'Demanda por puesto'!$P$177/(parametros_recargas!$N$87*G49*G81))</f>
        <v>0.482137398281827</v>
      </c>
      <c r="H17" s="14" t="n">
        <f aca="false">IF(parametros_recargas!$N$87*H49*H81=0,0,'Demanda por puesto'!$P$209/(parametros_recargas!$N$87*H49*H81))</f>
        <v>0.599803646607761</v>
      </c>
      <c r="I17" s="14" t="n">
        <f aca="false">IF(parametros_recargas!$N$87*I49*I81=0,0,'Demanda por puesto'!$P$241/(parametros_recargas!$N$87*I49*I81))</f>
        <v>0.683879389702167</v>
      </c>
      <c r="J17" s="14" t="n">
        <f aca="false">IF(parametros_recargas!$N$87*J49*J81=0,0,'Demanda por puesto'!$P$273/(parametros_recargas!$N$87*J49*J81))</f>
        <v>0.735273031375558</v>
      </c>
      <c r="K17" s="14" t="n">
        <f aca="false">IF(parametros_recargas!$N$87*K49*K81=0,0,'Demanda por puesto'!$P$305/(parametros_recargas!$N$87*K49*K81))</f>
        <v>0.787640013873234</v>
      </c>
      <c r="L17" s="8" t="str">
        <f aca="false">parametros_recargas!$D$87</f>
        <v>Máquina</v>
      </c>
    </row>
    <row r="18" customFormat="false" ht="15" hidden="false" customHeight="false" outlineLevel="0" collapsed="false">
      <c r="A18" s="8" t="str">
        <f aca="false">parametros_recargas!$B$88</f>
        <v>Carga de polvo BC</v>
      </c>
      <c r="B18" s="14" t="n">
        <f aca="false">IF(parametros_recargas!$N$88*B50*B82=0,0,'Demanda por puesto'!$P$18/(parametros_recargas!$N$88*B50*B82))</f>
        <v>4.25172144730028E-005</v>
      </c>
      <c r="C18" s="14" t="n">
        <f aca="false">IF(parametros_recargas!$N$88*C50*C82=0,0,'Demanda por puesto'!$P$50/(parametros_recargas!$N$88*C50*C82))</f>
        <v>0.000314744830682811</v>
      </c>
      <c r="D18" s="14" t="n">
        <f aca="false">IF(parametros_recargas!$N$88*D50*D82=0,0,'Demanda por puesto'!$P$82/(parametros_recargas!$N$88*D50*D82))</f>
        <v>0.000575150454002687</v>
      </c>
      <c r="E18" s="14" t="n">
        <f aca="false">IF(parametros_recargas!$N$88*E50*E82=0,0,'Demanda por puesto'!$P$114/(parametros_recargas!$N$88*E50*E82))</f>
        <v>0.00101487989003301</v>
      </c>
      <c r="F18" s="14" t="n">
        <f aca="false">IF(parametros_recargas!$N$88*F50*F82=0,0,'Demanda por puesto'!$P$146/(parametros_recargas!$N$88*F50*F82))</f>
        <v>0.00139034884045236</v>
      </c>
      <c r="G18" s="14" t="n">
        <f aca="false">IF(parametros_recargas!$N$88*G50*G82=0,0,'Demanda por puesto'!$P$178/(parametros_recargas!$N$88*G50*G82))</f>
        <v>0.00183917538711923</v>
      </c>
      <c r="H18" s="14" t="n">
        <f aca="false">IF(parametros_recargas!$N$88*H50*H82=0,0,'Demanda por puesto'!$P$210/(parametros_recargas!$N$88*H50*H82))</f>
        <v>0.00234012493958728</v>
      </c>
      <c r="I18" s="14" t="n">
        <f aca="false">IF(parametros_recargas!$N$88*I50*I82=0,0,'Demanda por puesto'!$P$242/(parametros_recargas!$N$88*I50*I82))</f>
        <v>0.00258650798146122</v>
      </c>
      <c r="J18" s="14" t="n">
        <f aca="false">IF(parametros_recargas!$N$88*J50*J82=0,0,'Demanda por puesto'!$P$274/(parametros_recargas!$N$88*J50*J82))</f>
        <v>0.00281924200084845</v>
      </c>
      <c r="K18" s="14" t="n">
        <f aca="false">IF(parametros_recargas!$N$88*K50*K82=0,0,'Demanda por puesto'!$P$306/(parametros_recargas!$N$88*K50*K82))</f>
        <v>0.00305399534469912</v>
      </c>
      <c r="L18" s="8" t="str">
        <f aca="false">parametros_recargas!$D$88</f>
        <v>Máquina</v>
      </c>
    </row>
    <row r="19" customFormat="false" ht="15" hidden="false" customHeight="false" outlineLevel="0" collapsed="false">
      <c r="A19" s="8" t="str">
        <f aca="false">parametros_recargas!$B$89</f>
        <v>Descarga y carga Clase D</v>
      </c>
      <c r="B19" s="14" t="n">
        <f aca="false">IF(parametros_recargas!$N$89*B51*B83=0,0,'Demanda por puesto'!$P$19/(parametros_recargas!$N$89*B51*B83))</f>
        <v>0.00014881025065551</v>
      </c>
      <c r="C19" s="14" t="n">
        <f aca="false">IF(parametros_recargas!$N$89*C51*C83=0,0,'Demanda por puesto'!$P$51/(parametros_recargas!$N$89*C51*C83))</f>
        <v>0.00110160690738984</v>
      </c>
      <c r="D19" s="14" t="n">
        <f aca="false">IF(parametros_recargas!$N$89*D51*D83=0,0,'Demanda por puesto'!$P$83/(parametros_recargas!$N$89*D51*D83))</f>
        <v>0.0020130265890094</v>
      </c>
      <c r="E19" s="14" t="n">
        <f aca="false">IF(parametros_recargas!$N$89*E51*E83=0,0,'Demanda por puesto'!$P$115/(parametros_recargas!$N$89*E51*E83))</f>
        <v>0.00330746016920655</v>
      </c>
      <c r="F19" s="14" t="n">
        <f aca="false">IF(parametros_recargas!$N$89*F51*F83=0,0,'Demanda por puesto'!$P$147/(parametros_recargas!$N$89*F51*F83))</f>
        <v>0.00454865490333273</v>
      </c>
      <c r="G19" s="14" t="n">
        <f aca="false">IF(parametros_recargas!$N$89*G51*G83=0,0,'Demanda por puesto'!$P$179/(parametros_recargas!$N$89*G51*G83))</f>
        <v>0.0056501878542462</v>
      </c>
      <c r="H19" s="14" t="n">
        <f aca="false">IF(parametros_recargas!$N$89*H51*H83=0,0,'Demanda por puesto'!$P$211/(parametros_recargas!$N$89*H51*H83))</f>
        <v>0.00723370276603388</v>
      </c>
      <c r="I19" s="14" t="n">
        <f aca="false">IF(parametros_recargas!$N$89*I51*I83=0,0,'Demanda por puesto'!$P$243/(parametros_recargas!$N$89*I51*I83))</f>
        <v>0.0081482387515656</v>
      </c>
      <c r="J19" s="14" t="n">
        <f aca="false">IF(parametros_recargas!$N$89*J51*J83=0,0,'Demanda por puesto'!$P$275/(parametros_recargas!$N$89*J51*J83))</f>
        <v>0.00890615315725122</v>
      </c>
      <c r="K19" s="14" t="n">
        <f aca="false">IF(parametros_recargas!$N$89*K51*K83=0,0,'Demanda por puesto'!$P$307/(parametros_recargas!$N$89*K51*K83))</f>
        <v>0.0096691119290807</v>
      </c>
      <c r="L19" s="8" t="str">
        <f aca="false">parametros_recargas!$D$89</f>
        <v>Manual</v>
      </c>
    </row>
    <row r="20" customFormat="false" ht="15" hidden="false" customHeight="false" outlineLevel="0" collapsed="false">
      <c r="A20" s="8" t="str">
        <f aca="false">parametros_recargas!$B$90</f>
        <v>Carga de agua / AFFF / sales K</v>
      </c>
      <c r="B20" s="14" t="n">
        <f aca="false">IF(parametros_recargas!$N$90*B52*B84=0,0,'Demanda por puesto'!$P$20/(parametros_recargas!$N$90*B52*B84))</f>
        <v>0.00132613221018651</v>
      </c>
      <c r="C20" s="14" t="n">
        <f aca="false">IF(parametros_recargas!$N$90*C52*C84=0,0,'Demanda por puesto'!$P$52/(parametros_recargas!$N$90*C52*C84))</f>
        <v>0.00627459267449676</v>
      </c>
      <c r="D20" s="14" t="n">
        <f aca="false">IF(parametros_recargas!$N$90*D52*D84=0,0,'Demanda por puesto'!$P$84/(parametros_recargas!$N$90*D52*D84))</f>
        <v>0.013620883974194</v>
      </c>
      <c r="E20" s="14" t="n">
        <f aca="false">IF(parametros_recargas!$N$90*E52*E84=0,0,'Demanda por puesto'!$P$116/(parametros_recargas!$N$90*E52*E84))</f>
        <v>0.0246661962354887</v>
      </c>
      <c r="F20" s="14" t="n">
        <f aca="false">IF(parametros_recargas!$N$90*F52*F84=0,0,'Demanda por puesto'!$P$148/(parametros_recargas!$N$90*F52*F84))</f>
        <v>0.0354641339004099</v>
      </c>
      <c r="G20" s="14" t="n">
        <f aca="false">IF(parametros_recargas!$N$90*G52*G84=0,0,'Demanda por puesto'!$P$180/(parametros_recargas!$N$90*G52*G84))</f>
        <v>0.0469352819251586</v>
      </c>
      <c r="H20" s="14" t="n">
        <f aca="false">IF(parametros_recargas!$N$90*H52*H84=0,0,'Demanda por puesto'!$P$212/(parametros_recargas!$N$90*H52*H84))</f>
        <v>0.0576345618158306</v>
      </c>
      <c r="I20" s="14" t="n">
        <f aca="false">IF(parametros_recargas!$N$90*I52*I84=0,0,'Demanda por puesto'!$P$244/(parametros_recargas!$N$90*I52*I84))</f>
        <v>0.064528409657177</v>
      </c>
      <c r="J20" s="14" t="n">
        <f aca="false">IF(parametros_recargas!$N$90*J52*J84=0,0,'Demanda por puesto'!$P$276/(parametros_recargas!$N$90*J52*J84))</f>
        <v>0.0698854198522155</v>
      </c>
      <c r="K20" s="14" t="n">
        <f aca="false">IF(parametros_recargas!$N$90*K52*K84=0,0,'Demanda por puesto'!$P$308/(parametros_recargas!$N$90*K52*K84))</f>
        <v>0.0753199850342358</v>
      </c>
      <c r="L20" s="8" t="str">
        <f aca="false">parametros_recargas!$D$90</f>
        <v>Máquina</v>
      </c>
    </row>
    <row r="21" customFormat="false" ht="15" hidden="false" customHeight="false" outlineLevel="0" collapsed="false">
      <c r="A21" s="8" t="str">
        <f aca="false">parametros_recargas!$B$91</f>
        <v>Carga de CO₂</v>
      </c>
      <c r="B21" s="14" t="n">
        <f aca="false">IF(parametros_recargas!$N$91*B53*B85=0,0,'Demanda por puesto'!$P$21/(parametros_recargas!$N$91*B53*B85))</f>
        <v>0.00184403240102976</v>
      </c>
      <c r="C21" s="14" t="n">
        <f aca="false">IF(parametros_recargas!$N$91*C53*C85=0,0,'Demanda por puesto'!$P$53/(parametros_recargas!$N$91*C53*C85))</f>
        <v>0.00753008256497324</v>
      </c>
      <c r="D21" s="14" t="n">
        <f aca="false">IF(parametros_recargas!$N$91*D53*D85=0,0,'Demanda por puesto'!$P$85/(parametros_recargas!$N$91*D53*D85))</f>
        <v>0.0171837551030166</v>
      </c>
      <c r="E21" s="14" t="n">
        <f aca="false">IF(parametros_recargas!$N$91*E53*E85=0,0,'Demanda por puesto'!$P$117/(parametros_recargas!$N$91*E53*E85))</f>
        <v>0.0323174999308357</v>
      </c>
      <c r="F21" s="14" t="n">
        <f aca="false">IF(parametros_recargas!$N$91*F53*F85=0,0,'Demanda por puesto'!$P$149/(parametros_recargas!$N$91*F53*F85))</f>
        <v>0.0467384118359256</v>
      </c>
      <c r="G21" s="14" t="n">
        <f aca="false">IF(parametros_recargas!$N$91*G53*G85=0,0,'Demanda por puesto'!$P$181/(parametros_recargas!$N$91*G53*G85))</f>
        <v>0.0622021545781039</v>
      </c>
      <c r="H21" s="14" t="n">
        <f aca="false">IF(parametros_recargas!$N$91*H53*H85=0,0,'Demanda por puesto'!$P$213/(parametros_recargas!$N$91*H53*H85))</f>
        <v>0.0763722011830908</v>
      </c>
      <c r="I21" s="14" t="n">
        <f aca="false">IF(parametros_recargas!$N$91*I53*I85=0,0,'Demanda por puesto'!$P$245/(parametros_recargas!$N$91*I53*I85))</f>
        <v>0.0849466015596992</v>
      </c>
      <c r="J21" s="14" t="n">
        <f aca="false">IF(parametros_recargas!$N$91*J53*J85=0,0,'Demanda por puesto'!$P$277/(parametros_recargas!$N$91*J53*J85))</f>
        <v>0.0918420951273483</v>
      </c>
      <c r="K21" s="14" t="n">
        <f aca="false">IF(parametros_recargas!$N$91*K53*K85=0,0,'Demanda por puesto'!$P$309/(parametros_recargas!$N$91*K53*K85))</f>
        <v>0.098837656527482</v>
      </c>
      <c r="L21" s="8" t="str">
        <f aca="false">parametros_recargas!$D$91</f>
        <v>Máquina</v>
      </c>
    </row>
    <row r="22" customFormat="false" ht="15" hidden="false" customHeight="false" outlineLevel="0" collapsed="false">
      <c r="A22" s="8" t="str">
        <f aca="false">parametros_recargas!$B$92</f>
        <v>Ensamblaje y marbete — recinto</v>
      </c>
      <c r="B22" s="14" t="n">
        <f aca="false">IF(parametros_recargas!$N$92*B54*B86=0,0,'Demanda por puesto'!$P$22/(parametros_recargas!$N$92*B54*B86))</f>
        <v>0.0325681875086564</v>
      </c>
      <c r="C22" s="14" t="n">
        <f aca="false">IF(parametros_recargas!$N$92*C54*C86=0,0,'Demanda por puesto'!$P$54/(parametros_recargas!$N$92*C54*C86))</f>
        <v>0.148180621475723</v>
      </c>
      <c r="D22" s="14" t="n">
        <f aca="false">IF(parametros_recargas!$N$92*D54*D86=0,0,'Demanda por puesto'!$P$86/(parametros_recargas!$N$92*D54*D86))</f>
        <v>0.292975185040778</v>
      </c>
      <c r="E22" s="14" t="n">
        <f aca="false">IF(parametros_recargas!$N$92*E54*E86=0,0,'Demanda por puesto'!$P$118/(parametros_recargas!$N$92*E54*E86))</f>
        <v>0.542971638866021</v>
      </c>
      <c r="F22" s="14" t="n">
        <f aca="false">IF(parametros_recargas!$N$92*F54*F86=0,0,'Demanda por puesto'!$P$150/(parametros_recargas!$N$92*F54*F86))</f>
        <v>0.801769689594539</v>
      </c>
      <c r="G22" s="14" t="n">
        <f aca="false">IF(parametros_recargas!$N$92*G54*G86=0,0,'Demanda por puesto'!$P$182/(parametros_recargas!$N$92*G54*G86))</f>
        <v>0.547296000343507</v>
      </c>
      <c r="H22" s="14" t="n">
        <f aca="false">IF(parametros_recargas!$N$92*H54*H86=0,0,'Demanda por puesto'!$P$214/(parametros_recargas!$N$92*H54*H86))</f>
        <v>0.680911666370496</v>
      </c>
      <c r="I22" s="14" t="n">
        <f aca="false">IF(parametros_recargas!$N$92*I54*I86=0,0,'Demanda por puesto'!$P$246/(parametros_recargas!$N$92*I54*I86))</f>
        <v>0.776309329622924</v>
      </c>
      <c r="J22" s="14" t="n">
        <f aca="false">IF(parametros_recargas!$N$92*J54*J86=0,0,'Demanda por puesto'!$P$278/(parametros_recargas!$N$92*J54*J86))</f>
        <v>0.834683359759372</v>
      </c>
      <c r="K22" s="14" t="n">
        <f aca="false">IF(parametros_recargas!$N$92*K54*K86=0,0,'Demanda por puesto'!$P$310/(parametros_recargas!$N$92*K54*K86))</f>
        <v>0.894160768270854</v>
      </c>
      <c r="L22" s="8" t="str">
        <f aca="false">parametros_recargas!$D$92</f>
        <v>Manual</v>
      </c>
    </row>
    <row r="23" customFormat="false" ht="15" hidden="false" customHeight="false" outlineLevel="0" collapsed="false">
      <c r="A23" s="8" t="str">
        <f aca="false">parametros_recargas!$B$93</f>
        <v>Presurización — recinto</v>
      </c>
      <c r="B23" s="14" t="n">
        <f aca="false">IF(parametros_recargas!$N$93*B55*B87=0,0,'Demanda por puesto'!$P$23/(parametros_recargas!$N$93*B55*B87))</f>
        <v>0.019812314067766</v>
      </c>
      <c r="C23" s="14" t="n">
        <f aca="false">IF(parametros_recargas!$N$93*C55*C87=0,0,'Demanda por puesto'!$P$55/(parametros_recargas!$N$93*C55*C87))</f>
        <v>0.0901432113977317</v>
      </c>
      <c r="D23" s="14" t="n">
        <f aca="false">IF(parametros_recargas!$N$93*D55*D87=0,0,'Demanda por puesto'!$P$87/(parametros_recargas!$N$93*D55*D87))</f>
        <v>0.178226570899807</v>
      </c>
      <c r="E23" s="14" t="n">
        <f aca="false">IF(parametros_recargas!$N$93*E55*E87=0,0,'Demanda por puesto'!$P$119/(parametros_recargas!$N$93*E55*E87))</f>
        <v>0.33030774697683</v>
      </c>
      <c r="F23" s="14" t="n">
        <f aca="false">IF(parametros_recargas!$N$93*F55*F87=0,0,'Demanda por puesto'!$P$151/(parametros_recargas!$N$93*F55*F87))</f>
        <v>0.487743227836678</v>
      </c>
      <c r="G23" s="14" t="n">
        <f aca="false">IF(parametros_recargas!$N$93*G55*G87=0,0,'Demanda por puesto'!$P$183/(parametros_recargas!$N$93*G55*G87))</f>
        <v>0.665876800417933</v>
      </c>
      <c r="H23" s="14" t="n">
        <f aca="false">IF(parametros_recargas!$N$93*H55*H87=0,0,'Demanda por puesto'!$P$215/(parametros_recargas!$N$93*H55*H87))</f>
        <v>0.828442527417437</v>
      </c>
      <c r="I23" s="14" t="n">
        <f aca="false">IF(parametros_recargas!$N$93*I55*I87=0,0,'Demanda por puesto'!$P$247/(parametros_recargas!$N$93*I55*I87))</f>
        <v>0.472254842187279</v>
      </c>
      <c r="J23" s="14" t="n">
        <f aca="false">IF(parametros_recargas!$N$93*J55*J87=0,0,'Demanda por puesto'!$P$279/(parametros_recargas!$N$93*J55*J87))</f>
        <v>0.507765710520285</v>
      </c>
      <c r="K23" s="14" t="n">
        <f aca="false">IF(parametros_recargas!$N$93*K55*K87=0,0,'Demanda por puesto'!$P$311/(parametros_recargas!$N$93*K55*K87))</f>
        <v>0.543947800698103</v>
      </c>
      <c r="L23" s="8" t="str">
        <f aca="false">parametros_recargas!$D$93</f>
        <v>Máquina</v>
      </c>
    </row>
    <row r="24" customFormat="false" ht="15" hidden="false" customHeight="false" outlineLevel="0" collapsed="false">
      <c r="A24" s="8" t="str">
        <f aca="false">parametros_recargas!$B$94</f>
        <v>Ensamblaje y presurización — zona general</v>
      </c>
      <c r="B24" s="14" t="n">
        <f aca="false">IF(parametros_recargas!$N$94*B56*B88=0,0,'Demanda por puesto'!$P$24/(parametros_recargas!$N$94*B56*B88))</f>
        <v>0.00337733480446809</v>
      </c>
      <c r="C24" s="14" t="n">
        <f aca="false">IF(parametros_recargas!$N$94*C56*C88=0,0,'Demanda por puesto'!$P$56/(parametros_recargas!$N$94*C56*C88))</f>
        <v>0.0153300778900967</v>
      </c>
      <c r="D24" s="14" t="n">
        <f aca="false">IF(parametros_recargas!$N$94*D56*D88=0,0,'Demanda por puesto'!$P$88/(parametros_recargas!$N$94*D56*D88))</f>
        <v>0.0337416658975681</v>
      </c>
      <c r="E24" s="14" t="n">
        <f aca="false">IF(parametros_recargas!$N$94*E56*E88=0,0,'Demanda por puesto'!$P$120/(parametros_recargas!$N$94*E56*E88))</f>
        <v>0.0617729225983671</v>
      </c>
      <c r="F24" s="14" t="n">
        <f aca="false">IF(parametros_recargas!$N$94*F56*F88=0,0,'Demanda por puesto'!$P$152/(parametros_recargas!$N$94*F56*F88))</f>
        <v>0.0889768633198143</v>
      </c>
      <c r="G24" s="14" t="n">
        <f aca="false">IF(parametros_recargas!$N$94*G56*G88=0,0,'Demanda por puesto'!$P$184/(parametros_recargas!$N$94*G56*G88))</f>
        <v>0.117952249948624</v>
      </c>
      <c r="H24" s="14" t="n">
        <f aca="false">IF(parametros_recargas!$N$94*H56*H88=0,0,'Demanda por puesto'!$P$216/(parametros_recargas!$N$94*H56*H88))</f>
        <v>0.144865424293653</v>
      </c>
      <c r="I24" s="14" t="n">
        <f aca="false">IF(parametros_recargas!$N$94*I56*I88=0,0,'Demanda por puesto'!$P$248/(parametros_recargas!$N$94*I56*I88))</f>
        <v>0.161893617541933</v>
      </c>
      <c r="J24" s="14" t="n">
        <f aca="false">IF(parametros_recargas!$N$94*J56*J88=0,0,'Demanda por puesto'!$P$280/(parametros_recargas!$N$94*J56*J88))</f>
        <v>0.175258816705502</v>
      </c>
      <c r="K24" s="14" t="n">
        <f aca="false">IF(parametros_recargas!$N$94*K56*K88=0,0,'Demanda por puesto'!$P$312/(parametros_recargas!$N$94*K56*K88))</f>
        <v>0.188822968410773</v>
      </c>
      <c r="L24" s="8" t="str">
        <f aca="false">parametros_recargas!$D$94</f>
        <v>Manual</v>
      </c>
    </row>
    <row r="25" customFormat="false" ht="15" hidden="false" customHeight="false" outlineLevel="0" collapsed="false">
      <c r="A25" s="8" t="str">
        <f aca="false">parametros_recargas!$B$95</f>
        <v>Carga y presurización de halogenado</v>
      </c>
      <c r="B25" s="14" t="n">
        <f aca="false">IF(parametros_recargas!$N$95*B57*B89=0,0,'Demanda por puesto'!$P$25/(parametros_recargas!$N$95*B57*B89))</f>
        <v>8.7059062988326E-005</v>
      </c>
      <c r="C25" s="14" t="n">
        <f aca="false">IF(parametros_recargas!$N$95*C57*C89=0,0,'Demanda por puesto'!$P$57/(parametros_recargas!$N$95*C57*C89))</f>
        <v>0.000552499261306692</v>
      </c>
      <c r="D25" s="14" t="n">
        <f aca="false">IF(parametros_recargas!$N$95*D57*D89=0,0,'Demanda por puesto'!$P$89/(parametros_recargas!$N$95*D57*D89))</f>
        <v>0.00112046457118477</v>
      </c>
      <c r="E25" s="14" t="n">
        <f aca="false">IF(parametros_recargas!$N$95*E57*E89=0,0,'Demanda por puesto'!$P$121/(parametros_recargas!$N$95*E57*E89))</f>
        <v>0.00193269053457341</v>
      </c>
      <c r="F25" s="14" t="n">
        <f aca="false">IF(parametros_recargas!$N$95*F57*F89=0,0,'Demanda por puesto'!$P$153/(parametros_recargas!$N$95*F57*F89))</f>
        <v>0.0027803036465306</v>
      </c>
      <c r="G25" s="14" t="n">
        <f aca="false">IF(parametros_recargas!$N$95*G57*G89=0,0,'Demanda por puesto'!$P$185/(parametros_recargas!$N$95*G57*G89))</f>
        <v>0.00365682395503389</v>
      </c>
      <c r="H25" s="14" t="n">
        <f aca="false">IF(parametros_recargas!$N$95*H57*H89=0,0,'Demanda por puesto'!$P$217/(parametros_recargas!$N$95*H57*H89))</f>
        <v>0.00456775343298423</v>
      </c>
      <c r="I25" s="14" t="n">
        <f aca="false">IF(parametros_recargas!$N$95*I57*I89=0,0,'Demanda por puesto'!$P$249/(parametros_recargas!$N$95*I57*I89))</f>
        <v>0.00519346393122463</v>
      </c>
      <c r="J25" s="14" t="n">
        <f aca="false">IF(parametros_recargas!$N$95*J57*J89=0,0,'Demanda por puesto'!$P$281/(parametros_recargas!$N$95*J57*J89))</f>
        <v>0.00566905711505331</v>
      </c>
      <c r="K25" s="14" t="n">
        <f aca="false">IF(parametros_recargas!$N$95*K57*K89=0,0,'Demanda por puesto'!$P$313/(parametros_recargas!$N$95*K57*K89))</f>
        <v>0.00616498992123316</v>
      </c>
      <c r="L25" s="8" t="str">
        <f aca="false">parametros_recargas!$D$95</f>
        <v>Máquina</v>
      </c>
    </row>
    <row r="26" customFormat="false" ht="15" hidden="false" customHeight="false" outlineLevel="0" collapsed="false">
      <c r="A26" s="8" t="str">
        <f aca="false">parametros_recargas!$B$96</f>
        <v>Control de peso (CO₂ y halogenados sin recarga)</v>
      </c>
      <c r="B26" s="14" t="n">
        <f aca="false">IF(parametros_recargas!$N$96*B58*B90=0,0,'Demanda por puesto'!$P$26/(parametros_recargas!$N$96*B58*B90))</f>
        <v>0.000741419263973432</v>
      </c>
      <c r="C26" s="14" t="n">
        <f aca="false">IF(parametros_recargas!$N$96*C58*C90=0,0,'Demanda por puesto'!$P$58/(parametros_recargas!$N$96*C58*C90))</f>
        <v>0.0030825512822987</v>
      </c>
      <c r="D26" s="14" t="n">
        <f aca="false">IF(parametros_recargas!$N$96*D58*D90=0,0,'Demanda por puesto'!$P$90/(parametros_recargas!$N$96*D58*D90))</f>
        <v>0.00699525921625826</v>
      </c>
      <c r="E26" s="14" t="n">
        <f aca="false">IF(parametros_recargas!$N$96*E58*E90=0,0,'Demanda por puesto'!$P$122/(parametros_recargas!$N$96*E58*E90))</f>
        <v>0.0131072721377899</v>
      </c>
      <c r="F26" s="14" t="n">
        <f aca="false">IF(parametros_recargas!$N$96*F58*F90=0,0,'Demanda por puesto'!$P$154/(parametros_recargas!$N$96*F58*F90))</f>
        <v>0.0189519477393595</v>
      </c>
      <c r="G26" s="14" t="n">
        <f aca="false">IF(parametros_recargas!$N$96*G58*G90=0,0,'Demanda por puesto'!$P$186/(parametros_recargas!$N$96*G58*G90))</f>
        <v>0.0252102357910809</v>
      </c>
      <c r="H26" s="14" t="n">
        <f aca="false">IF(parametros_recargas!$N$96*H58*H90=0,0,'Demanda por puesto'!$P$218/(parametros_recargas!$N$96*H58*H90))</f>
        <v>0.0309750223483656</v>
      </c>
      <c r="I26" s="14" t="n">
        <f aca="false">IF(parametros_recargas!$N$96*I58*I90=0,0,'Demanda por puesto'!$P$250/(parametros_recargas!$N$96*I58*I90))</f>
        <v>0.0344841282669431</v>
      </c>
      <c r="J26" s="14" t="n">
        <f aca="false">IF(parametros_recargas!$N$96*J58*J90=0,0,'Demanda por puesto'!$P$282/(parametros_recargas!$N$96*J58*J90))</f>
        <v>0.0372984327780147</v>
      </c>
      <c r="K26" s="14" t="n">
        <f aca="false">IF(parametros_recargas!$N$96*K58*K90=0,0,'Demanda por puesto'!$P$314/(parametros_recargas!$N$96*K58*K90))</f>
        <v>0.0401573287309541</v>
      </c>
      <c r="L26" s="8" t="str">
        <f aca="false">parametros_recargas!$D$96</f>
        <v>Manual</v>
      </c>
    </row>
    <row r="27" customFormat="false" ht="15" hidden="false" customHeight="false" outlineLevel="0" collapsed="false">
      <c r="A27" s="8" t="str">
        <f aca="false">parametros_recargas!$B$97</f>
        <v>Ensayo de pérdidas</v>
      </c>
      <c r="B27" s="14" t="n">
        <f aca="false">IF(parametros_recargas!$N$97*B59*B91=0,0,'Demanda por puesto'!$P$27/(parametros_recargas!$N$97*B59*B91))</f>
        <v>0.0248867438038515</v>
      </c>
      <c r="C27" s="14" t="n">
        <f aca="false">IF(parametros_recargas!$N$97*C59*C91=0,0,'Demanda por puesto'!$P$59/(parametros_recargas!$N$97*C59*C91))</f>
        <v>0.112584675769911</v>
      </c>
      <c r="D27" s="14" t="n">
        <f aca="false">IF(parametros_recargas!$N$97*D59*D91=0,0,'Demanda por puesto'!$P$91/(parametros_recargas!$N$97*D59*D91))</f>
        <v>0.226140392531601</v>
      </c>
      <c r="E27" s="14" t="n">
        <f aca="false">IF(parametros_recargas!$N$97*E59*E91=0,0,'Demanda por puesto'!$P$123/(parametros_recargas!$N$97*E59*E91))</f>
        <v>0.419060664150277</v>
      </c>
      <c r="F27" s="14" t="n">
        <f aca="false">IF(parametros_recargas!$N$97*F59*F91=0,0,'Demanda por puesto'!$P$155/(parametros_recargas!$N$97*F59*F91))</f>
        <v>0.616885065402085</v>
      </c>
      <c r="G27" s="14" t="n">
        <f aca="false">IF(parametros_recargas!$N$97*G59*G91=0,0,'Demanda por puesto'!$P$187/(parametros_recargas!$N$97*G59*G91))</f>
        <v>0.839111088446804</v>
      </c>
      <c r="H27" s="14" t="n">
        <f aca="false">IF(parametros_recargas!$N$97*H59*H91=0,0,'Demanda por puesto'!$P$219/(parametros_recargas!$N$97*H59*H91))</f>
        <v>0.521123565481635</v>
      </c>
      <c r="I27" s="14" t="n">
        <f aca="false">IF(parametros_recargas!$N$97*I59*I91=0,0,'Demanda por puesto'!$P$251/(parametros_recargas!$N$97*I59*I91))</f>
        <v>0.592475925062215</v>
      </c>
      <c r="J27" s="14" t="n">
        <f aca="false">IF(parametros_recargas!$N$97*J59*J91=0,0,'Demanda por puesto'!$P$283/(parametros_recargas!$N$97*J59*J91))</f>
        <v>0.637542543896611</v>
      </c>
      <c r="K27" s="14" t="n">
        <f aca="false">IF(parametros_recargas!$N$97*K59*K91=0,0,'Demanda por puesto'!$P$315/(parametros_recargas!$N$97*K59*K91))</f>
        <v>0.683438931780998</v>
      </c>
      <c r="L27" s="8" t="str">
        <f aca="false">parametros_recargas!$D$97</f>
        <v>Máquina</v>
      </c>
    </row>
    <row r="28" customFormat="false" ht="15" hidden="false" customHeight="false" outlineLevel="0" collapsed="false">
      <c r="A28" s="8" t="str">
        <f aca="false">parametros_recargas!$B$98</f>
        <v>Precinto, etiqueta y despacho</v>
      </c>
      <c r="B28" s="14" t="n">
        <f aca="false">IF(parametros_recargas!$N$98*B60*B92=0,0,'Demanda por puesto'!$P$28/(parametros_recargas!$N$98*B60*B92))</f>
        <v>0.0267532495891404</v>
      </c>
      <c r="C28" s="14" t="n">
        <f aca="false">IF(parametros_recargas!$N$98*C60*C92=0,0,'Demanda por puesto'!$P$60/(parametros_recargas!$N$98*C60*C92))</f>
        <v>0.121028526452655</v>
      </c>
      <c r="D28" s="14" t="n">
        <f aca="false">IF(parametros_recargas!$N$98*D60*D92=0,0,'Demanda por puesto'!$P$92/(parametros_recargas!$N$98*D60*D92))</f>
        <v>0.243100921971471</v>
      </c>
      <c r="E28" s="14" t="n">
        <f aca="false">IF(parametros_recargas!$N$98*E60*E92=0,0,'Demanda por puesto'!$P$124/(parametros_recargas!$N$98*E60*E92))</f>
        <v>0.450490213961548</v>
      </c>
      <c r="F28" s="14" t="n">
        <f aca="false">IF(parametros_recargas!$N$98*F60*F92=0,0,'Demanda por puesto'!$P$156/(parametros_recargas!$N$98*F60*F92))</f>
        <v>0.663151445307241</v>
      </c>
      <c r="G28" s="14" t="n">
        <f aca="false">IF(parametros_recargas!$N$98*G60*G92=0,0,'Demanda por puesto'!$P$188/(parametros_recargas!$N$98*G60*G92))</f>
        <v>0.451022210040157</v>
      </c>
      <c r="H28" s="14" t="n">
        <f aca="false">IF(parametros_recargas!$N$98*H60*H92=0,0,'Demanda por puesto'!$P$220/(parametros_recargas!$N$98*H60*H92))</f>
        <v>0.560207832892758</v>
      </c>
      <c r="I28" s="14" t="n">
        <f aca="false">IF(parametros_recargas!$N$98*I60*I92=0,0,'Demanda por puesto'!$P$252/(parametros_recargas!$N$98*I60*I92))</f>
        <v>0.636911619441881</v>
      </c>
      <c r="J28" s="14" t="n">
        <f aca="false">IF(parametros_recargas!$N$98*J60*J92=0,0,'Demanda por puesto'!$P$284/(parametros_recargas!$N$98*J60*J92))</f>
        <v>0.685358234688857</v>
      </c>
      <c r="K28" s="14" t="n">
        <f aca="false">IF(parametros_recargas!$N$98*K60*K92=0,0,'Demanda por puesto'!$P$316/(parametros_recargas!$N$98*K60*K92))</f>
        <v>0.734696851664573</v>
      </c>
      <c r="L28" s="8" t="str">
        <f aca="false">parametros_recargas!$D$98</f>
        <v>Manual</v>
      </c>
    </row>
    <row r="29" customFormat="false" ht="15" hidden="false" customHeight="false" outlineLevel="0" collapsed="false">
      <c r="A29" s="8" t="str">
        <f aca="false">parametros_recargas!$B$99</f>
        <v>Inutilización y disposición final</v>
      </c>
      <c r="B29" s="14" t="n">
        <f aca="false">IF(parametros_recargas!$N$99*B61*B93=0,0,'Demanda por puesto'!$P$29/(parametros_recargas!$N$99*B61*B93))</f>
        <v>0.0095393549361869</v>
      </c>
      <c r="C29" s="14" t="n">
        <f aca="false">IF(parametros_recargas!$N$99*C61*C93=0,0,'Demanda por puesto'!$P$61/(parametros_recargas!$N$99*C61*C93))</f>
        <v>0.0432282244298164</v>
      </c>
      <c r="D29" s="14" t="n">
        <f aca="false">IF(parametros_recargas!$N$99*D61*D93=0,0,'Demanda por puesto'!$P$93/(parametros_recargas!$N$99*D61*D93))</f>
        <v>0.0866434418627464</v>
      </c>
      <c r="E29" s="14" t="n">
        <f aca="false">IF(parametros_recargas!$N$99*E61*E93=0,0,'Demanda por puesto'!$P$125/(parametros_recargas!$N$99*E61*E93))</f>
        <v>0.160516106941519</v>
      </c>
      <c r="F29" s="14" t="n">
        <f aca="false">IF(parametros_recargas!$N$99*F61*F93=0,0,'Demanda por puesto'!$P$157/(parametros_recargas!$N$99*F61*F93))</f>
        <v>0.236365735549403</v>
      </c>
      <c r="G29" s="14" t="n">
        <f aca="false">IF(parametros_recargas!$N$99*G61*G93=0,0,'Demanda por puesto'!$P$189/(parametros_recargas!$N$99*G61*G93))</f>
        <v>0.321637852205952</v>
      </c>
      <c r="H29" s="14" t="n">
        <f aca="false">IF(parametros_recargas!$N$99*H61*H93=0,0,'Demanda por puesto'!$P$221/(parametros_recargas!$N$99*H61*H93))</f>
        <v>0.399581668468868</v>
      </c>
      <c r="I29" s="14" t="n">
        <f aca="false">IF(parametros_recargas!$N$99*I61*I93=0,0,'Demanda por puesto'!$P$253/(parametros_recargas!$N$99*I61*I93))</f>
        <v>0.454462431129944</v>
      </c>
      <c r="J29" s="14" t="n">
        <f aca="false">IF(parametros_recargas!$N$99*J61*J93=0,0,'Demanda por puesto'!$P$285/(parametros_recargas!$N$99*J61*J93))</f>
        <v>0.488991883984805</v>
      </c>
      <c r="K29" s="14" t="n">
        <f aca="false">IF(parametros_recargas!$N$99*K61*K93=0,0,'Demanda por puesto'!$P$317/(parametros_recargas!$N$99*K61*K93))</f>
        <v>0.524159522797114</v>
      </c>
      <c r="L29" s="8" t="str">
        <f aca="false">parametros_recargas!$D$99</f>
        <v>Máquina</v>
      </c>
    </row>
    <row r="30" customFormat="false" ht="15" hidden="false" customHeight="false" outlineLevel="0" collapsed="false">
      <c r="A30" s="8" t="str">
        <f aca="false">parametros_recargas!$B$100</f>
        <v>PH de mangueras (CO₂ y rodantes)</v>
      </c>
      <c r="B30" s="14" t="n">
        <f aca="false">IF(parametros_recargas!$N$100*B62*B94=0,0,'Demanda por puesto'!$P$30/(parametros_recargas!$N$100*B62*B94))</f>
        <v>0.00278204316104953</v>
      </c>
      <c r="C30" s="14" t="n">
        <f aca="false">IF(parametros_recargas!$N$100*C62*C94=0,0,'Demanda por puesto'!$P$62/(parametros_recargas!$N$100*C62*C94))</f>
        <v>0.0146640173129768</v>
      </c>
      <c r="D30" s="14" t="n">
        <f aca="false">IF(parametros_recargas!$N$100*D62*D94=0,0,'Demanda por puesto'!$P$94/(parametros_recargas!$N$100*D62*D94))</f>
        <v>0.0311023109089348</v>
      </c>
      <c r="E30" s="14" t="n">
        <f aca="false">IF(parametros_recargas!$N$100*E62*E94=0,0,'Demanda por puesto'!$P$126/(parametros_recargas!$N$100*E62*E94))</f>
        <v>0.055427219273172</v>
      </c>
      <c r="F30" s="14" t="n">
        <f aca="false">IF(parametros_recargas!$N$100*F62*F94=0,0,'Demanda por puesto'!$P$158/(parametros_recargas!$N$100*F62*F94))</f>
        <v>0.0798356435923371</v>
      </c>
      <c r="G30" s="14" t="n">
        <f aca="false">IF(parametros_recargas!$N$100*G62*G94=0,0,'Demanda por puesto'!$P$190/(parametros_recargas!$N$100*G62*G94))</f>
        <v>0.105997248591628</v>
      </c>
      <c r="H30" s="14" t="n">
        <f aca="false">IF(parametros_recargas!$N$100*H62*H94=0,0,'Demanda por puesto'!$P$222/(parametros_recargas!$N$100*H62*H94))</f>
        <v>0.131158406116957</v>
      </c>
      <c r="I30" s="14" t="n">
        <f aca="false">IF(parametros_recargas!$N$100*I62*I94=0,0,'Demanda por puesto'!$P$254/(parametros_recargas!$N$100*I62*I94))</f>
        <v>0.147902506808979</v>
      </c>
      <c r="J30" s="14" t="n">
        <f aca="false">IF(parametros_recargas!$N$100*J62*J94=0,0,'Demanda por puesto'!$P$286/(parametros_recargas!$N$100*J62*J94))</f>
        <v>0.160789850114023</v>
      </c>
      <c r="K30" s="14" t="n">
        <f aca="false">IF(parametros_recargas!$N$100*K62*K94=0,0,'Demanda por puesto'!$P$318/(parametros_recargas!$N$100*K62*K94))</f>
        <v>0.173689279933529</v>
      </c>
      <c r="L30" s="8" t="str">
        <f aca="false">parametros_recargas!$D$100</f>
        <v>Máquina</v>
      </c>
    </row>
    <row r="31" customFormat="false" ht="15" hidden="false" customHeight="false" outlineLevel="0" collapsed="false">
      <c r="A31" s="5" t="s">
        <v>339</v>
      </c>
      <c r="B31" s="29" t="n">
        <f aca="false">MAX(B2:B30)</f>
        <v>0.0325681875086564</v>
      </c>
      <c r="C31" s="29" t="n">
        <f aca="false">MAX(C2:C30)</f>
        <v>0.148180621475723</v>
      </c>
      <c r="D31" s="29" t="n">
        <f aca="false">MAX(D2:D30)</f>
        <v>0.292975185040778</v>
      </c>
      <c r="E31" s="29" t="n">
        <f aca="false">MAX(E2:E30)</f>
        <v>0.542971638866021</v>
      </c>
      <c r="F31" s="29" t="n">
        <f aca="false">MAX(F2:F30)</f>
        <v>0.801769689594539</v>
      </c>
      <c r="G31" s="29" t="n">
        <f aca="false">MAX(G2:G30)</f>
        <v>0.839111088446804</v>
      </c>
      <c r="H31" s="29" t="n">
        <f aca="false">MAX(H2:H30)</f>
        <v>0.839113496882412</v>
      </c>
      <c r="I31" s="29" t="n">
        <f aca="false">MAX(I2:I30)</f>
        <v>0.776309329622924</v>
      </c>
      <c r="J31" s="29" t="n">
        <f aca="false">MAX(J2:J30)</f>
        <v>0.834683359759372</v>
      </c>
      <c r="K31" s="29" t="n">
        <f aca="false">MAX(K2:K30)</f>
        <v>0.894160768270854</v>
      </c>
    </row>
    <row r="33" customFormat="false" ht="15" hidden="false" customHeight="false" outlineLevel="0" collapsed="false">
      <c r="A33" s="2" t="s">
        <v>340</v>
      </c>
      <c r="B33" s="2" t="n">
        <v>2026</v>
      </c>
      <c r="C33" s="2" t="n">
        <v>2027</v>
      </c>
      <c r="D33" s="2" t="n">
        <v>2028</v>
      </c>
      <c r="E33" s="2" t="n">
        <v>2029</v>
      </c>
      <c r="F33" s="2" t="n">
        <v>2030</v>
      </c>
      <c r="G33" s="2" t="n">
        <v>2031</v>
      </c>
      <c r="H33" s="2" t="n">
        <v>2032</v>
      </c>
      <c r="I33" s="2" t="n">
        <v>2033</v>
      </c>
      <c r="J33" s="2" t="n">
        <v>2034</v>
      </c>
      <c r="K33" s="2" t="n">
        <v>2035</v>
      </c>
    </row>
    <row r="34" customFormat="false" ht="15" hidden="false" customHeight="false" outlineLevel="0" collapsed="false">
      <c r="A34" s="8" t="str">
        <f aca="false">parametros_recargas!$B$72</f>
        <v>Recepción y registro</v>
      </c>
      <c r="B34" s="11" t="n">
        <v>1</v>
      </c>
      <c r="C34" s="11" t="n">
        <v>1</v>
      </c>
      <c r="D34" s="11" t="n">
        <v>1</v>
      </c>
      <c r="E34" s="11" t="n">
        <v>1</v>
      </c>
      <c r="F34" s="11" t="n">
        <v>1</v>
      </c>
      <c r="G34" s="11" t="n">
        <v>1</v>
      </c>
      <c r="H34" s="11" t="n">
        <v>1</v>
      </c>
      <c r="I34" s="11" t="n">
        <v>1</v>
      </c>
      <c r="J34" s="11" t="n">
        <v>1</v>
      </c>
      <c r="K34" s="11" t="n">
        <v>1</v>
      </c>
    </row>
    <row r="35" customFormat="false" ht="15" hidden="false" customHeight="false" outlineLevel="0" collapsed="false">
      <c r="A35" s="8" t="str">
        <f aca="false">parametros_recargas!$B$73</f>
        <v>Inspección visual</v>
      </c>
      <c r="B35" s="11" t="n">
        <v>1</v>
      </c>
      <c r="C35" s="11" t="n">
        <v>1</v>
      </c>
      <c r="D35" s="11" t="n">
        <v>1</v>
      </c>
      <c r="E35" s="11" t="n">
        <v>1</v>
      </c>
      <c r="F35" s="11" t="n">
        <v>1</v>
      </c>
      <c r="G35" s="11" t="n">
        <v>2</v>
      </c>
      <c r="H35" s="11" t="n">
        <v>2</v>
      </c>
      <c r="I35" s="11" t="n">
        <v>2</v>
      </c>
      <c r="J35" s="11" t="n">
        <v>2</v>
      </c>
      <c r="K35" s="11" t="n">
        <v>2</v>
      </c>
    </row>
    <row r="36" customFormat="false" ht="15" hidden="false" customHeight="false" outlineLevel="0" collapsed="false">
      <c r="A36" s="8" t="str">
        <f aca="false">parametros_recargas!$B$74</f>
        <v>Descarga ABC — ruta recuperable</v>
      </c>
      <c r="B36" s="11" t="n">
        <v>1</v>
      </c>
      <c r="C36" s="11" t="n">
        <v>1</v>
      </c>
      <c r="D36" s="11" t="n">
        <v>1</v>
      </c>
      <c r="E36" s="11" t="n">
        <v>1</v>
      </c>
      <c r="F36" s="11" t="n">
        <v>1</v>
      </c>
      <c r="G36" s="11" t="n">
        <v>1</v>
      </c>
      <c r="H36" s="11" t="n">
        <v>1</v>
      </c>
      <c r="I36" s="11" t="n">
        <v>1</v>
      </c>
      <c r="J36" s="11" t="n">
        <v>1</v>
      </c>
      <c r="K36" s="11" t="n">
        <v>1</v>
      </c>
    </row>
    <row r="37" customFormat="false" ht="15" hidden="false" customHeight="false" outlineLevel="0" collapsed="false">
      <c r="A37" s="8" t="str">
        <f aca="false">parametros_recargas!$B$75</f>
        <v>Descarga ABC — ruta descarte</v>
      </c>
      <c r="B37" s="11" t="n">
        <v>1</v>
      </c>
      <c r="C37" s="11" t="n">
        <v>1</v>
      </c>
      <c r="D37" s="11" t="n">
        <v>1</v>
      </c>
      <c r="E37" s="11" t="n">
        <v>1</v>
      </c>
      <c r="F37" s="11" t="n">
        <v>1</v>
      </c>
      <c r="G37" s="11" t="n">
        <v>1</v>
      </c>
      <c r="H37" s="11" t="n">
        <v>1</v>
      </c>
      <c r="I37" s="11" t="n">
        <v>1</v>
      </c>
      <c r="J37" s="11" t="n">
        <v>1</v>
      </c>
      <c r="K37" s="11" t="n">
        <v>1</v>
      </c>
    </row>
    <row r="38" customFormat="false" ht="15" hidden="false" customHeight="false" outlineLevel="0" collapsed="false">
      <c r="A38" s="8" t="str">
        <f aca="false">parametros_recargas!$B$76</f>
        <v>Descarga BC</v>
      </c>
      <c r="B38" s="11" t="n">
        <v>1</v>
      </c>
      <c r="C38" s="11" t="n">
        <v>1</v>
      </c>
      <c r="D38" s="11" t="n">
        <v>1</v>
      </c>
      <c r="E38" s="11" t="n">
        <v>1</v>
      </c>
      <c r="F38" s="11" t="n">
        <v>1</v>
      </c>
      <c r="G38" s="11" t="n">
        <v>1</v>
      </c>
      <c r="H38" s="11" t="n">
        <v>1</v>
      </c>
      <c r="I38" s="11" t="n">
        <v>1</v>
      </c>
      <c r="J38" s="11" t="n">
        <v>1</v>
      </c>
      <c r="K38" s="11" t="n">
        <v>1</v>
      </c>
    </row>
    <row r="39" customFormat="false" ht="15" hidden="false" customHeight="false" outlineLevel="0" collapsed="false">
      <c r="A39" s="8" t="str">
        <f aca="false">parametros_recargas!$B$77</f>
        <v>Descarga de agua / AFFF / sales K</v>
      </c>
      <c r="B39" s="11" t="n">
        <v>1</v>
      </c>
      <c r="C39" s="11" t="n">
        <v>1</v>
      </c>
      <c r="D39" s="11" t="n">
        <v>1</v>
      </c>
      <c r="E39" s="11" t="n">
        <v>1</v>
      </c>
      <c r="F39" s="11" t="n">
        <v>1</v>
      </c>
      <c r="G39" s="11" t="n">
        <v>1</v>
      </c>
      <c r="H39" s="11" t="n">
        <v>1</v>
      </c>
      <c r="I39" s="11" t="n">
        <v>1</v>
      </c>
      <c r="J39" s="11" t="n">
        <v>1</v>
      </c>
      <c r="K39" s="11" t="n">
        <v>1</v>
      </c>
    </row>
    <row r="40" customFormat="false" ht="15" hidden="false" customHeight="false" outlineLevel="0" collapsed="false">
      <c r="A40" s="8" t="str">
        <f aca="false">parametros_recargas!$B$78</f>
        <v>Recuperación de CO₂</v>
      </c>
      <c r="B40" s="11" t="n">
        <v>1</v>
      </c>
      <c r="C40" s="11" t="n">
        <v>1</v>
      </c>
      <c r="D40" s="11" t="n">
        <v>1</v>
      </c>
      <c r="E40" s="11" t="n">
        <v>1</v>
      </c>
      <c r="F40" s="11" t="n">
        <v>1</v>
      </c>
      <c r="G40" s="11" t="n">
        <v>1</v>
      </c>
      <c r="H40" s="11" t="n">
        <v>1</v>
      </c>
      <c r="I40" s="11" t="n">
        <v>1</v>
      </c>
      <c r="J40" s="11" t="n">
        <v>1</v>
      </c>
      <c r="K40" s="11" t="n">
        <v>1</v>
      </c>
    </row>
    <row r="41" customFormat="false" ht="15" hidden="false" customHeight="false" outlineLevel="0" collapsed="false">
      <c r="A41" s="8" t="str">
        <f aca="false">parametros_recargas!$B$79</f>
        <v>Recuperación de halogenado</v>
      </c>
      <c r="B41" s="11" t="n">
        <v>1</v>
      </c>
      <c r="C41" s="11" t="n">
        <v>1</v>
      </c>
      <c r="D41" s="11" t="n">
        <v>1</v>
      </c>
      <c r="E41" s="11" t="n">
        <v>1</v>
      </c>
      <c r="F41" s="11" t="n">
        <v>1</v>
      </c>
      <c r="G41" s="11" t="n">
        <v>1</v>
      </c>
      <c r="H41" s="11" t="n">
        <v>1</v>
      </c>
      <c r="I41" s="11" t="n">
        <v>1</v>
      </c>
      <c r="J41" s="11" t="n">
        <v>1</v>
      </c>
      <c r="K41" s="11" t="n">
        <v>1</v>
      </c>
    </row>
    <row r="42" customFormat="false" ht="15" hidden="false" customHeight="false" outlineLevel="0" collapsed="false">
      <c r="A42" s="8" t="str">
        <f aca="false">parametros_recargas!$B$80</f>
        <v>Desarme y limpieza — recinto</v>
      </c>
      <c r="B42" s="11" t="n">
        <v>1</v>
      </c>
      <c r="C42" s="11" t="n">
        <v>1</v>
      </c>
      <c r="D42" s="11" t="n">
        <v>1</v>
      </c>
      <c r="E42" s="11" t="n">
        <v>1</v>
      </c>
      <c r="F42" s="11" t="n">
        <v>1</v>
      </c>
      <c r="G42" s="11" t="n">
        <v>2</v>
      </c>
      <c r="H42" s="11" t="n">
        <v>2</v>
      </c>
      <c r="I42" s="11" t="n">
        <v>2</v>
      </c>
      <c r="J42" s="11" t="n">
        <v>2</v>
      </c>
      <c r="K42" s="11" t="n">
        <v>2</v>
      </c>
    </row>
    <row r="43" customFormat="false" ht="15" hidden="false" customHeight="false" outlineLevel="0" collapsed="false">
      <c r="A43" s="8" t="str">
        <f aca="false">parametros_recargas!$B$81</f>
        <v>Desarme e inspección interior — zona general</v>
      </c>
      <c r="B43" s="11" t="n">
        <v>1</v>
      </c>
      <c r="C43" s="11" t="n">
        <v>1</v>
      </c>
      <c r="D43" s="11" t="n">
        <v>1</v>
      </c>
      <c r="E43" s="11" t="n">
        <v>1</v>
      </c>
      <c r="F43" s="11" t="n">
        <v>1</v>
      </c>
      <c r="G43" s="11" t="n">
        <v>1</v>
      </c>
      <c r="H43" s="11" t="n">
        <v>1</v>
      </c>
      <c r="I43" s="11" t="n">
        <v>1</v>
      </c>
      <c r="J43" s="11" t="n">
        <v>1</v>
      </c>
      <c r="K43" s="11" t="n">
        <v>1</v>
      </c>
    </row>
    <row r="44" customFormat="false" ht="15" hidden="false" customHeight="false" outlineLevel="0" collapsed="false">
      <c r="A44" s="8" t="str">
        <f aca="false">parametros_recargas!$B$82</f>
        <v>Laboratorio — Puffer y mufla</v>
      </c>
      <c r="B44" s="11" t="n">
        <v>1</v>
      </c>
      <c r="C44" s="11" t="n">
        <v>1</v>
      </c>
      <c r="D44" s="11" t="n">
        <v>1</v>
      </c>
      <c r="E44" s="11" t="n">
        <v>1</v>
      </c>
      <c r="F44" s="11" t="n">
        <v>1</v>
      </c>
      <c r="G44" s="11" t="n">
        <v>1</v>
      </c>
      <c r="H44" s="11" t="n">
        <v>1</v>
      </c>
      <c r="I44" s="11" t="n">
        <v>1</v>
      </c>
      <c r="J44" s="11" t="n">
        <v>1</v>
      </c>
      <c r="K44" s="11" t="n">
        <v>1</v>
      </c>
    </row>
    <row r="45" customFormat="false" ht="15" hidden="false" customHeight="false" outlineLevel="0" collapsed="false">
      <c r="A45" s="8" t="str">
        <f aca="false">parametros_recargas!$B$83</f>
        <v>Prueba hidráulica</v>
      </c>
      <c r="B45" s="11" t="n">
        <v>1</v>
      </c>
      <c r="C45" s="11" t="n">
        <v>1</v>
      </c>
      <c r="D45" s="11" t="n">
        <v>1</v>
      </c>
      <c r="E45" s="11" t="n">
        <v>1</v>
      </c>
      <c r="F45" s="11" t="n">
        <v>1</v>
      </c>
      <c r="G45" s="11" t="n">
        <v>1</v>
      </c>
      <c r="H45" s="11" t="n">
        <v>1</v>
      </c>
      <c r="I45" s="11" t="n">
        <v>1</v>
      </c>
      <c r="J45" s="11" t="n">
        <v>1</v>
      </c>
      <c r="K45" s="11" t="n">
        <v>1</v>
      </c>
    </row>
    <row r="46" customFormat="false" ht="15" hidden="false" customHeight="false" outlineLevel="0" collapsed="false">
      <c r="A46" s="8" t="str">
        <f aca="false">parametros_recargas!$B$84</f>
        <v>Secado</v>
      </c>
      <c r="B46" s="11" t="n">
        <v>1</v>
      </c>
      <c r="C46" s="11" t="n">
        <v>1</v>
      </c>
      <c r="D46" s="11" t="n">
        <v>1</v>
      </c>
      <c r="E46" s="11" t="n">
        <v>1</v>
      </c>
      <c r="F46" s="11" t="n">
        <v>1</v>
      </c>
      <c r="G46" s="11" t="n">
        <v>1</v>
      </c>
      <c r="H46" s="11" t="n">
        <v>1</v>
      </c>
      <c r="I46" s="11" t="n">
        <v>1</v>
      </c>
      <c r="J46" s="11" t="n">
        <v>1</v>
      </c>
      <c r="K46" s="11" t="n">
        <v>1</v>
      </c>
    </row>
    <row r="47" customFormat="false" ht="15" hidden="false" customHeight="false" outlineLevel="0" collapsed="false">
      <c r="A47" s="8" t="str">
        <f aca="false">parametros_recargas!$B$85</f>
        <v>Inspección interior con videoscopio</v>
      </c>
      <c r="B47" s="11" t="n">
        <v>1</v>
      </c>
      <c r="C47" s="11" t="n">
        <v>1</v>
      </c>
      <c r="D47" s="11" t="n">
        <v>1</v>
      </c>
      <c r="E47" s="11" t="n">
        <v>1</v>
      </c>
      <c r="F47" s="11" t="n">
        <v>1</v>
      </c>
      <c r="G47" s="11" t="n">
        <v>1</v>
      </c>
      <c r="H47" s="11" t="n">
        <v>1</v>
      </c>
      <c r="I47" s="11" t="n">
        <v>1</v>
      </c>
      <c r="J47" s="11" t="n">
        <v>1</v>
      </c>
      <c r="K47" s="11" t="n">
        <v>1</v>
      </c>
    </row>
    <row r="48" customFormat="false" ht="15" hidden="false" customHeight="false" outlineLevel="0" collapsed="false">
      <c r="A48" s="8" t="str">
        <f aca="false">parametros_recargas!$B$86</f>
        <v>Pintura</v>
      </c>
      <c r="B48" s="11" t="n">
        <v>1</v>
      </c>
      <c r="C48" s="11" t="n">
        <v>1</v>
      </c>
      <c r="D48" s="11" t="n">
        <v>1</v>
      </c>
      <c r="E48" s="11" t="n">
        <v>1</v>
      </c>
      <c r="F48" s="11" t="n">
        <v>1</v>
      </c>
      <c r="G48" s="11" t="n">
        <v>1</v>
      </c>
      <c r="H48" s="11" t="n">
        <v>1</v>
      </c>
      <c r="I48" s="11" t="n">
        <v>1</v>
      </c>
      <c r="J48" s="11" t="n">
        <v>1</v>
      </c>
      <c r="K48" s="11" t="n">
        <v>1</v>
      </c>
    </row>
    <row r="49" customFormat="false" ht="15" hidden="false" customHeight="false" outlineLevel="0" collapsed="false">
      <c r="A49" s="8" t="str">
        <f aca="false">parametros_recargas!$B$87</f>
        <v>Carga de polvo ABC</v>
      </c>
      <c r="B49" s="11" t="n">
        <v>1</v>
      </c>
      <c r="C49" s="11" t="n">
        <v>1</v>
      </c>
      <c r="D49" s="11" t="n">
        <v>1</v>
      </c>
      <c r="E49" s="11" t="n">
        <v>1</v>
      </c>
      <c r="F49" s="11" t="n">
        <v>1</v>
      </c>
      <c r="G49" s="11" t="n">
        <v>2</v>
      </c>
      <c r="H49" s="11" t="n">
        <v>2</v>
      </c>
      <c r="I49" s="11" t="n">
        <v>2</v>
      </c>
      <c r="J49" s="11" t="n">
        <v>2</v>
      </c>
      <c r="K49" s="11" t="n">
        <v>2</v>
      </c>
    </row>
    <row r="50" customFormat="false" ht="15" hidden="false" customHeight="false" outlineLevel="0" collapsed="false">
      <c r="A50" s="8" t="str">
        <f aca="false">parametros_recargas!$B$88</f>
        <v>Carga de polvo BC</v>
      </c>
      <c r="B50" s="11" t="n">
        <v>1</v>
      </c>
      <c r="C50" s="11" t="n">
        <v>1</v>
      </c>
      <c r="D50" s="11" t="n">
        <v>1</v>
      </c>
      <c r="E50" s="11" t="n">
        <v>1</v>
      </c>
      <c r="F50" s="11" t="n">
        <v>1</v>
      </c>
      <c r="G50" s="11" t="n">
        <v>1</v>
      </c>
      <c r="H50" s="11" t="n">
        <v>1</v>
      </c>
      <c r="I50" s="11" t="n">
        <v>1</v>
      </c>
      <c r="J50" s="11" t="n">
        <v>1</v>
      </c>
      <c r="K50" s="11" t="n">
        <v>1</v>
      </c>
    </row>
    <row r="51" customFormat="false" ht="15" hidden="false" customHeight="false" outlineLevel="0" collapsed="false">
      <c r="A51" s="8" t="str">
        <f aca="false">parametros_recargas!$B$89</f>
        <v>Descarga y carga Clase D</v>
      </c>
      <c r="B51" s="11" t="n">
        <v>1</v>
      </c>
      <c r="C51" s="11" t="n">
        <v>1</v>
      </c>
      <c r="D51" s="11" t="n">
        <v>1</v>
      </c>
      <c r="E51" s="11" t="n">
        <v>1</v>
      </c>
      <c r="F51" s="11" t="n">
        <v>1</v>
      </c>
      <c r="G51" s="11" t="n">
        <v>1</v>
      </c>
      <c r="H51" s="11" t="n">
        <v>1</v>
      </c>
      <c r="I51" s="11" t="n">
        <v>1</v>
      </c>
      <c r="J51" s="11" t="n">
        <v>1</v>
      </c>
      <c r="K51" s="11" t="n">
        <v>1</v>
      </c>
    </row>
    <row r="52" customFormat="false" ht="15" hidden="false" customHeight="false" outlineLevel="0" collapsed="false">
      <c r="A52" s="8" t="str">
        <f aca="false">parametros_recargas!$B$90</f>
        <v>Carga de agua / AFFF / sales K</v>
      </c>
      <c r="B52" s="11" t="n">
        <v>1</v>
      </c>
      <c r="C52" s="11" t="n">
        <v>1</v>
      </c>
      <c r="D52" s="11" t="n">
        <v>1</v>
      </c>
      <c r="E52" s="11" t="n">
        <v>1</v>
      </c>
      <c r="F52" s="11" t="n">
        <v>1</v>
      </c>
      <c r="G52" s="11" t="n">
        <v>1</v>
      </c>
      <c r="H52" s="11" t="n">
        <v>1</v>
      </c>
      <c r="I52" s="11" t="n">
        <v>1</v>
      </c>
      <c r="J52" s="11" t="n">
        <v>1</v>
      </c>
      <c r="K52" s="11" t="n">
        <v>1</v>
      </c>
    </row>
    <row r="53" customFormat="false" ht="15" hidden="false" customHeight="false" outlineLevel="0" collapsed="false">
      <c r="A53" s="8" t="str">
        <f aca="false">parametros_recargas!$B$91</f>
        <v>Carga de CO₂</v>
      </c>
      <c r="B53" s="11" t="n">
        <v>1</v>
      </c>
      <c r="C53" s="11" t="n">
        <v>1</v>
      </c>
      <c r="D53" s="11" t="n">
        <v>1</v>
      </c>
      <c r="E53" s="11" t="n">
        <v>1</v>
      </c>
      <c r="F53" s="11" t="n">
        <v>1</v>
      </c>
      <c r="G53" s="11" t="n">
        <v>1</v>
      </c>
      <c r="H53" s="11" t="n">
        <v>1</v>
      </c>
      <c r="I53" s="11" t="n">
        <v>1</v>
      </c>
      <c r="J53" s="11" t="n">
        <v>1</v>
      </c>
      <c r="K53" s="11" t="n">
        <v>1</v>
      </c>
    </row>
    <row r="54" customFormat="false" ht="15" hidden="false" customHeight="false" outlineLevel="0" collapsed="false">
      <c r="A54" s="8" t="str">
        <f aca="false">parametros_recargas!$B$92</f>
        <v>Ensamblaje y marbete — recinto</v>
      </c>
      <c r="B54" s="11" t="n">
        <v>1</v>
      </c>
      <c r="C54" s="11" t="n">
        <v>1</v>
      </c>
      <c r="D54" s="11" t="n">
        <v>1</v>
      </c>
      <c r="E54" s="11" t="n">
        <v>1</v>
      </c>
      <c r="F54" s="11" t="n">
        <v>1</v>
      </c>
      <c r="G54" s="11" t="n">
        <v>2</v>
      </c>
      <c r="H54" s="11" t="n">
        <v>2</v>
      </c>
      <c r="I54" s="11" t="n">
        <v>2</v>
      </c>
      <c r="J54" s="11" t="n">
        <v>2</v>
      </c>
      <c r="K54" s="11" t="n">
        <v>2</v>
      </c>
    </row>
    <row r="55" customFormat="false" ht="15" hidden="false" customHeight="false" outlineLevel="0" collapsed="false">
      <c r="A55" s="8" t="str">
        <f aca="false">parametros_recargas!$B$93</f>
        <v>Presurización — recinto</v>
      </c>
      <c r="B55" s="11" t="n">
        <v>1</v>
      </c>
      <c r="C55" s="11" t="n">
        <v>1</v>
      </c>
      <c r="D55" s="11" t="n">
        <v>1</v>
      </c>
      <c r="E55" s="11" t="n">
        <v>1</v>
      </c>
      <c r="F55" s="11" t="n">
        <v>1</v>
      </c>
      <c r="G55" s="11" t="n">
        <v>1</v>
      </c>
      <c r="H55" s="11" t="n">
        <v>1</v>
      </c>
      <c r="I55" s="11" t="n">
        <v>1</v>
      </c>
      <c r="J55" s="11" t="n">
        <v>1</v>
      </c>
      <c r="K55" s="11" t="n">
        <v>1</v>
      </c>
    </row>
    <row r="56" customFormat="false" ht="15" hidden="false" customHeight="false" outlineLevel="0" collapsed="false">
      <c r="A56" s="8" t="str">
        <f aca="false">parametros_recargas!$B$94</f>
        <v>Ensamblaje y presurización — zona general</v>
      </c>
      <c r="B56" s="11" t="n">
        <v>1</v>
      </c>
      <c r="C56" s="11" t="n">
        <v>1</v>
      </c>
      <c r="D56" s="11" t="n">
        <v>1</v>
      </c>
      <c r="E56" s="11" t="n">
        <v>1</v>
      </c>
      <c r="F56" s="11" t="n">
        <v>1</v>
      </c>
      <c r="G56" s="11" t="n">
        <v>1</v>
      </c>
      <c r="H56" s="11" t="n">
        <v>1</v>
      </c>
      <c r="I56" s="11" t="n">
        <v>1</v>
      </c>
      <c r="J56" s="11" t="n">
        <v>1</v>
      </c>
      <c r="K56" s="11" t="n">
        <v>1</v>
      </c>
    </row>
    <row r="57" customFormat="false" ht="15" hidden="false" customHeight="false" outlineLevel="0" collapsed="false">
      <c r="A57" s="8" t="str">
        <f aca="false">parametros_recargas!$B$95</f>
        <v>Carga y presurización de halogenado</v>
      </c>
      <c r="B57" s="11" t="n">
        <v>1</v>
      </c>
      <c r="C57" s="11" t="n">
        <v>1</v>
      </c>
      <c r="D57" s="11" t="n">
        <v>1</v>
      </c>
      <c r="E57" s="11" t="n">
        <v>1</v>
      </c>
      <c r="F57" s="11" t="n">
        <v>1</v>
      </c>
      <c r="G57" s="11" t="n">
        <v>1</v>
      </c>
      <c r="H57" s="11" t="n">
        <v>1</v>
      </c>
      <c r="I57" s="11" t="n">
        <v>1</v>
      </c>
      <c r="J57" s="11" t="n">
        <v>1</v>
      </c>
      <c r="K57" s="11" t="n">
        <v>1</v>
      </c>
    </row>
    <row r="58" customFormat="false" ht="15" hidden="false" customHeight="false" outlineLevel="0" collapsed="false">
      <c r="A58" s="8" t="str">
        <f aca="false">parametros_recargas!$B$96</f>
        <v>Control de peso (CO₂ y halogenados sin recarga)</v>
      </c>
      <c r="B58" s="11" t="n">
        <v>1</v>
      </c>
      <c r="C58" s="11" t="n">
        <v>1</v>
      </c>
      <c r="D58" s="11" t="n">
        <v>1</v>
      </c>
      <c r="E58" s="11" t="n">
        <v>1</v>
      </c>
      <c r="F58" s="11" t="n">
        <v>1</v>
      </c>
      <c r="G58" s="11" t="n">
        <v>1</v>
      </c>
      <c r="H58" s="11" t="n">
        <v>1</v>
      </c>
      <c r="I58" s="11" t="n">
        <v>1</v>
      </c>
      <c r="J58" s="11" t="n">
        <v>1</v>
      </c>
      <c r="K58" s="11" t="n">
        <v>1</v>
      </c>
    </row>
    <row r="59" customFormat="false" ht="15" hidden="false" customHeight="false" outlineLevel="0" collapsed="false">
      <c r="A59" s="8" t="str">
        <f aca="false">parametros_recargas!$B$97</f>
        <v>Ensayo de pérdidas</v>
      </c>
      <c r="B59" s="11" t="n">
        <v>1</v>
      </c>
      <c r="C59" s="11" t="n">
        <v>1</v>
      </c>
      <c r="D59" s="11" t="n">
        <v>1</v>
      </c>
      <c r="E59" s="11" t="n">
        <v>1</v>
      </c>
      <c r="F59" s="11" t="n">
        <v>1</v>
      </c>
      <c r="G59" s="11" t="n">
        <v>1</v>
      </c>
      <c r="H59" s="11" t="n">
        <v>1</v>
      </c>
      <c r="I59" s="11" t="n">
        <v>1</v>
      </c>
      <c r="J59" s="11" t="n">
        <v>1</v>
      </c>
      <c r="K59" s="11" t="n">
        <v>1</v>
      </c>
    </row>
    <row r="60" customFormat="false" ht="15" hidden="false" customHeight="false" outlineLevel="0" collapsed="false">
      <c r="A60" s="8" t="str">
        <f aca="false">parametros_recargas!$B$98</f>
        <v>Precinto, etiqueta y despacho</v>
      </c>
      <c r="B60" s="11" t="n">
        <v>1</v>
      </c>
      <c r="C60" s="11" t="n">
        <v>1</v>
      </c>
      <c r="D60" s="11" t="n">
        <v>1</v>
      </c>
      <c r="E60" s="11" t="n">
        <v>1</v>
      </c>
      <c r="F60" s="11" t="n">
        <v>1</v>
      </c>
      <c r="G60" s="11" t="n">
        <v>2</v>
      </c>
      <c r="H60" s="11" t="n">
        <v>2</v>
      </c>
      <c r="I60" s="11" t="n">
        <v>2</v>
      </c>
      <c r="J60" s="11" t="n">
        <v>2</v>
      </c>
      <c r="K60" s="11" t="n">
        <v>2</v>
      </c>
    </row>
    <row r="61" customFormat="false" ht="15" hidden="false" customHeight="false" outlineLevel="0" collapsed="false">
      <c r="A61" s="8" t="str">
        <f aca="false">parametros_recargas!$B$99</f>
        <v>Inutilización y disposición final</v>
      </c>
      <c r="B61" s="11" t="n">
        <v>1</v>
      </c>
      <c r="C61" s="11" t="n">
        <v>1</v>
      </c>
      <c r="D61" s="11" t="n">
        <v>1</v>
      </c>
      <c r="E61" s="11" t="n">
        <v>1</v>
      </c>
      <c r="F61" s="11" t="n">
        <v>1</v>
      </c>
      <c r="G61" s="11" t="n">
        <v>1</v>
      </c>
      <c r="H61" s="11" t="n">
        <v>1</v>
      </c>
      <c r="I61" s="11" t="n">
        <v>1</v>
      </c>
      <c r="J61" s="11" t="n">
        <v>1</v>
      </c>
      <c r="K61" s="11" t="n">
        <v>1</v>
      </c>
    </row>
    <row r="62" customFormat="false" ht="15" hidden="false" customHeight="false" outlineLevel="0" collapsed="false">
      <c r="A62" s="8" t="str">
        <f aca="false">parametros_recargas!$B$100</f>
        <v>PH de mangueras (CO₂ y rodantes)</v>
      </c>
      <c r="B62" s="11" t="n">
        <v>1</v>
      </c>
      <c r="C62" s="11" t="n">
        <v>1</v>
      </c>
      <c r="D62" s="11" t="n">
        <v>1</v>
      </c>
      <c r="E62" s="11" t="n">
        <v>1</v>
      </c>
      <c r="F62" s="11" t="n">
        <v>1</v>
      </c>
      <c r="G62" s="11" t="n">
        <v>1</v>
      </c>
      <c r="H62" s="11" t="n">
        <v>1</v>
      </c>
      <c r="I62" s="11" t="n">
        <v>1</v>
      </c>
      <c r="J62" s="11" t="n">
        <v>1</v>
      </c>
      <c r="K62" s="11" t="n">
        <v>1</v>
      </c>
    </row>
    <row r="63" customFormat="false" ht="15" hidden="false" customHeight="false" outlineLevel="0" collapsed="false">
      <c r="A63" s="5" t="s">
        <v>341</v>
      </c>
      <c r="B63" s="13" t="n">
        <f aca="false">SUM(B34:B62)</f>
        <v>29</v>
      </c>
      <c r="C63" s="13" t="n">
        <f aca="false">SUM(C34:C62)</f>
        <v>29</v>
      </c>
      <c r="D63" s="13" t="n">
        <f aca="false">SUM(D34:D62)</f>
        <v>29</v>
      </c>
      <c r="E63" s="13" t="n">
        <f aca="false">SUM(E34:E62)</f>
        <v>29</v>
      </c>
      <c r="F63" s="13" t="n">
        <f aca="false">SUM(F34:F62)</f>
        <v>29</v>
      </c>
      <c r="G63" s="13" t="n">
        <f aca="false">SUM(G34:G62)</f>
        <v>34</v>
      </c>
      <c r="H63" s="13" t="n">
        <f aca="false">SUM(H34:H62)</f>
        <v>34</v>
      </c>
      <c r="I63" s="13" t="n">
        <f aca="false">SUM(I34:I62)</f>
        <v>34</v>
      </c>
      <c r="J63" s="13" t="n">
        <f aca="false">SUM(J34:J62)</f>
        <v>34</v>
      </c>
      <c r="K63" s="13" t="n">
        <f aca="false">SUM(K34:K62)</f>
        <v>34</v>
      </c>
    </row>
    <row r="65" customFormat="false" ht="15" hidden="false" customHeight="false" outlineLevel="0" collapsed="false">
      <c r="A65" s="2" t="s">
        <v>342</v>
      </c>
      <c r="B65" s="2" t="n">
        <v>2026</v>
      </c>
      <c r="C65" s="2" t="n">
        <v>2027</v>
      </c>
      <c r="D65" s="2" t="n">
        <v>2028</v>
      </c>
      <c r="E65" s="2" t="n">
        <v>2029</v>
      </c>
      <c r="F65" s="2" t="n">
        <v>2030</v>
      </c>
      <c r="G65" s="2" t="n">
        <v>2031</v>
      </c>
      <c r="H65" s="2" t="n">
        <v>2032</v>
      </c>
      <c r="I65" s="2" t="n">
        <v>2033</v>
      </c>
      <c r="J65" s="2" t="n">
        <v>2034</v>
      </c>
      <c r="K65" s="2" t="n">
        <v>2035</v>
      </c>
    </row>
    <row r="66" customFormat="false" ht="15" hidden="false" customHeight="false" outlineLevel="0" collapsed="false">
      <c r="A66" s="8" t="str">
        <f aca="false">parametros_recargas!$B$72</f>
        <v>Recepción y registro</v>
      </c>
      <c r="B66" s="11" t="n">
        <v>1</v>
      </c>
      <c r="C66" s="11" t="n">
        <v>1</v>
      </c>
      <c r="D66" s="11" t="n">
        <v>1</v>
      </c>
      <c r="E66" s="11" t="n">
        <v>1</v>
      </c>
      <c r="F66" s="11" t="n">
        <v>1</v>
      </c>
      <c r="G66" s="11" t="n">
        <v>1</v>
      </c>
      <c r="H66" s="11" t="n">
        <v>2</v>
      </c>
      <c r="I66" s="11" t="n">
        <v>2</v>
      </c>
      <c r="J66" s="11" t="n">
        <v>2</v>
      </c>
      <c r="K66" s="11" t="n">
        <v>2</v>
      </c>
    </row>
    <row r="67" customFormat="false" ht="15" hidden="false" customHeight="false" outlineLevel="0" collapsed="false">
      <c r="A67" s="8" t="str">
        <f aca="false">parametros_recargas!$B$73</f>
        <v>Inspección visual</v>
      </c>
      <c r="B67" s="11" t="n">
        <v>1</v>
      </c>
      <c r="C67" s="11" t="n">
        <v>1</v>
      </c>
      <c r="D67" s="11" t="n">
        <v>1</v>
      </c>
      <c r="E67" s="11" t="n">
        <v>1</v>
      </c>
      <c r="F67" s="11" t="n">
        <v>1</v>
      </c>
      <c r="G67" s="11" t="n">
        <v>1</v>
      </c>
      <c r="H67" s="11" t="n">
        <v>1</v>
      </c>
      <c r="I67" s="11" t="n">
        <v>1</v>
      </c>
      <c r="J67" s="11" t="n">
        <v>1</v>
      </c>
      <c r="K67" s="11" t="n">
        <v>1</v>
      </c>
    </row>
    <row r="68" customFormat="false" ht="15" hidden="false" customHeight="false" outlineLevel="0" collapsed="false">
      <c r="A68" s="8" t="str">
        <f aca="false">parametros_recargas!$B$74</f>
        <v>Descarga ABC — ruta recuperable</v>
      </c>
      <c r="B68" s="11" t="n">
        <v>1</v>
      </c>
      <c r="C68" s="11" t="n">
        <v>1</v>
      </c>
      <c r="D68" s="11" t="n">
        <v>1</v>
      </c>
      <c r="E68" s="11" t="n">
        <v>1</v>
      </c>
      <c r="F68" s="11" t="n">
        <v>1</v>
      </c>
      <c r="G68" s="11" t="n">
        <v>1</v>
      </c>
      <c r="H68" s="11" t="n">
        <v>1</v>
      </c>
      <c r="I68" s="11" t="n">
        <v>2</v>
      </c>
      <c r="J68" s="11" t="n">
        <v>2</v>
      </c>
      <c r="K68" s="11" t="n">
        <v>2</v>
      </c>
    </row>
    <row r="69" customFormat="false" ht="15" hidden="false" customHeight="false" outlineLevel="0" collapsed="false">
      <c r="A69" s="8" t="str">
        <f aca="false">parametros_recargas!$B$75</f>
        <v>Descarga ABC — ruta descarte</v>
      </c>
      <c r="B69" s="11" t="n">
        <v>1</v>
      </c>
      <c r="C69" s="11" t="n">
        <v>1</v>
      </c>
      <c r="D69" s="11" t="n">
        <v>1</v>
      </c>
      <c r="E69" s="11" t="n">
        <v>1</v>
      </c>
      <c r="F69" s="11" t="n">
        <v>1</v>
      </c>
      <c r="G69" s="11" t="n">
        <v>1</v>
      </c>
      <c r="H69" s="11" t="n">
        <v>1</v>
      </c>
      <c r="I69" s="11" t="n">
        <v>1</v>
      </c>
      <c r="J69" s="11" t="n">
        <v>1</v>
      </c>
      <c r="K69" s="11" t="n">
        <v>1</v>
      </c>
    </row>
    <row r="70" customFormat="false" ht="15" hidden="false" customHeight="false" outlineLevel="0" collapsed="false">
      <c r="A70" s="8" t="str">
        <f aca="false">parametros_recargas!$B$76</f>
        <v>Descarga BC</v>
      </c>
      <c r="B70" s="11" t="n">
        <v>1</v>
      </c>
      <c r="C70" s="11" t="n">
        <v>1</v>
      </c>
      <c r="D70" s="11" t="n">
        <v>1</v>
      </c>
      <c r="E70" s="11" t="n">
        <v>1</v>
      </c>
      <c r="F70" s="11" t="n">
        <v>1</v>
      </c>
      <c r="G70" s="11" t="n">
        <v>1</v>
      </c>
      <c r="H70" s="11" t="n">
        <v>1</v>
      </c>
      <c r="I70" s="11" t="n">
        <v>1</v>
      </c>
      <c r="J70" s="11" t="n">
        <v>1</v>
      </c>
      <c r="K70" s="11" t="n">
        <v>1</v>
      </c>
    </row>
    <row r="71" customFormat="false" ht="15" hidden="false" customHeight="false" outlineLevel="0" collapsed="false">
      <c r="A71" s="8" t="str">
        <f aca="false">parametros_recargas!$B$77</f>
        <v>Descarga de agua / AFFF / sales K</v>
      </c>
      <c r="B71" s="11" t="n">
        <v>1</v>
      </c>
      <c r="C71" s="11" t="n">
        <v>1</v>
      </c>
      <c r="D71" s="11" t="n">
        <v>1</v>
      </c>
      <c r="E71" s="11" t="n">
        <v>1</v>
      </c>
      <c r="F71" s="11" t="n">
        <v>1</v>
      </c>
      <c r="G71" s="11" t="n">
        <v>1</v>
      </c>
      <c r="H71" s="11" t="n">
        <v>1</v>
      </c>
      <c r="I71" s="11" t="n">
        <v>1</v>
      </c>
      <c r="J71" s="11" t="n">
        <v>1</v>
      </c>
      <c r="K71" s="11" t="n">
        <v>1</v>
      </c>
    </row>
    <row r="72" customFormat="false" ht="15" hidden="false" customHeight="false" outlineLevel="0" collapsed="false">
      <c r="A72" s="8" t="str">
        <f aca="false">parametros_recargas!$B$78</f>
        <v>Recuperación de CO₂</v>
      </c>
      <c r="B72" s="11" t="n">
        <v>1</v>
      </c>
      <c r="C72" s="11" t="n">
        <v>1</v>
      </c>
      <c r="D72" s="11" t="n">
        <v>1</v>
      </c>
      <c r="E72" s="11" t="n">
        <v>1</v>
      </c>
      <c r="F72" s="11" t="n">
        <v>1</v>
      </c>
      <c r="G72" s="11" t="n">
        <v>1</v>
      </c>
      <c r="H72" s="11" t="n">
        <v>1</v>
      </c>
      <c r="I72" s="11" t="n">
        <v>1</v>
      </c>
      <c r="J72" s="11" t="n">
        <v>1</v>
      </c>
      <c r="K72" s="11" t="n">
        <v>1</v>
      </c>
    </row>
    <row r="73" customFormat="false" ht="15" hidden="false" customHeight="false" outlineLevel="0" collapsed="false">
      <c r="A73" s="8" t="str">
        <f aca="false">parametros_recargas!$B$79</f>
        <v>Recuperación de halogenado</v>
      </c>
      <c r="B73" s="11" t="n">
        <v>1</v>
      </c>
      <c r="C73" s="11" t="n">
        <v>1</v>
      </c>
      <c r="D73" s="11" t="n">
        <v>1</v>
      </c>
      <c r="E73" s="11" t="n">
        <v>1</v>
      </c>
      <c r="F73" s="11" t="n">
        <v>1</v>
      </c>
      <c r="G73" s="11" t="n">
        <v>1</v>
      </c>
      <c r="H73" s="11" t="n">
        <v>1</v>
      </c>
      <c r="I73" s="11" t="n">
        <v>1</v>
      </c>
      <c r="J73" s="11" t="n">
        <v>1</v>
      </c>
      <c r="K73" s="11" t="n">
        <v>1</v>
      </c>
    </row>
    <row r="74" customFormat="false" ht="15" hidden="false" customHeight="false" outlineLevel="0" collapsed="false">
      <c r="A74" s="8" t="str">
        <f aca="false">parametros_recargas!$B$80</f>
        <v>Desarme y limpieza — recinto</v>
      </c>
      <c r="B74" s="11" t="n">
        <v>1</v>
      </c>
      <c r="C74" s="11" t="n">
        <v>1</v>
      </c>
      <c r="D74" s="11" t="n">
        <v>1</v>
      </c>
      <c r="E74" s="11" t="n">
        <v>1</v>
      </c>
      <c r="F74" s="11" t="n">
        <v>1</v>
      </c>
      <c r="G74" s="11" t="n">
        <v>1</v>
      </c>
      <c r="H74" s="11" t="n">
        <v>1</v>
      </c>
      <c r="I74" s="11" t="n">
        <v>1</v>
      </c>
      <c r="J74" s="11" t="n">
        <v>1</v>
      </c>
      <c r="K74" s="11" t="n">
        <v>1</v>
      </c>
    </row>
    <row r="75" customFormat="false" ht="15" hidden="false" customHeight="false" outlineLevel="0" collapsed="false">
      <c r="A75" s="8" t="str">
        <f aca="false">parametros_recargas!$B$81</f>
        <v>Desarme e inspección interior — zona general</v>
      </c>
      <c r="B75" s="11" t="n">
        <v>1</v>
      </c>
      <c r="C75" s="11" t="n">
        <v>1</v>
      </c>
      <c r="D75" s="11" t="n">
        <v>1</v>
      </c>
      <c r="E75" s="11" t="n">
        <v>1</v>
      </c>
      <c r="F75" s="11" t="n">
        <v>1</v>
      </c>
      <c r="G75" s="11" t="n">
        <v>1</v>
      </c>
      <c r="H75" s="11" t="n">
        <v>1</v>
      </c>
      <c r="I75" s="11" t="n">
        <v>1</v>
      </c>
      <c r="J75" s="11" t="n">
        <v>1</v>
      </c>
      <c r="K75" s="11" t="n">
        <v>1</v>
      </c>
    </row>
    <row r="76" customFormat="false" ht="15" hidden="false" customHeight="false" outlineLevel="0" collapsed="false">
      <c r="A76" s="8" t="str">
        <f aca="false">parametros_recargas!$B$82</f>
        <v>Laboratorio — Puffer y mufla</v>
      </c>
      <c r="B76" s="11" t="n">
        <v>1</v>
      </c>
      <c r="C76" s="11" t="n">
        <v>1</v>
      </c>
      <c r="D76" s="11" t="n">
        <v>1</v>
      </c>
      <c r="E76" s="11" t="n">
        <v>1</v>
      </c>
      <c r="F76" s="11" t="n">
        <v>1</v>
      </c>
      <c r="G76" s="11" t="n">
        <v>1</v>
      </c>
      <c r="H76" s="11" t="n">
        <v>1</v>
      </c>
      <c r="I76" s="11" t="n">
        <v>1</v>
      </c>
      <c r="J76" s="11" t="n">
        <v>1</v>
      </c>
      <c r="K76" s="11" t="n">
        <v>1</v>
      </c>
    </row>
    <row r="77" customFormat="false" ht="15" hidden="false" customHeight="false" outlineLevel="0" collapsed="false">
      <c r="A77" s="8" t="str">
        <f aca="false">parametros_recargas!$B$83</f>
        <v>Prueba hidráulica</v>
      </c>
      <c r="B77" s="11" t="n">
        <v>1</v>
      </c>
      <c r="C77" s="11" t="n">
        <v>1</v>
      </c>
      <c r="D77" s="11" t="n">
        <v>1</v>
      </c>
      <c r="E77" s="11" t="n">
        <v>1</v>
      </c>
      <c r="F77" s="11" t="n">
        <v>1</v>
      </c>
      <c r="G77" s="11" t="n">
        <v>1</v>
      </c>
      <c r="H77" s="11" t="n">
        <v>1</v>
      </c>
      <c r="I77" s="11" t="n">
        <v>2</v>
      </c>
      <c r="J77" s="11" t="n">
        <v>2</v>
      </c>
      <c r="K77" s="11" t="n">
        <v>2</v>
      </c>
    </row>
    <row r="78" customFormat="false" ht="15" hidden="false" customHeight="false" outlineLevel="0" collapsed="false">
      <c r="A78" s="8" t="str">
        <f aca="false">parametros_recargas!$B$84</f>
        <v>Secado</v>
      </c>
      <c r="B78" s="11" t="n">
        <v>1</v>
      </c>
      <c r="C78" s="11" t="n">
        <v>1</v>
      </c>
      <c r="D78" s="11" t="n">
        <v>1</v>
      </c>
      <c r="E78" s="11" t="n">
        <v>1</v>
      </c>
      <c r="F78" s="11" t="n">
        <v>1</v>
      </c>
      <c r="G78" s="11" t="n">
        <v>1</v>
      </c>
      <c r="H78" s="11" t="n">
        <v>1</v>
      </c>
      <c r="I78" s="11" t="n">
        <v>1</v>
      </c>
      <c r="J78" s="11" t="n">
        <v>1</v>
      </c>
      <c r="K78" s="11" t="n">
        <v>1</v>
      </c>
    </row>
    <row r="79" customFormat="false" ht="15" hidden="false" customHeight="false" outlineLevel="0" collapsed="false">
      <c r="A79" s="8" t="str">
        <f aca="false">parametros_recargas!$B$85</f>
        <v>Inspección interior con videoscopio</v>
      </c>
      <c r="B79" s="11" t="n">
        <v>1</v>
      </c>
      <c r="C79" s="11" t="n">
        <v>1</v>
      </c>
      <c r="D79" s="11" t="n">
        <v>1</v>
      </c>
      <c r="E79" s="11" t="n">
        <v>1</v>
      </c>
      <c r="F79" s="11" t="n">
        <v>1</v>
      </c>
      <c r="G79" s="11" t="n">
        <v>1</v>
      </c>
      <c r="H79" s="11" t="n">
        <v>1</v>
      </c>
      <c r="I79" s="11" t="n">
        <v>1</v>
      </c>
      <c r="J79" s="11" t="n">
        <v>1</v>
      </c>
      <c r="K79" s="11" t="n">
        <v>1</v>
      </c>
    </row>
    <row r="80" customFormat="false" ht="15" hidden="false" customHeight="false" outlineLevel="0" collapsed="false">
      <c r="A80" s="8" t="str">
        <f aca="false">parametros_recargas!$B$86</f>
        <v>Pintura</v>
      </c>
      <c r="B80" s="11" t="n">
        <v>1</v>
      </c>
      <c r="C80" s="11" t="n">
        <v>1</v>
      </c>
      <c r="D80" s="11" t="n">
        <v>1</v>
      </c>
      <c r="E80" s="11" t="n">
        <v>1</v>
      </c>
      <c r="F80" s="11" t="n">
        <v>1</v>
      </c>
      <c r="G80" s="11" t="n">
        <v>1</v>
      </c>
      <c r="H80" s="11" t="n">
        <v>2</v>
      </c>
      <c r="I80" s="11" t="n">
        <v>2</v>
      </c>
      <c r="J80" s="11" t="n">
        <v>2</v>
      </c>
      <c r="K80" s="11" t="n">
        <v>2</v>
      </c>
    </row>
    <row r="81" customFormat="false" ht="15" hidden="false" customHeight="false" outlineLevel="0" collapsed="false">
      <c r="A81" s="8" t="str">
        <f aca="false">parametros_recargas!$B$87</f>
        <v>Carga de polvo ABC</v>
      </c>
      <c r="B81" s="11" t="n">
        <v>1</v>
      </c>
      <c r="C81" s="11" t="n">
        <v>1</v>
      </c>
      <c r="D81" s="11" t="n">
        <v>1</v>
      </c>
      <c r="E81" s="11" t="n">
        <v>1</v>
      </c>
      <c r="F81" s="11" t="n">
        <v>1</v>
      </c>
      <c r="G81" s="11" t="n">
        <v>1</v>
      </c>
      <c r="H81" s="11" t="n">
        <v>1</v>
      </c>
      <c r="I81" s="11" t="n">
        <v>1</v>
      </c>
      <c r="J81" s="11" t="n">
        <v>1</v>
      </c>
      <c r="K81" s="11" t="n">
        <v>1</v>
      </c>
    </row>
    <row r="82" customFormat="false" ht="15" hidden="false" customHeight="false" outlineLevel="0" collapsed="false">
      <c r="A82" s="8" t="str">
        <f aca="false">parametros_recargas!$B$88</f>
        <v>Carga de polvo BC</v>
      </c>
      <c r="B82" s="11" t="n">
        <v>1</v>
      </c>
      <c r="C82" s="11" t="n">
        <v>1</v>
      </c>
      <c r="D82" s="11" t="n">
        <v>1</v>
      </c>
      <c r="E82" s="11" t="n">
        <v>1</v>
      </c>
      <c r="F82" s="11" t="n">
        <v>1</v>
      </c>
      <c r="G82" s="11" t="n">
        <v>1</v>
      </c>
      <c r="H82" s="11" t="n">
        <v>1</v>
      </c>
      <c r="I82" s="11" t="n">
        <v>1</v>
      </c>
      <c r="J82" s="11" t="n">
        <v>1</v>
      </c>
      <c r="K82" s="11" t="n">
        <v>1</v>
      </c>
    </row>
    <row r="83" customFormat="false" ht="15" hidden="false" customHeight="false" outlineLevel="0" collapsed="false">
      <c r="A83" s="8" t="str">
        <f aca="false">parametros_recargas!$B$89</f>
        <v>Descarga y carga Clase D</v>
      </c>
      <c r="B83" s="11" t="n">
        <v>1</v>
      </c>
      <c r="C83" s="11" t="n">
        <v>1</v>
      </c>
      <c r="D83" s="11" t="n">
        <v>1</v>
      </c>
      <c r="E83" s="11" t="n">
        <v>1</v>
      </c>
      <c r="F83" s="11" t="n">
        <v>1</v>
      </c>
      <c r="G83" s="11" t="n">
        <v>1</v>
      </c>
      <c r="H83" s="11" t="n">
        <v>1</v>
      </c>
      <c r="I83" s="11" t="n">
        <v>1</v>
      </c>
      <c r="J83" s="11" t="n">
        <v>1</v>
      </c>
      <c r="K83" s="11" t="n">
        <v>1</v>
      </c>
    </row>
    <row r="84" customFormat="false" ht="15" hidden="false" customHeight="false" outlineLevel="0" collapsed="false">
      <c r="A84" s="8" t="str">
        <f aca="false">parametros_recargas!$B$90</f>
        <v>Carga de agua / AFFF / sales K</v>
      </c>
      <c r="B84" s="11" t="n">
        <v>1</v>
      </c>
      <c r="C84" s="11" t="n">
        <v>1</v>
      </c>
      <c r="D84" s="11" t="n">
        <v>1</v>
      </c>
      <c r="E84" s="11" t="n">
        <v>1</v>
      </c>
      <c r="F84" s="11" t="n">
        <v>1</v>
      </c>
      <c r="G84" s="11" t="n">
        <v>1</v>
      </c>
      <c r="H84" s="11" t="n">
        <v>1</v>
      </c>
      <c r="I84" s="11" t="n">
        <v>1</v>
      </c>
      <c r="J84" s="11" t="n">
        <v>1</v>
      </c>
      <c r="K84" s="11" t="n">
        <v>1</v>
      </c>
    </row>
    <row r="85" customFormat="false" ht="15" hidden="false" customHeight="false" outlineLevel="0" collapsed="false">
      <c r="A85" s="8" t="str">
        <f aca="false">parametros_recargas!$B$91</f>
        <v>Carga de CO₂</v>
      </c>
      <c r="B85" s="11" t="n">
        <v>1</v>
      </c>
      <c r="C85" s="11" t="n">
        <v>1</v>
      </c>
      <c r="D85" s="11" t="n">
        <v>1</v>
      </c>
      <c r="E85" s="11" t="n">
        <v>1</v>
      </c>
      <c r="F85" s="11" t="n">
        <v>1</v>
      </c>
      <c r="G85" s="11" t="n">
        <v>1</v>
      </c>
      <c r="H85" s="11" t="n">
        <v>1</v>
      </c>
      <c r="I85" s="11" t="n">
        <v>1</v>
      </c>
      <c r="J85" s="11" t="n">
        <v>1</v>
      </c>
      <c r="K85" s="11" t="n">
        <v>1</v>
      </c>
    </row>
    <row r="86" customFormat="false" ht="15" hidden="false" customHeight="false" outlineLevel="0" collapsed="false">
      <c r="A86" s="8" t="str">
        <f aca="false">parametros_recargas!$B$92</f>
        <v>Ensamblaje y marbete — recinto</v>
      </c>
      <c r="B86" s="11" t="n">
        <v>1</v>
      </c>
      <c r="C86" s="11" t="n">
        <v>1</v>
      </c>
      <c r="D86" s="11" t="n">
        <v>1</v>
      </c>
      <c r="E86" s="11" t="n">
        <v>1</v>
      </c>
      <c r="F86" s="11" t="n">
        <v>1</v>
      </c>
      <c r="G86" s="11" t="n">
        <v>1</v>
      </c>
      <c r="H86" s="11" t="n">
        <v>1</v>
      </c>
      <c r="I86" s="11" t="n">
        <v>1</v>
      </c>
      <c r="J86" s="11" t="n">
        <v>1</v>
      </c>
      <c r="K86" s="11" t="n">
        <v>1</v>
      </c>
    </row>
    <row r="87" customFormat="false" ht="15" hidden="false" customHeight="false" outlineLevel="0" collapsed="false">
      <c r="A87" s="8" t="str">
        <f aca="false">parametros_recargas!$B$93</f>
        <v>Presurización — recinto</v>
      </c>
      <c r="B87" s="11" t="n">
        <v>1</v>
      </c>
      <c r="C87" s="11" t="n">
        <v>1</v>
      </c>
      <c r="D87" s="11" t="n">
        <v>1</v>
      </c>
      <c r="E87" s="11" t="n">
        <v>1</v>
      </c>
      <c r="F87" s="11" t="n">
        <v>1</v>
      </c>
      <c r="G87" s="11" t="n">
        <v>1</v>
      </c>
      <c r="H87" s="11" t="n">
        <v>1</v>
      </c>
      <c r="I87" s="11" t="n">
        <v>2</v>
      </c>
      <c r="J87" s="11" t="n">
        <v>2</v>
      </c>
      <c r="K87" s="11" t="n">
        <v>2</v>
      </c>
    </row>
    <row r="88" customFormat="false" ht="15" hidden="false" customHeight="false" outlineLevel="0" collapsed="false">
      <c r="A88" s="8" t="str">
        <f aca="false">parametros_recargas!$B$94</f>
        <v>Ensamblaje y presurización — zona general</v>
      </c>
      <c r="B88" s="11" t="n">
        <v>1</v>
      </c>
      <c r="C88" s="11" t="n">
        <v>1</v>
      </c>
      <c r="D88" s="11" t="n">
        <v>1</v>
      </c>
      <c r="E88" s="11" t="n">
        <v>1</v>
      </c>
      <c r="F88" s="11" t="n">
        <v>1</v>
      </c>
      <c r="G88" s="11" t="n">
        <v>1</v>
      </c>
      <c r="H88" s="11" t="n">
        <v>1</v>
      </c>
      <c r="I88" s="11" t="n">
        <v>1</v>
      </c>
      <c r="J88" s="11" t="n">
        <v>1</v>
      </c>
      <c r="K88" s="11" t="n">
        <v>1</v>
      </c>
    </row>
    <row r="89" customFormat="false" ht="15" hidden="false" customHeight="false" outlineLevel="0" collapsed="false">
      <c r="A89" s="8" t="str">
        <f aca="false">parametros_recargas!$B$95</f>
        <v>Carga y presurización de halogenado</v>
      </c>
      <c r="B89" s="11" t="n">
        <v>1</v>
      </c>
      <c r="C89" s="11" t="n">
        <v>1</v>
      </c>
      <c r="D89" s="11" t="n">
        <v>1</v>
      </c>
      <c r="E89" s="11" t="n">
        <v>1</v>
      </c>
      <c r="F89" s="11" t="n">
        <v>1</v>
      </c>
      <c r="G89" s="11" t="n">
        <v>1</v>
      </c>
      <c r="H89" s="11" t="n">
        <v>1</v>
      </c>
      <c r="I89" s="11" t="n">
        <v>1</v>
      </c>
      <c r="J89" s="11" t="n">
        <v>1</v>
      </c>
      <c r="K89" s="11" t="n">
        <v>1</v>
      </c>
    </row>
    <row r="90" customFormat="false" ht="15" hidden="false" customHeight="false" outlineLevel="0" collapsed="false">
      <c r="A90" s="8" t="str">
        <f aca="false">parametros_recargas!$B$96</f>
        <v>Control de peso (CO₂ y halogenados sin recarga)</v>
      </c>
      <c r="B90" s="11" t="n">
        <v>1</v>
      </c>
      <c r="C90" s="11" t="n">
        <v>1</v>
      </c>
      <c r="D90" s="11" t="n">
        <v>1</v>
      </c>
      <c r="E90" s="11" t="n">
        <v>1</v>
      </c>
      <c r="F90" s="11" t="n">
        <v>1</v>
      </c>
      <c r="G90" s="11" t="n">
        <v>1</v>
      </c>
      <c r="H90" s="11" t="n">
        <v>1</v>
      </c>
      <c r="I90" s="11" t="n">
        <v>1</v>
      </c>
      <c r="J90" s="11" t="n">
        <v>1</v>
      </c>
      <c r="K90" s="11" t="n">
        <v>1</v>
      </c>
    </row>
    <row r="91" customFormat="false" ht="15" hidden="false" customHeight="false" outlineLevel="0" collapsed="false">
      <c r="A91" s="8" t="str">
        <f aca="false">parametros_recargas!$B$97</f>
        <v>Ensayo de pérdidas</v>
      </c>
      <c r="B91" s="11" t="n">
        <v>1</v>
      </c>
      <c r="C91" s="11" t="n">
        <v>1</v>
      </c>
      <c r="D91" s="11" t="n">
        <v>1</v>
      </c>
      <c r="E91" s="11" t="n">
        <v>1</v>
      </c>
      <c r="F91" s="11" t="n">
        <v>1</v>
      </c>
      <c r="G91" s="11" t="n">
        <v>1</v>
      </c>
      <c r="H91" s="11" t="n">
        <v>2</v>
      </c>
      <c r="I91" s="11" t="n">
        <v>2</v>
      </c>
      <c r="J91" s="11" t="n">
        <v>2</v>
      </c>
      <c r="K91" s="11" t="n">
        <v>2</v>
      </c>
    </row>
    <row r="92" customFormat="false" ht="15" hidden="false" customHeight="false" outlineLevel="0" collapsed="false">
      <c r="A92" s="8" t="str">
        <f aca="false">parametros_recargas!$B$98</f>
        <v>Precinto, etiqueta y despacho</v>
      </c>
      <c r="B92" s="11" t="n">
        <v>1</v>
      </c>
      <c r="C92" s="11" t="n">
        <v>1</v>
      </c>
      <c r="D92" s="11" t="n">
        <v>1</v>
      </c>
      <c r="E92" s="11" t="n">
        <v>1</v>
      </c>
      <c r="F92" s="11" t="n">
        <v>1</v>
      </c>
      <c r="G92" s="11" t="n">
        <v>1</v>
      </c>
      <c r="H92" s="11" t="n">
        <v>1</v>
      </c>
      <c r="I92" s="11" t="n">
        <v>1</v>
      </c>
      <c r="J92" s="11" t="n">
        <v>1</v>
      </c>
      <c r="K92" s="11" t="n">
        <v>1</v>
      </c>
    </row>
    <row r="93" customFormat="false" ht="15" hidden="false" customHeight="false" outlineLevel="0" collapsed="false">
      <c r="A93" s="8" t="str">
        <f aca="false">parametros_recargas!$B$99</f>
        <v>Inutilización y disposición final</v>
      </c>
      <c r="B93" s="11" t="n">
        <v>1</v>
      </c>
      <c r="C93" s="11" t="n">
        <v>1</v>
      </c>
      <c r="D93" s="11" t="n">
        <v>1</v>
      </c>
      <c r="E93" s="11" t="n">
        <v>1</v>
      </c>
      <c r="F93" s="11" t="n">
        <v>1</v>
      </c>
      <c r="G93" s="11" t="n">
        <v>1</v>
      </c>
      <c r="H93" s="11" t="n">
        <v>1</v>
      </c>
      <c r="I93" s="11" t="n">
        <v>1</v>
      </c>
      <c r="J93" s="11" t="n">
        <v>1</v>
      </c>
      <c r="K93" s="11" t="n">
        <v>1</v>
      </c>
    </row>
    <row r="94" customFormat="false" ht="15" hidden="false" customHeight="false" outlineLevel="0" collapsed="false">
      <c r="A94" s="8" t="str">
        <f aca="false">parametros_recargas!$B$100</f>
        <v>PH de mangueras (CO₂ y rodantes)</v>
      </c>
      <c r="B94" s="11" t="n">
        <v>1</v>
      </c>
      <c r="C94" s="11" t="n">
        <v>1</v>
      </c>
      <c r="D94" s="11" t="n">
        <v>1</v>
      </c>
      <c r="E94" s="11" t="n">
        <v>1</v>
      </c>
      <c r="F94" s="11" t="n">
        <v>1</v>
      </c>
      <c r="G94" s="11" t="n">
        <v>1</v>
      </c>
      <c r="H94" s="11" t="n">
        <v>1</v>
      </c>
      <c r="I94" s="11" t="n">
        <v>1</v>
      </c>
      <c r="J94" s="11" t="n">
        <v>1</v>
      </c>
      <c r="K94" s="11" t="n">
        <v>1</v>
      </c>
    </row>
    <row r="95" customFormat="false" ht="15" hidden="false" customHeight="false" outlineLevel="0" collapsed="false">
      <c r="A95" s="5" t="s">
        <v>343</v>
      </c>
      <c r="B95" s="13" t="n">
        <f aca="false">MAX(B66:B94)</f>
        <v>1</v>
      </c>
      <c r="C95" s="13" t="n">
        <f aca="false">MAX(C66:C94)</f>
        <v>1</v>
      </c>
      <c r="D95" s="13" t="n">
        <f aca="false">MAX(D66:D94)</f>
        <v>1</v>
      </c>
      <c r="E95" s="13" t="n">
        <f aca="false">MAX(E66:E94)</f>
        <v>1</v>
      </c>
      <c r="F95" s="13" t="n">
        <f aca="false">MAX(F66:F94)</f>
        <v>1</v>
      </c>
      <c r="G95" s="13" t="n">
        <f aca="false">MAX(G66:G94)</f>
        <v>1</v>
      </c>
      <c r="H95" s="13" t="n">
        <f aca="false">MAX(H66:H94)</f>
        <v>2</v>
      </c>
      <c r="I95" s="13" t="n">
        <f aca="false">MAX(I66:I94)</f>
        <v>2</v>
      </c>
      <c r="J95" s="13" t="n">
        <f aca="false">MAX(J66:J94)</f>
        <v>2</v>
      </c>
      <c r="K95" s="13" t="n">
        <f aca="false">MAX(K66:K94)</f>
        <v>2</v>
      </c>
    </row>
    <row r="97" customFormat="false" ht="15" hidden="false" customHeight="false" outlineLevel="0" collapsed="false">
      <c r="A97" s="2" t="s">
        <v>344</v>
      </c>
      <c r="B97" s="2" t="n">
        <v>2026</v>
      </c>
      <c r="C97" s="2" t="n">
        <v>2027</v>
      </c>
      <c r="D97" s="2" t="n">
        <v>2028</v>
      </c>
      <c r="E97" s="2" t="n">
        <v>2029</v>
      </c>
      <c r="F97" s="2" t="n">
        <v>2030</v>
      </c>
      <c r="G97" s="2" t="n">
        <v>2031</v>
      </c>
      <c r="H97" s="2" t="n">
        <v>2032</v>
      </c>
      <c r="I97" s="2" t="n">
        <v>2033</v>
      </c>
      <c r="J97" s="2" t="n">
        <v>2034</v>
      </c>
      <c r="K97" s="2" t="n">
        <v>2035</v>
      </c>
    </row>
    <row r="98" customFormat="false" ht="15" hidden="false" customHeight="false" outlineLevel="0" collapsed="false">
      <c r="A98" s="8" t="str">
        <f aca="false">parametros_recargas!$B$72</f>
        <v>Recepción y registro</v>
      </c>
      <c r="B98" s="11" t="n">
        <f aca="false">IF(parametros_recargas!$N$72=0,0,ROUNDUP('Demanda por puesto'!$P$2/(parametros_recargas!$N$72*$O$9),0))</f>
        <v>1</v>
      </c>
      <c r="C98" s="11" t="n">
        <f aca="false">IF(parametros_recargas!$N$72=0,0,ROUNDUP('Demanda por puesto'!$P$34/(parametros_recargas!$N$72*$O$9),0))</f>
        <v>1</v>
      </c>
      <c r="D98" s="11" t="n">
        <f aca="false">IF(parametros_recargas!$N$72=0,0,ROUNDUP('Demanda por puesto'!$P$66/(parametros_recargas!$N$72*$O$9),0))</f>
        <v>1</v>
      </c>
      <c r="E98" s="11" t="n">
        <f aca="false">IF(parametros_recargas!$N$72=0,0,ROUNDUP('Demanda por puesto'!$P$98/(parametros_recargas!$N$72*$O$9),0))</f>
        <v>1</v>
      </c>
      <c r="F98" s="11" t="n">
        <f aca="false">IF(parametros_recargas!$N$72=0,0,ROUNDUP('Demanda por puesto'!$P$130/(parametros_recargas!$N$72*$O$9),0))</f>
        <v>1</v>
      </c>
      <c r="G98" s="11" t="n">
        <f aca="false">IF(parametros_recargas!$N$72=0,0,ROUNDUP('Demanda por puesto'!$P$162/(parametros_recargas!$N$72*$O$9),0))</f>
        <v>1</v>
      </c>
      <c r="H98" s="11" t="n">
        <f aca="false">IF(parametros_recargas!$N$72=0,0,ROUNDUP('Demanda por puesto'!$P$194/(parametros_recargas!$N$72*$O$9),0))</f>
        <v>2</v>
      </c>
      <c r="I98" s="11" t="n">
        <f aca="false">IF(parametros_recargas!$N$72=0,0,ROUNDUP('Demanda por puesto'!$P$226/(parametros_recargas!$N$72*$O$9),0))</f>
        <v>2</v>
      </c>
      <c r="J98" s="11" t="n">
        <f aca="false">IF(parametros_recargas!$N$72=0,0,ROUNDUP('Demanda por puesto'!$P$258/(parametros_recargas!$N$72*$O$9),0))</f>
        <v>2</v>
      </c>
      <c r="K98" s="11" t="n">
        <f aca="false">IF(parametros_recargas!$N$72=0,0,ROUNDUP('Demanda por puesto'!$P$290/(parametros_recargas!$N$72*$O$9),0))</f>
        <v>2</v>
      </c>
    </row>
    <row r="99" customFormat="false" ht="15" hidden="false" customHeight="false" outlineLevel="0" collapsed="false">
      <c r="A99" s="8" t="str">
        <f aca="false">parametros_recargas!$B$73</f>
        <v>Inspección visual</v>
      </c>
      <c r="B99" s="11" t="n">
        <f aca="false">IF(parametros_recargas!$N$73=0,0,ROUNDUP('Demanda por puesto'!$P$3/(parametros_recargas!$N$73*$O$9),0))</f>
        <v>1</v>
      </c>
      <c r="C99" s="11" t="n">
        <f aca="false">IF(parametros_recargas!$N$73=0,0,ROUNDUP('Demanda por puesto'!$P$35/(parametros_recargas!$N$73*$O$9),0))</f>
        <v>1</v>
      </c>
      <c r="D99" s="11" t="n">
        <f aca="false">IF(parametros_recargas!$N$73=0,0,ROUNDUP('Demanda por puesto'!$P$67/(parametros_recargas!$N$73*$O$9),0))</f>
        <v>1</v>
      </c>
      <c r="E99" s="11" t="n">
        <f aca="false">IF(parametros_recargas!$N$73=0,0,ROUNDUP('Demanda por puesto'!$P$99/(parametros_recargas!$N$73*$O$9),0))</f>
        <v>1</v>
      </c>
      <c r="F99" s="11" t="n">
        <f aca="false">IF(parametros_recargas!$N$73=0,0,ROUNDUP('Demanda por puesto'!$P$131/(parametros_recargas!$N$73*$O$9),0))</f>
        <v>1</v>
      </c>
      <c r="G99" s="11" t="n">
        <f aca="false">IF(parametros_recargas!$N$73=0,0,ROUNDUP('Demanda por puesto'!$P$163/(parametros_recargas!$N$73*$O$9),0))</f>
        <v>2</v>
      </c>
      <c r="H99" s="11" t="n">
        <f aca="false">IF(parametros_recargas!$N$73=0,0,ROUNDUP('Demanda por puesto'!$P$195/(parametros_recargas!$N$73*$O$9),0))</f>
        <v>2</v>
      </c>
      <c r="I99" s="11" t="n">
        <f aca="false">IF(parametros_recargas!$N$73=0,0,ROUNDUP('Demanda por puesto'!$P$227/(parametros_recargas!$N$73*$O$9),0))</f>
        <v>2</v>
      </c>
      <c r="J99" s="11" t="n">
        <f aca="false">IF(parametros_recargas!$N$73=0,0,ROUNDUP('Demanda por puesto'!$P$259/(parametros_recargas!$N$73*$O$9),0))</f>
        <v>2</v>
      </c>
      <c r="K99" s="11" t="n">
        <f aca="false">IF(parametros_recargas!$N$73=0,0,ROUNDUP('Demanda por puesto'!$P$291/(parametros_recargas!$N$73*$O$9),0))</f>
        <v>2</v>
      </c>
    </row>
    <row r="100" customFormat="false" ht="15" hidden="false" customHeight="false" outlineLevel="0" collapsed="false">
      <c r="A100" s="8" t="str">
        <f aca="false">parametros_recargas!$B$74</f>
        <v>Descarga ABC — ruta recuperable</v>
      </c>
      <c r="B100" s="11" t="n">
        <f aca="false">IF(parametros_recargas!$N$74=0,0,ROUNDUP('Demanda por puesto'!$P$4/(parametros_recargas!$N$74*$O$9),0))</f>
        <v>1</v>
      </c>
      <c r="C100" s="11" t="n">
        <f aca="false">IF(parametros_recargas!$N$74=0,0,ROUNDUP('Demanda por puesto'!$P$36/(parametros_recargas!$N$74*$O$9),0))</f>
        <v>1</v>
      </c>
      <c r="D100" s="11" t="n">
        <f aca="false">IF(parametros_recargas!$N$74=0,0,ROUNDUP('Demanda por puesto'!$P$68/(parametros_recargas!$N$74*$O$9),0))</f>
        <v>1</v>
      </c>
      <c r="E100" s="11" t="n">
        <f aca="false">IF(parametros_recargas!$N$74=0,0,ROUNDUP('Demanda por puesto'!$P$100/(parametros_recargas!$N$74*$O$9),0))</f>
        <v>1</v>
      </c>
      <c r="F100" s="11" t="n">
        <f aca="false">IF(parametros_recargas!$N$74=0,0,ROUNDUP('Demanda por puesto'!$P$132/(parametros_recargas!$N$74*$O$9),0))</f>
        <v>1</v>
      </c>
      <c r="G100" s="11" t="n">
        <f aca="false">IF(parametros_recargas!$N$74=0,0,ROUNDUP('Demanda por puesto'!$P$164/(parametros_recargas!$N$74*$O$9),0))</f>
        <v>1</v>
      </c>
      <c r="H100" s="11" t="n">
        <f aca="false">IF(parametros_recargas!$N$74=0,0,ROUNDUP('Demanda por puesto'!$P$196/(parametros_recargas!$N$74*$O$9),0))</f>
        <v>1</v>
      </c>
      <c r="I100" s="11" t="n">
        <f aca="false">IF(parametros_recargas!$N$74=0,0,ROUNDUP('Demanda por puesto'!$P$228/(parametros_recargas!$N$74*$O$9),0))</f>
        <v>2</v>
      </c>
      <c r="J100" s="11" t="n">
        <f aca="false">IF(parametros_recargas!$N$74=0,0,ROUNDUP('Demanda por puesto'!$P$260/(parametros_recargas!$N$74*$O$9),0))</f>
        <v>2</v>
      </c>
      <c r="K100" s="11" t="n">
        <f aca="false">IF(parametros_recargas!$N$74=0,0,ROUNDUP('Demanda por puesto'!$P$292/(parametros_recargas!$N$74*$O$9),0))</f>
        <v>2</v>
      </c>
    </row>
    <row r="101" customFormat="false" ht="15" hidden="false" customHeight="false" outlineLevel="0" collapsed="false">
      <c r="A101" s="8" t="str">
        <f aca="false">parametros_recargas!$B$75</f>
        <v>Descarga ABC — ruta descarte</v>
      </c>
      <c r="B101" s="11" t="n">
        <f aca="false">IF(parametros_recargas!$N$75=0,0,ROUNDUP('Demanda por puesto'!$P$5/(parametros_recargas!$N$75*$O$9),0))</f>
        <v>1</v>
      </c>
      <c r="C101" s="11" t="n">
        <f aca="false">IF(parametros_recargas!$N$75=0,0,ROUNDUP('Demanda por puesto'!$P$37/(parametros_recargas!$N$75*$O$9),0))</f>
        <v>1</v>
      </c>
      <c r="D101" s="11" t="n">
        <f aca="false">IF(parametros_recargas!$N$75=0,0,ROUNDUP('Demanda por puesto'!$P$69/(parametros_recargas!$N$75*$O$9),0))</f>
        <v>1</v>
      </c>
      <c r="E101" s="11" t="n">
        <f aca="false">IF(parametros_recargas!$N$75=0,0,ROUNDUP('Demanda por puesto'!$P$101/(parametros_recargas!$N$75*$O$9),0))</f>
        <v>1</v>
      </c>
      <c r="F101" s="11" t="n">
        <f aca="false">IF(parametros_recargas!$N$75=0,0,ROUNDUP('Demanda por puesto'!$P$133/(parametros_recargas!$N$75*$O$9),0))</f>
        <v>1</v>
      </c>
      <c r="G101" s="11" t="n">
        <f aca="false">IF(parametros_recargas!$N$75=0,0,ROUNDUP('Demanda por puesto'!$P$165/(parametros_recargas!$N$75*$O$9),0))</f>
        <v>1</v>
      </c>
      <c r="H101" s="11" t="n">
        <f aca="false">IF(parametros_recargas!$N$75=0,0,ROUNDUP('Demanda por puesto'!$P$197/(parametros_recargas!$N$75*$O$9),0))</f>
        <v>1</v>
      </c>
      <c r="I101" s="11" t="n">
        <f aca="false">IF(parametros_recargas!$N$75=0,0,ROUNDUP('Demanda por puesto'!$P$229/(parametros_recargas!$N$75*$O$9),0))</f>
        <v>1</v>
      </c>
      <c r="J101" s="11" t="n">
        <f aca="false">IF(parametros_recargas!$N$75=0,0,ROUNDUP('Demanda por puesto'!$P$261/(parametros_recargas!$N$75*$O$9),0))</f>
        <v>1</v>
      </c>
      <c r="K101" s="11" t="n">
        <f aca="false">IF(parametros_recargas!$N$75=0,0,ROUNDUP('Demanda por puesto'!$P$293/(parametros_recargas!$N$75*$O$9),0))</f>
        <v>1</v>
      </c>
    </row>
    <row r="102" customFormat="false" ht="15" hidden="false" customHeight="false" outlineLevel="0" collapsed="false">
      <c r="A102" s="8" t="str">
        <f aca="false">parametros_recargas!$B$76</f>
        <v>Descarga BC</v>
      </c>
      <c r="B102" s="11" t="n">
        <f aca="false">IF(parametros_recargas!$N$76=0,0,ROUNDUP('Demanda por puesto'!$P$6/(parametros_recargas!$N$76*$O$9),0))</f>
        <v>1</v>
      </c>
      <c r="C102" s="11" t="n">
        <f aca="false">IF(parametros_recargas!$N$76=0,0,ROUNDUP('Demanda por puesto'!$P$38/(parametros_recargas!$N$76*$O$9),0))</f>
        <v>1</v>
      </c>
      <c r="D102" s="11" t="n">
        <f aca="false">IF(parametros_recargas!$N$76=0,0,ROUNDUP('Demanda por puesto'!$P$70/(parametros_recargas!$N$76*$O$9),0))</f>
        <v>1</v>
      </c>
      <c r="E102" s="11" t="n">
        <f aca="false">IF(parametros_recargas!$N$76=0,0,ROUNDUP('Demanda por puesto'!$P$102/(parametros_recargas!$N$76*$O$9),0))</f>
        <v>1</v>
      </c>
      <c r="F102" s="11" t="n">
        <f aca="false">IF(parametros_recargas!$N$76=0,0,ROUNDUP('Demanda por puesto'!$P$134/(parametros_recargas!$N$76*$O$9),0))</f>
        <v>1</v>
      </c>
      <c r="G102" s="11" t="n">
        <f aca="false">IF(parametros_recargas!$N$76=0,0,ROUNDUP('Demanda por puesto'!$P$166/(parametros_recargas!$N$76*$O$9),0))</f>
        <v>1</v>
      </c>
      <c r="H102" s="11" t="n">
        <f aca="false">IF(parametros_recargas!$N$76=0,0,ROUNDUP('Demanda por puesto'!$P$198/(parametros_recargas!$N$76*$O$9),0))</f>
        <v>1</v>
      </c>
      <c r="I102" s="11" t="n">
        <f aca="false">IF(parametros_recargas!$N$76=0,0,ROUNDUP('Demanda por puesto'!$P$230/(parametros_recargas!$N$76*$O$9),0))</f>
        <v>1</v>
      </c>
      <c r="J102" s="11" t="n">
        <f aca="false">IF(parametros_recargas!$N$76=0,0,ROUNDUP('Demanda por puesto'!$P$262/(parametros_recargas!$N$76*$O$9),0))</f>
        <v>1</v>
      </c>
      <c r="K102" s="11" t="n">
        <f aca="false">IF(parametros_recargas!$N$76=0,0,ROUNDUP('Demanda por puesto'!$P$294/(parametros_recargas!$N$76*$O$9),0))</f>
        <v>1</v>
      </c>
    </row>
    <row r="103" customFormat="false" ht="15" hidden="false" customHeight="false" outlineLevel="0" collapsed="false">
      <c r="A103" s="8" t="str">
        <f aca="false">parametros_recargas!$B$77</f>
        <v>Descarga de agua / AFFF / sales K</v>
      </c>
      <c r="B103" s="11" t="n">
        <f aca="false">IF(parametros_recargas!$N$77=0,0,ROUNDUP('Demanda por puesto'!$P$7/(parametros_recargas!$N$77*$O$9),0))</f>
        <v>1</v>
      </c>
      <c r="C103" s="11" t="n">
        <f aca="false">IF(parametros_recargas!$N$77=0,0,ROUNDUP('Demanda por puesto'!$P$39/(parametros_recargas!$N$77*$O$9),0))</f>
        <v>1</v>
      </c>
      <c r="D103" s="11" t="n">
        <f aca="false">IF(parametros_recargas!$N$77=0,0,ROUNDUP('Demanda por puesto'!$P$71/(parametros_recargas!$N$77*$O$9),0))</f>
        <v>1</v>
      </c>
      <c r="E103" s="11" t="n">
        <f aca="false">IF(parametros_recargas!$N$77=0,0,ROUNDUP('Demanda por puesto'!$P$103/(parametros_recargas!$N$77*$O$9),0))</f>
        <v>1</v>
      </c>
      <c r="F103" s="11" t="n">
        <f aca="false">IF(parametros_recargas!$N$77=0,0,ROUNDUP('Demanda por puesto'!$P$135/(parametros_recargas!$N$77*$O$9),0))</f>
        <v>1</v>
      </c>
      <c r="G103" s="11" t="n">
        <f aca="false">IF(parametros_recargas!$N$77=0,0,ROUNDUP('Demanda por puesto'!$P$167/(parametros_recargas!$N$77*$O$9),0))</f>
        <v>1</v>
      </c>
      <c r="H103" s="11" t="n">
        <f aca="false">IF(parametros_recargas!$N$77=0,0,ROUNDUP('Demanda por puesto'!$P$199/(parametros_recargas!$N$77*$O$9),0))</f>
        <v>1</v>
      </c>
      <c r="I103" s="11" t="n">
        <f aca="false">IF(parametros_recargas!$N$77=0,0,ROUNDUP('Demanda por puesto'!$P$231/(parametros_recargas!$N$77*$O$9),0))</f>
        <v>1</v>
      </c>
      <c r="J103" s="11" t="n">
        <f aca="false">IF(parametros_recargas!$N$77=0,0,ROUNDUP('Demanda por puesto'!$P$263/(parametros_recargas!$N$77*$O$9),0))</f>
        <v>1</v>
      </c>
      <c r="K103" s="11" t="n">
        <f aca="false">IF(parametros_recargas!$N$77=0,0,ROUNDUP('Demanda por puesto'!$P$295/(parametros_recargas!$N$77*$O$9),0))</f>
        <v>1</v>
      </c>
    </row>
    <row r="104" customFormat="false" ht="15" hidden="false" customHeight="false" outlineLevel="0" collapsed="false">
      <c r="A104" s="8" t="str">
        <f aca="false">parametros_recargas!$B$78</f>
        <v>Recuperación de CO₂</v>
      </c>
      <c r="B104" s="11" t="n">
        <f aca="false">IF(parametros_recargas!$N$78=0,0,ROUNDUP('Demanda por puesto'!$P$8/(parametros_recargas!$N$78*$O$9),0))</f>
        <v>1</v>
      </c>
      <c r="C104" s="11" t="n">
        <f aca="false">IF(parametros_recargas!$N$78=0,0,ROUNDUP('Demanda por puesto'!$P$40/(parametros_recargas!$N$78*$O$9),0))</f>
        <v>1</v>
      </c>
      <c r="D104" s="11" t="n">
        <f aca="false">IF(parametros_recargas!$N$78=0,0,ROUNDUP('Demanda por puesto'!$P$72/(parametros_recargas!$N$78*$O$9),0))</f>
        <v>1</v>
      </c>
      <c r="E104" s="11" t="n">
        <f aca="false">IF(parametros_recargas!$N$78=0,0,ROUNDUP('Demanda por puesto'!$P$104/(parametros_recargas!$N$78*$O$9),0))</f>
        <v>1</v>
      </c>
      <c r="F104" s="11" t="n">
        <f aca="false">IF(parametros_recargas!$N$78=0,0,ROUNDUP('Demanda por puesto'!$P$136/(parametros_recargas!$N$78*$O$9),0))</f>
        <v>1</v>
      </c>
      <c r="G104" s="11" t="n">
        <f aca="false">IF(parametros_recargas!$N$78=0,0,ROUNDUP('Demanda por puesto'!$P$168/(parametros_recargas!$N$78*$O$9),0))</f>
        <v>1</v>
      </c>
      <c r="H104" s="11" t="n">
        <f aca="false">IF(parametros_recargas!$N$78=0,0,ROUNDUP('Demanda por puesto'!$P$200/(parametros_recargas!$N$78*$O$9),0))</f>
        <v>1</v>
      </c>
      <c r="I104" s="11" t="n">
        <f aca="false">IF(parametros_recargas!$N$78=0,0,ROUNDUP('Demanda por puesto'!$P$232/(parametros_recargas!$N$78*$O$9),0))</f>
        <v>1</v>
      </c>
      <c r="J104" s="11" t="n">
        <f aca="false">IF(parametros_recargas!$N$78=0,0,ROUNDUP('Demanda por puesto'!$P$264/(parametros_recargas!$N$78*$O$9),0))</f>
        <v>1</v>
      </c>
      <c r="K104" s="11" t="n">
        <f aca="false">IF(parametros_recargas!$N$78=0,0,ROUNDUP('Demanda por puesto'!$P$296/(parametros_recargas!$N$78*$O$9),0))</f>
        <v>1</v>
      </c>
    </row>
    <row r="105" customFormat="false" ht="15" hidden="false" customHeight="false" outlineLevel="0" collapsed="false">
      <c r="A105" s="8" t="str">
        <f aca="false">parametros_recargas!$B$79</f>
        <v>Recuperación de halogenado</v>
      </c>
      <c r="B105" s="11" t="n">
        <f aca="false">IF(parametros_recargas!$N$79=0,0,ROUNDUP('Demanda por puesto'!$P$9/(parametros_recargas!$N$79*$O$9),0))</f>
        <v>1</v>
      </c>
      <c r="C105" s="11" t="n">
        <f aca="false">IF(parametros_recargas!$N$79=0,0,ROUNDUP('Demanda por puesto'!$P$41/(parametros_recargas!$N$79*$O$9),0))</f>
        <v>1</v>
      </c>
      <c r="D105" s="11" t="n">
        <f aca="false">IF(parametros_recargas!$N$79=0,0,ROUNDUP('Demanda por puesto'!$P$73/(parametros_recargas!$N$79*$O$9),0))</f>
        <v>1</v>
      </c>
      <c r="E105" s="11" t="n">
        <f aca="false">IF(parametros_recargas!$N$79=0,0,ROUNDUP('Demanda por puesto'!$P$105/(parametros_recargas!$N$79*$O$9),0))</f>
        <v>1</v>
      </c>
      <c r="F105" s="11" t="n">
        <f aca="false">IF(parametros_recargas!$N$79=0,0,ROUNDUP('Demanda por puesto'!$P$137/(parametros_recargas!$N$79*$O$9),0))</f>
        <v>1</v>
      </c>
      <c r="G105" s="11" t="n">
        <f aca="false">IF(parametros_recargas!$N$79=0,0,ROUNDUP('Demanda por puesto'!$P$169/(parametros_recargas!$N$79*$O$9),0))</f>
        <v>1</v>
      </c>
      <c r="H105" s="11" t="n">
        <f aca="false">IF(parametros_recargas!$N$79=0,0,ROUNDUP('Demanda por puesto'!$P$201/(parametros_recargas!$N$79*$O$9),0))</f>
        <v>1</v>
      </c>
      <c r="I105" s="11" t="n">
        <f aca="false">IF(parametros_recargas!$N$79=0,0,ROUNDUP('Demanda por puesto'!$P$233/(parametros_recargas!$N$79*$O$9),0))</f>
        <v>1</v>
      </c>
      <c r="J105" s="11" t="n">
        <f aca="false">IF(parametros_recargas!$N$79=0,0,ROUNDUP('Demanda por puesto'!$P$265/(parametros_recargas!$N$79*$O$9),0))</f>
        <v>1</v>
      </c>
      <c r="K105" s="11" t="n">
        <f aca="false">IF(parametros_recargas!$N$79=0,0,ROUNDUP('Demanda por puesto'!$P$297/(parametros_recargas!$N$79*$O$9),0))</f>
        <v>1</v>
      </c>
    </row>
    <row r="106" customFormat="false" ht="15" hidden="false" customHeight="false" outlineLevel="0" collapsed="false">
      <c r="A106" s="8" t="str">
        <f aca="false">parametros_recargas!$B$80</f>
        <v>Desarme y limpieza — recinto</v>
      </c>
      <c r="B106" s="11" t="n">
        <f aca="false">IF(parametros_recargas!$N$80=0,0,ROUNDUP('Demanda por puesto'!$P$10/(parametros_recargas!$N$80*$O$9),0))</f>
        <v>1</v>
      </c>
      <c r="C106" s="11" t="n">
        <f aca="false">IF(parametros_recargas!$N$80=0,0,ROUNDUP('Demanda por puesto'!$P$42/(parametros_recargas!$N$80*$O$9),0))</f>
        <v>1</v>
      </c>
      <c r="D106" s="11" t="n">
        <f aca="false">IF(parametros_recargas!$N$80=0,0,ROUNDUP('Demanda por puesto'!$P$74/(parametros_recargas!$N$80*$O$9),0))</f>
        <v>1</v>
      </c>
      <c r="E106" s="11" t="n">
        <f aca="false">IF(parametros_recargas!$N$80=0,0,ROUNDUP('Demanda por puesto'!$P$106/(parametros_recargas!$N$80*$O$9),0))</f>
        <v>1</v>
      </c>
      <c r="F106" s="11" t="n">
        <f aca="false">IF(parametros_recargas!$N$80=0,0,ROUNDUP('Demanda por puesto'!$P$138/(parametros_recargas!$N$80*$O$9),0))</f>
        <v>1</v>
      </c>
      <c r="G106" s="11" t="n">
        <f aca="false">IF(parametros_recargas!$N$80=0,0,ROUNDUP('Demanda por puesto'!$P$170/(parametros_recargas!$N$80*$O$9),0))</f>
        <v>2</v>
      </c>
      <c r="H106" s="11" t="n">
        <f aca="false">IF(parametros_recargas!$N$80=0,0,ROUNDUP('Demanda por puesto'!$P$202/(parametros_recargas!$N$80*$O$9),0))</f>
        <v>2</v>
      </c>
      <c r="I106" s="11" t="n">
        <f aca="false">IF(parametros_recargas!$N$80=0,0,ROUNDUP('Demanda por puesto'!$P$234/(parametros_recargas!$N$80*$O$9),0))</f>
        <v>2</v>
      </c>
      <c r="J106" s="11" t="n">
        <f aca="false">IF(parametros_recargas!$N$80=0,0,ROUNDUP('Demanda por puesto'!$P$266/(parametros_recargas!$N$80*$O$9),0))</f>
        <v>2</v>
      </c>
      <c r="K106" s="11" t="n">
        <f aca="false">IF(parametros_recargas!$N$80=0,0,ROUNDUP('Demanda por puesto'!$P$298/(parametros_recargas!$N$80*$O$9),0))</f>
        <v>2</v>
      </c>
    </row>
    <row r="107" customFormat="false" ht="15" hidden="false" customHeight="false" outlineLevel="0" collapsed="false">
      <c r="A107" s="8" t="str">
        <f aca="false">parametros_recargas!$B$81</f>
        <v>Desarme e inspección interior — zona general</v>
      </c>
      <c r="B107" s="11" t="n">
        <f aca="false">IF(parametros_recargas!$N$81=0,0,ROUNDUP('Demanda por puesto'!$P$11/(parametros_recargas!$N$81*$O$9),0))</f>
        <v>1</v>
      </c>
      <c r="C107" s="11" t="n">
        <f aca="false">IF(parametros_recargas!$N$81=0,0,ROUNDUP('Demanda por puesto'!$P$43/(parametros_recargas!$N$81*$O$9),0))</f>
        <v>1</v>
      </c>
      <c r="D107" s="11" t="n">
        <f aca="false">IF(parametros_recargas!$N$81=0,0,ROUNDUP('Demanda por puesto'!$P$75/(parametros_recargas!$N$81*$O$9),0))</f>
        <v>1</v>
      </c>
      <c r="E107" s="11" t="n">
        <f aca="false">IF(parametros_recargas!$N$81=0,0,ROUNDUP('Demanda por puesto'!$P$107/(parametros_recargas!$N$81*$O$9),0))</f>
        <v>1</v>
      </c>
      <c r="F107" s="11" t="n">
        <f aca="false">IF(parametros_recargas!$N$81=0,0,ROUNDUP('Demanda por puesto'!$P$139/(parametros_recargas!$N$81*$O$9),0))</f>
        <v>1</v>
      </c>
      <c r="G107" s="11" t="n">
        <f aca="false">IF(parametros_recargas!$N$81=0,0,ROUNDUP('Demanda por puesto'!$P$171/(parametros_recargas!$N$81*$O$9),0))</f>
        <v>1</v>
      </c>
      <c r="H107" s="11" t="n">
        <f aca="false">IF(parametros_recargas!$N$81=0,0,ROUNDUP('Demanda por puesto'!$P$203/(parametros_recargas!$N$81*$O$9),0))</f>
        <v>1</v>
      </c>
      <c r="I107" s="11" t="n">
        <f aca="false">IF(parametros_recargas!$N$81=0,0,ROUNDUP('Demanda por puesto'!$P$235/(parametros_recargas!$N$81*$O$9),0))</f>
        <v>1</v>
      </c>
      <c r="J107" s="11" t="n">
        <f aca="false">IF(parametros_recargas!$N$81=0,0,ROUNDUP('Demanda por puesto'!$P$267/(parametros_recargas!$N$81*$O$9),0))</f>
        <v>1</v>
      </c>
      <c r="K107" s="11" t="n">
        <f aca="false">IF(parametros_recargas!$N$81=0,0,ROUNDUP('Demanda por puesto'!$P$299/(parametros_recargas!$N$81*$O$9),0))</f>
        <v>1</v>
      </c>
    </row>
    <row r="108" customFormat="false" ht="15" hidden="false" customHeight="false" outlineLevel="0" collapsed="false">
      <c r="A108" s="8" t="str">
        <f aca="false">parametros_recargas!$B$82</f>
        <v>Laboratorio — Puffer y mufla</v>
      </c>
      <c r="B108" s="11" t="n">
        <f aca="false">IF(parametros_recargas!$N$82=0,0,ROUNDUP('Demanda por puesto'!$P$12/(parametros_recargas!$N$82*$O$9),0))</f>
        <v>1</v>
      </c>
      <c r="C108" s="11" t="n">
        <f aca="false">IF(parametros_recargas!$N$82=0,0,ROUNDUP('Demanda por puesto'!$P$44/(parametros_recargas!$N$82*$O$9),0))</f>
        <v>1</v>
      </c>
      <c r="D108" s="11" t="n">
        <f aca="false">IF(parametros_recargas!$N$82=0,0,ROUNDUP('Demanda por puesto'!$P$76/(parametros_recargas!$N$82*$O$9),0))</f>
        <v>1</v>
      </c>
      <c r="E108" s="11" t="n">
        <f aca="false">IF(parametros_recargas!$N$82=0,0,ROUNDUP('Demanda por puesto'!$P$108/(parametros_recargas!$N$82*$O$9),0))</f>
        <v>1</v>
      </c>
      <c r="F108" s="11" t="n">
        <f aca="false">IF(parametros_recargas!$N$82=0,0,ROUNDUP('Demanda por puesto'!$P$140/(parametros_recargas!$N$82*$O$9),0))</f>
        <v>1</v>
      </c>
      <c r="G108" s="11" t="n">
        <f aca="false">IF(parametros_recargas!$N$82=0,0,ROUNDUP('Demanda por puesto'!$P$172/(parametros_recargas!$N$82*$O$9),0))</f>
        <v>1</v>
      </c>
      <c r="H108" s="11" t="n">
        <f aca="false">IF(parametros_recargas!$N$82=0,0,ROUNDUP('Demanda por puesto'!$P$204/(parametros_recargas!$N$82*$O$9),0))</f>
        <v>1</v>
      </c>
      <c r="I108" s="11" t="n">
        <f aca="false">IF(parametros_recargas!$N$82=0,0,ROUNDUP('Demanda por puesto'!$P$236/(parametros_recargas!$N$82*$O$9),0))</f>
        <v>1</v>
      </c>
      <c r="J108" s="11" t="n">
        <f aca="false">IF(parametros_recargas!$N$82=0,0,ROUNDUP('Demanda por puesto'!$P$268/(parametros_recargas!$N$82*$O$9),0))</f>
        <v>1</v>
      </c>
      <c r="K108" s="11" t="n">
        <f aca="false">IF(parametros_recargas!$N$82=0,0,ROUNDUP('Demanda por puesto'!$P$300/(parametros_recargas!$N$82*$O$9),0))</f>
        <v>1</v>
      </c>
    </row>
    <row r="109" customFormat="false" ht="15" hidden="false" customHeight="false" outlineLevel="0" collapsed="false">
      <c r="A109" s="8" t="str">
        <f aca="false">parametros_recargas!$B$83</f>
        <v>Prueba hidráulica</v>
      </c>
      <c r="B109" s="11" t="n">
        <f aca="false">IF(parametros_recargas!$N$83=0,0,ROUNDUP('Demanda por puesto'!$P$13/(parametros_recargas!$N$83*$O$9),0))</f>
        <v>1</v>
      </c>
      <c r="C109" s="11" t="n">
        <f aca="false">IF(parametros_recargas!$N$83=0,0,ROUNDUP('Demanda por puesto'!$P$45/(parametros_recargas!$N$83*$O$9),0))</f>
        <v>1</v>
      </c>
      <c r="D109" s="11" t="n">
        <f aca="false">IF(parametros_recargas!$N$83=0,0,ROUNDUP('Demanda por puesto'!$P$77/(parametros_recargas!$N$83*$O$9),0))</f>
        <v>1</v>
      </c>
      <c r="E109" s="11" t="n">
        <f aca="false">IF(parametros_recargas!$N$83=0,0,ROUNDUP('Demanda por puesto'!$P$109/(parametros_recargas!$N$83*$O$9),0))</f>
        <v>1</v>
      </c>
      <c r="F109" s="11" t="n">
        <f aca="false">IF(parametros_recargas!$N$83=0,0,ROUNDUP('Demanda por puesto'!$P$141/(parametros_recargas!$N$83*$O$9),0))</f>
        <v>1</v>
      </c>
      <c r="G109" s="11" t="n">
        <f aca="false">IF(parametros_recargas!$N$83=0,0,ROUNDUP('Demanda por puesto'!$P$173/(parametros_recargas!$N$83*$O$9),0))</f>
        <v>1</v>
      </c>
      <c r="H109" s="11" t="n">
        <f aca="false">IF(parametros_recargas!$N$83=0,0,ROUNDUP('Demanda por puesto'!$P$205/(parametros_recargas!$N$83*$O$9),0))</f>
        <v>1</v>
      </c>
      <c r="I109" s="11" t="n">
        <f aca="false">IF(parametros_recargas!$N$83=0,0,ROUNDUP('Demanda por puesto'!$P$237/(parametros_recargas!$N$83*$O$9),0))</f>
        <v>2</v>
      </c>
      <c r="J109" s="11" t="n">
        <f aca="false">IF(parametros_recargas!$N$83=0,0,ROUNDUP('Demanda por puesto'!$P$269/(parametros_recargas!$N$83*$O$9),0))</f>
        <v>2</v>
      </c>
      <c r="K109" s="11" t="n">
        <f aca="false">IF(parametros_recargas!$N$83=0,0,ROUNDUP('Demanda por puesto'!$P$301/(parametros_recargas!$N$83*$O$9),0))</f>
        <v>2</v>
      </c>
    </row>
    <row r="110" customFormat="false" ht="15" hidden="false" customHeight="false" outlineLevel="0" collapsed="false">
      <c r="A110" s="8" t="str">
        <f aca="false">parametros_recargas!$B$84</f>
        <v>Secado</v>
      </c>
      <c r="B110" s="11" t="n">
        <f aca="false">IF(parametros_recargas!$N$84=0,0,ROUNDUP('Demanda por puesto'!$P$14/(parametros_recargas!$N$84*$O$9),0))</f>
        <v>1</v>
      </c>
      <c r="C110" s="11" t="n">
        <f aca="false">IF(parametros_recargas!$N$84=0,0,ROUNDUP('Demanda por puesto'!$P$46/(parametros_recargas!$N$84*$O$9),0))</f>
        <v>1</v>
      </c>
      <c r="D110" s="11" t="n">
        <f aca="false">IF(parametros_recargas!$N$84=0,0,ROUNDUP('Demanda por puesto'!$P$78/(parametros_recargas!$N$84*$O$9),0))</f>
        <v>1</v>
      </c>
      <c r="E110" s="11" t="n">
        <f aca="false">IF(parametros_recargas!$N$84=0,0,ROUNDUP('Demanda por puesto'!$P$110/(parametros_recargas!$N$84*$O$9),0))</f>
        <v>1</v>
      </c>
      <c r="F110" s="11" t="n">
        <f aca="false">IF(parametros_recargas!$N$84=0,0,ROUNDUP('Demanda por puesto'!$P$142/(parametros_recargas!$N$84*$O$9),0))</f>
        <v>1</v>
      </c>
      <c r="G110" s="11" t="n">
        <f aca="false">IF(parametros_recargas!$N$84=0,0,ROUNDUP('Demanda por puesto'!$P$174/(parametros_recargas!$N$84*$O$9),0))</f>
        <v>1</v>
      </c>
      <c r="H110" s="11" t="n">
        <f aca="false">IF(parametros_recargas!$N$84=0,0,ROUNDUP('Demanda por puesto'!$P$206/(parametros_recargas!$N$84*$O$9),0))</f>
        <v>1</v>
      </c>
      <c r="I110" s="11" t="n">
        <f aca="false">IF(parametros_recargas!$N$84=0,0,ROUNDUP('Demanda por puesto'!$P$238/(parametros_recargas!$N$84*$O$9),0))</f>
        <v>1</v>
      </c>
      <c r="J110" s="11" t="n">
        <f aca="false">IF(parametros_recargas!$N$84=0,0,ROUNDUP('Demanda por puesto'!$P$270/(parametros_recargas!$N$84*$O$9),0))</f>
        <v>1</v>
      </c>
      <c r="K110" s="11" t="n">
        <f aca="false">IF(parametros_recargas!$N$84=0,0,ROUNDUP('Demanda por puesto'!$P$302/(parametros_recargas!$N$84*$O$9),0))</f>
        <v>1</v>
      </c>
    </row>
    <row r="111" customFormat="false" ht="15" hidden="false" customHeight="false" outlineLevel="0" collapsed="false">
      <c r="A111" s="8" t="str">
        <f aca="false">parametros_recargas!$B$85</f>
        <v>Inspección interior con videoscopio</v>
      </c>
      <c r="B111" s="11" t="n">
        <f aca="false">IF(parametros_recargas!$N$85=0,0,ROUNDUP('Demanda por puesto'!$P$15/(parametros_recargas!$N$85*$O$9),0))</f>
        <v>1</v>
      </c>
      <c r="C111" s="11" t="n">
        <f aca="false">IF(parametros_recargas!$N$85=0,0,ROUNDUP('Demanda por puesto'!$P$47/(parametros_recargas!$N$85*$O$9),0))</f>
        <v>1</v>
      </c>
      <c r="D111" s="11" t="n">
        <f aca="false">IF(parametros_recargas!$N$85=0,0,ROUNDUP('Demanda por puesto'!$P$79/(parametros_recargas!$N$85*$O$9),0))</f>
        <v>1</v>
      </c>
      <c r="E111" s="11" t="n">
        <f aca="false">IF(parametros_recargas!$N$85=0,0,ROUNDUP('Demanda por puesto'!$P$111/(parametros_recargas!$N$85*$O$9),0))</f>
        <v>1</v>
      </c>
      <c r="F111" s="11" t="n">
        <f aca="false">IF(parametros_recargas!$N$85=0,0,ROUNDUP('Demanda por puesto'!$P$143/(parametros_recargas!$N$85*$O$9),0))</f>
        <v>1</v>
      </c>
      <c r="G111" s="11" t="n">
        <f aca="false">IF(parametros_recargas!$N$85=0,0,ROUNDUP('Demanda por puesto'!$P$175/(parametros_recargas!$N$85*$O$9),0))</f>
        <v>1</v>
      </c>
      <c r="H111" s="11" t="n">
        <f aca="false">IF(parametros_recargas!$N$85=0,0,ROUNDUP('Demanda por puesto'!$P$207/(parametros_recargas!$N$85*$O$9),0))</f>
        <v>1</v>
      </c>
      <c r="I111" s="11" t="n">
        <f aca="false">IF(parametros_recargas!$N$85=0,0,ROUNDUP('Demanda por puesto'!$P$239/(parametros_recargas!$N$85*$O$9),0))</f>
        <v>1</v>
      </c>
      <c r="J111" s="11" t="n">
        <f aca="false">IF(parametros_recargas!$N$85=0,0,ROUNDUP('Demanda por puesto'!$P$271/(parametros_recargas!$N$85*$O$9),0))</f>
        <v>1</v>
      </c>
      <c r="K111" s="11" t="n">
        <f aca="false">IF(parametros_recargas!$N$85=0,0,ROUNDUP('Demanda por puesto'!$P$303/(parametros_recargas!$N$85*$O$9),0))</f>
        <v>1</v>
      </c>
    </row>
    <row r="112" customFormat="false" ht="15" hidden="false" customHeight="false" outlineLevel="0" collapsed="false">
      <c r="A112" s="8" t="str">
        <f aca="false">parametros_recargas!$B$86</f>
        <v>Pintura</v>
      </c>
      <c r="B112" s="11" t="n">
        <f aca="false">IF(parametros_recargas!$N$86=0,0,ROUNDUP('Demanda por puesto'!$P$16/(parametros_recargas!$N$86*$O$9),0))</f>
        <v>1</v>
      </c>
      <c r="C112" s="11" t="n">
        <f aca="false">IF(parametros_recargas!$N$86=0,0,ROUNDUP('Demanda por puesto'!$P$48/(parametros_recargas!$N$86*$O$9),0))</f>
        <v>1</v>
      </c>
      <c r="D112" s="11" t="n">
        <f aca="false">IF(parametros_recargas!$N$86=0,0,ROUNDUP('Demanda por puesto'!$P$80/(parametros_recargas!$N$86*$O$9),0))</f>
        <v>1</v>
      </c>
      <c r="E112" s="11" t="n">
        <f aca="false">IF(parametros_recargas!$N$86=0,0,ROUNDUP('Demanda por puesto'!$P$112/(parametros_recargas!$N$86*$O$9),0))</f>
        <v>1</v>
      </c>
      <c r="F112" s="11" t="n">
        <f aca="false">IF(parametros_recargas!$N$86=0,0,ROUNDUP('Demanda por puesto'!$P$144/(parametros_recargas!$N$86*$O$9),0))</f>
        <v>1</v>
      </c>
      <c r="G112" s="11" t="n">
        <f aca="false">IF(parametros_recargas!$N$86=0,0,ROUNDUP('Demanda por puesto'!$P$176/(parametros_recargas!$N$86*$O$9),0))</f>
        <v>1</v>
      </c>
      <c r="H112" s="11" t="n">
        <f aca="false">IF(parametros_recargas!$N$86=0,0,ROUNDUP('Demanda por puesto'!$P$208/(parametros_recargas!$N$86*$O$9),0))</f>
        <v>2</v>
      </c>
      <c r="I112" s="11" t="n">
        <f aca="false">IF(parametros_recargas!$N$86=0,0,ROUNDUP('Demanda por puesto'!$P$240/(parametros_recargas!$N$86*$O$9),0))</f>
        <v>2</v>
      </c>
      <c r="J112" s="11" t="n">
        <f aca="false">IF(parametros_recargas!$N$86=0,0,ROUNDUP('Demanda por puesto'!$P$272/(parametros_recargas!$N$86*$O$9),0))</f>
        <v>2</v>
      </c>
      <c r="K112" s="11" t="n">
        <f aca="false">IF(parametros_recargas!$N$86=0,0,ROUNDUP('Demanda por puesto'!$P$304/(parametros_recargas!$N$86*$O$9),0))</f>
        <v>2</v>
      </c>
    </row>
    <row r="113" customFormat="false" ht="15" hidden="false" customHeight="false" outlineLevel="0" collapsed="false">
      <c r="A113" s="8" t="str">
        <f aca="false">parametros_recargas!$B$87</f>
        <v>Carga de polvo ABC</v>
      </c>
      <c r="B113" s="11" t="n">
        <f aca="false">IF(parametros_recargas!$N$87=0,0,ROUNDUP('Demanda por puesto'!$P$17/(parametros_recargas!$N$87*$O$9),0))</f>
        <v>1</v>
      </c>
      <c r="C113" s="11" t="n">
        <f aca="false">IF(parametros_recargas!$N$87=0,0,ROUNDUP('Demanda por puesto'!$P$49/(parametros_recargas!$N$87*$O$9),0))</f>
        <v>1</v>
      </c>
      <c r="D113" s="11" t="n">
        <f aca="false">IF(parametros_recargas!$N$87=0,0,ROUNDUP('Demanda por puesto'!$P$81/(parametros_recargas!$N$87*$O$9),0))</f>
        <v>1</v>
      </c>
      <c r="E113" s="11" t="n">
        <f aca="false">IF(parametros_recargas!$N$87=0,0,ROUNDUP('Demanda por puesto'!$P$113/(parametros_recargas!$N$87*$O$9),0))</f>
        <v>1</v>
      </c>
      <c r="F113" s="11" t="n">
        <f aca="false">IF(parametros_recargas!$N$87=0,0,ROUNDUP('Demanda por puesto'!$P$145/(parametros_recargas!$N$87*$O$9),0))</f>
        <v>1</v>
      </c>
      <c r="G113" s="11" t="n">
        <f aca="false">IF(parametros_recargas!$N$87=0,0,ROUNDUP('Demanda por puesto'!$P$177/(parametros_recargas!$N$87*$O$9),0))</f>
        <v>2</v>
      </c>
      <c r="H113" s="11" t="n">
        <f aca="false">IF(parametros_recargas!$N$87=0,0,ROUNDUP('Demanda por puesto'!$P$209/(parametros_recargas!$N$87*$O$9),0))</f>
        <v>2</v>
      </c>
      <c r="I113" s="11" t="n">
        <f aca="false">IF(parametros_recargas!$N$87=0,0,ROUNDUP('Demanda por puesto'!$P$241/(parametros_recargas!$N$87*$O$9),0))</f>
        <v>2</v>
      </c>
      <c r="J113" s="11" t="n">
        <f aca="false">IF(parametros_recargas!$N$87=0,0,ROUNDUP('Demanda por puesto'!$P$273/(parametros_recargas!$N$87*$O$9),0))</f>
        <v>2</v>
      </c>
      <c r="K113" s="11" t="n">
        <f aca="false">IF(parametros_recargas!$N$87=0,0,ROUNDUP('Demanda por puesto'!$P$305/(parametros_recargas!$N$87*$O$9),0))</f>
        <v>2</v>
      </c>
    </row>
    <row r="114" customFormat="false" ht="15" hidden="false" customHeight="false" outlineLevel="0" collapsed="false">
      <c r="A114" s="8" t="str">
        <f aca="false">parametros_recargas!$B$88</f>
        <v>Carga de polvo BC</v>
      </c>
      <c r="B114" s="11" t="n">
        <f aca="false">IF(parametros_recargas!$N$88=0,0,ROUNDUP('Demanda por puesto'!$P$18/(parametros_recargas!$N$88*$O$9),0))</f>
        <v>1</v>
      </c>
      <c r="C114" s="11" t="n">
        <f aca="false">IF(parametros_recargas!$N$88=0,0,ROUNDUP('Demanda por puesto'!$P$50/(parametros_recargas!$N$88*$O$9),0))</f>
        <v>1</v>
      </c>
      <c r="D114" s="11" t="n">
        <f aca="false">IF(parametros_recargas!$N$88=0,0,ROUNDUP('Demanda por puesto'!$P$82/(parametros_recargas!$N$88*$O$9),0))</f>
        <v>1</v>
      </c>
      <c r="E114" s="11" t="n">
        <f aca="false">IF(parametros_recargas!$N$88=0,0,ROUNDUP('Demanda por puesto'!$P$114/(parametros_recargas!$N$88*$O$9),0))</f>
        <v>1</v>
      </c>
      <c r="F114" s="11" t="n">
        <f aca="false">IF(parametros_recargas!$N$88=0,0,ROUNDUP('Demanda por puesto'!$P$146/(parametros_recargas!$N$88*$O$9),0))</f>
        <v>1</v>
      </c>
      <c r="G114" s="11" t="n">
        <f aca="false">IF(parametros_recargas!$N$88=0,0,ROUNDUP('Demanda por puesto'!$P$178/(parametros_recargas!$N$88*$O$9),0))</f>
        <v>1</v>
      </c>
      <c r="H114" s="11" t="n">
        <f aca="false">IF(parametros_recargas!$N$88=0,0,ROUNDUP('Demanda por puesto'!$P$210/(parametros_recargas!$N$88*$O$9),0))</f>
        <v>1</v>
      </c>
      <c r="I114" s="11" t="n">
        <f aca="false">IF(parametros_recargas!$N$88=0,0,ROUNDUP('Demanda por puesto'!$P$242/(parametros_recargas!$N$88*$O$9),0))</f>
        <v>1</v>
      </c>
      <c r="J114" s="11" t="n">
        <f aca="false">IF(parametros_recargas!$N$88=0,0,ROUNDUP('Demanda por puesto'!$P$274/(parametros_recargas!$N$88*$O$9),0))</f>
        <v>1</v>
      </c>
      <c r="K114" s="11" t="n">
        <f aca="false">IF(parametros_recargas!$N$88=0,0,ROUNDUP('Demanda por puesto'!$P$306/(parametros_recargas!$N$88*$O$9),0))</f>
        <v>1</v>
      </c>
    </row>
    <row r="115" customFormat="false" ht="15" hidden="false" customHeight="false" outlineLevel="0" collapsed="false">
      <c r="A115" s="8" t="str">
        <f aca="false">parametros_recargas!$B$89</f>
        <v>Descarga y carga Clase D</v>
      </c>
      <c r="B115" s="11" t="n">
        <f aca="false">IF(parametros_recargas!$N$89=0,0,ROUNDUP('Demanda por puesto'!$P$19/(parametros_recargas!$N$89*$O$9),0))</f>
        <v>1</v>
      </c>
      <c r="C115" s="11" t="n">
        <f aca="false">IF(parametros_recargas!$N$89=0,0,ROUNDUP('Demanda por puesto'!$P$51/(parametros_recargas!$N$89*$O$9),0))</f>
        <v>1</v>
      </c>
      <c r="D115" s="11" t="n">
        <f aca="false">IF(parametros_recargas!$N$89=0,0,ROUNDUP('Demanda por puesto'!$P$83/(parametros_recargas!$N$89*$O$9),0))</f>
        <v>1</v>
      </c>
      <c r="E115" s="11" t="n">
        <f aca="false">IF(parametros_recargas!$N$89=0,0,ROUNDUP('Demanda por puesto'!$P$115/(parametros_recargas!$N$89*$O$9),0))</f>
        <v>1</v>
      </c>
      <c r="F115" s="11" t="n">
        <f aca="false">IF(parametros_recargas!$N$89=0,0,ROUNDUP('Demanda por puesto'!$P$147/(parametros_recargas!$N$89*$O$9),0))</f>
        <v>1</v>
      </c>
      <c r="G115" s="11" t="n">
        <f aca="false">IF(parametros_recargas!$N$89=0,0,ROUNDUP('Demanda por puesto'!$P$179/(parametros_recargas!$N$89*$O$9),0))</f>
        <v>1</v>
      </c>
      <c r="H115" s="11" t="n">
        <f aca="false">IF(parametros_recargas!$N$89=0,0,ROUNDUP('Demanda por puesto'!$P$211/(parametros_recargas!$N$89*$O$9),0))</f>
        <v>1</v>
      </c>
      <c r="I115" s="11" t="n">
        <f aca="false">IF(parametros_recargas!$N$89=0,0,ROUNDUP('Demanda por puesto'!$P$243/(parametros_recargas!$N$89*$O$9),0))</f>
        <v>1</v>
      </c>
      <c r="J115" s="11" t="n">
        <f aca="false">IF(parametros_recargas!$N$89=0,0,ROUNDUP('Demanda por puesto'!$P$275/(parametros_recargas!$N$89*$O$9),0))</f>
        <v>1</v>
      </c>
      <c r="K115" s="11" t="n">
        <f aca="false">IF(parametros_recargas!$N$89=0,0,ROUNDUP('Demanda por puesto'!$P$307/(parametros_recargas!$N$89*$O$9),0))</f>
        <v>1</v>
      </c>
    </row>
    <row r="116" customFormat="false" ht="15" hidden="false" customHeight="false" outlineLevel="0" collapsed="false">
      <c r="A116" s="8" t="str">
        <f aca="false">parametros_recargas!$B$90</f>
        <v>Carga de agua / AFFF / sales K</v>
      </c>
      <c r="B116" s="11" t="n">
        <f aca="false">IF(parametros_recargas!$N$90=0,0,ROUNDUP('Demanda por puesto'!$P$20/(parametros_recargas!$N$90*$O$9),0))</f>
        <v>1</v>
      </c>
      <c r="C116" s="11" t="n">
        <f aca="false">IF(parametros_recargas!$N$90=0,0,ROUNDUP('Demanda por puesto'!$P$52/(parametros_recargas!$N$90*$O$9),0))</f>
        <v>1</v>
      </c>
      <c r="D116" s="11" t="n">
        <f aca="false">IF(parametros_recargas!$N$90=0,0,ROUNDUP('Demanda por puesto'!$P$84/(parametros_recargas!$N$90*$O$9),0))</f>
        <v>1</v>
      </c>
      <c r="E116" s="11" t="n">
        <f aca="false">IF(parametros_recargas!$N$90=0,0,ROUNDUP('Demanda por puesto'!$P$116/(parametros_recargas!$N$90*$O$9),0))</f>
        <v>1</v>
      </c>
      <c r="F116" s="11" t="n">
        <f aca="false">IF(parametros_recargas!$N$90=0,0,ROUNDUP('Demanda por puesto'!$P$148/(parametros_recargas!$N$90*$O$9),0))</f>
        <v>1</v>
      </c>
      <c r="G116" s="11" t="n">
        <f aca="false">IF(parametros_recargas!$N$90=0,0,ROUNDUP('Demanda por puesto'!$P$180/(parametros_recargas!$N$90*$O$9),0))</f>
        <v>1</v>
      </c>
      <c r="H116" s="11" t="n">
        <f aca="false">IF(parametros_recargas!$N$90=0,0,ROUNDUP('Demanda por puesto'!$P$212/(parametros_recargas!$N$90*$O$9),0))</f>
        <v>1</v>
      </c>
      <c r="I116" s="11" t="n">
        <f aca="false">IF(parametros_recargas!$N$90=0,0,ROUNDUP('Demanda por puesto'!$P$244/(parametros_recargas!$N$90*$O$9),0))</f>
        <v>1</v>
      </c>
      <c r="J116" s="11" t="n">
        <f aca="false">IF(parametros_recargas!$N$90=0,0,ROUNDUP('Demanda por puesto'!$P$276/(parametros_recargas!$N$90*$O$9),0))</f>
        <v>1</v>
      </c>
      <c r="K116" s="11" t="n">
        <f aca="false">IF(parametros_recargas!$N$90=0,0,ROUNDUP('Demanda por puesto'!$P$308/(parametros_recargas!$N$90*$O$9),0))</f>
        <v>1</v>
      </c>
    </row>
    <row r="117" customFormat="false" ht="15" hidden="false" customHeight="false" outlineLevel="0" collapsed="false">
      <c r="A117" s="8" t="str">
        <f aca="false">parametros_recargas!$B$91</f>
        <v>Carga de CO₂</v>
      </c>
      <c r="B117" s="11" t="n">
        <f aca="false">IF(parametros_recargas!$N$91=0,0,ROUNDUP('Demanda por puesto'!$P$21/(parametros_recargas!$N$91*$O$9),0))</f>
        <v>1</v>
      </c>
      <c r="C117" s="11" t="n">
        <f aca="false">IF(parametros_recargas!$N$91=0,0,ROUNDUP('Demanda por puesto'!$P$53/(parametros_recargas!$N$91*$O$9),0))</f>
        <v>1</v>
      </c>
      <c r="D117" s="11" t="n">
        <f aca="false">IF(parametros_recargas!$N$91=0,0,ROUNDUP('Demanda por puesto'!$P$85/(parametros_recargas!$N$91*$O$9),0))</f>
        <v>1</v>
      </c>
      <c r="E117" s="11" t="n">
        <f aca="false">IF(parametros_recargas!$N$91=0,0,ROUNDUP('Demanda por puesto'!$P$117/(parametros_recargas!$N$91*$O$9),0))</f>
        <v>1</v>
      </c>
      <c r="F117" s="11" t="n">
        <f aca="false">IF(parametros_recargas!$N$91=0,0,ROUNDUP('Demanda por puesto'!$P$149/(parametros_recargas!$N$91*$O$9),0))</f>
        <v>1</v>
      </c>
      <c r="G117" s="11" t="n">
        <f aca="false">IF(parametros_recargas!$N$91=0,0,ROUNDUP('Demanda por puesto'!$P$181/(parametros_recargas!$N$91*$O$9),0))</f>
        <v>1</v>
      </c>
      <c r="H117" s="11" t="n">
        <f aca="false">IF(parametros_recargas!$N$91=0,0,ROUNDUP('Demanda por puesto'!$P$213/(parametros_recargas!$N$91*$O$9),0))</f>
        <v>1</v>
      </c>
      <c r="I117" s="11" t="n">
        <f aca="false">IF(parametros_recargas!$N$91=0,0,ROUNDUP('Demanda por puesto'!$P$245/(parametros_recargas!$N$91*$O$9),0))</f>
        <v>1</v>
      </c>
      <c r="J117" s="11" t="n">
        <f aca="false">IF(parametros_recargas!$N$91=0,0,ROUNDUP('Demanda por puesto'!$P$277/(parametros_recargas!$N$91*$O$9),0))</f>
        <v>1</v>
      </c>
      <c r="K117" s="11" t="n">
        <f aca="false">IF(parametros_recargas!$N$91=0,0,ROUNDUP('Demanda por puesto'!$P$309/(parametros_recargas!$N$91*$O$9),0))</f>
        <v>1</v>
      </c>
    </row>
    <row r="118" customFormat="false" ht="15" hidden="false" customHeight="false" outlineLevel="0" collapsed="false">
      <c r="A118" s="8" t="str">
        <f aca="false">parametros_recargas!$B$92</f>
        <v>Ensamblaje y marbete — recinto</v>
      </c>
      <c r="B118" s="11" t="n">
        <f aca="false">IF(parametros_recargas!$N$92=0,0,ROUNDUP('Demanda por puesto'!$P$22/(parametros_recargas!$N$92*$O$9),0))</f>
        <v>1</v>
      </c>
      <c r="C118" s="11" t="n">
        <f aca="false">IF(parametros_recargas!$N$92=0,0,ROUNDUP('Demanda por puesto'!$P$54/(parametros_recargas!$N$92*$O$9),0))</f>
        <v>1</v>
      </c>
      <c r="D118" s="11" t="n">
        <f aca="false">IF(parametros_recargas!$N$92=0,0,ROUNDUP('Demanda por puesto'!$P$86/(parametros_recargas!$N$92*$O$9),0))</f>
        <v>1</v>
      </c>
      <c r="E118" s="11" t="n">
        <f aca="false">IF(parametros_recargas!$N$92=0,0,ROUNDUP('Demanda por puesto'!$P$118/(parametros_recargas!$N$92*$O$9),0))</f>
        <v>1</v>
      </c>
      <c r="F118" s="11" t="n">
        <f aca="false">IF(parametros_recargas!$N$92=0,0,ROUNDUP('Demanda por puesto'!$P$150/(parametros_recargas!$N$92*$O$9),0))</f>
        <v>1</v>
      </c>
      <c r="G118" s="11" t="n">
        <f aca="false">IF(parametros_recargas!$N$92=0,0,ROUNDUP('Demanda por puesto'!$P$182/(parametros_recargas!$N$92*$O$9),0))</f>
        <v>2</v>
      </c>
      <c r="H118" s="11" t="n">
        <f aca="false">IF(parametros_recargas!$N$92=0,0,ROUNDUP('Demanda por puesto'!$P$214/(parametros_recargas!$N$92*$O$9),0))</f>
        <v>2</v>
      </c>
      <c r="I118" s="11" t="n">
        <f aca="false">IF(parametros_recargas!$N$92=0,0,ROUNDUP('Demanda por puesto'!$P$246/(parametros_recargas!$N$92*$O$9),0))</f>
        <v>2</v>
      </c>
      <c r="J118" s="11" t="n">
        <f aca="false">IF(parametros_recargas!$N$92=0,0,ROUNDUP('Demanda por puesto'!$P$278/(parametros_recargas!$N$92*$O$9),0))</f>
        <v>2</v>
      </c>
      <c r="K118" s="11" t="n">
        <f aca="false">IF(parametros_recargas!$N$92=0,0,ROUNDUP('Demanda por puesto'!$P$310/(parametros_recargas!$N$92*$O$9),0))</f>
        <v>2</v>
      </c>
    </row>
    <row r="119" customFormat="false" ht="15" hidden="false" customHeight="false" outlineLevel="0" collapsed="false">
      <c r="A119" s="8" t="str">
        <f aca="false">parametros_recargas!$B$93</f>
        <v>Presurización — recinto</v>
      </c>
      <c r="B119" s="11" t="n">
        <f aca="false">IF(parametros_recargas!$N$93=0,0,ROUNDUP('Demanda por puesto'!$P$23/(parametros_recargas!$N$93*$O$9),0))</f>
        <v>1</v>
      </c>
      <c r="C119" s="11" t="n">
        <f aca="false">IF(parametros_recargas!$N$93=0,0,ROUNDUP('Demanda por puesto'!$P$55/(parametros_recargas!$N$93*$O$9),0))</f>
        <v>1</v>
      </c>
      <c r="D119" s="11" t="n">
        <f aca="false">IF(parametros_recargas!$N$93=0,0,ROUNDUP('Demanda por puesto'!$P$87/(parametros_recargas!$N$93*$O$9),0))</f>
        <v>1</v>
      </c>
      <c r="E119" s="11" t="n">
        <f aca="false">IF(parametros_recargas!$N$93=0,0,ROUNDUP('Demanda por puesto'!$P$119/(parametros_recargas!$N$93*$O$9),0))</f>
        <v>1</v>
      </c>
      <c r="F119" s="11" t="n">
        <f aca="false">IF(parametros_recargas!$N$93=0,0,ROUNDUP('Demanda por puesto'!$P$151/(parametros_recargas!$N$93*$O$9),0))</f>
        <v>1</v>
      </c>
      <c r="G119" s="11" t="n">
        <f aca="false">IF(parametros_recargas!$N$93=0,0,ROUNDUP('Demanda por puesto'!$P$183/(parametros_recargas!$N$93*$O$9),0))</f>
        <v>1</v>
      </c>
      <c r="H119" s="11" t="n">
        <f aca="false">IF(parametros_recargas!$N$93=0,0,ROUNDUP('Demanda por puesto'!$P$215/(parametros_recargas!$N$93*$O$9),0))</f>
        <v>1</v>
      </c>
      <c r="I119" s="11" t="n">
        <f aca="false">IF(parametros_recargas!$N$93=0,0,ROUNDUP('Demanda por puesto'!$P$247/(parametros_recargas!$N$93*$O$9),0))</f>
        <v>2</v>
      </c>
      <c r="J119" s="11" t="n">
        <f aca="false">IF(parametros_recargas!$N$93=0,0,ROUNDUP('Demanda por puesto'!$P$279/(parametros_recargas!$N$93*$O$9),0))</f>
        <v>2</v>
      </c>
      <c r="K119" s="11" t="n">
        <f aca="false">IF(parametros_recargas!$N$93=0,0,ROUNDUP('Demanda por puesto'!$P$311/(parametros_recargas!$N$93*$O$9),0))</f>
        <v>2</v>
      </c>
    </row>
    <row r="120" customFormat="false" ht="15" hidden="false" customHeight="false" outlineLevel="0" collapsed="false">
      <c r="A120" s="8" t="str">
        <f aca="false">parametros_recargas!$B$94</f>
        <v>Ensamblaje y presurización — zona general</v>
      </c>
      <c r="B120" s="11" t="n">
        <f aca="false">IF(parametros_recargas!$N$94=0,0,ROUNDUP('Demanda por puesto'!$P$24/(parametros_recargas!$N$94*$O$9),0))</f>
        <v>1</v>
      </c>
      <c r="C120" s="11" t="n">
        <f aca="false">IF(parametros_recargas!$N$94=0,0,ROUNDUP('Demanda por puesto'!$P$56/(parametros_recargas!$N$94*$O$9),0))</f>
        <v>1</v>
      </c>
      <c r="D120" s="11" t="n">
        <f aca="false">IF(parametros_recargas!$N$94=0,0,ROUNDUP('Demanda por puesto'!$P$88/(parametros_recargas!$N$94*$O$9),0))</f>
        <v>1</v>
      </c>
      <c r="E120" s="11" t="n">
        <f aca="false">IF(parametros_recargas!$N$94=0,0,ROUNDUP('Demanda por puesto'!$P$120/(parametros_recargas!$N$94*$O$9),0))</f>
        <v>1</v>
      </c>
      <c r="F120" s="11" t="n">
        <f aca="false">IF(parametros_recargas!$N$94=0,0,ROUNDUP('Demanda por puesto'!$P$152/(parametros_recargas!$N$94*$O$9),0))</f>
        <v>1</v>
      </c>
      <c r="G120" s="11" t="n">
        <f aca="false">IF(parametros_recargas!$N$94=0,0,ROUNDUP('Demanda por puesto'!$P$184/(parametros_recargas!$N$94*$O$9),0))</f>
        <v>1</v>
      </c>
      <c r="H120" s="11" t="n">
        <f aca="false">IF(parametros_recargas!$N$94=0,0,ROUNDUP('Demanda por puesto'!$P$216/(parametros_recargas!$N$94*$O$9),0))</f>
        <v>1</v>
      </c>
      <c r="I120" s="11" t="n">
        <f aca="false">IF(parametros_recargas!$N$94=0,0,ROUNDUP('Demanda por puesto'!$P$248/(parametros_recargas!$N$94*$O$9),0))</f>
        <v>1</v>
      </c>
      <c r="J120" s="11" t="n">
        <f aca="false">IF(parametros_recargas!$N$94=0,0,ROUNDUP('Demanda por puesto'!$P$280/(parametros_recargas!$N$94*$O$9),0))</f>
        <v>1</v>
      </c>
      <c r="K120" s="11" t="n">
        <f aca="false">IF(parametros_recargas!$N$94=0,0,ROUNDUP('Demanda por puesto'!$P$312/(parametros_recargas!$N$94*$O$9),0))</f>
        <v>1</v>
      </c>
    </row>
    <row r="121" customFormat="false" ht="15" hidden="false" customHeight="false" outlineLevel="0" collapsed="false">
      <c r="A121" s="8" t="str">
        <f aca="false">parametros_recargas!$B$95</f>
        <v>Carga y presurización de halogenado</v>
      </c>
      <c r="B121" s="11" t="n">
        <f aca="false">IF(parametros_recargas!$N$95=0,0,ROUNDUP('Demanda por puesto'!$P$25/(parametros_recargas!$N$95*$O$9),0))</f>
        <v>1</v>
      </c>
      <c r="C121" s="11" t="n">
        <f aca="false">IF(parametros_recargas!$N$95=0,0,ROUNDUP('Demanda por puesto'!$P$57/(parametros_recargas!$N$95*$O$9),0))</f>
        <v>1</v>
      </c>
      <c r="D121" s="11" t="n">
        <f aca="false">IF(parametros_recargas!$N$95=0,0,ROUNDUP('Demanda por puesto'!$P$89/(parametros_recargas!$N$95*$O$9),0))</f>
        <v>1</v>
      </c>
      <c r="E121" s="11" t="n">
        <f aca="false">IF(parametros_recargas!$N$95=0,0,ROUNDUP('Demanda por puesto'!$P$121/(parametros_recargas!$N$95*$O$9),0))</f>
        <v>1</v>
      </c>
      <c r="F121" s="11" t="n">
        <f aca="false">IF(parametros_recargas!$N$95=0,0,ROUNDUP('Demanda por puesto'!$P$153/(parametros_recargas!$N$95*$O$9),0))</f>
        <v>1</v>
      </c>
      <c r="G121" s="11" t="n">
        <f aca="false">IF(parametros_recargas!$N$95=0,0,ROUNDUP('Demanda por puesto'!$P$185/(parametros_recargas!$N$95*$O$9),0))</f>
        <v>1</v>
      </c>
      <c r="H121" s="11" t="n">
        <f aca="false">IF(parametros_recargas!$N$95=0,0,ROUNDUP('Demanda por puesto'!$P$217/(parametros_recargas!$N$95*$O$9),0))</f>
        <v>1</v>
      </c>
      <c r="I121" s="11" t="n">
        <f aca="false">IF(parametros_recargas!$N$95=0,0,ROUNDUP('Demanda por puesto'!$P$249/(parametros_recargas!$N$95*$O$9),0))</f>
        <v>1</v>
      </c>
      <c r="J121" s="11" t="n">
        <f aca="false">IF(parametros_recargas!$N$95=0,0,ROUNDUP('Demanda por puesto'!$P$281/(parametros_recargas!$N$95*$O$9),0))</f>
        <v>1</v>
      </c>
      <c r="K121" s="11" t="n">
        <f aca="false">IF(parametros_recargas!$N$95=0,0,ROUNDUP('Demanda por puesto'!$P$313/(parametros_recargas!$N$95*$O$9),0))</f>
        <v>1</v>
      </c>
    </row>
    <row r="122" customFormat="false" ht="15" hidden="false" customHeight="false" outlineLevel="0" collapsed="false">
      <c r="A122" s="8" t="str">
        <f aca="false">parametros_recargas!$B$96</f>
        <v>Control de peso (CO₂ y halogenados sin recarga)</v>
      </c>
      <c r="B122" s="11" t="n">
        <f aca="false">IF(parametros_recargas!$N$96=0,0,ROUNDUP('Demanda por puesto'!$P$26/(parametros_recargas!$N$96*$O$9),0))</f>
        <v>1</v>
      </c>
      <c r="C122" s="11" t="n">
        <f aca="false">IF(parametros_recargas!$N$96=0,0,ROUNDUP('Demanda por puesto'!$P$58/(parametros_recargas!$N$96*$O$9),0))</f>
        <v>1</v>
      </c>
      <c r="D122" s="11" t="n">
        <f aca="false">IF(parametros_recargas!$N$96=0,0,ROUNDUP('Demanda por puesto'!$P$90/(parametros_recargas!$N$96*$O$9),0))</f>
        <v>1</v>
      </c>
      <c r="E122" s="11" t="n">
        <f aca="false">IF(parametros_recargas!$N$96=0,0,ROUNDUP('Demanda por puesto'!$P$122/(parametros_recargas!$N$96*$O$9),0))</f>
        <v>1</v>
      </c>
      <c r="F122" s="11" t="n">
        <f aca="false">IF(parametros_recargas!$N$96=0,0,ROUNDUP('Demanda por puesto'!$P$154/(parametros_recargas!$N$96*$O$9),0))</f>
        <v>1</v>
      </c>
      <c r="G122" s="11" t="n">
        <f aca="false">IF(parametros_recargas!$N$96=0,0,ROUNDUP('Demanda por puesto'!$P$186/(parametros_recargas!$N$96*$O$9),0))</f>
        <v>1</v>
      </c>
      <c r="H122" s="11" t="n">
        <f aca="false">IF(parametros_recargas!$N$96=0,0,ROUNDUP('Demanda por puesto'!$P$218/(parametros_recargas!$N$96*$O$9),0))</f>
        <v>1</v>
      </c>
      <c r="I122" s="11" t="n">
        <f aca="false">IF(parametros_recargas!$N$96=0,0,ROUNDUP('Demanda por puesto'!$P$250/(parametros_recargas!$N$96*$O$9),0))</f>
        <v>1</v>
      </c>
      <c r="J122" s="11" t="n">
        <f aca="false">IF(parametros_recargas!$N$96=0,0,ROUNDUP('Demanda por puesto'!$P$282/(parametros_recargas!$N$96*$O$9),0))</f>
        <v>1</v>
      </c>
      <c r="K122" s="11" t="n">
        <f aca="false">IF(parametros_recargas!$N$96=0,0,ROUNDUP('Demanda por puesto'!$P$314/(parametros_recargas!$N$96*$O$9),0))</f>
        <v>1</v>
      </c>
    </row>
    <row r="123" customFormat="false" ht="15" hidden="false" customHeight="false" outlineLevel="0" collapsed="false">
      <c r="A123" s="8" t="str">
        <f aca="false">parametros_recargas!$B$97</f>
        <v>Ensayo de pérdidas</v>
      </c>
      <c r="B123" s="11" t="n">
        <f aca="false">IF(parametros_recargas!$N$97=0,0,ROUNDUP('Demanda por puesto'!$P$27/(parametros_recargas!$N$97*$O$9),0))</f>
        <v>1</v>
      </c>
      <c r="C123" s="11" t="n">
        <f aca="false">IF(parametros_recargas!$N$97=0,0,ROUNDUP('Demanda por puesto'!$P$59/(parametros_recargas!$N$97*$O$9),0))</f>
        <v>1</v>
      </c>
      <c r="D123" s="11" t="n">
        <f aca="false">IF(parametros_recargas!$N$97=0,0,ROUNDUP('Demanda por puesto'!$P$91/(parametros_recargas!$N$97*$O$9),0))</f>
        <v>1</v>
      </c>
      <c r="E123" s="11" t="n">
        <f aca="false">IF(parametros_recargas!$N$97=0,0,ROUNDUP('Demanda por puesto'!$P$123/(parametros_recargas!$N$97*$O$9),0))</f>
        <v>1</v>
      </c>
      <c r="F123" s="11" t="n">
        <f aca="false">IF(parametros_recargas!$N$97=0,0,ROUNDUP('Demanda por puesto'!$P$155/(parametros_recargas!$N$97*$O$9),0))</f>
        <v>1</v>
      </c>
      <c r="G123" s="11" t="n">
        <f aca="false">IF(parametros_recargas!$N$97=0,0,ROUNDUP('Demanda por puesto'!$P$187/(parametros_recargas!$N$97*$O$9),0))</f>
        <v>1</v>
      </c>
      <c r="H123" s="11" t="n">
        <f aca="false">IF(parametros_recargas!$N$97=0,0,ROUNDUP('Demanda por puesto'!$P$219/(parametros_recargas!$N$97*$O$9),0))</f>
        <v>2</v>
      </c>
      <c r="I123" s="11" t="n">
        <f aca="false">IF(parametros_recargas!$N$97=0,0,ROUNDUP('Demanda por puesto'!$P$251/(parametros_recargas!$N$97*$O$9),0))</f>
        <v>2</v>
      </c>
      <c r="J123" s="11" t="n">
        <f aca="false">IF(parametros_recargas!$N$97=0,0,ROUNDUP('Demanda por puesto'!$P$283/(parametros_recargas!$N$97*$O$9),0))</f>
        <v>2</v>
      </c>
      <c r="K123" s="11" t="n">
        <f aca="false">IF(parametros_recargas!$N$97=0,0,ROUNDUP('Demanda por puesto'!$P$315/(parametros_recargas!$N$97*$O$9),0))</f>
        <v>2</v>
      </c>
    </row>
    <row r="124" customFormat="false" ht="15" hidden="false" customHeight="false" outlineLevel="0" collapsed="false">
      <c r="A124" s="8" t="str">
        <f aca="false">parametros_recargas!$B$98</f>
        <v>Precinto, etiqueta y despacho</v>
      </c>
      <c r="B124" s="11" t="n">
        <f aca="false">IF(parametros_recargas!$N$98=0,0,ROUNDUP('Demanda por puesto'!$P$28/(parametros_recargas!$N$98*$O$9),0))</f>
        <v>1</v>
      </c>
      <c r="C124" s="11" t="n">
        <f aca="false">IF(parametros_recargas!$N$98=0,0,ROUNDUP('Demanda por puesto'!$P$60/(parametros_recargas!$N$98*$O$9),0))</f>
        <v>1</v>
      </c>
      <c r="D124" s="11" t="n">
        <f aca="false">IF(parametros_recargas!$N$98=0,0,ROUNDUP('Demanda por puesto'!$P$92/(parametros_recargas!$N$98*$O$9),0))</f>
        <v>1</v>
      </c>
      <c r="E124" s="11" t="n">
        <f aca="false">IF(parametros_recargas!$N$98=0,0,ROUNDUP('Demanda por puesto'!$P$124/(parametros_recargas!$N$98*$O$9),0))</f>
        <v>1</v>
      </c>
      <c r="F124" s="11" t="n">
        <f aca="false">IF(parametros_recargas!$N$98=0,0,ROUNDUP('Demanda por puesto'!$P$156/(parametros_recargas!$N$98*$O$9),0))</f>
        <v>1</v>
      </c>
      <c r="G124" s="11" t="n">
        <f aca="false">IF(parametros_recargas!$N$98=0,0,ROUNDUP('Demanda por puesto'!$P$188/(parametros_recargas!$N$98*$O$9),0))</f>
        <v>2</v>
      </c>
      <c r="H124" s="11" t="n">
        <f aca="false">IF(parametros_recargas!$N$98=0,0,ROUNDUP('Demanda por puesto'!$P$220/(parametros_recargas!$N$98*$O$9),0))</f>
        <v>2</v>
      </c>
      <c r="I124" s="11" t="n">
        <f aca="false">IF(parametros_recargas!$N$98=0,0,ROUNDUP('Demanda por puesto'!$P$252/(parametros_recargas!$N$98*$O$9),0))</f>
        <v>2</v>
      </c>
      <c r="J124" s="11" t="n">
        <f aca="false">IF(parametros_recargas!$N$98=0,0,ROUNDUP('Demanda por puesto'!$P$284/(parametros_recargas!$N$98*$O$9),0))</f>
        <v>2</v>
      </c>
      <c r="K124" s="11" t="n">
        <f aca="false">IF(parametros_recargas!$N$98=0,0,ROUNDUP('Demanda por puesto'!$P$316/(parametros_recargas!$N$98*$O$9),0))</f>
        <v>2</v>
      </c>
    </row>
    <row r="125" customFormat="false" ht="15" hidden="false" customHeight="false" outlineLevel="0" collapsed="false">
      <c r="A125" s="8" t="str">
        <f aca="false">parametros_recargas!$B$99</f>
        <v>Inutilización y disposición final</v>
      </c>
      <c r="B125" s="11" t="n">
        <f aca="false">IF(parametros_recargas!$N$99=0,0,ROUNDUP('Demanda por puesto'!$P$29/(parametros_recargas!$N$99*$O$9),0))</f>
        <v>1</v>
      </c>
      <c r="C125" s="11" t="n">
        <f aca="false">IF(parametros_recargas!$N$99=0,0,ROUNDUP('Demanda por puesto'!$P$61/(parametros_recargas!$N$99*$O$9),0))</f>
        <v>1</v>
      </c>
      <c r="D125" s="11" t="n">
        <f aca="false">IF(parametros_recargas!$N$99=0,0,ROUNDUP('Demanda por puesto'!$P$93/(parametros_recargas!$N$99*$O$9),0))</f>
        <v>1</v>
      </c>
      <c r="E125" s="11" t="n">
        <f aca="false">IF(parametros_recargas!$N$99=0,0,ROUNDUP('Demanda por puesto'!$P$125/(parametros_recargas!$N$99*$O$9),0))</f>
        <v>1</v>
      </c>
      <c r="F125" s="11" t="n">
        <f aca="false">IF(parametros_recargas!$N$99=0,0,ROUNDUP('Demanda por puesto'!$P$157/(parametros_recargas!$N$99*$O$9),0))</f>
        <v>1</v>
      </c>
      <c r="G125" s="11" t="n">
        <f aca="false">IF(parametros_recargas!$N$99=0,0,ROUNDUP('Demanda por puesto'!$P$189/(parametros_recargas!$N$99*$O$9),0))</f>
        <v>1</v>
      </c>
      <c r="H125" s="11" t="n">
        <f aca="false">IF(parametros_recargas!$N$99=0,0,ROUNDUP('Demanda por puesto'!$P$221/(parametros_recargas!$N$99*$O$9),0))</f>
        <v>1</v>
      </c>
      <c r="I125" s="11" t="n">
        <f aca="false">IF(parametros_recargas!$N$99=0,0,ROUNDUP('Demanda por puesto'!$P$253/(parametros_recargas!$N$99*$O$9),0))</f>
        <v>1</v>
      </c>
      <c r="J125" s="11" t="n">
        <f aca="false">IF(parametros_recargas!$N$99=0,0,ROUNDUP('Demanda por puesto'!$P$285/(parametros_recargas!$N$99*$O$9),0))</f>
        <v>1</v>
      </c>
      <c r="K125" s="11" t="n">
        <f aca="false">IF(parametros_recargas!$N$99=0,0,ROUNDUP('Demanda por puesto'!$P$317/(parametros_recargas!$N$99*$O$9),0))</f>
        <v>1</v>
      </c>
    </row>
    <row r="126" customFormat="false" ht="15" hidden="false" customHeight="false" outlineLevel="0" collapsed="false">
      <c r="A126" s="8" t="str">
        <f aca="false">parametros_recargas!$B$100</f>
        <v>PH de mangueras (CO₂ y rodantes)</v>
      </c>
      <c r="B126" s="11" t="n">
        <f aca="false">IF(parametros_recargas!$N$100=0,0,ROUNDUP('Demanda por puesto'!$P$30/(parametros_recargas!$N$100*$O$9),0))</f>
        <v>1</v>
      </c>
      <c r="C126" s="11" t="n">
        <f aca="false">IF(parametros_recargas!$N$100=0,0,ROUNDUP('Demanda por puesto'!$P$62/(parametros_recargas!$N$100*$O$9),0))</f>
        <v>1</v>
      </c>
      <c r="D126" s="11" t="n">
        <f aca="false">IF(parametros_recargas!$N$100=0,0,ROUNDUP('Demanda por puesto'!$P$94/(parametros_recargas!$N$100*$O$9),0))</f>
        <v>1</v>
      </c>
      <c r="E126" s="11" t="n">
        <f aca="false">IF(parametros_recargas!$N$100=0,0,ROUNDUP('Demanda por puesto'!$P$126/(parametros_recargas!$N$100*$O$9),0))</f>
        <v>1</v>
      </c>
      <c r="F126" s="11" t="n">
        <f aca="false">IF(parametros_recargas!$N$100=0,0,ROUNDUP('Demanda por puesto'!$P$158/(parametros_recargas!$N$100*$O$9),0))</f>
        <v>1</v>
      </c>
      <c r="G126" s="11" t="n">
        <f aca="false">IF(parametros_recargas!$N$100=0,0,ROUNDUP('Demanda por puesto'!$P$190/(parametros_recargas!$N$100*$O$9),0))</f>
        <v>1</v>
      </c>
      <c r="H126" s="11" t="n">
        <f aca="false">IF(parametros_recargas!$N$100=0,0,ROUNDUP('Demanda por puesto'!$P$222/(parametros_recargas!$N$100*$O$9),0))</f>
        <v>1</v>
      </c>
      <c r="I126" s="11" t="n">
        <f aca="false">IF(parametros_recargas!$N$100=0,0,ROUNDUP('Demanda por puesto'!$P$254/(parametros_recargas!$N$100*$O$9),0))</f>
        <v>1</v>
      </c>
      <c r="J126" s="11" t="n">
        <f aca="false">IF(parametros_recargas!$N$100=0,0,ROUNDUP('Demanda por puesto'!$P$286/(parametros_recargas!$N$100*$O$9),0))</f>
        <v>1</v>
      </c>
      <c r="K126" s="11" t="n">
        <f aca="false">IF(parametros_recargas!$N$100=0,0,ROUNDUP('Demanda por puesto'!$P$318/(parametros_recargas!$N$100*$O$9),0))</f>
        <v>1</v>
      </c>
    </row>
    <row r="127" customFormat="false" ht="15" hidden="false" customHeight="false" outlineLevel="0" collapsed="false">
      <c r="A127" s="5" t="s">
        <v>345</v>
      </c>
      <c r="B127" s="13" t="n">
        <f aca="false">SUM(B98:B126)</f>
        <v>29</v>
      </c>
      <c r="C127" s="13" t="n">
        <f aca="false">SUM(C98:C126)</f>
        <v>29</v>
      </c>
      <c r="D127" s="13" t="n">
        <f aca="false">SUM(D98:D126)</f>
        <v>29</v>
      </c>
      <c r="E127" s="13" t="n">
        <f aca="false">SUM(E98:E126)</f>
        <v>29</v>
      </c>
      <c r="F127" s="13" t="n">
        <f aca="false">SUM(F98:F126)</f>
        <v>29</v>
      </c>
      <c r="G127" s="13" t="n">
        <f aca="false">SUM(G98:G126)</f>
        <v>34</v>
      </c>
      <c r="H127" s="13" t="n">
        <f aca="false">SUM(H98:H126)</f>
        <v>37</v>
      </c>
      <c r="I127" s="13" t="n">
        <f aca="false">SUM(I98:I126)</f>
        <v>40</v>
      </c>
      <c r="J127" s="13" t="n">
        <f aca="false">SUM(J98:J126)</f>
        <v>40</v>
      </c>
      <c r="K127" s="13" t="n">
        <f aca="false">SUM(K98:K126)</f>
        <v>40</v>
      </c>
    </row>
    <row r="129" customFormat="false" ht="15" hidden="false" customHeight="false" outlineLevel="0" collapsed="false">
      <c r="A129" s="2" t="s">
        <v>346</v>
      </c>
      <c r="B129" s="2" t="n">
        <v>2026</v>
      </c>
      <c r="C129" s="2" t="n">
        <v>2027</v>
      </c>
      <c r="D129" s="2" t="n">
        <v>2028</v>
      </c>
      <c r="E129" s="2" t="n">
        <v>2029</v>
      </c>
      <c r="F129" s="2" t="n">
        <v>2030</v>
      </c>
      <c r="G129" s="2" t="n">
        <v>2031</v>
      </c>
      <c r="H129" s="2" t="n">
        <v>2032</v>
      </c>
      <c r="I129" s="2" t="n">
        <v>2033</v>
      </c>
      <c r="J129" s="2" t="n">
        <v>2034</v>
      </c>
      <c r="K129" s="2" t="n">
        <v>2035</v>
      </c>
    </row>
    <row r="130" customFormat="false" ht="15" hidden="false" customHeight="false" outlineLevel="0" collapsed="false">
      <c r="A130" s="8" t="str">
        <f aca="false">parametros_recargas!$B$72</f>
        <v>Recepción y registro</v>
      </c>
      <c r="B130" s="8" t="str">
        <f aca="false">IF('Demanda por puesto'!$P$2=0,"—",IF(parametros_recargas!$N$72=0,$N$7,IF(B2&lt;=$O$9,$N$2,IF(parametros_recargas!$D$72="Tercerizado",$N$6,IF(B66&lt;$O$10,$N$3,IF(parametros_recargas!$D$72="Manual",$N$5,$N$4))))))</f>
        <v>OK</v>
      </c>
      <c r="C130" s="8" t="str">
        <f aca="false">IF('Demanda por puesto'!$P$34=0,"—",IF(parametros_recargas!$N$72=0,$N$7,IF(C2&lt;=$O$9,$N$2,IF(parametros_recargas!$D$72="Tercerizado",$N$6,IF(C66&lt;$O$10,$N$3,IF(parametros_recargas!$D$72="Manual",$N$5,$N$4))))))</f>
        <v>OK</v>
      </c>
      <c r="D130" s="8" t="str">
        <f aca="false">IF('Demanda por puesto'!$P$66=0,"—",IF(parametros_recargas!$N$72=0,$N$7,IF(D2&lt;=$O$9,$N$2,IF(parametros_recargas!$D$72="Tercerizado",$N$6,IF(D66&lt;$O$10,$N$3,IF(parametros_recargas!$D$72="Manual",$N$5,$N$4))))))</f>
        <v>OK</v>
      </c>
      <c r="E130" s="8" t="str">
        <f aca="false">IF('Demanda por puesto'!$P$98=0,"—",IF(parametros_recargas!$N$72=0,$N$7,IF(E2&lt;=$O$9,$N$2,IF(parametros_recargas!$D$72="Tercerizado",$N$6,IF(E66&lt;$O$10,$N$3,IF(parametros_recargas!$D$72="Manual",$N$5,$N$4))))))</f>
        <v>OK</v>
      </c>
      <c r="F130" s="8" t="str">
        <f aca="false">IF('Demanda por puesto'!$P$130=0,"—",IF(parametros_recargas!$N$72=0,$N$7,IF(F2&lt;=$O$9,$N$2,IF(parametros_recargas!$D$72="Tercerizado",$N$6,IF(F66&lt;$O$10,$N$3,IF(parametros_recargas!$D$72="Manual",$N$5,$N$4))))))</f>
        <v>OK</v>
      </c>
      <c r="G130" s="8" t="str">
        <f aca="false">IF('Demanda por puesto'!$P$162=0,"—",IF(parametros_recargas!$N$72=0,$N$7,IF(G2&lt;=$O$9,$N$2,IF(parametros_recargas!$D$72="Tercerizado",$N$6,IF(G66&lt;$O$10,$N$3,IF(parametros_recargas!$D$72="Manual",$N$5,$N$4))))))</f>
        <v>OK</v>
      </c>
      <c r="H130" s="8" t="str">
        <f aca="false">IF('Demanda por puesto'!$P$194=0,"—",IF(parametros_recargas!$N$72=0,$N$7,IF(H2&lt;=$O$9,$N$2,IF(parametros_recargas!$D$72="Tercerizado",$N$6,IF(H66&lt;$O$10,$N$3,IF(parametros_recargas!$D$72="Manual",$N$5,$N$4))))))</f>
        <v>OK</v>
      </c>
      <c r="I130" s="8" t="str">
        <f aca="false">IF('Demanda por puesto'!$P$226=0,"—",IF(parametros_recargas!$N$72=0,$N$7,IF(I2&lt;=$O$9,$N$2,IF(parametros_recargas!$D$72="Tercerizado",$N$6,IF(I66&lt;$O$10,$N$3,IF(parametros_recargas!$D$72="Manual",$N$5,$N$4))))))</f>
        <v>OK</v>
      </c>
      <c r="J130" s="8" t="str">
        <f aca="false">IF('Demanda por puesto'!$P$258=0,"—",IF(parametros_recargas!$N$72=0,$N$7,IF(J2&lt;=$O$9,$N$2,IF(parametros_recargas!$D$72="Tercerizado",$N$6,IF(J66&lt;$O$10,$N$3,IF(parametros_recargas!$D$72="Manual",$N$5,$N$4))))))</f>
        <v>OK</v>
      </c>
      <c r="K130" s="8" t="str">
        <f aca="false">IF('Demanda por puesto'!$P$290=0,"—",IF(parametros_recargas!$N$72=0,$N$7,IF(K2&lt;=$O$9,$N$2,IF(parametros_recargas!$D$72="Tercerizado",$N$6,IF(K66&lt;$O$10,$N$3,IF(parametros_recargas!$D$72="Manual",$N$5,$N$4))))))</f>
        <v>OK</v>
      </c>
    </row>
    <row r="131" customFormat="false" ht="15" hidden="false" customHeight="false" outlineLevel="0" collapsed="false">
      <c r="A131" s="8" t="str">
        <f aca="false">parametros_recargas!$B$73</f>
        <v>Inspección visual</v>
      </c>
      <c r="B131" s="8" t="str">
        <f aca="false">IF('Demanda por puesto'!$P$3=0,"—",IF(parametros_recargas!$N$73=0,$N$7,IF(B3&lt;=$O$9,$N$2,IF(parametros_recargas!$D$73="Tercerizado",$N$6,IF(B67&lt;$O$10,$N$3,IF(parametros_recargas!$D$73="Manual",$N$5,$N$4))))))</f>
        <v>OK</v>
      </c>
      <c r="C131" s="8" t="str">
        <f aca="false">IF('Demanda por puesto'!$P$35=0,"—",IF(parametros_recargas!$N$73=0,$N$7,IF(C3&lt;=$O$9,$N$2,IF(parametros_recargas!$D$73="Tercerizado",$N$6,IF(C67&lt;$O$10,$N$3,IF(parametros_recargas!$D$73="Manual",$N$5,$N$4))))))</f>
        <v>OK</v>
      </c>
      <c r="D131" s="8" t="str">
        <f aca="false">IF('Demanda por puesto'!$P$67=0,"—",IF(parametros_recargas!$N$73=0,$N$7,IF(D3&lt;=$O$9,$N$2,IF(parametros_recargas!$D$73="Tercerizado",$N$6,IF(D67&lt;$O$10,$N$3,IF(parametros_recargas!$D$73="Manual",$N$5,$N$4))))))</f>
        <v>OK</v>
      </c>
      <c r="E131" s="8" t="str">
        <f aca="false">IF('Demanda por puesto'!$P$99=0,"—",IF(parametros_recargas!$N$73=0,$N$7,IF(E3&lt;=$O$9,$N$2,IF(parametros_recargas!$D$73="Tercerizado",$N$6,IF(E67&lt;$O$10,$N$3,IF(parametros_recargas!$D$73="Manual",$N$5,$N$4))))))</f>
        <v>OK</v>
      </c>
      <c r="F131" s="8" t="str">
        <f aca="false">IF('Demanda por puesto'!$P$131=0,"—",IF(parametros_recargas!$N$73=0,$N$7,IF(F3&lt;=$O$9,$N$2,IF(parametros_recargas!$D$73="Tercerizado",$N$6,IF(F67&lt;$O$10,$N$3,IF(parametros_recargas!$D$73="Manual",$N$5,$N$4))))))</f>
        <v>OK</v>
      </c>
      <c r="G131" s="8" t="str">
        <f aca="false">IF('Demanda por puesto'!$P$163=0,"—",IF(parametros_recargas!$N$73=0,$N$7,IF(G3&lt;=$O$9,$N$2,IF(parametros_recargas!$D$73="Tercerizado",$N$6,IF(G67&lt;$O$10,$N$3,IF(parametros_recargas!$D$73="Manual",$N$5,$N$4))))))</f>
        <v>OK</v>
      </c>
      <c r="H131" s="8" t="str">
        <f aca="false">IF('Demanda por puesto'!$P$195=0,"—",IF(parametros_recargas!$N$73=0,$N$7,IF(H3&lt;=$O$9,$N$2,IF(parametros_recargas!$D$73="Tercerizado",$N$6,IF(H67&lt;$O$10,$N$3,IF(parametros_recargas!$D$73="Manual",$N$5,$N$4))))))</f>
        <v>OK</v>
      </c>
      <c r="I131" s="8" t="str">
        <f aca="false">IF('Demanda por puesto'!$P$227=0,"—",IF(parametros_recargas!$N$73=0,$N$7,IF(I3&lt;=$O$9,$N$2,IF(parametros_recargas!$D$73="Tercerizado",$N$6,IF(I67&lt;$O$10,$N$3,IF(parametros_recargas!$D$73="Manual",$N$5,$N$4))))))</f>
        <v>OK</v>
      </c>
      <c r="J131" s="8" t="str">
        <f aca="false">IF('Demanda por puesto'!$P$259=0,"—",IF(parametros_recargas!$N$73=0,$N$7,IF(J3&lt;=$O$9,$N$2,IF(parametros_recargas!$D$73="Tercerizado",$N$6,IF(J67&lt;$O$10,$N$3,IF(parametros_recargas!$D$73="Manual",$N$5,$N$4))))))</f>
        <v>OK</v>
      </c>
      <c r="K131" s="8" t="str">
        <f aca="false">IF('Demanda por puesto'!$P$291=0,"—",IF(parametros_recargas!$N$73=0,$N$7,IF(K3&lt;=$O$9,$N$2,IF(parametros_recargas!$D$73="Tercerizado",$N$6,IF(K67&lt;$O$10,$N$3,IF(parametros_recargas!$D$73="Manual",$N$5,$N$4))))))</f>
        <v>OK</v>
      </c>
    </row>
    <row r="132" customFormat="false" ht="15" hidden="false" customHeight="false" outlineLevel="0" collapsed="false">
      <c r="A132" s="8" t="str">
        <f aca="false">parametros_recargas!$B$74</f>
        <v>Descarga ABC — ruta recuperable</v>
      </c>
      <c r="B132" s="8" t="str">
        <f aca="false">IF('Demanda por puesto'!$P$4=0,"—",IF(parametros_recargas!$N$74=0,$N$7,IF(B4&lt;=$O$9,$N$2,IF(parametros_recargas!$D$74="Tercerizado",$N$6,IF(B68&lt;$O$10,$N$3,IF(parametros_recargas!$D$74="Manual",$N$5,$N$4))))))</f>
        <v>OK</v>
      </c>
      <c r="C132" s="8" t="str">
        <f aca="false">IF('Demanda por puesto'!$P$36=0,"—",IF(parametros_recargas!$N$74=0,$N$7,IF(C4&lt;=$O$9,$N$2,IF(parametros_recargas!$D$74="Tercerizado",$N$6,IF(C68&lt;$O$10,$N$3,IF(parametros_recargas!$D$74="Manual",$N$5,$N$4))))))</f>
        <v>OK</v>
      </c>
      <c r="D132" s="8" t="str">
        <f aca="false">IF('Demanda por puesto'!$P$68=0,"—",IF(parametros_recargas!$N$74=0,$N$7,IF(D4&lt;=$O$9,$N$2,IF(parametros_recargas!$D$74="Tercerizado",$N$6,IF(D68&lt;$O$10,$N$3,IF(parametros_recargas!$D$74="Manual",$N$5,$N$4))))))</f>
        <v>OK</v>
      </c>
      <c r="E132" s="8" t="str">
        <f aca="false">IF('Demanda por puesto'!$P$100=0,"—",IF(parametros_recargas!$N$74=0,$N$7,IF(E4&lt;=$O$9,$N$2,IF(parametros_recargas!$D$74="Tercerizado",$N$6,IF(E68&lt;$O$10,$N$3,IF(parametros_recargas!$D$74="Manual",$N$5,$N$4))))))</f>
        <v>OK</v>
      </c>
      <c r="F132" s="8" t="str">
        <f aca="false">IF('Demanda por puesto'!$P$132=0,"—",IF(parametros_recargas!$N$74=0,$N$7,IF(F4&lt;=$O$9,$N$2,IF(parametros_recargas!$D$74="Tercerizado",$N$6,IF(F68&lt;$O$10,$N$3,IF(parametros_recargas!$D$74="Manual",$N$5,$N$4))))))</f>
        <v>OK</v>
      </c>
      <c r="G132" s="8" t="str">
        <f aca="false">IF('Demanda por puesto'!$P$164=0,"—",IF(parametros_recargas!$N$74=0,$N$7,IF(G4&lt;=$O$9,$N$2,IF(parametros_recargas!$D$74="Tercerizado",$N$6,IF(G68&lt;$O$10,$N$3,IF(parametros_recargas!$D$74="Manual",$N$5,$N$4))))))</f>
        <v>OK</v>
      </c>
      <c r="H132" s="8" t="str">
        <f aca="false">IF('Demanda por puesto'!$P$196=0,"—",IF(parametros_recargas!$N$74=0,$N$7,IF(H4&lt;=$O$9,$N$2,IF(parametros_recargas!$D$74="Tercerizado",$N$6,IF(H68&lt;$O$10,$N$3,IF(parametros_recargas!$D$74="Manual",$N$5,$N$4))))))</f>
        <v>OK</v>
      </c>
      <c r="I132" s="8" t="str">
        <f aca="false">IF('Demanda por puesto'!$P$228=0,"—",IF(parametros_recargas!$N$74=0,$N$7,IF(I4&lt;=$O$9,$N$2,IF(parametros_recargas!$D$74="Tercerizado",$N$6,IF(I68&lt;$O$10,$N$3,IF(parametros_recargas!$D$74="Manual",$N$5,$N$4))))))</f>
        <v>OK</v>
      </c>
      <c r="J132" s="8" t="str">
        <f aca="false">IF('Demanda por puesto'!$P$260=0,"—",IF(parametros_recargas!$N$74=0,$N$7,IF(J4&lt;=$O$9,$N$2,IF(parametros_recargas!$D$74="Tercerizado",$N$6,IF(J68&lt;$O$10,$N$3,IF(parametros_recargas!$D$74="Manual",$N$5,$N$4))))))</f>
        <v>OK</v>
      </c>
      <c r="K132" s="8" t="str">
        <f aca="false">IF('Demanda por puesto'!$P$292=0,"—",IF(parametros_recargas!$N$74=0,$N$7,IF(K4&lt;=$O$9,$N$2,IF(parametros_recargas!$D$74="Tercerizado",$N$6,IF(K68&lt;$O$10,$N$3,IF(parametros_recargas!$D$74="Manual",$N$5,$N$4))))))</f>
        <v>OK</v>
      </c>
    </row>
    <row r="133" customFormat="false" ht="15" hidden="false" customHeight="false" outlineLevel="0" collapsed="false">
      <c r="A133" s="8" t="str">
        <f aca="false">parametros_recargas!$B$75</f>
        <v>Descarga ABC — ruta descarte</v>
      </c>
      <c r="B133" s="8" t="str">
        <f aca="false">IF('Demanda por puesto'!$P$5=0,"—",IF(parametros_recargas!$N$75=0,$N$7,IF(B5&lt;=$O$9,$N$2,IF(parametros_recargas!$D$75="Tercerizado",$N$6,IF(B69&lt;$O$10,$N$3,IF(parametros_recargas!$D$75="Manual",$N$5,$N$4))))))</f>
        <v>OK</v>
      </c>
      <c r="C133" s="8" t="str">
        <f aca="false">IF('Demanda por puesto'!$P$37=0,"—",IF(parametros_recargas!$N$75=0,$N$7,IF(C5&lt;=$O$9,$N$2,IF(parametros_recargas!$D$75="Tercerizado",$N$6,IF(C69&lt;$O$10,$N$3,IF(parametros_recargas!$D$75="Manual",$N$5,$N$4))))))</f>
        <v>OK</v>
      </c>
      <c r="D133" s="8" t="str">
        <f aca="false">IF('Demanda por puesto'!$P$69=0,"—",IF(parametros_recargas!$N$75=0,$N$7,IF(D5&lt;=$O$9,$N$2,IF(parametros_recargas!$D$75="Tercerizado",$N$6,IF(D69&lt;$O$10,$N$3,IF(parametros_recargas!$D$75="Manual",$N$5,$N$4))))))</f>
        <v>OK</v>
      </c>
      <c r="E133" s="8" t="str">
        <f aca="false">IF('Demanda por puesto'!$P$101=0,"—",IF(parametros_recargas!$N$75=0,$N$7,IF(E5&lt;=$O$9,$N$2,IF(parametros_recargas!$D$75="Tercerizado",$N$6,IF(E69&lt;$O$10,$N$3,IF(parametros_recargas!$D$75="Manual",$N$5,$N$4))))))</f>
        <v>OK</v>
      </c>
      <c r="F133" s="8" t="str">
        <f aca="false">IF('Demanda por puesto'!$P$133=0,"—",IF(parametros_recargas!$N$75=0,$N$7,IF(F5&lt;=$O$9,$N$2,IF(parametros_recargas!$D$75="Tercerizado",$N$6,IF(F69&lt;$O$10,$N$3,IF(parametros_recargas!$D$75="Manual",$N$5,$N$4))))))</f>
        <v>OK</v>
      </c>
      <c r="G133" s="8" t="str">
        <f aca="false">IF('Demanda por puesto'!$P$165=0,"—",IF(parametros_recargas!$N$75=0,$N$7,IF(G5&lt;=$O$9,$N$2,IF(parametros_recargas!$D$75="Tercerizado",$N$6,IF(G69&lt;$O$10,$N$3,IF(parametros_recargas!$D$75="Manual",$N$5,$N$4))))))</f>
        <v>OK</v>
      </c>
      <c r="H133" s="8" t="str">
        <f aca="false">IF('Demanda por puesto'!$P$197=0,"—",IF(parametros_recargas!$N$75=0,$N$7,IF(H5&lt;=$O$9,$N$2,IF(parametros_recargas!$D$75="Tercerizado",$N$6,IF(H69&lt;$O$10,$N$3,IF(parametros_recargas!$D$75="Manual",$N$5,$N$4))))))</f>
        <v>OK</v>
      </c>
      <c r="I133" s="8" t="str">
        <f aca="false">IF('Demanda por puesto'!$P$229=0,"—",IF(parametros_recargas!$N$75=0,$N$7,IF(I5&lt;=$O$9,$N$2,IF(parametros_recargas!$D$75="Tercerizado",$N$6,IF(I69&lt;$O$10,$N$3,IF(parametros_recargas!$D$75="Manual",$N$5,$N$4))))))</f>
        <v>OK</v>
      </c>
      <c r="J133" s="8" t="str">
        <f aca="false">IF('Demanda por puesto'!$P$261=0,"—",IF(parametros_recargas!$N$75=0,$N$7,IF(J5&lt;=$O$9,$N$2,IF(parametros_recargas!$D$75="Tercerizado",$N$6,IF(J69&lt;$O$10,$N$3,IF(parametros_recargas!$D$75="Manual",$N$5,$N$4))))))</f>
        <v>OK</v>
      </c>
      <c r="K133" s="8" t="str">
        <f aca="false">IF('Demanda por puesto'!$P$293=0,"—",IF(parametros_recargas!$N$75=0,$N$7,IF(K5&lt;=$O$9,$N$2,IF(parametros_recargas!$D$75="Tercerizado",$N$6,IF(K69&lt;$O$10,$N$3,IF(parametros_recargas!$D$75="Manual",$N$5,$N$4))))))</f>
        <v>OK</v>
      </c>
    </row>
    <row r="134" customFormat="false" ht="15" hidden="false" customHeight="false" outlineLevel="0" collapsed="false">
      <c r="A134" s="8" t="str">
        <f aca="false">parametros_recargas!$B$76</f>
        <v>Descarga BC</v>
      </c>
      <c r="B134" s="8" t="str">
        <f aca="false">IF('Demanda por puesto'!$P$6=0,"—",IF(parametros_recargas!$N$76=0,$N$7,IF(B6&lt;=$O$9,$N$2,IF(parametros_recargas!$D$76="Tercerizado",$N$6,IF(B70&lt;$O$10,$N$3,IF(parametros_recargas!$D$76="Manual",$N$5,$N$4))))))</f>
        <v>OK</v>
      </c>
      <c r="C134" s="8" t="str">
        <f aca="false">IF('Demanda por puesto'!$P$38=0,"—",IF(parametros_recargas!$N$76=0,$N$7,IF(C6&lt;=$O$9,$N$2,IF(parametros_recargas!$D$76="Tercerizado",$N$6,IF(C70&lt;$O$10,$N$3,IF(parametros_recargas!$D$76="Manual",$N$5,$N$4))))))</f>
        <v>OK</v>
      </c>
      <c r="D134" s="8" t="str">
        <f aca="false">IF('Demanda por puesto'!$P$70=0,"—",IF(parametros_recargas!$N$76=0,$N$7,IF(D6&lt;=$O$9,$N$2,IF(parametros_recargas!$D$76="Tercerizado",$N$6,IF(D70&lt;$O$10,$N$3,IF(parametros_recargas!$D$76="Manual",$N$5,$N$4))))))</f>
        <v>OK</v>
      </c>
      <c r="E134" s="8" t="str">
        <f aca="false">IF('Demanda por puesto'!$P$102=0,"—",IF(parametros_recargas!$N$76=0,$N$7,IF(E6&lt;=$O$9,$N$2,IF(parametros_recargas!$D$76="Tercerizado",$N$6,IF(E70&lt;$O$10,$N$3,IF(parametros_recargas!$D$76="Manual",$N$5,$N$4))))))</f>
        <v>OK</v>
      </c>
      <c r="F134" s="8" t="str">
        <f aca="false">IF('Demanda por puesto'!$P$134=0,"—",IF(parametros_recargas!$N$76=0,$N$7,IF(F6&lt;=$O$9,$N$2,IF(parametros_recargas!$D$76="Tercerizado",$N$6,IF(F70&lt;$O$10,$N$3,IF(parametros_recargas!$D$76="Manual",$N$5,$N$4))))))</f>
        <v>OK</v>
      </c>
      <c r="G134" s="8" t="str">
        <f aca="false">IF('Demanda por puesto'!$P$166=0,"—",IF(parametros_recargas!$N$76=0,$N$7,IF(G6&lt;=$O$9,$N$2,IF(parametros_recargas!$D$76="Tercerizado",$N$6,IF(G70&lt;$O$10,$N$3,IF(parametros_recargas!$D$76="Manual",$N$5,$N$4))))))</f>
        <v>OK</v>
      </c>
      <c r="H134" s="8" t="str">
        <f aca="false">IF('Demanda por puesto'!$P$198=0,"—",IF(parametros_recargas!$N$76=0,$N$7,IF(H6&lt;=$O$9,$N$2,IF(parametros_recargas!$D$76="Tercerizado",$N$6,IF(H70&lt;$O$10,$N$3,IF(parametros_recargas!$D$76="Manual",$N$5,$N$4))))))</f>
        <v>OK</v>
      </c>
      <c r="I134" s="8" t="str">
        <f aca="false">IF('Demanda por puesto'!$P$230=0,"—",IF(parametros_recargas!$N$76=0,$N$7,IF(I6&lt;=$O$9,$N$2,IF(parametros_recargas!$D$76="Tercerizado",$N$6,IF(I70&lt;$O$10,$N$3,IF(parametros_recargas!$D$76="Manual",$N$5,$N$4))))))</f>
        <v>OK</v>
      </c>
      <c r="J134" s="8" t="str">
        <f aca="false">IF('Demanda por puesto'!$P$262=0,"—",IF(parametros_recargas!$N$76=0,$N$7,IF(J6&lt;=$O$9,$N$2,IF(parametros_recargas!$D$76="Tercerizado",$N$6,IF(J70&lt;$O$10,$N$3,IF(parametros_recargas!$D$76="Manual",$N$5,$N$4))))))</f>
        <v>OK</v>
      </c>
      <c r="K134" s="8" t="str">
        <f aca="false">IF('Demanda por puesto'!$P$294=0,"—",IF(parametros_recargas!$N$76=0,$N$7,IF(K6&lt;=$O$9,$N$2,IF(parametros_recargas!$D$76="Tercerizado",$N$6,IF(K70&lt;$O$10,$N$3,IF(parametros_recargas!$D$76="Manual",$N$5,$N$4))))))</f>
        <v>OK</v>
      </c>
    </row>
    <row r="135" customFormat="false" ht="15" hidden="false" customHeight="false" outlineLevel="0" collapsed="false">
      <c r="A135" s="8" t="str">
        <f aca="false">parametros_recargas!$B$77</f>
        <v>Descarga de agua / AFFF / sales K</v>
      </c>
      <c r="B135" s="8" t="str">
        <f aca="false">IF('Demanda por puesto'!$P$7=0,"—",IF(parametros_recargas!$N$77=0,$N$7,IF(B7&lt;=$O$9,$N$2,IF(parametros_recargas!$D$77="Tercerizado",$N$6,IF(B71&lt;$O$10,$N$3,IF(parametros_recargas!$D$77="Manual",$N$5,$N$4))))))</f>
        <v>OK</v>
      </c>
      <c r="C135" s="8" t="str">
        <f aca="false">IF('Demanda por puesto'!$P$39=0,"—",IF(parametros_recargas!$N$77=0,$N$7,IF(C7&lt;=$O$9,$N$2,IF(parametros_recargas!$D$77="Tercerizado",$N$6,IF(C71&lt;$O$10,$N$3,IF(parametros_recargas!$D$77="Manual",$N$5,$N$4))))))</f>
        <v>OK</v>
      </c>
      <c r="D135" s="8" t="str">
        <f aca="false">IF('Demanda por puesto'!$P$71=0,"—",IF(parametros_recargas!$N$77=0,$N$7,IF(D7&lt;=$O$9,$N$2,IF(parametros_recargas!$D$77="Tercerizado",$N$6,IF(D71&lt;$O$10,$N$3,IF(parametros_recargas!$D$77="Manual",$N$5,$N$4))))))</f>
        <v>OK</v>
      </c>
      <c r="E135" s="8" t="str">
        <f aca="false">IF('Demanda por puesto'!$P$103=0,"—",IF(parametros_recargas!$N$77=0,$N$7,IF(E7&lt;=$O$9,$N$2,IF(parametros_recargas!$D$77="Tercerizado",$N$6,IF(E71&lt;$O$10,$N$3,IF(parametros_recargas!$D$77="Manual",$N$5,$N$4))))))</f>
        <v>OK</v>
      </c>
      <c r="F135" s="8" t="str">
        <f aca="false">IF('Demanda por puesto'!$P$135=0,"—",IF(parametros_recargas!$N$77=0,$N$7,IF(F7&lt;=$O$9,$N$2,IF(parametros_recargas!$D$77="Tercerizado",$N$6,IF(F71&lt;$O$10,$N$3,IF(parametros_recargas!$D$77="Manual",$N$5,$N$4))))))</f>
        <v>OK</v>
      </c>
      <c r="G135" s="8" t="str">
        <f aca="false">IF('Demanda por puesto'!$P$167=0,"—",IF(parametros_recargas!$N$77=0,$N$7,IF(G7&lt;=$O$9,$N$2,IF(parametros_recargas!$D$77="Tercerizado",$N$6,IF(G71&lt;$O$10,$N$3,IF(parametros_recargas!$D$77="Manual",$N$5,$N$4))))))</f>
        <v>OK</v>
      </c>
      <c r="H135" s="8" t="str">
        <f aca="false">IF('Demanda por puesto'!$P$199=0,"—",IF(parametros_recargas!$N$77=0,$N$7,IF(H7&lt;=$O$9,$N$2,IF(parametros_recargas!$D$77="Tercerizado",$N$6,IF(H71&lt;$O$10,$N$3,IF(parametros_recargas!$D$77="Manual",$N$5,$N$4))))))</f>
        <v>OK</v>
      </c>
      <c r="I135" s="8" t="str">
        <f aca="false">IF('Demanda por puesto'!$P$231=0,"—",IF(parametros_recargas!$N$77=0,$N$7,IF(I7&lt;=$O$9,$N$2,IF(parametros_recargas!$D$77="Tercerizado",$N$6,IF(I71&lt;$O$10,$N$3,IF(parametros_recargas!$D$77="Manual",$N$5,$N$4))))))</f>
        <v>OK</v>
      </c>
      <c r="J135" s="8" t="str">
        <f aca="false">IF('Demanda por puesto'!$P$263=0,"—",IF(parametros_recargas!$N$77=0,$N$7,IF(J7&lt;=$O$9,$N$2,IF(parametros_recargas!$D$77="Tercerizado",$N$6,IF(J71&lt;$O$10,$N$3,IF(parametros_recargas!$D$77="Manual",$N$5,$N$4))))))</f>
        <v>OK</v>
      </c>
      <c r="K135" s="8" t="str">
        <f aca="false">IF('Demanda por puesto'!$P$295=0,"—",IF(parametros_recargas!$N$77=0,$N$7,IF(K7&lt;=$O$9,$N$2,IF(parametros_recargas!$D$77="Tercerizado",$N$6,IF(K71&lt;$O$10,$N$3,IF(parametros_recargas!$D$77="Manual",$N$5,$N$4))))))</f>
        <v>OK</v>
      </c>
    </row>
    <row r="136" customFormat="false" ht="15" hidden="false" customHeight="false" outlineLevel="0" collapsed="false">
      <c r="A136" s="8" t="str">
        <f aca="false">parametros_recargas!$B$78</f>
        <v>Recuperación de CO₂</v>
      </c>
      <c r="B136" s="8" t="str">
        <f aca="false">IF('Demanda por puesto'!$P$8=0,"—",IF(parametros_recargas!$N$78=0,$N$7,IF(B8&lt;=$O$9,$N$2,IF(parametros_recargas!$D$78="Tercerizado",$N$6,IF(B72&lt;$O$10,$N$3,IF(parametros_recargas!$D$78="Manual",$N$5,$N$4))))))</f>
        <v>OK</v>
      </c>
      <c r="C136" s="8" t="str">
        <f aca="false">IF('Demanda por puesto'!$P$40=0,"—",IF(parametros_recargas!$N$78=0,$N$7,IF(C8&lt;=$O$9,$N$2,IF(parametros_recargas!$D$78="Tercerizado",$N$6,IF(C72&lt;$O$10,$N$3,IF(parametros_recargas!$D$78="Manual",$N$5,$N$4))))))</f>
        <v>OK</v>
      </c>
      <c r="D136" s="8" t="str">
        <f aca="false">IF('Demanda por puesto'!$P$72=0,"—",IF(parametros_recargas!$N$78=0,$N$7,IF(D8&lt;=$O$9,$N$2,IF(parametros_recargas!$D$78="Tercerizado",$N$6,IF(D72&lt;$O$10,$N$3,IF(parametros_recargas!$D$78="Manual",$N$5,$N$4))))))</f>
        <v>OK</v>
      </c>
      <c r="E136" s="8" t="str">
        <f aca="false">IF('Demanda por puesto'!$P$104=0,"—",IF(parametros_recargas!$N$78=0,$N$7,IF(E8&lt;=$O$9,$N$2,IF(parametros_recargas!$D$78="Tercerizado",$N$6,IF(E72&lt;$O$10,$N$3,IF(parametros_recargas!$D$78="Manual",$N$5,$N$4))))))</f>
        <v>OK</v>
      </c>
      <c r="F136" s="8" t="str">
        <f aca="false">IF('Demanda por puesto'!$P$136=0,"—",IF(parametros_recargas!$N$78=0,$N$7,IF(F8&lt;=$O$9,$N$2,IF(parametros_recargas!$D$78="Tercerizado",$N$6,IF(F72&lt;$O$10,$N$3,IF(parametros_recargas!$D$78="Manual",$N$5,$N$4))))))</f>
        <v>OK</v>
      </c>
      <c r="G136" s="8" t="str">
        <f aca="false">IF('Demanda por puesto'!$P$168=0,"—",IF(parametros_recargas!$N$78=0,$N$7,IF(G8&lt;=$O$9,$N$2,IF(parametros_recargas!$D$78="Tercerizado",$N$6,IF(G72&lt;$O$10,$N$3,IF(parametros_recargas!$D$78="Manual",$N$5,$N$4))))))</f>
        <v>OK</v>
      </c>
      <c r="H136" s="8" t="str">
        <f aca="false">IF('Demanda por puesto'!$P$200=0,"—",IF(parametros_recargas!$N$78=0,$N$7,IF(H8&lt;=$O$9,$N$2,IF(parametros_recargas!$D$78="Tercerizado",$N$6,IF(H72&lt;$O$10,$N$3,IF(parametros_recargas!$D$78="Manual",$N$5,$N$4))))))</f>
        <v>OK</v>
      </c>
      <c r="I136" s="8" t="str">
        <f aca="false">IF('Demanda por puesto'!$P$232=0,"—",IF(parametros_recargas!$N$78=0,$N$7,IF(I8&lt;=$O$9,$N$2,IF(parametros_recargas!$D$78="Tercerizado",$N$6,IF(I72&lt;$O$10,$N$3,IF(parametros_recargas!$D$78="Manual",$N$5,$N$4))))))</f>
        <v>OK</v>
      </c>
      <c r="J136" s="8" t="str">
        <f aca="false">IF('Demanda por puesto'!$P$264=0,"—",IF(parametros_recargas!$N$78=0,$N$7,IF(J8&lt;=$O$9,$N$2,IF(parametros_recargas!$D$78="Tercerizado",$N$6,IF(J72&lt;$O$10,$N$3,IF(parametros_recargas!$D$78="Manual",$N$5,$N$4))))))</f>
        <v>OK</v>
      </c>
      <c r="K136" s="8" t="str">
        <f aca="false">IF('Demanda por puesto'!$P$296=0,"—",IF(parametros_recargas!$N$78=0,$N$7,IF(K8&lt;=$O$9,$N$2,IF(parametros_recargas!$D$78="Tercerizado",$N$6,IF(K72&lt;$O$10,$N$3,IF(parametros_recargas!$D$78="Manual",$N$5,$N$4))))))</f>
        <v>OK</v>
      </c>
    </row>
    <row r="137" customFormat="false" ht="15" hidden="false" customHeight="false" outlineLevel="0" collapsed="false">
      <c r="A137" s="8" t="str">
        <f aca="false">parametros_recargas!$B$79</f>
        <v>Recuperación de halogenado</v>
      </c>
      <c r="B137" s="8" t="str">
        <f aca="false">IF('Demanda por puesto'!$P$9=0,"—",IF(parametros_recargas!$N$79=0,$N$7,IF(B9&lt;=$O$9,$N$2,IF(parametros_recargas!$D$79="Tercerizado",$N$6,IF(B73&lt;$O$10,$N$3,IF(parametros_recargas!$D$79="Manual",$N$5,$N$4))))))</f>
        <v>OK</v>
      </c>
      <c r="C137" s="8" t="str">
        <f aca="false">IF('Demanda por puesto'!$P$41=0,"—",IF(parametros_recargas!$N$79=0,$N$7,IF(C9&lt;=$O$9,$N$2,IF(parametros_recargas!$D$79="Tercerizado",$N$6,IF(C73&lt;$O$10,$N$3,IF(parametros_recargas!$D$79="Manual",$N$5,$N$4))))))</f>
        <v>OK</v>
      </c>
      <c r="D137" s="8" t="str">
        <f aca="false">IF('Demanda por puesto'!$P$73=0,"—",IF(parametros_recargas!$N$79=0,$N$7,IF(D9&lt;=$O$9,$N$2,IF(parametros_recargas!$D$79="Tercerizado",$N$6,IF(D73&lt;$O$10,$N$3,IF(parametros_recargas!$D$79="Manual",$N$5,$N$4))))))</f>
        <v>OK</v>
      </c>
      <c r="E137" s="8" t="str">
        <f aca="false">IF('Demanda por puesto'!$P$105=0,"—",IF(parametros_recargas!$N$79=0,$N$7,IF(E9&lt;=$O$9,$N$2,IF(parametros_recargas!$D$79="Tercerizado",$N$6,IF(E73&lt;$O$10,$N$3,IF(parametros_recargas!$D$79="Manual",$N$5,$N$4))))))</f>
        <v>OK</v>
      </c>
      <c r="F137" s="8" t="str">
        <f aca="false">IF('Demanda por puesto'!$P$137=0,"—",IF(parametros_recargas!$N$79=0,$N$7,IF(F9&lt;=$O$9,$N$2,IF(parametros_recargas!$D$79="Tercerizado",$N$6,IF(F73&lt;$O$10,$N$3,IF(parametros_recargas!$D$79="Manual",$N$5,$N$4))))))</f>
        <v>OK</v>
      </c>
      <c r="G137" s="8" t="str">
        <f aca="false">IF('Demanda por puesto'!$P$169=0,"—",IF(parametros_recargas!$N$79=0,$N$7,IF(G9&lt;=$O$9,$N$2,IF(parametros_recargas!$D$79="Tercerizado",$N$6,IF(G73&lt;$O$10,$N$3,IF(parametros_recargas!$D$79="Manual",$N$5,$N$4))))))</f>
        <v>OK</v>
      </c>
      <c r="H137" s="8" t="str">
        <f aca="false">IF('Demanda por puesto'!$P$201=0,"—",IF(parametros_recargas!$N$79=0,$N$7,IF(H9&lt;=$O$9,$N$2,IF(parametros_recargas!$D$79="Tercerizado",$N$6,IF(H73&lt;$O$10,$N$3,IF(parametros_recargas!$D$79="Manual",$N$5,$N$4))))))</f>
        <v>OK</v>
      </c>
      <c r="I137" s="8" t="str">
        <f aca="false">IF('Demanda por puesto'!$P$233=0,"—",IF(parametros_recargas!$N$79=0,$N$7,IF(I9&lt;=$O$9,$N$2,IF(parametros_recargas!$D$79="Tercerizado",$N$6,IF(I73&lt;$O$10,$N$3,IF(parametros_recargas!$D$79="Manual",$N$5,$N$4))))))</f>
        <v>OK</v>
      </c>
      <c r="J137" s="8" t="str">
        <f aca="false">IF('Demanda por puesto'!$P$265=0,"—",IF(parametros_recargas!$N$79=0,$N$7,IF(J9&lt;=$O$9,$N$2,IF(parametros_recargas!$D$79="Tercerizado",$N$6,IF(J73&lt;$O$10,$N$3,IF(parametros_recargas!$D$79="Manual",$N$5,$N$4))))))</f>
        <v>OK</v>
      </c>
      <c r="K137" s="8" t="str">
        <f aca="false">IF('Demanda por puesto'!$P$297=0,"—",IF(parametros_recargas!$N$79=0,$N$7,IF(K9&lt;=$O$9,$N$2,IF(parametros_recargas!$D$79="Tercerizado",$N$6,IF(K73&lt;$O$10,$N$3,IF(parametros_recargas!$D$79="Manual",$N$5,$N$4))))))</f>
        <v>OK</v>
      </c>
    </row>
    <row r="138" customFormat="false" ht="15" hidden="false" customHeight="false" outlineLevel="0" collapsed="false">
      <c r="A138" s="8" t="str">
        <f aca="false">parametros_recargas!$B$80</f>
        <v>Desarme y limpieza — recinto</v>
      </c>
      <c r="B138" s="8" t="str">
        <f aca="false">IF('Demanda por puesto'!$P$10=0,"—",IF(parametros_recargas!$N$80=0,$N$7,IF(B10&lt;=$O$9,$N$2,IF(parametros_recargas!$D$80="Tercerizado",$N$6,IF(B74&lt;$O$10,$N$3,IF(parametros_recargas!$D$80="Manual",$N$5,$N$4))))))</f>
        <v>OK</v>
      </c>
      <c r="C138" s="8" t="str">
        <f aca="false">IF('Demanda por puesto'!$P$42=0,"—",IF(parametros_recargas!$N$80=0,$N$7,IF(C10&lt;=$O$9,$N$2,IF(parametros_recargas!$D$80="Tercerizado",$N$6,IF(C74&lt;$O$10,$N$3,IF(parametros_recargas!$D$80="Manual",$N$5,$N$4))))))</f>
        <v>OK</v>
      </c>
      <c r="D138" s="8" t="str">
        <f aca="false">IF('Demanda por puesto'!$P$74=0,"—",IF(parametros_recargas!$N$80=0,$N$7,IF(D10&lt;=$O$9,$N$2,IF(parametros_recargas!$D$80="Tercerizado",$N$6,IF(D74&lt;$O$10,$N$3,IF(parametros_recargas!$D$80="Manual",$N$5,$N$4))))))</f>
        <v>OK</v>
      </c>
      <c r="E138" s="8" t="str">
        <f aca="false">IF('Demanda por puesto'!$P$106=0,"—",IF(parametros_recargas!$N$80=0,$N$7,IF(E10&lt;=$O$9,$N$2,IF(parametros_recargas!$D$80="Tercerizado",$N$6,IF(E74&lt;$O$10,$N$3,IF(parametros_recargas!$D$80="Manual",$N$5,$N$4))))))</f>
        <v>OK</v>
      </c>
      <c r="F138" s="8" t="str">
        <f aca="false">IF('Demanda por puesto'!$P$138=0,"—",IF(parametros_recargas!$N$80=0,$N$7,IF(F10&lt;=$O$9,$N$2,IF(parametros_recargas!$D$80="Tercerizado",$N$6,IF(F74&lt;$O$10,$N$3,IF(parametros_recargas!$D$80="Manual",$N$5,$N$4))))))</f>
        <v>OK</v>
      </c>
      <c r="G138" s="8" t="str">
        <f aca="false">IF('Demanda por puesto'!$P$170=0,"—",IF(parametros_recargas!$N$80=0,$N$7,IF(G10&lt;=$O$9,$N$2,IF(parametros_recargas!$D$80="Tercerizado",$N$6,IF(G74&lt;$O$10,$N$3,IF(parametros_recargas!$D$80="Manual",$N$5,$N$4))))))</f>
        <v>OK</v>
      </c>
      <c r="H138" s="8" t="str">
        <f aca="false">IF('Demanda por puesto'!$P$202=0,"—",IF(parametros_recargas!$N$80=0,$N$7,IF(H10&lt;=$O$9,$N$2,IF(parametros_recargas!$D$80="Tercerizado",$N$6,IF(H74&lt;$O$10,$N$3,IF(parametros_recargas!$D$80="Manual",$N$5,$N$4))))))</f>
        <v>OK</v>
      </c>
      <c r="I138" s="8" t="str">
        <f aca="false">IF('Demanda por puesto'!$P$234=0,"—",IF(parametros_recargas!$N$80=0,$N$7,IF(I10&lt;=$O$9,$N$2,IF(parametros_recargas!$D$80="Tercerizado",$N$6,IF(I74&lt;$O$10,$N$3,IF(parametros_recargas!$D$80="Manual",$N$5,$N$4))))))</f>
        <v>OK</v>
      </c>
      <c r="J138" s="8" t="str">
        <f aca="false">IF('Demanda por puesto'!$P$266=0,"—",IF(parametros_recargas!$N$80=0,$N$7,IF(J10&lt;=$O$9,$N$2,IF(parametros_recargas!$D$80="Tercerizado",$N$6,IF(J74&lt;$O$10,$N$3,IF(parametros_recargas!$D$80="Manual",$N$5,$N$4))))))</f>
        <v>OK</v>
      </c>
      <c r="K138" s="8" t="str">
        <f aca="false">IF('Demanda por puesto'!$P$298=0,"—",IF(parametros_recargas!$N$80=0,$N$7,IF(K10&lt;=$O$9,$N$2,IF(parametros_recargas!$D$80="Tercerizado",$N$6,IF(K74&lt;$O$10,$N$3,IF(parametros_recargas!$D$80="Manual",$N$5,$N$4))))))</f>
        <v>OK</v>
      </c>
    </row>
    <row r="139" customFormat="false" ht="15" hidden="false" customHeight="false" outlineLevel="0" collapsed="false">
      <c r="A139" s="8" t="str">
        <f aca="false">parametros_recargas!$B$81</f>
        <v>Desarme e inspección interior — zona general</v>
      </c>
      <c r="B139" s="8" t="str">
        <f aca="false">IF('Demanda por puesto'!$P$11=0,"—",IF(parametros_recargas!$N$81=0,$N$7,IF(B11&lt;=$O$9,$N$2,IF(parametros_recargas!$D$81="Tercerizado",$N$6,IF(B75&lt;$O$10,$N$3,IF(parametros_recargas!$D$81="Manual",$N$5,$N$4))))))</f>
        <v>OK</v>
      </c>
      <c r="C139" s="8" t="str">
        <f aca="false">IF('Demanda por puesto'!$P$43=0,"—",IF(parametros_recargas!$N$81=0,$N$7,IF(C11&lt;=$O$9,$N$2,IF(parametros_recargas!$D$81="Tercerizado",$N$6,IF(C75&lt;$O$10,$N$3,IF(parametros_recargas!$D$81="Manual",$N$5,$N$4))))))</f>
        <v>OK</v>
      </c>
      <c r="D139" s="8" t="str">
        <f aca="false">IF('Demanda por puesto'!$P$75=0,"—",IF(parametros_recargas!$N$81=0,$N$7,IF(D11&lt;=$O$9,$N$2,IF(parametros_recargas!$D$81="Tercerizado",$N$6,IF(D75&lt;$O$10,$N$3,IF(parametros_recargas!$D$81="Manual",$N$5,$N$4))))))</f>
        <v>OK</v>
      </c>
      <c r="E139" s="8" t="str">
        <f aca="false">IF('Demanda por puesto'!$P$107=0,"—",IF(parametros_recargas!$N$81=0,$N$7,IF(E11&lt;=$O$9,$N$2,IF(parametros_recargas!$D$81="Tercerizado",$N$6,IF(E75&lt;$O$10,$N$3,IF(parametros_recargas!$D$81="Manual",$N$5,$N$4))))))</f>
        <v>OK</v>
      </c>
      <c r="F139" s="8" t="str">
        <f aca="false">IF('Demanda por puesto'!$P$139=0,"—",IF(parametros_recargas!$N$81=0,$N$7,IF(F11&lt;=$O$9,$N$2,IF(parametros_recargas!$D$81="Tercerizado",$N$6,IF(F75&lt;$O$10,$N$3,IF(parametros_recargas!$D$81="Manual",$N$5,$N$4))))))</f>
        <v>OK</v>
      </c>
      <c r="G139" s="8" t="str">
        <f aca="false">IF('Demanda por puesto'!$P$171=0,"—",IF(parametros_recargas!$N$81=0,$N$7,IF(G11&lt;=$O$9,$N$2,IF(parametros_recargas!$D$81="Tercerizado",$N$6,IF(G75&lt;$O$10,$N$3,IF(parametros_recargas!$D$81="Manual",$N$5,$N$4))))))</f>
        <v>OK</v>
      </c>
      <c r="H139" s="8" t="str">
        <f aca="false">IF('Demanda por puesto'!$P$203=0,"—",IF(parametros_recargas!$N$81=0,$N$7,IF(H11&lt;=$O$9,$N$2,IF(parametros_recargas!$D$81="Tercerizado",$N$6,IF(H75&lt;$O$10,$N$3,IF(parametros_recargas!$D$81="Manual",$N$5,$N$4))))))</f>
        <v>OK</v>
      </c>
      <c r="I139" s="8" t="str">
        <f aca="false">IF('Demanda por puesto'!$P$235=0,"—",IF(parametros_recargas!$N$81=0,$N$7,IF(I11&lt;=$O$9,$N$2,IF(parametros_recargas!$D$81="Tercerizado",$N$6,IF(I75&lt;$O$10,$N$3,IF(parametros_recargas!$D$81="Manual",$N$5,$N$4))))))</f>
        <v>OK</v>
      </c>
      <c r="J139" s="8" t="str">
        <f aca="false">IF('Demanda por puesto'!$P$267=0,"—",IF(parametros_recargas!$N$81=0,$N$7,IF(J11&lt;=$O$9,$N$2,IF(parametros_recargas!$D$81="Tercerizado",$N$6,IF(J75&lt;$O$10,$N$3,IF(parametros_recargas!$D$81="Manual",$N$5,$N$4))))))</f>
        <v>OK</v>
      </c>
      <c r="K139" s="8" t="str">
        <f aca="false">IF('Demanda por puesto'!$P$299=0,"—",IF(parametros_recargas!$N$81=0,$N$7,IF(K11&lt;=$O$9,$N$2,IF(parametros_recargas!$D$81="Tercerizado",$N$6,IF(K75&lt;$O$10,$N$3,IF(parametros_recargas!$D$81="Manual",$N$5,$N$4))))))</f>
        <v>OK</v>
      </c>
    </row>
    <row r="140" customFormat="false" ht="15" hidden="false" customHeight="false" outlineLevel="0" collapsed="false">
      <c r="A140" s="8" t="str">
        <f aca="false">parametros_recargas!$B$82</f>
        <v>Laboratorio — Puffer y mufla</v>
      </c>
      <c r="B140" s="8" t="str">
        <f aca="false">IF('Demanda por puesto'!$P$12=0,"—",IF(parametros_recargas!$N$82=0,$N$7,IF(B12&lt;=$O$9,$N$2,IF(parametros_recargas!$D$82="Tercerizado",$N$6,IF(B76&lt;$O$10,$N$3,IF(parametros_recargas!$D$82="Manual",$N$5,$N$4))))))</f>
        <v>OK</v>
      </c>
      <c r="C140" s="8" t="str">
        <f aca="false">IF('Demanda por puesto'!$P$44=0,"—",IF(parametros_recargas!$N$82=0,$N$7,IF(C12&lt;=$O$9,$N$2,IF(parametros_recargas!$D$82="Tercerizado",$N$6,IF(C76&lt;$O$10,$N$3,IF(parametros_recargas!$D$82="Manual",$N$5,$N$4))))))</f>
        <v>OK</v>
      </c>
      <c r="D140" s="8" t="str">
        <f aca="false">IF('Demanda por puesto'!$P$76=0,"—",IF(parametros_recargas!$N$82=0,$N$7,IF(D12&lt;=$O$9,$N$2,IF(parametros_recargas!$D$82="Tercerizado",$N$6,IF(D76&lt;$O$10,$N$3,IF(parametros_recargas!$D$82="Manual",$N$5,$N$4))))))</f>
        <v>OK</v>
      </c>
      <c r="E140" s="8" t="str">
        <f aca="false">IF('Demanda por puesto'!$P$108=0,"—",IF(parametros_recargas!$N$82=0,$N$7,IF(E12&lt;=$O$9,$N$2,IF(parametros_recargas!$D$82="Tercerizado",$N$6,IF(E76&lt;$O$10,$N$3,IF(parametros_recargas!$D$82="Manual",$N$5,$N$4))))))</f>
        <v>OK</v>
      </c>
      <c r="F140" s="8" t="str">
        <f aca="false">IF('Demanda por puesto'!$P$140=0,"—",IF(parametros_recargas!$N$82=0,$N$7,IF(F12&lt;=$O$9,$N$2,IF(parametros_recargas!$D$82="Tercerizado",$N$6,IF(F76&lt;$O$10,$N$3,IF(parametros_recargas!$D$82="Manual",$N$5,$N$4))))))</f>
        <v>OK</v>
      </c>
      <c r="G140" s="8" t="str">
        <f aca="false">IF('Demanda por puesto'!$P$172=0,"—",IF(parametros_recargas!$N$82=0,$N$7,IF(G12&lt;=$O$9,$N$2,IF(parametros_recargas!$D$82="Tercerizado",$N$6,IF(G76&lt;$O$10,$N$3,IF(parametros_recargas!$D$82="Manual",$N$5,$N$4))))))</f>
        <v>OK</v>
      </c>
      <c r="H140" s="8" t="str">
        <f aca="false">IF('Demanda por puesto'!$P$204=0,"—",IF(parametros_recargas!$N$82=0,$N$7,IF(H12&lt;=$O$9,$N$2,IF(parametros_recargas!$D$82="Tercerizado",$N$6,IF(H76&lt;$O$10,$N$3,IF(parametros_recargas!$D$82="Manual",$N$5,$N$4))))))</f>
        <v>OK</v>
      </c>
      <c r="I140" s="8" t="str">
        <f aca="false">IF('Demanda por puesto'!$P$236=0,"—",IF(parametros_recargas!$N$82=0,$N$7,IF(I12&lt;=$O$9,$N$2,IF(parametros_recargas!$D$82="Tercerizado",$N$6,IF(I76&lt;$O$10,$N$3,IF(parametros_recargas!$D$82="Manual",$N$5,$N$4))))))</f>
        <v>OK</v>
      </c>
      <c r="J140" s="8" t="str">
        <f aca="false">IF('Demanda por puesto'!$P$268=0,"—",IF(parametros_recargas!$N$82=0,$N$7,IF(J12&lt;=$O$9,$N$2,IF(parametros_recargas!$D$82="Tercerizado",$N$6,IF(J76&lt;$O$10,$N$3,IF(parametros_recargas!$D$82="Manual",$N$5,$N$4))))))</f>
        <v>OK</v>
      </c>
      <c r="K140" s="8" t="str">
        <f aca="false">IF('Demanda por puesto'!$P$300=0,"—",IF(parametros_recargas!$N$82=0,$N$7,IF(K12&lt;=$O$9,$N$2,IF(parametros_recargas!$D$82="Tercerizado",$N$6,IF(K76&lt;$O$10,$N$3,IF(parametros_recargas!$D$82="Manual",$N$5,$N$4))))))</f>
        <v>OK</v>
      </c>
    </row>
    <row r="141" customFormat="false" ht="15" hidden="false" customHeight="false" outlineLevel="0" collapsed="false">
      <c r="A141" s="8" t="str">
        <f aca="false">parametros_recargas!$B$83</f>
        <v>Prueba hidráulica</v>
      </c>
      <c r="B141" s="8" t="str">
        <f aca="false">IF('Demanda por puesto'!$P$13=0,"—",IF(parametros_recargas!$N$83=0,$N$7,IF(B13&lt;=$O$9,$N$2,IF(parametros_recargas!$D$83="Tercerizado",$N$6,IF(B77&lt;$O$10,$N$3,IF(parametros_recargas!$D$83="Manual",$N$5,$N$4))))))</f>
        <v>OK</v>
      </c>
      <c r="C141" s="8" t="str">
        <f aca="false">IF('Demanda por puesto'!$P$45=0,"—",IF(parametros_recargas!$N$83=0,$N$7,IF(C13&lt;=$O$9,$N$2,IF(parametros_recargas!$D$83="Tercerizado",$N$6,IF(C77&lt;$O$10,$N$3,IF(parametros_recargas!$D$83="Manual",$N$5,$N$4))))))</f>
        <v>OK</v>
      </c>
      <c r="D141" s="8" t="str">
        <f aca="false">IF('Demanda por puesto'!$P$77=0,"—",IF(parametros_recargas!$N$83=0,$N$7,IF(D13&lt;=$O$9,$N$2,IF(parametros_recargas!$D$83="Tercerizado",$N$6,IF(D77&lt;$O$10,$N$3,IF(parametros_recargas!$D$83="Manual",$N$5,$N$4))))))</f>
        <v>OK</v>
      </c>
      <c r="E141" s="8" t="str">
        <f aca="false">IF('Demanda por puesto'!$P$109=0,"—",IF(parametros_recargas!$N$83=0,$N$7,IF(E13&lt;=$O$9,$N$2,IF(parametros_recargas!$D$83="Tercerizado",$N$6,IF(E77&lt;$O$10,$N$3,IF(parametros_recargas!$D$83="Manual",$N$5,$N$4))))))</f>
        <v>OK</v>
      </c>
      <c r="F141" s="8" t="str">
        <f aca="false">IF('Demanda por puesto'!$P$141=0,"—",IF(parametros_recargas!$N$83=0,$N$7,IF(F13&lt;=$O$9,$N$2,IF(parametros_recargas!$D$83="Tercerizado",$N$6,IF(F77&lt;$O$10,$N$3,IF(parametros_recargas!$D$83="Manual",$N$5,$N$4))))))</f>
        <v>OK</v>
      </c>
      <c r="G141" s="8" t="str">
        <f aca="false">IF('Demanda por puesto'!$P$173=0,"—",IF(parametros_recargas!$N$83=0,$N$7,IF(G13&lt;=$O$9,$N$2,IF(parametros_recargas!$D$83="Tercerizado",$N$6,IF(G77&lt;$O$10,$N$3,IF(parametros_recargas!$D$83="Manual",$N$5,$N$4))))))</f>
        <v>OK</v>
      </c>
      <c r="H141" s="8" t="str">
        <f aca="false">IF('Demanda por puesto'!$P$205=0,"—",IF(parametros_recargas!$N$83=0,$N$7,IF(H13&lt;=$O$9,$N$2,IF(parametros_recargas!$D$83="Tercerizado",$N$6,IF(H77&lt;$O$10,$N$3,IF(parametros_recargas!$D$83="Manual",$N$5,$N$4))))))</f>
        <v>OK</v>
      </c>
      <c r="I141" s="8" t="str">
        <f aca="false">IF('Demanda por puesto'!$P$237=0,"—",IF(parametros_recargas!$N$83=0,$N$7,IF(I13&lt;=$O$9,$N$2,IF(parametros_recargas!$D$83="Tercerizado",$N$6,IF(I77&lt;$O$10,$N$3,IF(parametros_recargas!$D$83="Manual",$N$5,$N$4))))))</f>
        <v>OK</v>
      </c>
      <c r="J141" s="8" t="str">
        <f aca="false">IF('Demanda por puesto'!$P$269=0,"—",IF(parametros_recargas!$N$83=0,$N$7,IF(J13&lt;=$O$9,$N$2,IF(parametros_recargas!$D$83="Tercerizado",$N$6,IF(J77&lt;$O$10,$N$3,IF(parametros_recargas!$D$83="Manual",$N$5,$N$4))))))</f>
        <v>OK</v>
      </c>
      <c r="K141" s="8" t="str">
        <f aca="false">IF('Demanda por puesto'!$P$301=0,"—",IF(parametros_recargas!$N$83=0,$N$7,IF(K13&lt;=$O$9,$N$2,IF(parametros_recargas!$D$83="Tercerizado",$N$6,IF(K77&lt;$O$10,$N$3,IF(parametros_recargas!$D$83="Manual",$N$5,$N$4))))))</f>
        <v>OK</v>
      </c>
    </row>
    <row r="142" customFormat="false" ht="15" hidden="false" customHeight="false" outlineLevel="0" collapsed="false">
      <c r="A142" s="8" t="str">
        <f aca="false">parametros_recargas!$B$84</f>
        <v>Secado</v>
      </c>
      <c r="B142" s="8" t="str">
        <f aca="false">IF('Demanda por puesto'!$P$14=0,"—",IF(parametros_recargas!$N$84=0,$N$7,IF(B14&lt;=$O$9,$N$2,IF(parametros_recargas!$D$84="Tercerizado",$N$6,IF(B78&lt;$O$10,$N$3,IF(parametros_recargas!$D$84="Manual",$N$5,$N$4))))))</f>
        <v>OK</v>
      </c>
      <c r="C142" s="8" t="str">
        <f aca="false">IF('Demanda por puesto'!$P$46=0,"—",IF(parametros_recargas!$N$84=0,$N$7,IF(C14&lt;=$O$9,$N$2,IF(parametros_recargas!$D$84="Tercerizado",$N$6,IF(C78&lt;$O$10,$N$3,IF(parametros_recargas!$D$84="Manual",$N$5,$N$4))))))</f>
        <v>OK</v>
      </c>
      <c r="D142" s="8" t="str">
        <f aca="false">IF('Demanda por puesto'!$P$78=0,"—",IF(parametros_recargas!$N$84=0,$N$7,IF(D14&lt;=$O$9,$N$2,IF(parametros_recargas!$D$84="Tercerizado",$N$6,IF(D78&lt;$O$10,$N$3,IF(parametros_recargas!$D$84="Manual",$N$5,$N$4))))))</f>
        <v>OK</v>
      </c>
      <c r="E142" s="8" t="str">
        <f aca="false">IF('Demanda por puesto'!$P$110=0,"—",IF(parametros_recargas!$N$84=0,$N$7,IF(E14&lt;=$O$9,$N$2,IF(parametros_recargas!$D$84="Tercerizado",$N$6,IF(E78&lt;$O$10,$N$3,IF(parametros_recargas!$D$84="Manual",$N$5,$N$4))))))</f>
        <v>OK</v>
      </c>
      <c r="F142" s="8" t="str">
        <f aca="false">IF('Demanda por puesto'!$P$142=0,"—",IF(parametros_recargas!$N$84=0,$N$7,IF(F14&lt;=$O$9,$N$2,IF(parametros_recargas!$D$84="Tercerizado",$N$6,IF(F78&lt;$O$10,$N$3,IF(parametros_recargas!$D$84="Manual",$N$5,$N$4))))))</f>
        <v>OK</v>
      </c>
      <c r="G142" s="8" t="str">
        <f aca="false">IF('Demanda por puesto'!$P$174=0,"—",IF(parametros_recargas!$N$84=0,$N$7,IF(G14&lt;=$O$9,$N$2,IF(parametros_recargas!$D$84="Tercerizado",$N$6,IF(G78&lt;$O$10,$N$3,IF(parametros_recargas!$D$84="Manual",$N$5,$N$4))))))</f>
        <v>OK</v>
      </c>
      <c r="H142" s="8" t="str">
        <f aca="false">IF('Demanda por puesto'!$P$206=0,"—",IF(parametros_recargas!$N$84=0,$N$7,IF(H14&lt;=$O$9,$N$2,IF(parametros_recargas!$D$84="Tercerizado",$N$6,IF(H78&lt;$O$10,$N$3,IF(parametros_recargas!$D$84="Manual",$N$5,$N$4))))))</f>
        <v>OK</v>
      </c>
      <c r="I142" s="8" t="str">
        <f aca="false">IF('Demanda por puesto'!$P$238=0,"—",IF(parametros_recargas!$N$84=0,$N$7,IF(I14&lt;=$O$9,$N$2,IF(parametros_recargas!$D$84="Tercerizado",$N$6,IF(I78&lt;$O$10,$N$3,IF(parametros_recargas!$D$84="Manual",$N$5,$N$4))))))</f>
        <v>OK</v>
      </c>
      <c r="J142" s="8" t="str">
        <f aca="false">IF('Demanda por puesto'!$P$270=0,"—",IF(parametros_recargas!$N$84=0,$N$7,IF(J14&lt;=$O$9,$N$2,IF(parametros_recargas!$D$84="Tercerizado",$N$6,IF(J78&lt;$O$10,$N$3,IF(parametros_recargas!$D$84="Manual",$N$5,$N$4))))))</f>
        <v>OK</v>
      </c>
      <c r="K142" s="8" t="str">
        <f aca="false">IF('Demanda por puesto'!$P$302=0,"—",IF(parametros_recargas!$N$84=0,$N$7,IF(K14&lt;=$O$9,$N$2,IF(parametros_recargas!$D$84="Tercerizado",$N$6,IF(K78&lt;$O$10,$N$3,IF(parametros_recargas!$D$84="Manual",$N$5,$N$4))))))</f>
        <v>OK</v>
      </c>
    </row>
    <row r="143" customFormat="false" ht="15" hidden="false" customHeight="false" outlineLevel="0" collapsed="false">
      <c r="A143" s="8" t="str">
        <f aca="false">parametros_recargas!$B$85</f>
        <v>Inspección interior con videoscopio</v>
      </c>
      <c r="B143" s="8" t="str">
        <f aca="false">IF('Demanda por puesto'!$P$15=0,"—",IF(parametros_recargas!$N$85=0,$N$7,IF(B15&lt;=$O$9,$N$2,IF(parametros_recargas!$D$85="Tercerizado",$N$6,IF(B79&lt;$O$10,$N$3,IF(parametros_recargas!$D$85="Manual",$N$5,$N$4))))))</f>
        <v>OK</v>
      </c>
      <c r="C143" s="8" t="str">
        <f aca="false">IF('Demanda por puesto'!$P$47=0,"—",IF(parametros_recargas!$N$85=0,$N$7,IF(C15&lt;=$O$9,$N$2,IF(parametros_recargas!$D$85="Tercerizado",$N$6,IF(C79&lt;$O$10,$N$3,IF(parametros_recargas!$D$85="Manual",$N$5,$N$4))))))</f>
        <v>OK</v>
      </c>
      <c r="D143" s="8" t="str">
        <f aca="false">IF('Demanda por puesto'!$P$79=0,"—",IF(parametros_recargas!$N$85=0,$N$7,IF(D15&lt;=$O$9,$N$2,IF(parametros_recargas!$D$85="Tercerizado",$N$6,IF(D79&lt;$O$10,$N$3,IF(parametros_recargas!$D$85="Manual",$N$5,$N$4))))))</f>
        <v>OK</v>
      </c>
      <c r="E143" s="8" t="str">
        <f aca="false">IF('Demanda por puesto'!$P$111=0,"—",IF(parametros_recargas!$N$85=0,$N$7,IF(E15&lt;=$O$9,$N$2,IF(parametros_recargas!$D$85="Tercerizado",$N$6,IF(E79&lt;$O$10,$N$3,IF(parametros_recargas!$D$85="Manual",$N$5,$N$4))))))</f>
        <v>OK</v>
      </c>
      <c r="F143" s="8" t="str">
        <f aca="false">IF('Demanda por puesto'!$P$143=0,"—",IF(parametros_recargas!$N$85=0,$N$7,IF(F15&lt;=$O$9,$N$2,IF(parametros_recargas!$D$85="Tercerizado",$N$6,IF(F79&lt;$O$10,$N$3,IF(parametros_recargas!$D$85="Manual",$N$5,$N$4))))))</f>
        <v>OK</v>
      </c>
      <c r="G143" s="8" t="str">
        <f aca="false">IF('Demanda por puesto'!$P$175=0,"—",IF(parametros_recargas!$N$85=0,$N$7,IF(G15&lt;=$O$9,$N$2,IF(parametros_recargas!$D$85="Tercerizado",$N$6,IF(G79&lt;$O$10,$N$3,IF(parametros_recargas!$D$85="Manual",$N$5,$N$4))))))</f>
        <v>OK</v>
      </c>
      <c r="H143" s="8" t="str">
        <f aca="false">IF('Demanda por puesto'!$P$207=0,"—",IF(parametros_recargas!$N$85=0,$N$7,IF(H15&lt;=$O$9,$N$2,IF(parametros_recargas!$D$85="Tercerizado",$N$6,IF(H79&lt;$O$10,$N$3,IF(parametros_recargas!$D$85="Manual",$N$5,$N$4))))))</f>
        <v>OK</v>
      </c>
      <c r="I143" s="8" t="str">
        <f aca="false">IF('Demanda por puesto'!$P$239=0,"—",IF(parametros_recargas!$N$85=0,$N$7,IF(I15&lt;=$O$9,$N$2,IF(parametros_recargas!$D$85="Tercerizado",$N$6,IF(I79&lt;$O$10,$N$3,IF(parametros_recargas!$D$85="Manual",$N$5,$N$4))))))</f>
        <v>OK</v>
      </c>
      <c r="J143" s="8" t="str">
        <f aca="false">IF('Demanda por puesto'!$P$271=0,"—",IF(parametros_recargas!$N$85=0,$N$7,IF(J15&lt;=$O$9,$N$2,IF(parametros_recargas!$D$85="Tercerizado",$N$6,IF(J79&lt;$O$10,$N$3,IF(parametros_recargas!$D$85="Manual",$N$5,$N$4))))))</f>
        <v>OK</v>
      </c>
      <c r="K143" s="8" t="str">
        <f aca="false">IF('Demanda por puesto'!$P$303=0,"—",IF(parametros_recargas!$N$85=0,$N$7,IF(K15&lt;=$O$9,$N$2,IF(parametros_recargas!$D$85="Tercerizado",$N$6,IF(K79&lt;$O$10,$N$3,IF(parametros_recargas!$D$85="Manual",$N$5,$N$4))))))</f>
        <v>OK</v>
      </c>
    </row>
    <row r="144" customFormat="false" ht="15" hidden="false" customHeight="false" outlineLevel="0" collapsed="false">
      <c r="A144" s="8" t="str">
        <f aca="false">parametros_recargas!$B$86</f>
        <v>Pintura</v>
      </c>
      <c r="B144" s="8" t="str">
        <f aca="false">IF('Demanda por puesto'!$P$16=0,"—",IF(parametros_recargas!$N$86=0,$N$7,IF(B16&lt;=$O$9,$N$2,IF(parametros_recargas!$D$86="Tercerizado",$N$6,IF(B80&lt;$O$10,$N$3,IF(parametros_recargas!$D$86="Manual",$N$5,$N$4))))))</f>
        <v>OK</v>
      </c>
      <c r="C144" s="8" t="str">
        <f aca="false">IF('Demanda por puesto'!$P$48=0,"—",IF(parametros_recargas!$N$86=0,$N$7,IF(C16&lt;=$O$9,$N$2,IF(parametros_recargas!$D$86="Tercerizado",$N$6,IF(C80&lt;$O$10,$N$3,IF(parametros_recargas!$D$86="Manual",$N$5,$N$4))))))</f>
        <v>OK</v>
      </c>
      <c r="D144" s="8" t="str">
        <f aca="false">IF('Demanda por puesto'!$P$80=0,"—",IF(parametros_recargas!$N$86=0,$N$7,IF(D16&lt;=$O$9,$N$2,IF(parametros_recargas!$D$86="Tercerizado",$N$6,IF(D80&lt;$O$10,$N$3,IF(parametros_recargas!$D$86="Manual",$N$5,$N$4))))))</f>
        <v>OK</v>
      </c>
      <c r="E144" s="8" t="str">
        <f aca="false">IF('Demanda por puesto'!$P$112=0,"—",IF(parametros_recargas!$N$86=0,$N$7,IF(E16&lt;=$O$9,$N$2,IF(parametros_recargas!$D$86="Tercerizado",$N$6,IF(E80&lt;$O$10,$N$3,IF(parametros_recargas!$D$86="Manual",$N$5,$N$4))))))</f>
        <v>OK</v>
      </c>
      <c r="F144" s="8" t="str">
        <f aca="false">IF('Demanda por puesto'!$P$144=0,"—",IF(parametros_recargas!$N$86=0,$N$7,IF(F16&lt;=$O$9,$N$2,IF(parametros_recargas!$D$86="Tercerizado",$N$6,IF(F80&lt;$O$10,$N$3,IF(parametros_recargas!$D$86="Manual",$N$5,$N$4))))))</f>
        <v>OK</v>
      </c>
      <c r="G144" s="8" t="str">
        <f aca="false">IF('Demanda por puesto'!$P$176=0,"—",IF(parametros_recargas!$N$86=0,$N$7,IF(G16&lt;=$O$9,$N$2,IF(parametros_recargas!$D$86="Tercerizado",$N$6,IF(G80&lt;$O$10,$N$3,IF(parametros_recargas!$D$86="Manual",$N$5,$N$4))))))</f>
        <v>OK</v>
      </c>
      <c r="H144" s="8" t="str">
        <f aca="false">IF('Demanda por puesto'!$P$208=0,"—",IF(parametros_recargas!$N$86=0,$N$7,IF(H16&lt;=$O$9,$N$2,IF(parametros_recargas!$D$86="Tercerizado",$N$6,IF(H80&lt;$O$10,$N$3,IF(parametros_recargas!$D$86="Manual",$N$5,$N$4))))))</f>
        <v>OK</v>
      </c>
      <c r="I144" s="8" t="str">
        <f aca="false">IF('Demanda por puesto'!$P$240=0,"—",IF(parametros_recargas!$N$86=0,$N$7,IF(I16&lt;=$O$9,$N$2,IF(parametros_recargas!$D$86="Tercerizado",$N$6,IF(I80&lt;$O$10,$N$3,IF(parametros_recargas!$D$86="Manual",$N$5,$N$4))))))</f>
        <v>OK</v>
      </c>
      <c r="J144" s="8" t="str">
        <f aca="false">IF('Demanda por puesto'!$P$272=0,"—",IF(parametros_recargas!$N$86=0,$N$7,IF(J16&lt;=$O$9,$N$2,IF(parametros_recargas!$D$86="Tercerizado",$N$6,IF(J80&lt;$O$10,$N$3,IF(parametros_recargas!$D$86="Manual",$N$5,$N$4))))))</f>
        <v>OK</v>
      </c>
      <c r="K144" s="8" t="str">
        <f aca="false">IF('Demanda por puesto'!$P$304=0,"—",IF(parametros_recargas!$N$86=0,$N$7,IF(K16&lt;=$O$9,$N$2,IF(parametros_recargas!$D$86="Tercerizado",$N$6,IF(K80&lt;$O$10,$N$3,IF(parametros_recargas!$D$86="Manual",$N$5,$N$4))))))</f>
        <v>OK</v>
      </c>
    </row>
    <row r="145" customFormat="false" ht="15" hidden="false" customHeight="false" outlineLevel="0" collapsed="false">
      <c r="A145" s="8" t="str">
        <f aca="false">parametros_recargas!$B$87</f>
        <v>Carga de polvo ABC</v>
      </c>
      <c r="B145" s="8" t="str">
        <f aca="false">IF('Demanda por puesto'!$P$17=0,"—",IF(parametros_recargas!$N$87=0,$N$7,IF(B17&lt;=$O$9,$N$2,IF(parametros_recargas!$D$87="Tercerizado",$N$6,IF(B81&lt;$O$10,$N$3,IF(parametros_recargas!$D$87="Manual",$N$5,$N$4))))))</f>
        <v>OK</v>
      </c>
      <c r="C145" s="8" t="str">
        <f aca="false">IF('Demanda por puesto'!$P$49=0,"—",IF(parametros_recargas!$N$87=0,$N$7,IF(C17&lt;=$O$9,$N$2,IF(parametros_recargas!$D$87="Tercerizado",$N$6,IF(C81&lt;$O$10,$N$3,IF(parametros_recargas!$D$87="Manual",$N$5,$N$4))))))</f>
        <v>OK</v>
      </c>
      <c r="D145" s="8" t="str">
        <f aca="false">IF('Demanda por puesto'!$P$81=0,"—",IF(parametros_recargas!$N$87=0,$N$7,IF(D17&lt;=$O$9,$N$2,IF(parametros_recargas!$D$87="Tercerizado",$N$6,IF(D81&lt;$O$10,$N$3,IF(parametros_recargas!$D$87="Manual",$N$5,$N$4))))))</f>
        <v>OK</v>
      </c>
      <c r="E145" s="8" t="str">
        <f aca="false">IF('Demanda por puesto'!$P$113=0,"—",IF(parametros_recargas!$N$87=0,$N$7,IF(E17&lt;=$O$9,$N$2,IF(parametros_recargas!$D$87="Tercerizado",$N$6,IF(E81&lt;$O$10,$N$3,IF(parametros_recargas!$D$87="Manual",$N$5,$N$4))))))</f>
        <v>OK</v>
      </c>
      <c r="F145" s="8" t="str">
        <f aca="false">IF('Demanda por puesto'!$P$145=0,"—",IF(parametros_recargas!$N$87=0,$N$7,IF(F17&lt;=$O$9,$N$2,IF(parametros_recargas!$D$87="Tercerizado",$N$6,IF(F81&lt;$O$10,$N$3,IF(parametros_recargas!$D$87="Manual",$N$5,$N$4))))))</f>
        <v>OK</v>
      </c>
      <c r="G145" s="8" t="str">
        <f aca="false">IF('Demanda por puesto'!$P$177=0,"—",IF(parametros_recargas!$N$87=0,$N$7,IF(G17&lt;=$O$9,$N$2,IF(parametros_recargas!$D$87="Tercerizado",$N$6,IF(G81&lt;$O$10,$N$3,IF(parametros_recargas!$D$87="Manual",$N$5,$N$4))))))</f>
        <v>OK</v>
      </c>
      <c r="H145" s="8" t="str">
        <f aca="false">IF('Demanda por puesto'!$P$209=0,"—",IF(parametros_recargas!$N$87=0,$N$7,IF(H17&lt;=$O$9,$N$2,IF(parametros_recargas!$D$87="Tercerizado",$N$6,IF(H81&lt;$O$10,$N$3,IF(parametros_recargas!$D$87="Manual",$N$5,$N$4))))))</f>
        <v>OK</v>
      </c>
      <c r="I145" s="8" t="str">
        <f aca="false">IF('Demanda por puesto'!$P$241=0,"—",IF(parametros_recargas!$N$87=0,$N$7,IF(I17&lt;=$O$9,$N$2,IF(parametros_recargas!$D$87="Tercerizado",$N$6,IF(I81&lt;$O$10,$N$3,IF(parametros_recargas!$D$87="Manual",$N$5,$N$4))))))</f>
        <v>OK</v>
      </c>
      <c r="J145" s="8" t="str">
        <f aca="false">IF('Demanda por puesto'!$P$273=0,"—",IF(parametros_recargas!$N$87=0,$N$7,IF(J17&lt;=$O$9,$N$2,IF(parametros_recargas!$D$87="Tercerizado",$N$6,IF(J81&lt;$O$10,$N$3,IF(parametros_recargas!$D$87="Manual",$N$5,$N$4))))))</f>
        <v>OK</v>
      </c>
      <c r="K145" s="8" t="str">
        <f aca="false">IF('Demanda por puesto'!$P$305=0,"—",IF(parametros_recargas!$N$87=0,$N$7,IF(K17&lt;=$O$9,$N$2,IF(parametros_recargas!$D$87="Tercerizado",$N$6,IF(K81&lt;$O$10,$N$3,IF(parametros_recargas!$D$87="Manual",$N$5,$N$4))))))</f>
        <v>OK</v>
      </c>
    </row>
    <row r="146" customFormat="false" ht="15" hidden="false" customHeight="false" outlineLevel="0" collapsed="false">
      <c r="A146" s="8" t="str">
        <f aca="false">parametros_recargas!$B$88</f>
        <v>Carga de polvo BC</v>
      </c>
      <c r="B146" s="8" t="str">
        <f aca="false">IF('Demanda por puesto'!$P$18=0,"—",IF(parametros_recargas!$N$88=0,$N$7,IF(B18&lt;=$O$9,$N$2,IF(parametros_recargas!$D$88="Tercerizado",$N$6,IF(B82&lt;$O$10,$N$3,IF(parametros_recargas!$D$88="Manual",$N$5,$N$4))))))</f>
        <v>OK</v>
      </c>
      <c r="C146" s="8" t="str">
        <f aca="false">IF('Demanda por puesto'!$P$50=0,"—",IF(parametros_recargas!$N$88=0,$N$7,IF(C18&lt;=$O$9,$N$2,IF(parametros_recargas!$D$88="Tercerizado",$N$6,IF(C82&lt;$O$10,$N$3,IF(parametros_recargas!$D$88="Manual",$N$5,$N$4))))))</f>
        <v>OK</v>
      </c>
      <c r="D146" s="8" t="str">
        <f aca="false">IF('Demanda por puesto'!$P$82=0,"—",IF(parametros_recargas!$N$88=0,$N$7,IF(D18&lt;=$O$9,$N$2,IF(parametros_recargas!$D$88="Tercerizado",$N$6,IF(D82&lt;$O$10,$N$3,IF(parametros_recargas!$D$88="Manual",$N$5,$N$4))))))</f>
        <v>OK</v>
      </c>
      <c r="E146" s="8" t="str">
        <f aca="false">IF('Demanda por puesto'!$P$114=0,"—",IF(parametros_recargas!$N$88=0,$N$7,IF(E18&lt;=$O$9,$N$2,IF(parametros_recargas!$D$88="Tercerizado",$N$6,IF(E82&lt;$O$10,$N$3,IF(parametros_recargas!$D$88="Manual",$N$5,$N$4))))))</f>
        <v>OK</v>
      </c>
      <c r="F146" s="8" t="str">
        <f aca="false">IF('Demanda por puesto'!$P$146=0,"—",IF(parametros_recargas!$N$88=0,$N$7,IF(F18&lt;=$O$9,$N$2,IF(parametros_recargas!$D$88="Tercerizado",$N$6,IF(F82&lt;$O$10,$N$3,IF(parametros_recargas!$D$88="Manual",$N$5,$N$4))))))</f>
        <v>OK</v>
      </c>
      <c r="G146" s="8" t="str">
        <f aca="false">IF('Demanda por puesto'!$P$178=0,"—",IF(parametros_recargas!$N$88=0,$N$7,IF(G18&lt;=$O$9,$N$2,IF(parametros_recargas!$D$88="Tercerizado",$N$6,IF(G82&lt;$O$10,$N$3,IF(parametros_recargas!$D$88="Manual",$N$5,$N$4))))))</f>
        <v>OK</v>
      </c>
      <c r="H146" s="8" t="str">
        <f aca="false">IF('Demanda por puesto'!$P$210=0,"—",IF(parametros_recargas!$N$88=0,$N$7,IF(H18&lt;=$O$9,$N$2,IF(parametros_recargas!$D$88="Tercerizado",$N$6,IF(H82&lt;$O$10,$N$3,IF(parametros_recargas!$D$88="Manual",$N$5,$N$4))))))</f>
        <v>OK</v>
      </c>
      <c r="I146" s="8" t="str">
        <f aca="false">IF('Demanda por puesto'!$P$242=0,"—",IF(parametros_recargas!$N$88=0,$N$7,IF(I18&lt;=$O$9,$N$2,IF(parametros_recargas!$D$88="Tercerizado",$N$6,IF(I82&lt;$O$10,$N$3,IF(parametros_recargas!$D$88="Manual",$N$5,$N$4))))))</f>
        <v>OK</v>
      </c>
      <c r="J146" s="8" t="str">
        <f aca="false">IF('Demanda por puesto'!$P$274=0,"—",IF(parametros_recargas!$N$88=0,$N$7,IF(J18&lt;=$O$9,$N$2,IF(parametros_recargas!$D$88="Tercerizado",$N$6,IF(J82&lt;$O$10,$N$3,IF(parametros_recargas!$D$88="Manual",$N$5,$N$4))))))</f>
        <v>OK</v>
      </c>
      <c r="K146" s="8" t="str">
        <f aca="false">IF('Demanda por puesto'!$P$306=0,"—",IF(parametros_recargas!$N$88=0,$N$7,IF(K18&lt;=$O$9,$N$2,IF(parametros_recargas!$D$88="Tercerizado",$N$6,IF(K82&lt;$O$10,$N$3,IF(parametros_recargas!$D$88="Manual",$N$5,$N$4))))))</f>
        <v>OK</v>
      </c>
    </row>
    <row r="147" customFormat="false" ht="15" hidden="false" customHeight="false" outlineLevel="0" collapsed="false">
      <c r="A147" s="8" t="str">
        <f aca="false">parametros_recargas!$B$89</f>
        <v>Descarga y carga Clase D</v>
      </c>
      <c r="B147" s="8" t="str">
        <f aca="false">IF('Demanda por puesto'!$P$19=0,"—",IF(parametros_recargas!$N$89=0,$N$7,IF(B19&lt;=$O$9,$N$2,IF(parametros_recargas!$D$89="Tercerizado",$N$6,IF(B83&lt;$O$10,$N$3,IF(parametros_recargas!$D$89="Manual",$N$5,$N$4))))))</f>
        <v>OK</v>
      </c>
      <c r="C147" s="8" t="str">
        <f aca="false">IF('Demanda por puesto'!$P$51=0,"—",IF(parametros_recargas!$N$89=0,$N$7,IF(C19&lt;=$O$9,$N$2,IF(parametros_recargas!$D$89="Tercerizado",$N$6,IF(C83&lt;$O$10,$N$3,IF(parametros_recargas!$D$89="Manual",$N$5,$N$4))))))</f>
        <v>OK</v>
      </c>
      <c r="D147" s="8" t="str">
        <f aca="false">IF('Demanda por puesto'!$P$83=0,"—",IF(parametros_recargas!$N$89=0,$N$7,IF(D19&lt;=$O$9,$N$2,IF(parametros_recargas!$D$89="Tercerizado",$N$6,IF(D83&lt;$O$10,$N$3,IF(parametros_recargas!$D$89="Manual",$N$5,$N$4))))))</f>
        <v>OK</v>
      </c>
      <c r="E147" s="8" t="str">
        <f aca="false">IF('Demanda por puesto'!$P$115=0,"—",IF(parametros_recargas!$N$89=0,$N$7,IF(E19&lt;=$O$9,$N$2,IF(parametros_recargas!$D$89="Tercerizado",$N$6,IF(E83&lt;$O$10,$N$3,IF(parametros_recargas!$D$89="Manual",$N$5,$N$4))))))</f>
        <v>OK</v>
      </c>
      <c r="F147" s="8" t="str">
        <f aca="false">IF('Demanda por puesto'!$P$147=0,"—",IF(parametros_recargas!$N$89=0,$N$7,IF(F19&lt;=$O$9,$N$2,IF(parametros_recargas!$D$89="Tercerizado",$N$6,IF(F83&lt;$O$10,$N$3,IF(parametros_recargas!$D$89="Manual",$N$5,$N$4))))))</f>
        <v>OK</v>
      </c>
      <c r="G147" s="8" t="str">
        <f aca="false">IF('Demanda por puesto'!$P$179=0,"—",IF(parametros_recargas!$N$89=0,$N$7,IF(G19&lt;=$O$9,$N$2,IF(parametros_recargas!$D$89="Tercerizado",$N$6,IF(G83&lt;$O$10,$N$3,IF(parametros_recargas!$D$89="Manual",$N$5,$N$4))))))</f>
        <v>OK</v>
      </c>
      <c r="H147" s="8" t="str">
        <f aca="false">IF('Demanda por puesto'!$P$211=0,"—",IF(parametros_recargas!$N$89=0,$N$7,IF(H19&lt;=$O$9,$N$2,IF(parametros_recargas!$D$89="Tercerizado",$N$6,IF(H83&lt;$O$10,$N$3,IF(parametros_recargas!$D$89="Manual",$N$5,$N$4))))))</f>
        <v>OK</v>
      </c>
      <c r="I147" s="8" t="str">
        <f aca="false">IF('Demanda por puesto'!$P$243=0,"—",IF(parametros_recargas!$N$89=0,$N$7,IF(I19&lt;=$O$9,$N$2,IF(parametros_recargas!$D$89="Tercerizado",$N$6,IF(I83&lt;$O$10,$N$3,IF(parametros_recargas!$D$89="Manual",$N$5,$N$4))))))</f>
        <v>OK</v>
      </c>
      <c r="J147" s="8" t="str">
        <f aca="false">IF('Demanda por puesto'!$P$275=0,"—",IF(parametros_recargas!$N$89=0,$N$7,IF(J19&lt;=$O$9,$N$2,IF(parametros_recargas!$D$89="Tercerizado",$N$6,IF(J83&lt;$O$10,$N$3,IF(parametros_recargas!$D$89="Manual",$N$5,$N$4))))))</f>
        <v>OK</v>
      </c>
      <c r="K147" s="8" t="str">
        <f aca="false">IF('Demanda por puesto'!$P$307=0,"—",IF(parametros_recargas!$N$89=0,$N$7,IF(K19&lt;=$O$9,$N$2,IF(parametros_recargas!$D$89="Tercerizado",$N$6,IF(K83&lt;$O$10,$N$3,IF(parametros_recargas!$D$89="Manual",$N$5,$N$4))))))</f>
        <v>OK</v>
      </c>
    </row>
    <row r="148" customFormat="false" ht="15" hidden="false" customHeight="false" outlineLevel="0" collapsed="false">
      <c r="A148" s="8" t="str">
        <f aca="false">parametros_recargas!$B$90</f>
        <v>Carga de agua / AFFF / sales K</v>
      </c>
      <c r="B148" s="8" t="str">
        <f aca="false">IF('Demanda por puesto'!$P$20=0,"—",IF(parametros_recargas!$N$90=0,$N$7,IF(B20&lt;=$O$9,$N$2,IF(parametros_recargas!$D$90="Tercerizado",$N$6,IF(B84&lt;$O$10,$N$3,IF(parametros_recargas!$D$90="Manual",$N$5,$N$4))))))</f>
        <v>OK</v>
      </c>
      <c r="C148" s="8" t="str">
        <f aca="false">IF('Demanda por puesto'!$P$52=0,"—",IF(parametros_recargas!$N$90=0,$N$7,IF(C20&lt;=$O$9,$N$2,IF(parametros_recargas!$D$90="Tercerizado",$N$6,IF(C84&lt;$O$10,$N$3,IF(parametros_recargas!$D$90="Manual",$N$5,$N$4))))))</f>
        <v>OK</v>
      </c>
      <c r="D148" s="8" t="str">
        <f aca="false">IF('Demanda por puesto'!$P$84=0,"—",IF(parametros_recargas!$N$90=0,$N$7,IF(D20&lt;=$O$9,$N$2,IF(parametros_recargas!$D$90="Tercerizado",$N$6,IF(D84&lt;$O$10,$N$3,IF(parametros_recargas!$D$90="Manual",$N$5,$N$4))))))</f>
        <v>OK</v>
      </c>
      <c r="E148" s="8" t="str">
        <f aca="false">IF('Demanda por puesto'!$P$116=0,"—",IF(parametros_recargas!$N$90=0,$N$7,IF(E20&lt;=$O$9,$N$2,IF(parametros_recargas!$D$90="Tercerizado",$N$6,IF(E84&lt;$O$10,$N$3,IF(parametros_recargas!$D$90="Manual",$N$5,$N$4))))))</f>
        <v>OK</v>
      </c>
      <c r="F148" s="8" t="str">
        <f aca="false">IF('Demanda por puesto'!$P$148=0,"—",IF(parametros_recargas!$N$90=0,$N$7,IF(F20&lt;=$O$9,$N$2,IF(parametros_recargas!$D$90="Tercerizado",$N$6,IF(F84&lt;$O$10,$N$3,IF(parametros_recargas!$D$90="Manual",$N$5,$N$4))))))</f>
        <v>OK</v>
      </c>
      <c r="G148" s="8" t="str">
        <f aca="false">IF('Demanda por puesto'!$P$180=0,"—",IF(parametros_recargas!$N$90=0,$N$7,IF(G20&lt;=$O$9,$N$2,IF(parametros_recargas!$D$90="Tercerizado",$N$6,IF(G84&lt;$O$10,$N$3,IF(parametros_recargas!$D$90="Manual",$N$5,$N$4))))))</f>
        <v>OK</v>
      </c>
      <c r="H148" s="8" t="str">
        <f aca="false">IF('Demanda por puesto'!$P$212=0,"—",IF(parametros_recargas!$N$90=0,$N$7,IF(H20&lt;=$O$9,$N$2,IF(parametros_recargas!$D$90="Tercerizado",$N$6,IF(H84&lt;$O$10,$N$3,IF(parametros_recargas!$D$90="Manual",$N$5,$N$4))))))</f>
        <v>OK</v>
      </c>
      <c r="I148" s="8" t="str">
        <f aca="false">IF('Demanda por puesto'!$P$244=0,"—",IF(parametros_recargas!$N$90=0,$N$7,IF(I20&lt;=$O$9,$N$2,IF(parametros_recargas!$D$90="Tercerizado",$N$6,IF(I84&lt;$O$10,$N$3,IF(parametros_recargas!$D$90="Manual",$N$5,$N$4))))))</f>
        <v>OK</v>
      </c>
      <c r="J148" s="8" t="str">
        <f aca="false">IF('Demanda por puesto'!$P$276=0,"—",IF(parametros_recargas!$N$90=0,$N$7,IF(J20&lt;=$O$9,$N$2,IF(parametros_recargas!$D$90="Tercerizado",$N$6,IF(J84&lt;$O$10,$N$3,IF(parametros_recargas!$D$90="Manual",$N$5,$N$4))))))</f>
        <v>OK</v>
      </c>
      <c r="K148" s="8" t="str">
        <f aca="false">IF('Demanda por puesto'!$P$308=0,"—",IF(parametros_recargas!$N$90=0,$N$7,IF(K20&lt;=$O$9,$N$2,IF(parametros_recargas!$D$90="Tercerizado",$N$6,IF(K84&lt;$O$10,$N$3,IF(parametros_recargas!$D$90="Manual",$N$5,$N$4))))))</f>
        <v>OK</v>
      </c>
    </row>
    <row r="149" customFormat="false" ht="15" hidden="false" customHeight="false" outlineLevel="0" collapsed="false">
      <c r="A149" s="8" t="str">
        <f aca="false">parametros_recargas!$B$91</f>
        <v>Carga de CO₂</v>
      </c>
      <c r="B149" s="8" t="str">
        <f aca="false">IF('Demanda por puesto'!$P$21=0,"—",IF(parametros_recargas!$N$91=0,$N$7,IF(B21&lt;=$O$9,$N$2,IF(parametros_recargas!$D$91="Tercerizado",$N$6,IF(B85&lt;$O$10,$N$3,IF(parametros_recargas!$D$91="Manual",$N$5,$N$4))))))</f>
        <v>OK</v>
      </c>
      <c r="C149" s="8" t="str">
        <f aca="false">IF('Demanda por puesto'!$P$53=0,"—",IF(parametros_recargas!$N$91=0,$N$7,IF(C21&lt;=$O$9,$N$2,IF(parametros_recargas!$D$91="Tercerizado",$N$6,IF(C85&lt;$O$10,$N$3,IF(parametros_recargas!$D$91="Manual",$N$5,$N$4))))))</f>
        <v>OK</v>
      </c>
      <c r="D149" s="8" t="str">
        <f aca="false">IF('Demanda por puesto'!$P$85=0,"—",IF(parametros_recargas!$N$91=0,$N$7,IF(D21&lt;=$O$9,$N$2,IF(parametros_recargas!$D$91="Tercerizado",$N$6,IF(D85&lt;$O$10,$N$3,IF(parametros_recargas!$D$91="Manual",$N$5,$N$4))))))</f>
        <v>OK</v>
      </c>
      <c r="E149" s="8" t="str">
        <f aca="false">IF('Demanda por puesto'!$P$117=0,"—",IF(parametros_recargas!$N$91=0,$N$7,IF(E21&lt;=$O$9,$N$2,IF(parametros_recargas!$D$91="Tercerizado",$N$6,IF(E85&lt;$O$10,$N$3,IF(parametros_recargas!$D$91="Manual",$N$5,$N$4))))))</f>
        <v>OK</v>
      </c>
      <c r="F149" s="8" t="str">
        <f aca="false">IF('Demanda por puesto'!$P$149=0,"—",IF(parametros_recargas!$N$91=0,$N$7,IF(F21&lt;=$O$9,$N$2,IF(parametros_recargas!$D$91="Tercerizado",$N$6,IF(F85&lt;$O$10,$N$3,IF(parametros_recargas!$D$91="Manual",$N$5,$N$4))))))</f>
        <v>OK</v>
      </c>
      <c r="G149" s="8" t="str">
        <f aca="false">IF('Demanda por puesto'!$P$181=0,"—",IF(parametros_recargas!$N$91=0,$N$7,IF(G21&lt;=$O$9,$N$2,IF(parametros_recargas!$D$91="Tercerizado",$N$6,IF(G85&lt;$O$10,$N$3,IF(parametros_recargas!$D$91="Manual",$N$5,$N$4))))))</f>
        <v>OK</v>
      </c>
      <c r="H149" s="8" t="str">
        <f aca="false">IF('Demanda por puesto'!$P$213=0,"—",IF(parametros_recargas!$N$91=0,$N$7,IF(H21&lt;=$O$9,$N$2,IF(parametros_recargas!$D$91="Tercerizado",$N$6,IF(H85&lt;$O$10,$N$3,IF(parametros_recargas!$D$91="Manual",$N$5,$N$4))))))</f>
        <v>OK</v>
      </c>
      <c r="I149" s="8" t="str">
        <f aca="false">IF('Demanda por puesto'!$P$245=0,"—",IF(parametros_recargas!$N$91=0,$N$7,IF(I21&lt;=$O$9,$N$2,IF(parametros_recargas!$D$91="Tercerizado",$N$6,IF(I85&lt;$O$10,$N$3,IF(parametros_recargas!$D$91="Manual",$N$5,$N$4))))))</f>
        <v>OK</v>
      </c>
      <c r="J149" s="8" t="str">
        <f aca="false">IF('Demanda por puesto'!$P$277=0,"—",IF(parametros_recargas!$N$91=0,$N$7,IF(J21&lt;=$O$9,$N$2,IF(parametros_recargas!$D$91="Tercerizado",$N$6,IF(J85&lt;$O$10,$N$3,IF(parametros_recargas!$D$91="Manual",$N$5,$N$4))))))</f>
        <v>OK</v>
      </c>
      <c r="K149" s="8" t="str">
        <f aca="false">IF('Demanda por puesto'!$P$309=0,"—",IF(parametros_recargas!$N$91=0,$N$7,IF(K21&lt;=$O$9,$N$2,IF(parametros_recargas!$D$91="Tercerizado",$N$6,IF(K85&lt;$O$10,$N$3,IF(parametros_recargas!$D$91="Manual",$N$5,$N$4))))))</f>
        <v>OK</v>
      </c>
    </row>
    <row r="150" customFormat="false" ht="15" hidden="false" customHeight="false" outlineLevel="0" collapsed="false">
      <c r="A150" s="8" t="str">
        <f aca="false">parametros_recargas!$B$92</f>
        <v>Ensamblaje y marbete — recinto</v>
      </c>
      <c r="B150" s="8" t="str">
        <f aca="false">IF('Demanda por puesto'!$P$22=0,"—",IF(parametros_recargas!$N$92=0,$N$7,IF(B22&lt;=$O$9,$N$2,IF(parametros_recargas!$D$92="Tercerizado",$N$6,IF(B86&lt;$O$10,$N$3,IF(parametros_recargas!$D$92="Manual",$N$5,$N$4))))))</f>
        <v>OK</v>
      </c>
      <c r="C150" s="8" t="str">
        <f aca="false">IF('Demanda por puesto'!$P$54=0,"—",IF(parametros_recargas!$N$92=0,$N$7,IF(C22&lt;=$O$9,$N$2,IF(parametros_recargas!$D$92="Tercerizado",$N$6,IF(C86&lt;$O$10,$N$3,IF(parametros_recargas!$D$92="Manual",$N$5,$N$4))))))</f>
        <v>OK</v>
      </c>
      <c r="D150" s="8" t="str">
        <f aca="false">IF('Demanda por puesto'!$P$86=0,"—",IF(parametros_recargas!$N$92=0,$N$7,IF(D22&lt;=$O$9,$N$2,IF(parametros_recargas!$D$92="Tercerizado",$N$6,IF(D86&lt;$O$10,$N$3,IF(parametros_recargas!$D$92="Manual",$N$5,$N$4))))))</f>
        <v>OK</v>
      </c>
      <c r="E150" s="8" t="str">
        <f aca="false">IF('Demanda por puesto'!$P$118=0,"—",IF(parametros_recargas!$N$92=0,$N$7,IF(E22&lt;=$O$9,$N$2,IF(parametros_recargas!$D$92="Tercerizado",$N$6,IF(E86&lt;$O$10,$N$3,IF(parametros_recargas!$D$92="Manual",$N$5,$N$4))))))</f>
        <v>OK</v>
      </c>
      <c r="F150" s="8" t="str">
        <f aca="false">IF('Demanda por puesto'!$P$150=0,"—",IF(parametros_recargas!$N$92=0,$N$7,IF(F22&lt;=$O$9,$N$2,IF(parametros_recargas!$D$92="Tercerizado",$N$6,IF(F86&lt;$O$10,$N$3,IF(parametros_recargas!$D$92="Manual",$N$5,$N$4))))))</f>
        <v>OK</v>
      </c>
      <c r="G150" s="8" t="str">
        <f aca="false">IF('Demanda por puesto'!$P$182=0,"—",IF(parametros_recargas!$N$92=0,$N$7,IF(G22&lt;=$O$9,$N$2,IF(parametros_recargas!$D$92="Tercerizado",$N$6,IF(G86&lt;$O$10,$N$3,IF(parametros_recargas!$D$92="Manual",$N$5,$N$4))))))</f>
        <v>OK</v>
      </c>
      <c r="H150" s="8" t="str">
        <f aca="false">IF('Demanda por puesto'!$P$214=0,"—",IF(parametros_recargas!$N$92=0,$N$7,IF(H22&lt;=$O$9,$N$2,IF(parametros_recargas!$D$92="Tercerizado",$N$6,IF(H86&lt;$O$10,$N$3,IF(parametros_recargas!$D$92="Manual",$N$5,$N$4))))))</f>
        <v>OK</v>
      </c>
      <c r="I150" s="8" t="str">
        <f aca="false">IF('Demanda por puesto'!$P$246=0,"—",IF(parametros_recargas!$N$92=0,$N$7,IF(I22&lt;=$O$9,$N$2,IF(parametros_recargas!$D$92="Tercerizado",$N$6,IF(I86&lt;$O$10,$N$3,IF(parametros_recargas!$D$92="Manual",$N$5,$N$4))))))</f>
        <v>OK</v>
      </c>
      <c r="J150" s="8" t="str">
        <f aca="false">IF('Demanda por puesto'!$P$278=0,"—",IF(parametros_recargas!$N$92=0,$N$7,IF(J22&lt;=$O$9,$N$2,IF(parametros_recargas!$D$92="Tercerizado",$N$6,IF(J86&lt;$O$10,$N$3,IF(parametros_recargas!$D$92="Manual",$N$5,$N$4))))))</f>
        <v>OK</v>
      </c>
      <c r="K150" s="8" t="str">
        <f aca="false">IF('Demanda por puesto'!$P$310=0,"—",IF(parametros_recargas!$N$92=0,$N$7,IF(K22&lt;=$O$9,$N$2,IF(parametros_recargas!$D$92="Tercerizado",$N$6,IF(K86&lt;$O$10,$N$3,IF(parametros_recargas!$D$92="Manual",$N$5,$N$4))))))</f>
        <v>OK</v>
      </c>
    </row>
    <row r="151" customFormat="false" ht="15" hidden="false" customHeight="false" outlineLevel="0" collapsed="false">
      <c r="A151" s="8" t="str">
        <f aca="false">parametros_recargas!$B$93</f>
        <v>Presurización — recinto</v>
      </c>
      <c r="B151" s="8" t="str">
        <f aca="false">IF('Demanda por puesto'!$P$23=0,"—",IF(parametros_recargas!$N$93=0,$N$7,IF(B23&lt;=$O$9,$N$2,IF(parametros_recargas!$D$93="Tercerizado",$N$6,IF(B87&lt;$O$10,$N$3,IF(parametros_recargas!$D$93="Manual",$N$5,$N$4))))))</f>
        <v>OK</v>
      </c>
      <c r="C151" s="8" t="str">
        <f aca="false">IF('Demanda por puesto'!$P$55=0,"—",IF(parametros_recargas!$N$93=0,$N$7,IF(C23&lt;=$O$9,$N$2,IF(parametros_recargas!$D$93="Tercerizado",$N$6,IF(C87&lt;$O$10,$N$3,IF(parametros_recargas!$D$93="Manual",$N$5,$N$4))))))</f>
        <v>OK</v>
      </c>
      <c r="D151" s="8" t="str">
        <f aca="false">IF('Demanda por puesto'!$P$87=0,"—",IF(parametros_recargas!$N$93=0,$N$7,IF(D23&lt;=$O$9,$N$2,IF(parametros_recargas!$D$93="Tercerizado",$N$6,IF(D87&lt;$O$10,$N$3,IF(parametros_recargas!$D$93="Manual",$N$5,$N$4))))))</f>
        <v>OK</v>
      </c>
      <c r="E151" s="8" t="str">
        <f aca="false">IF('Demanda por puesto'!$P$119=0,"—",IF(parametros_recargas!$N$93=0,$N$7,IF(E23&lt;=$O$9,$N$2,IF(parametros_recargas!$D$93="Tercerizado",$N$6,IF(E87&lt;$O$10,$N$3,IF(parametros_recargas!$D$93="Manual",$N$5,$N$4))))))</f>
        <v>OK</v>
      </c>
      <c r="F151" s="8" t="str">
        <f aca="false">IF('Demanda por puesto'!$P$151=0,"—",IF(parametros_recargas!$N$93=0,$N$7,IF(F23&lt;=$O$9,$N$2,IF(parametros_recargas!$D$93="Tercerizado",$N$6,IF(F87&lt;$O$10,$N$3,IF(parametros_recargas!$D$93="Manual",$N$5,$N$4))))))</f>
        <v>OK</v>
      </c>
      <c r="G151" s="8" t="str">
        <f aca="false">IF('Demanda por puesto'!$P$183=0,"—",IF(parametros_recargas!$N$93=0,$N$7,IF(G23&lt;=$O$9,$N$2,IF(parametros_recargas!$D$93="Tercerizado",$N$6,IF(G87&lt;$O$10,$N$3,IF(parametros_recargas!$D$93="Manual",$N$5,$N$4))))))</f>
        <v>OK</v>
      </c>
      <c r="H151" s="8" t="str">
        <f aca="false">IF('Demanda por puesto'!$P$215=0,"—",IF(parametros_recargas!$N$93=0,$N$7,IF(H23&lt;=$O$9,$N$2,IF(parametros_recargas!$D$93="Tercerizado",$N$6,IF(H87&lt;$O$10,$N$3,IF(parametros_recargas!$D$93="Manual",$N$5,$N$4))))))</f>
        <v>OK</v>
      </c>
      <c r="I151" s="8" t="str">
        <f aca="false">IF('Demanda por puesto'!$P$247=0,"—",IF(parametros_recargas!$N$93=0,$N$7,IF(I23&lt;=$O$9,$N$2,IF(parametros_recargas!$D$93="Tercerizado",$N$6,IF(I87&lt;$O$10,$N$3,IF(parametros_recargas!$D$93="Manual",$N$5,$N$4))))))</f>
        <v>OK</v>
      </c>
      <c r="J151" s="8" t="str">
        <f aca="false">IF('Demanda por puesto'!$P$279=0,"—",IF(parametros_recargas!$N$93=0,$N$7,IF(J23&lt;=$O$9,$N$2,IF(parametros_recargas!$D$93="Tercerizado",$N$6,IF(J87&lt;$O$10,$N$3,IF(parametros_recargas!$D$93="Manual",$N$5,$N$4))))))</f>
        <v>OK</v>
      </c>
      <c r="K151" s="8" t="str">
        <f aca="false">IF('Demanda por puesto'!$P$311=0,"—",IF(parametros_recargas!$N$93=0,$N$7,IF(K23&lt;=$O$9,$N$2,IF(parametros_recargas!$D$93="Tercerizado",$N$6,IF(K87&lt;$O$10,$N$3,IF(parametros_recargas!$D$93="Manual",$N$5,$N$4))))))</f>
        <v>OK</v>
      </c>
    </row>
    <row r="152" customFormat="false" ht="15" hidden="false" customHeight="false" outlineLevel="0" collapsed="false">
      <c r="A152" s="8" t="str">
        <f aca="false">parametros_recargas!$B$94</f>
        <v>Ensamblaje y presurización — zona general</v>
      </c>
      <c r="B152" s="8" t="str">
        <f aca="false">IF('Demanda por puesto'!$P$24=0,"—",IF(parametros_recargas!$N$94=0,$N$7,IF(B24&lt;=$O$9,$N$2,IF(parametros_recargas!$D$94="Tercerizado",$N$6,IF(B88&lt;$O$10,$N$3,IF(parametros_recargas!$D$94="Manual",$N$5,$N$4))))))</f>
        <v>OK</v>
      </c>
      <c r="C152" s="8" t="str">
        <f aca="false">IF('Demanda por puesto'!$P$56=0,"—",IF(parametros_recargas!$N$94=0,$N$7,IF(C24&lt;=$O$9,$N$2,IF(parametros_recargas!$D$94="Tercerizado",$N$6,IF(C88&lt;$O$10,$N$3,IF(parametros_recargas!$D$94="Manual",$N$5,$N$4))))))</f>
        <v>OK</v>
      </c>
      <c r="D152" s="8" t="str">
        <f aca="false">IF('Demanda por puesto'!$P$88=0,"—",IF(parametros_recargas!$N$94=0,$N$7,IF(D24&lt;=$O$9,$N$2,IF(parametros_recargas!$D$94="Tercerizado",$N$6,IF(D88&lt;$O$10,$N$3,IF(parametros_recargas!$D$94="Manual",$N$5,$N$4))))))</f>
        <v>OK</v>
      </c>
      <c r="E152" s="8" t="str">
        <f aca="false">IF('Demanda por puesto'!$P$120=0,"—",IF(parametros_recargas!$N$94=0,$N$7,IF(E24&lt;=$O$9,$N$2,IF(parametros_recargas!$D$94="Tercerizado",$N$6,IF(E88&lt;$O$10,$N$3,IF(parametros_recargas!$D$94="Manual",$N$5,$N$4))))))</f>
        <v>OK</v>
      </c>
      <c r="F152" s="8" t="str">
        <f aca="false">IF('Demanda por puesto'!$P$152=0,"—",IF(parametros_recargas!$N$94=0,$N$7,IF(F24&lt;=$O$9,$N$2,IF(parametros_recargas!$D$94="Tercerizado",$N$6,IF(F88&lt;$O$10,$N$3,IF(parametros_recargas!$D$94="Manual",$N$5,$N$4))))))</f>
        <v>OK</v>
      </c>
      <c r="G152" s="8" t="str">
        <f aca="false">IF('Demanda por puesto'!$P$184=0,"—",IF(parametros_recargas!$N$94=0,$N$7,IF(G24&lt;=$O$9,$N$2,IF(parametros_recargas!$D$94="Tercerizado",$N$6,IF(G88&lt;$O$10,$N$3,IF(parametros_recargas!$D$94="Manual",$N$5,$N$4))))))</f>
        <v>OK</v>
      </c>
      <c r="H152" s="8" t="str">
        <f aca="false">IF('Demanda por puesto'!$P$216=0,"—",IF(parametros_recargas!$N$94=0,$N$7,IF(H24&lt;=$O$9,$N$2,IF(parametros_recargas!$D$94="Tercerizado",$N$6,IF(H88&lt;$O$10,$N$3,IF(parametros_recargas!$D$94="Manual",$N$5,$N$4))))))</f>
        <v>OK</v>
      </c>
      <c r="I152" s="8" t="str">
        <f aca="false">IF('Demanda por puesto'!$P$248=0,"—",IF(parametros_recargas!$N$94=0,$N$7,IF(I24&lt;=$O$9,$N$2,IF(parametros_recargas!$D$94="Tercerizado",$N$6,IF(I88&lt;$O$10,$N$3,IF(parametros_recargas!$D$94="Manual",$N$5,$N$4))))))</f>
        <v>OK</v>
      </c>
      <c r="J152" s="8" t="str">
        <f aca="false">IF('Demanda por puesto'!$P$280=0,"—",IF(parametros_recargas!$N$94=0,$N$7,IF(J24&lt;=$O$9,$N$2,IF(parametros_recargas!$D$94="Tercerizado",$N$6,IF(J88&lt;$O$10,$N$3,IF(parametros_recargas!$D$94="Manual",$N$5,$N$4))))))</f>
        <v>OK</v>
      </c>
      <c r="K152" s="8" t="str">
        <f aca="false">IF('Demanda por puesto'!$P$312=0,"—",IF(parametros_recargas!$N$94=0,$N$7,IF(K24&lt;=$O$9,$N$2,IF(parametros_recargas!$D$94="Tercerizado",$N$6,IF(K88&lt;$O$10,$N$3,IF(parametros_recargas!$D$94="Manual",$N$5,$N$4))))))</f>
        <v>OK</v>
      </c>
    </row>
    <row r="153" customFormat="false" ht="15" hidden="false" customHeight="false" outlineLevel="0" collapsed="false">
      <c r="A153" s="8" t="str">
        <f aca="false">parametros_recargas!$B$95</f>
        <v>Carga y presurización de halogenado</v>
      </c>
      <c r="B153" s="8" t="str">
        <f aca="false">IF('Demanda por puesto'!$P$25=0,"—",IF(parametros_recargas!$N$95=0,$N$7,IF(B25&lt;=$O$9,$N$2,IF(parametros_recargas!$D$95="Tercerizado",$N$6,IF(B89&lt;$O$10,$N$3,IF(parametros_recargas!$D$95="Manual",$N$5,$N$4))))))</f>
        <v>OK</v>
      </c>
      <c r="C153" s="8" t="str">
        <f aca="false">IF('Demanda por puesto'!$P$57=0,"—",IF(parametros_recargas!$N$95=0,$N$7,IF(C25&lt;=$O$9,$N$2,IF(parametros_recargas!$D$95="Tercerizado",$N$6,IF(C89&lt;$O$10,$N$3,IF(parametros_recargas!$D$95="Manual",$N$5,$N$4))))))</f>
        <v>OK</v>
      </c>
      <c r="D153" s="8" t="str">
        <f aca="false">IF('Demanda por puesto'!$P$89=0,"—",IF(parametros_recargas!$N$95=0,$N$7,IF(D25&lt;=$O$9,$N$2,IF(parametros_recargas!$D$95="Tercerizado",$N$6,IF(D89&lt;$O$10,$N$3,IF(parametros_recargas!$D$95="Manual",$N$5,$N$4))))))</f>
        <v>OK</v>
      </c>
      <c r="E153" s="8" t="str">
        <f aca="false">IF('Demanda por puesto'!$P$121=0,"—",IF(parametros_recargas!$N$95=0,$N$7,IF(E25&lt;=$O$9,$N$2,IF(parametros_recargas!$D$95="Tercerizado",$N$6,IF(E89&lt;$O$10,$N$3,IF(parametros_recargas!$D$95="Manual",$N$5,$N$4))))))</f>
        <v>OK</v>
      </c>
      <c r="F153" s="8" t="str">
        <f aca="false">IF('Demanda por puesto'!$P$153=0,"—",IF(parametros_recargas!$N$95=0,$N$7,IF(F25&lt;=$O$9,$N$2,IF(parametros_recargas!$D$95="Tercerizado",$N$6,IF(F89&lt;$O$10,$N$3,IF(parametros_recargas!$D$95="Manual",$N$5,$N$4))))))</f>
        <v>OK</v>
      </c>
      <c r="G153" s="8" t="str">
        <f aca="false">IF('Demanda por puesto'!$P$185=0,"—",IF(parametros_recargas!$N$95=0,$N$7,IF(G25&lt;=$O$9,$N$2,IF(parametros_recargas!$D$95="Tercerizado",$N$6,IF(G89&lt;$O$10,$N$3,IF(parametros_recargas!$D$95="Manual",$N$5,$N$4))))))</f>
        <v>OK</v>
      </c>
      <c r="H153" s="8" t="str">
        <f aca="false">IF('Demanda por puesto'!$P$217=0,"—",IF(parametros_recargas!$N$95=0,$N$7,IF(H25&lt;=$O$9,$N$2,IF(parametros_recargas!$D$95="Tercerizado",$N$6,IF(H89&lt;$O$10,$N$3,IF(parametros_recargas!$D$95="Manual",$N$5,$N$4))))))</f>
        <v>OK</v>
      </c>
      <c r="I153" s="8" t="str">
        <f aca="false">IF('Demanda por puesto'!$P$249=0,"—",IF(parametros_recargas!$N$95=0,$N$7,IF(I25&lt;=$O$9,$N$2,IF(parametros_recargas!$D$95="Tercerizado",$N$6,IF(I89&lt;$O$10,$N$3,IF(parametros_recargas!$D$95="Manual",$N$5,$N$4))))))</f>
        <v>OK</v>
      </c>
      <c r="J153" s="8" t="str">
        <f aca="false">IF('Demanda por puesto'!$P$281=0,"—",IF(parametros_recargas!$N$95=0,$N$7,IF(J25&lt;=$O$9,$N$2,IF(parametros_recargas!$D$95="Tercerizado",$N$6,IF(J89&lt;$O$10,$N$3,IF(parametros_recargas!$D$95="Manual",$N$5,$N$4))))))</f>
        <v>OK</v>
      </c>
      <c r="K153" s="8" t="str">
        <f aca="false">IF('Demanda por puesto'!$P$313=0,"—",IF(parametros_recargas!$N$95=0,$N$7,IF(K25&lt;=$O$9,$N$2,IF(parametros_recargas!$D$95="Tercerizado",$N$6,IF(K89&lt;$O$10,$N$3,IF(parametros_recargas!$D$95="Manual",$N$5,$N$4))))))</f>
        <v>OK</v>
      </c>
    </row>
    <row r="154" customFormat="false" ht="15" hidden="false" customHeight="false" outlineLevel="0" collapsed="false">
      <c r="A154" s="8" t="str">
        <f aca="false">parametros_recargas!$B$96</f>
        <v>Control de peso (CO₂ y halogenados sin recarga)</v>
      </c>
      <c r="B154" s="8" t="str">
        <f aca="false">IF('Demanda por puesto'!$P$26=0,"—",IF(parametros_recargas!$N$96=0,$N$7,IF(B26&lt;=$O$9,$N$2,IF(parametros_recargas!$D$96="Tercerizado",$N$6,IF(B90&lt;$O$10,$N$3,IF(parametros_recargas!$D$96="Manual",$N$5,$N$4))))))</f>
        <v>OK</v>
      </c>
      <c r="C154" s="8" t="str">
        <f aca="false">IF('Demanda por puesto'!$P$58=0,"—",IF(parametros_recargas!$N$96=0,$N$7,IF(C26&lt;=$O$9,$N$2,IF(parametros_recargas!$D$96="Tercerizado",$N$6,IF(C90&lt;$O$10,$N$3,IF(parametros_recargas!$D$96="Manual",$N$5,$N$4))))))</f>
        <v>OK</v>
      </c>
      <c r="D154" s="8" t="str">
        <f aca="false">IF('Demanda por puesto'!$P$90=0,"—",IF(parametros_recargas!$N$96=0,$N$7,IF(D26&lt;=$O$9,$N$2,IF(parametros_recargas!$D$96="Tercerizado",$N$6,IF(D90&lt;$O$10,$N$3,IF(parametros_recargas!$D$96="Manual",$N$5,$N$4))))))</f>
        <v>OK</v>
      </c>
      <c r="E154" s="8" t="str">
        <f aca="false">IF('Demanda por puesto'!$P$122=0,"—",IF(parametros_recargas!$N$96=0,$N$7,IF(E26&lt;=$O$9,$N$2,IF(parametros_recargas!$D$96="Tercerizado",$N$6,IF(E90&lt;$O$10,$N$3,IF(parametros_recargas!$D$96="Manual",$N$5,$N$4))))))</f>
        <v>OK</v>
      </c>
      <c r="F154" s="8" t="str">
        <f aca="false">IF('Demanda por puesto'!$P$154=0,"—",IF(parametros_recargas!$N$96=0,$N$7,IF(F26&lt;=$O$9,$N$2,IF(parametros_recargas!$D$96="Tercerizado",$N$6,IF(F90&lt;$O$10,$N$3,IF(parametros_recargas!$D$96="Manual",$N$5,$N$4))))))</f>
        <v>OK</v>
      </c>
      <c r="G154" s="8" t="str">
        <f aca="false">IF('Demanda por puesto'!$P$186=0,"—",IF(parametros_recargas!$N$96=0,$N$7,IF(G26&lt;=$O$9,$N$2,IF(parametros_recargas!$D$96="Tercerizado",$N$6,IF(G90&lt;$O$10,$N$3,IF(parametros_recargas!$D$96="Manual",$N$5,$N$4))))))</f>
        <v>OK</v>
      </c>
      <c r="H154" s="8" t="str">
        <f aca="false">IF('Demanda por puesto'!$P$218=0,"—",IF(parametros_recargas!$N$96=0,$N$7,IF(H26&lt;=$O$9,$N$2,IF(parametros_recargas!$D$96="Tercerizado",$N$6,IF(H90&lt;$O$10,$N$3,IF(parametros_recargas!$D$96="Manual",$N$5,$N$4))))))</f>
        <v>OK</v>
      </c>
      <c r="I154" s="8" t="str">
        <f aca="false">IF('Demanda por puesto'!$P$250=0,"—",IF(parametros_recargas!$N$96=0,$N$7,IF(I26&lt;=$O$9,$N$2,IF(parametros_recargas!$D$96="Tercerizado",$N$6,IF(I90&lt;$O$10,$N$3,IF(parametros_recargas!$D$96="Manual",$N$5,$N$4))))))</f>
        <v>OK</v>
      </c>
      <c r="J154" s="8" t="str">
        <f aca="false">IF('Demanda por puesto'!$P$282=0,"—",IF(parametros_recargas!$N$96=0,$N$7,IF(J26&lt;=$O$9,$N$2,IF(parametros_recargas!$D$96="Tercerizado",$N$6,IF(J90&lt;$O$10,$N$3,IF(parametros_recargas!$D$96="Manual",$N$5,$N$4))))))</f>
        <v>OK</v>
      </c>
      <c r="K154" s="8" t="str">
        <f aca="false">IF('Demanda por puesto'!$P$314=0,"—",IF(parametros_recargas!$N$96=0,$N$7,IF(K26&lt;=$O$9,$N$2,IF(parametros_recargas!$D$96="Tercerizado",$N$6,IF(K90&lt;$O$10,$N$3,IF(parametros_recargas!$D$96="Manual",$N$5,$N$4))))))</f>
        <v>OK</v>
      </c>
    </row>
    <row r="155" customFormat="false" ht="15" hidden="false" customHeight="false" outlineLevel="0" collapsed="false">
      <c r="A155" s="8" t="str">
        <f aca="false">parametros_recargas!$B$97</f>
        <v>Ensayo de pérdidas</v>
      </c>
      <c r="B155" s="8" t="str">
        <f aca="false">IF('Demanda por puesto'!$P$27=0,"—",IF(parametros_recargas!$N$97=0,$N$7,IF(B27&lt;=$O$9,$N$2,IF(parametros_recargas!$D$97="Tercerizado",$N$6,IF(B91&lt;$O$10,$N$3,IF(parametros_recargas!$D$97="Manual",$N$5,$N$4))))))</f>
        <v>OK</v>
      </c>
      <c r="C155" s="8" t="str">
        <f aca="false">IF('Demanda por puesto'!$P$59=0,"—",IF(parametros_recargas!$N$97=0,$N$7,IF(C27&lt;=$O$9,$N$2,IF(parametros_recargas!$D$97="Tercerizado",$N$6,IF(C91&lt;$O$10,$N$3,IF(parametros_recargas!$D$97="Manual",$N$5,$N$4))))))</f>
        <v>OK</v>
      </c>
      <c r="D155" s="8" t="str">
        <f aca="false">IF('Demanda por puesto'!$P$91=0,"—",IF(parametros_recargas!$N$97=0,$N$7,IF(D27&lt;=$O$9,$N$2,IF(parametros_recargas!$D$97="Tercerizado",$N$6,IF(D91&lt;$O$10,$N$3,IF(parametros_recargas!$D$97="Manual",$N$5,$N$4))))))</f>
        <v>OK</v>
      </c>
      <c r="E155" s="8" t="str">
        <f aca="false">IF('Demanda por puesto'!$P$123=0,"—",IF(parametros_recargas!$N$97=0,$N$7,IF(E27&lt;=$O$9,$N$2,IF(parametros_recargas!$D$97="Tercerizado",$N$6,IF(E91&lt;$O$10,$N$3,IF(parametros_recargas!$D$97="Manual",$N$5,$N$4))))))</f>
        <v>OK</v>
      </c>
      <c r="F155" s="8" t="str">
        <f aca="false">IF('Demanda por puesto'!$P$155=0,"—",IF(parametros_recargas!$N$97=0,$N$7,IF(F27&lt;=$O$9,$N$2,IF(parametros_recargas!$D$97="Tercerizado",$N$6,IF(F91&lt;$O$10,$N$3,IF(parametros_recargas!$D$97="Manual",$N$5,$N$4))))))</f>
        <v>OK</v>
      </c>
      <c r="G155" s="8" t="str">
        <f aca="false">IF('Demanda por puesto'!$P$187=0,"—",IF(parametros_recargas!$N$97=0,$N$7,IF(G27&lt;=$O$9,$N$2,IF(parametros_recargas!$D$97="Tercerizado",$N$6,IF(G91&lt;$O$10,$N$3,IF(parametros_recargas!$D$97="Manual",$N$5,$N$4))))))</f>
        <v>OK</v>
      </c>
      <c r="H155" s="8" t="str">
        <f aca="false">IF('Demanda por puesto'!$P$219=0,"—",IF(parametros_recargas!$N$97=0,$N$7,IF(H27&lt;=$O$9,$N$2,IF(parametros_recargas!$D$97="Tercerizado",$N$6,IF(H91&lt;$O$10,$N$3,IF(parametros_recargas!$D$97="Manual",$N$5,$N$4))))))</f>
        <v>OK</v>
      </c>
      <c r="I155" s="8" t="str">
        <f aca="false">IF('Demanda por puesto'!$P$251=0,"—",IF(parametros_recargas!$N$97=0,$N$7,IF(I27&lt;=$O$9,$N$2,IF(parametros_recargas!$D$97="Tercerizado",$N$6,IF(I91&lt;$O$10,$N$3,IF(parametros_recargas!$D$97="Manual",$N$5,$N$4))))))</f>
        <v>OK</v>
      </c>
      <c r="J155" s="8" t="str">
        <f aca="false">IF('Demanda por puesto'!$P$283=0,"—",IF(parametros_recargas!$N$97=0,$N$7,IF(J27&lt;=$O$9,$N$2,IF(parametros_recargas!$D$97="Tercerizado",$N$6,IF(J91&lt;$O$10,$N$3,IF(parametros_recargas!$D$97="Manual",$N$5,$N$4))))))</f>
        <v>OK</v>
      </c>
      <c r="K155" s="8" t="str">
        <f aca="false">IF('Demanda por puesto'!$P$315=0,"—",IF(parametros_recargas!$N$97=0,$N$7,IF(K27&lt;=$O$9,$N$2,IF(parametros_recargas!$D$97="Tercerizado",$N$6,IF(K91&lt;$O$10,$N$3,IF(parametros_recargas!$D$97="Manual",$N$5,$N$4))))))</f>
        <v>OK</v>
      </c>
    </row>
    <row r="156" customFormat="false" ht="15" hidden="false" customHeight="false" outlineLevel="0" collapsed="false">
      <c r="A156" s="8" t="str">
        <f aca="false">parametros_recargas!$B$98</f>
        <v>Precinto, etiqueta y despacho</v>
      </c>
      <c r="B156" s="8" t="str">
        <f aca="false">IF('Demanda por puesto'!$P$28=0,"—",IF(parametros_recargas!$N$98=0,$N$7,IF(B28&lt;=$O$9,$N$2,IF(parametros_recargas!$D$98="Tercerizado",$N$6,IF(B92&lt;$O$10,$N$3,IF(parametros_recargas!$D$98="Manual",$N$5,$N$4))))))</f>
        <v>OK</v>
      </c>
      <c r="C156" s="8" t="str">
        <f aca="false">IF('Demanda por puesto'!$P$60=0,"—",IF(parametros_recargas!$N$98=0,$N$7,IF(C28&lt;=$O$9,$N$2,IF(parametros_recargas!$D$98="Tercerizado",$N$6,IF(C92&lt;$O$10,$N$3,IF(parametros_recargas!$D$98="Manual",$N$5,$N$4))))))</f>
        <v>OK</v>
      </c>
      <c r="D156" s="8" t="str">
        <f aca="false">IF('Demanda por puesto'!$P$92=0,"—",IF(parametros_recargas!$N$98=0,$N$7,IF(D28&lt;=$O$9,$N$2,IF(parametros_recargas!$D$98="Tercerizado",$N$6,IF(D92&lt;$O$10,$N$3,IF(parametros_recargas!$D$98="Manual",$N$5,$N$4))))))</f>
        <v>OK</v>
      </c>
      <c r="E156" s="8" t="str">
        <f aca="false">IF('Demanda por puesto'!$P$124=0,"—",IF(parametros_recargas!$N$98=0,$N$7,IF(E28&lt;=$O$9,$N$2,IF(parametros_recargas!$D$98="Tercerizado",$N$6,IF(E92&lt;$O$10,$N$3,IF(parametros_recargas!$D$98="Manual",$N$5,$N$4))))))</f>
        <v>OK</v>
      </c>
      <c r="F156" s="8" t="str">
        <f aca="false">IF('Demanda por puesto'!$P$156=0,"—",IF(parametros_recargas!$N$98=0,$N$7,IF(F28&lt;=$O$9,$N$2,IF(parametros_recargas!$D$98="Tercerizado",$N$6,IF(F92&lt;$O$10,$N$3,IF(parametros_recargas!$D$98="Manual",$N$5,$N$4))))))</f>
        <v>OK</v>
      </c>
      <c r="G156" s="8" t="str">
        <f aca="false">IF('Demanda por puesto'!$P$188=0,"—",IF(parametros_recargas!$N$98=0,$N$7,IF(G28&lt;=$O$9,$N$2,IF(parametros_recargas!$D$98="Tercerizado",$N$6,IF(G92&lt;$O$10,$N$3,IF(parametros_recargas!$D$98="Manual",$N$5,$N$4))))))</f>
        <v>OK</v>
      </c>
      <c r="H156" s="8" t="str">
        <f aca="false">IF('Demanda por puesto'!$P$220=0,"—",IF(parametros_recargas!$N$98=0,$N$7,IF(H28&lt;=$O$9,$N$2,IF(parametros_recargas!$D$98="Tercerizado",$N$6,IF(H92&lt;$O$10,$N$3,IF(parametros_recargas!$D$98="Manual",$N$5,$N$4))))))</f>
        <v>OK</v>
      </c>
      <c r="I156" s="8" t="str">
        <f aca="false">IF('Demanda por puesto'!$P$252=0,"—",IF(parametros_recargas!$N$98=0,$N$7,IF(I28&lt;=$O$9,$N$2,IF(parametros_recargas!$D$98="Tercerizado",$N$6,IF(I92&lt;$O$10,$N$3,IF(parametros_recargas!$D$98="Manual",$N$5,$N$4))))))</f>
        <v>OK</v>
      </c>
      <c r="J156" s="8" t="str">
        <f aca="false">IF('Demanda por puesto'!$P$284=0,"—",IF(parametros_recargas!$N$98=0,$N$7,IF(J28&lt;=$O$9,$N$2,IF(parametros_recargas!$D$98="Tercerizado",$N$6,IF(J92&lt;$O$10,$N$3,IF(parametros_recargas!$D$98="Manual",$N$5,$N$4))))))</f>
        <v>OK</v>
      </c>
      <c r="K156" s="8" t="str">
        <f aca="false">IF('Demanda por puesto'!$P$316=0,"—",IF(parametros_recargas!$N$98=0,$N$7,IF(K28&lt;=$O$9,$N$2,IF(parametros_recargas!$D$98="Tercerizado",$N$6,IF(K92&lt;$O$10,$N$3,IF(parametros_recargas!$D$98="Manual",$N$5,$N$4))))))</f>
        <v>OK</v>
      </c>
    </row>
    <row r="157" customFormat="false" ht="15" hidden="false" customHeight="false" outlineLevel="0" collapsed="false">
      <c r="A157" s="8" t="str">
        <f aca="false">parametros_recargas!$B$99</f>
        <v>Inutilización y disposición final</v>
      </c>
      <c r="B157" s="8" t="str">
        <f aca="false">IF('Demanda por puesto'!$P$29=0,"—",IF(parametros_recargas!$N$99=0,$N$7,IF(B29&lt;=$O$9,$N$2,IF(parametros_recargas!$D$99="Tercerizado",$N$6,IF(B93&lt;$O$10,$N$3,IF(parametros_recargas!$D$99="Manual",$N$5,$N$4))))))</f>
        <v>OK</v>
      </c>
      <c r="C157" s="8" t="str">
        <f aca="false">IF('Demanda por puesto'!$P$61=0,"—",IF(parametros_recargas!$N$99=0,$N$7,IF(C29&lt;=$O$9,$N$2,IF(parametros_recargas!$D$99="Tercerizado",$N$6,IF(C93&lt;$O$10,$N$3,IF(parametros_recargas!$D$99="Manual",$N$5,$N$4))))))</f>
        <v>OK</v>
      </c>
      <c r="D157" s="8" t="str">
        <f aca="false">IF('Demanda por puesto'!$P$93=0,"—",IF(parametros_recargas!$N$99=0,$N$7,IF(D29&lt;=$O$9,$N$2,IF(parametros_recargas!$D$99="Tercerizado",$N$6,IF(D93&lt;$O$10,$N$3,IF(parametros_recargas!$D$99="Manual",$N$5,$N$4))))))</f>
        <v>OK</v>
      </c>
      <c r="E157" s="8" t="str">
        <f aca="false">IF('Demanda por puesto'!$P$125=0,"—",IF(parametros_recargas!$N$99=0,$N$7,IF(E29&lt;=$O$9,$N$2,IF(parametros_recargas!$D$99="Tercerizado",$N$6,IF(E93&lt;$O$10,$N$3,IF(parametros_recargas!$D$99="Manual",$N$5,$N$4))))))</f>
        <v>OK</v>
      </c>
      <c r="F157" s="8" t="str">
        <f aca="false">IF('Demanda por puesto'!$P$157=0,"—",IF(parametros_recargas!$N$99=0,$N$7,IF(F29&lt;=$O$9,$N$2,IF(parametros_recargas!$D$99="Tercerizado",$N$6,IF(F93&lt;$O$10,$N$3,IF(parametros_recargas!$D$99="Manual",$N$5,$N$4))))))</f>
        <v>OK</v>
      </c>
      <c r="G157" s="8" t="str">
        <f aca="false">IF('Demanda por puesto'!$P$189=0,"—",IF(parametros_recargas!$N$99=0,$N$7,IF(G29&lt;=$O$9,$N$2,IF(parametros_recargas!$D$99="Tercerizado",$N$6,IF(G93&lt;$O$10,$N$3,IF(parametros_recargas!$D$99="Manual",$N$5,$N$4))))))</f>
        <v>OK</v>
      </c>
      <c r="H157" s="8" t="str">
        <f aca="false">IF('Demanda por puesto'!$P$221=0,"—",IF(parametros_recargas!$N$99=0,$N$7,IF(H29&lt;=$O$9,$N$2,IF(parametros_recargas!$D$99="Tercerizado",$N$6,IF(H93&lt;$O$10,$N$3,IF(parametros_recargas!$D$99="Manual",$N$5,$N$4))))))</f>
        <v>OK</v>
      </c>
      <c r="I157" s="8" t="str">
        <f aca="false">IF('Demanda por puesto'!$P$253=0,"—",IF(parametros_recargas!$N$99=0,$N$7,IF(I29&lt;=$O$9,$N$2,IF(parametros_recargas!$D$99="Tercerizado",$N$6,IF(I93&lt;$O$10,$N$3,IF(parametros_recargas!$D$99="Manual",$N$5,$N$4))))))</f>
        <v>OK</v>
      </c>
      <c r="J157" s="8" t="str">
        <f aca="false">IF('Demanda por puesto'!$P$285=0,"—",IF(parametros_recargas!$N$99=0,$N$7,IF(J29&lt;=$O$9,$N$2,IF(parametros_recargas!$D$99="Tercerizado",$N$6,IF(J93&lt;$O$10,$N$3,IF(parametros_recargas!$D$99="Manual",$N$5,$N$4))))))</f>
        <v>OK</v>
      </c>
      <c r="K157" s="8" t="str">
        <f aca="false">IF('Demanda por puesto'!$P$317=0,"—",IF(parametros_recargas!$N$99=0,$N$7,IF(K29&lt;=$O$9,$N$2,IF(parametros_recargas!$D$99="Tercerizado",$N$6,IF(K93&lt;$O$10,$N$3,IF(parametros_recargas!$D$99="Manual",$N$5,$N$4))))))</f>
        <v>OK</v>
      </c>
    </row>
    <row r="158" customFormat="false" ht="15" hidden="false" customHeight="false" outlineLevel="0" collapsed="false">
      <c r="A158" s="8" t="str">
        <f aca="false">parametros_recargas!$B$100</f>
        <v>PH de mangueras (CO₂ y rodantes)</v>
      </c>
      <c r="B158" s="8" t="str">
        <f aca="false">IF('Demanda por puesto'!$P$30=0,"—",IF(parametros_recargas!$N$100=0,$N$7,IF(B30&lt;=$O$9,$N$2,IF(parametros_recargas!$D$100="Tercerizado",$N$6,IF(B94&lt;$O$10,$N$3,IF(parametros_recargas!$D$100="Manual",$N$5,$N$4))))))</f>
        <v>OK</v>
      </c>
      <c r="C158" s="8" t="str">
        <f aca="false">IF('Demanda por puesto'!$P$62=0,"—",IF(parametros_recargas!$N$100=0,$N$7,IF(C30&lt;=$O$9,$N$2,IF(parametros_recargas!$D$100="Tercerizado",$N$6,IF(C94&lt;$O$10,$N$3,IF(parametros_recargas!$D$100="Manual",$N$5,$N$4))))))</f>
        <v>OK</v>
      </c>
      <c r="D158" s="8" t="str">
        <f aca="false">IF('Demanda por puesto'!$P$94=0,"—",IF(parametros_recargas!$N$100=0,$N$7,IF(D30&lt;=$O$9,$N$2,IF(parametros_recargas!$D$100="Tercerizado",$N$6,IF(D94&lt;$O$10,$N$3,IF(parametros_recargas!$D$100="Manual",$N$5,$N$4))))))</f>
        <v>OK</v>
      </c>
      <c r="E158" s="8" t="str">
        <f aca="false">IF('Demanda por puesto'!$P$126=0,"—",IF(parametros_recargas!$N$100=0,$N$7,IF(E30&lt;=$O$9,$N$2,IF(parametros_recargas!$D$100="Tercerizado",$N$6,IF(E94&lt;$O$10,$N$3,IF(parametros_recargas!$D$100="Manual",$N$5,$N$4))))))</f>
        <v>OK</v>
      </c>
      <c r="F158" s="8" t="str">
        <f aca="false">IF('Demanda por puesto'!$P$158=0,"—",IF(parametros_recargas!$N$100=0,$N$7,IF(F30&lt;=$O$9,$N$2,IF(parametros_recargas!$D$100="Tercerizado",$N$6,IF(F94&lt;$O$10,$N$3,IF(parametros_recargas!$D$100="Manual",$N$5,$N$4))))))</f>
        <v>OK</v>
      </c>
      <c r="G158" s="8" t="str">
        <f aca="false">IF('Demanda por puesto'!$P$190=0,"—",IF(parametros_recargas!$N$100=0,$N$7,IF(G30&lt;=$O$9,$N$2,IF(parametros_recargas!$D$100="Tercerizado",$N$6,IF(G94&lt;$O$10,$N$3,IF(parametros_recargas!$D$100="Manual",$N$5,$N$4))))))</f>
        <v>OK</v>
      </c>
      <c r="H158" s="8" t="str">
        <f aca="false">IF('Demanda por puesto'!$P$222=0,"—",IF(parametros_recargas!$N$100=0,$N$7,IF(H30&lt;=$O$9,$N$2,IF(parametros_recargas!$D$100="Tercerizado",$N$6,IF(H94&lt;$O$10,$N$3,IF(parametros_recargas!$D$100="Manual",$N$5,$N$4))))))</f>
        <v>OK</v>
      </c>
      <c r="I158" s="8" t="str">
        <f aca="false">IF('Demanda por puesto'!$P$254=0,"—",IF(parametros_recargas!$N$100=0,$N$7,IF(I30&lt;=$O$9,$N$2,IF(parametros_recargas!$D$100="Tercerizado",$N$6,IF(I94&lt;$O$10,$N$3,IF(parametros_recargas!$D$100="Manual",$N$5,$N$4))))))</f>
        <v>OK</v>
      </c>
      <c r="J158" s="8" t="str">
        <f aca="false">IF('Demanda por puesto'!$P$286=0,"—",IF(parametros_recargas!$N$100=0,$N$7,IF(J30&lt;=$O$9,$N$2,IF(parametros_recargas!$D$100="Tercerizado",$N$6,IF(J94&lt;$O$10,$N$3,IF(parametros_recargas!$D$100="Manual",$N$5,$N$4))))))</f>
        <v>OK</v>
      </c>
      <c r="K158" s="8" t="str">
        <f aca="false">IF('Demanda por puesto'!$P$318=0,"—",IF(parametros_recargas!$N$100=0,$N$7,IF(K30&lt;=$O$9,$N$2,IF(parametros_recargas!$D$100="Tercerizado",$N$6,IF(K94&lt;$O$10,$N$3,IF(parametros_recargas!$D$100="Manual",$N$5,$N$4))))))</f>
        <v>OK</v>
      </c>
    </row>
  </sheetData>
  <conditionalFormatting sqref="B2:B30">
    <cfRule type="expression" priority="2" aboveAverage="0" equalAverage="0" bottom="0" percent="0" rank="0" text="" dxfId="0">
      <formula>B2&gt;$O$9</formula>
    </cfRule>
    <cfRule type="expression" priority="3" aboveAverage="0" equalAverage="0" bottom="0" percent="0" rank="0" text="" dxfId="1">
      <formula>$L2="Tercerizado"</formula>
    </cfRule>
    <cfRule type="expression" priority="4" aboveAverage="0" equalAverage="0" bottom="0" percent="0" rank="0" text="" dxfId="2">
      <formula>B66&gt;1</formula>
    </cfRule>
    <cfRule type="expression" priority="5" aboveAverage="0" equalAverage="0" bottom="0" percent="0" rank="0" text="" dxfId="3">
      <formula>AND(B34&gt;1,$L2="Máquina")</formula>
    </cfRule>
    <cfRule type="expression" priority="6" aboveAverage="0" equalAverage="0" bottom="0" percent="0" rank="0" text="" dxfId="4">
      <formula>AND(B34&gt;1,$L2="Manual")</formula>
    </cfRule>
  </conditionalFormatting>
  <conditionalFormatting sqref="C2:K30">
    <cfRule type="expression" priority="7" aboveAverage="0" equalAverage="0" bottom="0" percent="0" rank="0" text="" dxfId="0">
      <formula>C2&gt;$O$9</formula>
    </cfRule>
    <cfRule type="expression" priority="8" aboveAverage="0" equalAverage="0" bottom="0" percent="0" rank="0" text="" dxfId="1">
      <formula>$L2="Tercerizado"</formula>
    </cfRule>
    <cfRule type="expression" priority="9" aboveAverage="0" equalAverage="0" bottom="0" percent="0" rank="0" text="" dxfId="2">
      <formula>C66&gt;B66</formula>
    </cfRule>
    <cfRule type="expression" priority="10" aboveAverage="0" equalAverage="0" bottom="0" percent="0" rank="0" text="" dxfId="3">
      <formula>AND(C34&gt;B34,$L2="Máquina")</formula>
    </cfRule>
    <cfRule type="expression" priority="11" aboveAverage="0" equalAverage="0" bottom="0" percent="0" rank="0" text="" dxfId="4">
      <formula>AND(C34&gt;B34,$L2="Manual")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2026-10-18T21:04:01Z</dcterms:created>
  <dc:creator>openpyxl</dc:creator>
  <dc:description/>
  <dc:language>en-US</dc:language>
  <cp:lastModifiedBy/>
  <dcterms:modified xsi:type="dcterms:W3CDTF">2026-10-18T21:04:01Z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