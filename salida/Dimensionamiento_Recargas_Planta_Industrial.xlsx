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PROY_Indexado" sheetId="1" state="visible" r:id="rId3"/>
    <sheet name="datos_base" sheetId="2" state="visible" r:id="rId4"/>
    <sheet name="parametros_recargas" sheetId="3" state="visible" r:id="rId5"/>
    <sheet name="Plan mensual" sheetId="4" state="visible" r:id="rId6"/>
    <sheet name="Demanda por puesto" sheetId="5" state="visible" r:id="rId7"/>
    <sheet name="Resumen Capacidad" sheetId="6" state="visible" r:id="rId8"/>
    <sheet name="sobrestock_sustitut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<sst xmlns="http://schemas.openxmlformats.org/spreadsheetml/2006/main" count="945" uniqueCount="334">
  <si>
    <t xml:space="preserve">Proyecciones — Indexado Dim Técnico (valores copiados)</t>
  </si>
  <si>
    <t xml:space="preserve">Para actualizar: pegar valores de Proyecciones, Indexado Dim Técnico A27:K43 y U61:U74, o reemplazar por IMPORTRANGE. Celdas gris oscuro = datos.</t>
  </si>
  <si>
    <t xml:space="preserve">Recargas por tipo</t>
  </si>
  <si>
    <t xml:space="preserve">ABC 1 kg</t>
  </si>
  <si>
    <t xml:space="preserve">ABC 2,5 kg</t>
  </si>
  <si>
    <t xml:space="preserve">ABC 5 kg</t>
  </si>
  <si>
    <t xml:space="preserve">ABC 10 kg</t>
  </si>
  <si>
    <t xml:space="preserve">Agua 10 l</t>
  </si>
  <si>
    <t xml:space="preserve">AFFF 10 l</t>
  </si>
  <si>
    <t xml:space="preserve">AFFF 50 l s/ruedas</t>
  </si>
  <si>
    <t xml:space="preserve">BC 5 kg</t>
  </si>
  <si>
    <t xml:space="preserve">Sales K 6 l</t>
  </si>
  <si>
    <t xml:space="preserve">CO₂ 2 kg</t>
  </si>
  <si>
    <t xml:space="preserve">CO₂ 5 kg</t>
  </si>
  <si>
    <t xml:space="preserve">HCFC/HFC 5 kg</t>
  </si>
  <si>
    <t xml:space="preserve">Clase D 9 l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</si>
  <si>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</si>
  <si>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</si>
  <si>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</si>
  <si>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</si>
  <si>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Recargas total</t>
  </si>
  <si>
    <t xml:space="preserve">Recargas por zona y planta (% zonal 2035, columna U; planta según V61 y V63)</t>
  </si>
  <si>
    <t xml:space="preserve">Zona</t>
  </si>
  <si>
    <t xml:space="preserve">% zonal 2035</t>
  </si>
  <si>
    <t xml:space="preserve">Planta</t>
  </si>
  <si>
    <t xml:space="preserve">CABA Norte</t>
  </si>
  <si>
    <t xml:space="preserve">Comercial</t>
  </si>
  <si>
    <t xml:space="preserve">CABA Este</t>
  </si>
  <si>
    <t xml:space="preserve">CABA Sur</t>
  </si>
  <si>
    <t xml:space="preserve">Industrial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</si>
  <si>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</si>
  <si>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</si>
  <si>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</si>
  <si>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</si>
  <si>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</si>
  <si>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</si>
  <si>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</si>
  <si>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</si>
  <si>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</si>
  <si>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</si>
  <si>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</si>
  <si>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% planta comercial</t>
  </si>
  <si>
    <t xml:space="preserve">% planta industrial</t>
  </si>
  <si>
    <t xml:space="preserve">Control (tiene que dar 100 %)</t>
  </si>
  <si>
    <t xml:space="preserve">Tasas de Proyecciones (hojas PROYECCION por rubro; iguales para todos los tipos)</t>
  </si>
  <si>
    <t xml:space="preserve">Concepto</t>
  </si>
  <si>
    <t xml:space="preserve">Valor</t>
  </si>
  <si>
    <t xml:space="preserve">Uso en este archivo</t>
  </si>
  <si>
    <t xml:space="preserve">Mat Usados ÷ RECARGAS An</t>
  </si>
  <si>
    <t xml:space="preserve">Se usa: equipos que llegan descargados por uso</t>
  </si>
  <si>
    <t xml:space="preserve">Mat PH ÷ RECARGAS An</t>
  </si>
  <si>
    <t xml:space="preserve">Se usa: equipos que no pasan la PH y se inutilizan</t>
  </si>
  <si>
    <t xml:space="preserve">Mat Rot ÷ RECARGAS An</t>
  </si>
  <si>
    <t xml:space="preserve">Se usa: equipos rotos que se inutilizan</t>
  </si>
  <si>
    <t xml:space="preserve">Mat Fin VU ÷ RECARGAS An</t>
  </si>
  <si>
    <t xml:space="preserve">No se usa: Proyecciones aplica la misma vida útil a todos los tipos; acá va la del Anexo E (20 años, CO₂ 30)</t>
  </si>
  <si>
    <t xml:space="preserve">Planta de este archivo</t>
  </si>
  <si>
    <t xml:space="preserve">% de recargas de esta planta</t>
  </si>
  <si>
    <t xml:space="preserve">Tipo de matafuego</t>
  </si>
  <si>
    <t xml:space="preserve">Recargas Total</t>
  </si>
  <si>
    <t xml:space="preserve">Recargas de la planta = recargas del Indexado × % de esta planta (PROY_Indexado B53).</t>
  </si>
  <si>
    <t xml:space="preserve">Parámetro</t>
  </si>
  <si>
    <t xml:space="preserve">Fuente / criterio</t>
  </si>
  <si>
    <t xml:space="preserve">Días hábiles por mes</t>
  </si>
  <si>
    <t xml:space="preserve">240 días hábiles por año ÷ 12 (dato del usuario)</t>
  </si>
  <si>
    <t xml:space="preserve">Horas por día (1 turno)</t>
  </si>
  <si>
    <t xml:space="preserve">Criterio: jornada de 8 h</t>
  </si>
  <si>
    <t xml:space="preserve">Refrigerio (min/turno)</t>
  </si>
  <si>
    <t xml:space="preserve">Criterio</t>
  </si>
  <si>
    <t xml:space="preserve">Horas productivas por turno</t>
  </si>
  <si>
    <t xml:space="preserve">Horas productivas por mes (1 turno)</t>
  </si>
  <si>
    <t xml:space="preserve">Umbral de aprovechamiento</t>
  </si>
  <si>
    <t xml:space="preserve">Criterio (Dimensionamiento Técnico V2): 10 % de holgura para variabilidad, averías y mantenimiento</t>
  </si>
  <si>
    <t xml:space="preserve">Turnos máximos por día</t>
  </si>
  <si>
    <t xml:space="preserve">Criterio: hasta 2 turnos de 8 h; después se agrega máquina</t>
  </si>
  <si>
    <t xml:space="preserve">Equivalencia de un rodante (u. equivalentes)</t>
  </si>
  <si>
    <t xml:space="preserve">Criterio (Dimensionamiento Técnico V2): traslado en carro, morsa y manipuleo del porte</t>
  </si>
  <si>
    <t xml:space="preserve">CRITERIOS DE RUTA — PLANTA INDUSTRIAL (IRAM 3517-2:2020 y Proyecciones)</t>
  </si>
  <si>
    <t xml:space="preserve">Intervalo máximo de PH — polvos, CO₂ y halogenados (años)</t>
  </si>
  <si>
    <t xml:space="preserve">IRAM 3517-2:2020, Anexo E (IRAM 3523, 3550, 3509, 3565 y 3504)</t>
  </si>
  <si>
    <t xml:space="preserve">Intervalo máximo de PH — agua, AFFF y sales K (años)</t>
  </si>
  <si>
    <t xml:space="preserve">IRAM 3517-2:2020, Anexo E (IRAM 3525, 3527, 3537, 3541, 3693 y 3694)</t>
  </si>
  <si>
    <t xml:space="preserve">% con PH — polvos, CO₂ y halogenados</t>
  </si>
  <si>
    <t xml:space="preserve">En régimen vence la PH de 1 de cada 5 equipos por año</t>
  </si>
  <si>
    <t xml:space="preserve">% con PH — agua, AFFF y sales K</t>
  </si>
  <si>
    <t xml:space="preserve">En régimen vence la PH de 1 de cada 2 equipos por año</t>
  </si>
  <si>
    <t xml:space="preserve">Vida útil — CO₂ (años)</t>
  </si>
  <si>
    <t xml:space="preserve">IRAM 3517-2:2020, Anexo E (IRAM 3509; IRAM 3565 hasta 10 kg)</t>
  </si>
  <si>
    <t xml:space="preserve">Vida útil — resto de los tipos (años)</t>
  </si>
  <si>
    <t xml:space="preserve">IRAM 3517-2:2020, Anexo E</t>
  </si>
  <si>
    <t xml:space="preserve">% fin de vida útil — CO₂</t>
  </si>
  <si>
    <t xml:space="preserve">En régimen llega al fin de su vida 1 de cada 30</t>
  </si>
  <si>
    <t xml:space="preserve">% fin de vida útil — resto</t>
  </si>
  <si>
    <t xml:space="preserve">En régimen llega al fin de su vida 1 de cada 20</t>
  </si>
  <si>
    <t xml:space="preserve">% que no pasan la PH</t>
  </si>
  <si>
    <t xml:space="preserve">Proyecciones (Mat PH). La norma manda inutilizarlos (9.12) pero no fija el %</t>
  </si>
  <si>
    <t xml:space="preserve">% rotos</t>
  </si>
  <si>
    <t xml:space="preserve">Proyecciones (Mat Rot)</t>
  </si>
  <si>
    <t xml:space="preserve">% inutilizados — CO₂</t>
  </si>
  <si>
    <t xml:space="preserve">Fin de vida útil + no pasan la PH + rotos</t>
  </si>
  <si>
    <t xml:space="preserve">% inutilizados — resto</t>
  </si>
  <si>
    <t xml:space="preserve">% que llegan descargados por uso</t>
  </si>
  <si>
    <t xml:space="preserve">Proyecciones (Mat Usados). 9.2.2: se recarga después de usarlo; la norma no fija el %</t>
  </si>
  <si>
    <t xml:space="preserve">Dígitos posibles del año de fabricación</t>
  </si>
  <si>
    <t xml:space="preserve">9.9.4 a): se cambia el polvo ABC cuando el último dígito del año de fabricación coincide con el del año del mantenimiento</t>
  </si>
  <si>
    <t xml:space="preserve">% ABC con cambio de polvo (a descarte)</t>
  </si>
  <si>
    <t xml:space="preserve">1 de cada 10 equipos por año</t>
  </si>
  <si>
    <t xml:space="preserve">% agua, AFFF y sales K que se vacían y recargan</t>
  </si>
  <si>
    <t xml:space="preserve">Anexo E: el agente se cambia cada año; 9.9.1.9 (sales K) y 9.9.1.10 (AFFF)</t>
  </si>
  <si>
    <t xml:space="preserve">% CO₂ que se abren por daño o cambio de piezas</t>
  </si>
  <si>
    <t xml:space="preserve">Criterio sin fuente, a validar con una recargadora. 9.7.1.2: el dañado se examina y va a PH</t>
  </si>
  <si>
    <t xml:space="preserve">% que se pintan</t>
  </si>
  <si>
    <t xml:space="preserve">Criterio sin fuente. 9.10 pide pintar los deteriorados; no fija %</t>
  </si>
  <si>
    <t xml:space="preserve">% polvos con humedad en el desarme (secado extra)</t>
  </si>
  <si>
    <t xml:space="preserve">Criterio sin fuente</t>
  </si>
  <si>
    <t xml:space="preserve">Ensayos de laboratorio por recipiente de polvo</t>
  </si>
  <si>
    <t xml:space="preserve">Criterio. 9.9.3.1: el ensayo se hace cuando hay dudas sobre el polvo</t>
  </si>
  <si>
    <t xml:space="preserve">PERFIL MENSUAL POR AÑO (rampa del crecimiento anual)</t>
  </si>
  <si>
    <t xml:space="preserve">Cada equipo vuelve en su mes (IRAM 3517-2 9.2.1 y 9.4.14 a). Criterio: el crecimiento al año siguiente se reparte parejo mes a mes; 2035 usa el crecimiento 2034→2035.</t>
  </si>
  <si>
    <t xml:space="preserve">Año</t>
  </si>
  <si>
    <t xml:space="preserve">Recargas del año</t>
  </si>
  <si>
    <t xml:space="preserve">Recargas del año siguiente</t>
  </si>
  <si>
    <t xml:space="preserve">Crecimiento</t>
  </si>
  <si>
    <t xml:space="preserve">Factor mensual (q)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</si>
  <si>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</si>
  <si>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</si>
  <si>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</si>
  <si>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</si>
  <si>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</si>
  <si>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</si>
  <si>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</si>
  <si>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</si>
  <si>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</si>
  <si>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</si>
  <si>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</si>
  <si>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</si>
  <si>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</si>
  <si>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TIPOS DE MATAFUEGO</t>
  </si>
  <si>
    <t xml:space="preserve">Tipo</t>
  </si>
  <si>
    <t xml:space="preserve">Agente (ruta)</t>
  </si>
  <si>
    <t xml:space="preserve">u. equivalentes por recipiente</t>
  </si>
  <si>
    <t xml:space="preserve">Manguera con PH anual (1 = sí)</t>
  </si>
  <si>
    <t xml:space="preserve">Fuente de la manguera</t>
  </si>
  <si>
    <t xml:space="preserve">ABC</t>
  </si>
  <si>
    <t xml:space="preserve">No: tobera sin manguera</t>
  </si>
  <si>
    <t xml:space="preserve">No: la manguera no tiene cierre en el extremo</t>
  </si>
  <si>
    <t xml:space="preserve">Agua</t>
  </si>
  <si>
    <t xml:space="preserve">AFFF</t>
  </si>
  <si>
    <t xml:space="preserve">Sí, 9.7.1.4 a): lanza con cierre (rodante, IRAM 3541)</t>
  </si>
  <si>
    <t xml:space="preserve">BC</t>
  </si>
  <si>
    <t xml:space="preserve">Sales K</t>
  </si>
  <si>
    <t xml:space="preserve">CO₂</t>
  </si>
  <si>
    <t xml:space="preserve">No: difusor de brazo, sin manguera (catálogo FLAMA)</t>
  </si>
  <si>
    <t xml:space="preserve">Sí, 9.7.1.4 b): manguera de CO₂ (difusor con manga)</t>
  </si>
  <si>
    <t xml:space="preserve">Halogenado</t>
  </si>
  <si>
    <t xml:space="preserve">Clase D</t>
  </si>
  <si>
    <t xml:space="preserve">Sí, 9.7.1.4 a): válvula de cierre en la manguera (rodante, IRAM 3550)</t>
  </si>
  <si>
    <t xml:space="preserve">CAPACIDAD POR PUESTO (fracción de cada agente que pasa por el puesto)</t>
  </si>
  <si>
    <t xml:space="preserve">N°</t>
  </si>
  <si>
    <t xml:space="preserve">Puesto / operación</t>
  </si>
  <si>
    <t xml:space="preserve">Máquina / equipo</t>
  </si>
  <si>
    <t xml:space="preserve">Recurso</t>
  </si>
  <si>
    <t xml:space="preserve">Tiempo tipo (s/u)</t>
  </si>
  <si>
    <t xml:space="preserve">Cap. real (u/h)</t>
  </si>
  <si>
    <t xml:space="preserve">Cap. real (u/mes, 1 turno)</t>
  </si>
  <si>
    <t xml:space="preserve">Desglose del tiempo (s)</t>
  </si>
  <si>
    <t xml:space="preserve">Nota</t>
  </si>
  <si>
    <t xml:space="preserve">Recepción y registro</t>
  </si>
  <si>
    <t xml:space="preserve">Autoelevador + tablet e impresora de etiquetas; jaulas A y B</t>
  </si>
  <si>
    <t xml:space="preserve">Manual</t>
  </si>
  <si>
    <t xml:space="preserve">Cargar jaulas 12,5 + descargar y controlar contra remito 12,5 + datos en el sistema 40 + separar por agente 10. Lo que se hace en el cliente no cuenta.</t>
  </si>
  <si>
    <t xml:space="preserve">Inspección visual</t>
  </si>
  <si>
    <t xml:space="preserve">Mesa con goma, lámpara con lupa, PC</t>
  </si>
  <si>
    <t xml:space="preserve">Escanear 5 + exterior 30 + válvula, manómetro y manguera 25 + fecha PH 10 + registro 15 + bandeja 5</t>
  </si>
  <si>
    <t xml:space="preserve">Antes 70 s; los pasos suman 90 s</t>
  </si>
  <si>
    <t xml:space="preserve">Descarga ABC — ruta recuperable</t>
  </si>
  <si>
    <t xml:space="preserve">Máquina neumática Yukon (tolva 240 kg)</t>
  </si>
  <si>
    <t xml:space="preserve">Máquina</t>
  </si>
  <si>
    <t xml:space="preserve">Escanear y agitado 15 + descargar mirando el visor 60 + tapar 10 (el retiro de válvula se cuenta en Desarme)</t>
  </si>
  <si>
    <t xml:space="preserve">Descarga ABC — ruta descarte</t>
  </si>
  <si>
    <t xml:space="preserve">Tambor Yukon M-000030</t>
  </si>
  <si>
    <t xml:space="preserve">Igual que la ruta recuperable, al tambor</t>
  </si>
  <si>
    <t xml:space="preserve">Descarga BC</t>
  </si>
  <si>
    <t xml:space="preserve">Tambor Yukon M-000030 dedicado BC</t>
  </si>
  <si>
    <t xml:space="preserve">Igual que ABC; todo a descarte</t>
  </si>
  <si>
    <t xml:space="preserve">Descarga de agua / AFFF / sales K</t>
  </si>
  <si>
    <t xml:space="preserve">IBC 1.000 l (AFFF) y tanque 600 l (agua)</t>
  </si>
  <si>
    <t xml:space="preserve">Escanear 10 + quitar lanza 10 + acoplar 15 + vaciar 60 + llevar a desarme 10</t>
  </si>
  <si>
    <t xml:space="preserve">Antes 180 s; los pasos suman 105 s. Sales K: misma ruta que agua y AFFF</t>
  </si>
  <si>
    <t xml:space="preserve">Recuperación de CO₂</t>
  </si>
  <si>
    <t xml:space="preserve">Trasvasadora CO₂ 103/D1 (misma máquina que la carga)</t>
  </si>
  <si>
    <t xml:space="preserve">Pesar 20 + conectar 20 + bombear 120 + verificar y pesar 20 + desconectar 15 + registrar 10</t>
  </si>
  <si>
    <t xml:space="preserve">Recuperación de halogenado</t>
  </si>
  <si>
    <t xml:space="preserve">Unidad THB/BP (misma máquina que la carga)</t>
  </si>
  <si>
    <t xml:space="preserve">Preparar y verificar cilindro de paso 60 + pesar 20 + conectar 30 + recuperar 300 + pesar ambos 40 + anotar 15</t>
  </si>
  <si>
    <t xml:space="preserve">Desarme y limpieza — recinto</t>
  </si>
  <si>
    <t xml:space="preserve">Lanza de soplado + aspiradora industrial + llaves</t>
  </si>
  <si>
    <t xml:space="preserve">Verificar 5 + retirar válvula 30 + marbete 5 + bandeja 10 + soplar 20 + limpieza profunda 120 × % con PH + tapar 5</t>
  </si>
  <si>
    <t xml:space="preserve">Antes 90 s con 25 % de PH; los pasos suman 99 s con 20 %</t>
  </si>
  <si>
    <t xml:space="preserve">Desarme e inspección interior — zona general</t>
  </si>
  <si>
    <t xml:space="preserve">Boroscopio Klein ET19 + llaves</t>
  </si>
  <si>
    <t xml:space="preserve">Confirmar vacío 10 + retirar válvula 40 + boroscopio 60 + enjuague 90 × 40 % + foto 15 + tapar 15</t>
  </si>
  <si>
    <t xml:space="preserve">Laboratorio — Puffer y mufla</t>
  </si>
  <si>
    <t xml:space="preserve">Puffer Yukon M-100150 + mufla ORL-0</t>
  </si>
  <si>
    <t xml:space="preserve">Tiempo por ENSAYO: registro 300 + mufla 600 + Puffer 1.800 + dictamen 60 + carga 120 + liberar tolva 300</t>
  </si>
  <si>
    <t xml:space="preserve">Prueba hidráulica</t>
  </si>
  <si>
    <t xml:space="preserve">Máquina PH Yukon 300 kg/cm²</t>
  </si>
  <si>
    <t xml:space="preserve">Verificar con patrón 12 + escanear 20 + llenar y conectar 90 + ensayo 90 + vaciar y retirar 75 + registrar 15. CO₂ lleva además ultrasonido y acuñado</t>
  </si>
  <si>
    <t xml:space="preserve">Secado</t>
  </si>
  <si>
    <t xml:space="preserve">Secadora Yukon de 6 recipientes</t>
  </si>
  <si>
    <t xml:space="preserve">Colocar 15 + 15 min ÷ 6 recipientes = 150 + retirar 15</t>
  </si>
  <si>
    <t xml:space="preserve">Agua, AFFF y sales K no se secan: se vuelven a llenar</t>
  </si>
  <si>
    <t xml:space="preserve">Inspección interior con videoscopio</t>
  </si>
  <si>
    <t xml:space="preserve">Videoscopio + mesa con soporte en V</t>
  </si>
  <si>
    <t xml:space="preserve">Recorrer con la sonda 60 + guardar foto 15 + tapar 10</t>
  </si>
  <si>
    <t xml:space="preserve">Pintura</t>
  </si>
  <si>
    <t xml:space="preserve">Cabina con extracción, HVLP, lámparas IR, amoladora</t>
  </si>
  <si>
    <t xml:space="preserve">Sin desglose de pasos en el original</t>
  </si>
  <si>
    <t xml:space="preserve">Carga de polvo ABC</t>
  </si>
  <si>
    <t xml:space="preserve">Máquina neumática Yukon con corte por peso</t>
  </si>
  <si>
    <t xml:space="preserve">Contraste por turno 6 + tara 15 + carga 45 + pesar 15 + rosca 15 + registrar 10</t>
  </si>
  <si>
    <t xml:space="preserve">Antes 90 s; los pasos suman 106 s</t>
  </si>
  <si>
    <t xml:space="preserve">Carga de polvo BC</t>
  </si>
  <si>
    <t xml:space="preserve">Cargadora portátil Yukon dedicada BC</t>
  </si>
  <si>
    <t xml:space="preserve">Contraste 10 + tara 15 + carga portátil 75 + pesar 15 + rosca 15 + registrar 10</t>
  </si>
  <si>
    <t xml:space="preserve">Descarga y carga Clase D</t>
  </si>
  <si>
    <t xml:space="preserve">Recipiente exclusivo + embudo + balanza</t>
  </si>
  <si>
    <t xml:space="preserve">Descarga manual 180 + tara 15 + carga con embudo 240 + ajuste 30 + rosca 15 + registro 10</t>
  </si>
  <si>
    <t xml:space="preserve">Supuesto del original (no está en el documento de procesos)</t>
  </si>
  <si>
    <t xml:space="preserve">Carga de agua / AFFF / sales K</t>
  </si>
  <si>
    <t xml:space="preserve">Red + tanque de premezcla con bomba 40 l/min + balanza</t>
  </si>
  <si>
    <t xml:space="preserve">Contraste y premezcla 20 + tara 10 + cargar 30 + corregir 15 + rosca 15 + registrar 10</t>
  </si>
  <si>
    <t xml:space="preserve">Carga de CO₂</t>
  </si>
  <si>
    <t xml:space="preserve">Trasvasadora CO₂ 103/D1 + manifold</t>
  </si>
  <si>
    <t xml:space="preserve">Tarar y programar 30 + elegir origen 10 + abrir manifold 15 + llenar 150 + pesar 25 + registrar 10</t>
  </si>
  <si>
    <t xml:space="preserve">Ensamblaje y marbete — recinto</t>
  </si>
  <si>
    <t xml:space="preserve">Morsa + llave dinamométrica</t>
  </si>
  <si>
    <t xml:space="preserve">Escanear 10 + revisar piezas 30 + o-ring 20 + marbete 10 + enroscar 30 + manguera y repuestos 20</t>
  </si>
  <si>
    <t xml:space="preserve">Presurización — recinto</t>
  </si>
  <si>
    <t xml:space="preserve">Pinza Yukon M-000150 + regulador</t>
  </si>
  <si>
    <t xml:space="preserve">Contraste por turno 3 + fijar presión 15 + colocar 10 + presurizar 20 + pasador 15 + registrar 10</t>
  </si>
  <si>
    <t xml:space="preserve">Ensamblaje y presurización — zona general</t>
  </si>
  <si>
    <t xml:space="preserve">Morsa + dinamométrica + pinza Yukon</t>
  </si>
  <si>
    <t xml:space="preserve">Ensamblaje 120 + presurización 50. CO₂ no se presuriza y halogenados se presurizan en la carga</t>
  </si>
  <si>
    <t xml:space="preserve">Carga y presurización de halogenado</t>
  </si>
  <si>
    <t xml:space="preserve">Unidad THB/BP + pinza</t>
  </si>
  <si>
    <t xml:space="preserve">Cargar 300 + presurizar 40 + agitar y repetir 60 + pesar y registrar 30</t>
  </si>
  <si>
    <t xml:space="preserve">Control de peso (CO₂ y halogenados sin recarga)</t>
  </si>
  <si>
    <t xml:space="preserve">Balanza</t>
  </si>
  <si>
    <t xml:space="preserve">Pesar y comparar 30 + registrar 10</t>
  </si>
  <si>
    <t xml:space="preserve">Anexo E: control anual de la masa</t>
  </si>
  <si>
    <t xml:space="preserve">Ensayo de pérdidas</t>
  </si>
  <si>
    <t xml:space="preserve">Tanque de inmersión inox (6 posiciones); spray en rodantes</t>
  </si>
  <si>
    <t xml:space="preserve">Preparar por turno 5 + bajar y observar en tandas de 6: 45 + sacar 10 + secar 10 + registrar 10</t>
  </si>
  <si>
    <t xml:space="preserve">Precinto, etiqueta y despacho</t>
  </si>
  <si>
    <t xml:space="preserve">Dispensador + impresora + jaulas</t>
  </si>
  <si>
    <t xml:space="preserve">Precinto 15 + etiqueta 25 + revisión final 15 + cerrar OT 10 + jaula 15 + remito 6</t>
  </si>
  <si>
    <t xml:space="preserve">Antes 80 s; los pasos suman 86 s</t>
  </si>
  <si>
    <t xml:space="preserve">Inutilización y disposición final</t>
  </si>
  <si>
    <t xml:space="preserve">Taladro de columna con prensa en V</t>
  </si>
  <si>
    <t xml:space="preserve">Confirmar 30 + perforar 120 + desarmar y cortar manguera 90 + residuos 60 + foto y acta 90</t>
  </si>
  <si>
    <t xml:space="preserve">9.12 y Anexo G: acta de inutilización</t>
  </si>
  <si>
    <t xml:space="preserve">PH de mangueras (CO₂ y rodantes)</t>
  </si>
  <si>
    <t xml:space="preserve">Máquina PH Yukon 300 kg/cm² (misma que la PH de recipientes)</t>
  </si>
  <si>
    <t xml:space="preserve">—</t>
  </si>
  <si>
    <t xml:space="preserve">Mismos pasos que la PH del recipiente: patrón 12 + escanear 20 + llenar y conectar 90 + ensayo 90 + vaciar y retirar 75 + registrar 15</t>
  </si>
  <si>
    <t xml:space="preserve">9.7.1.4: PH anual de mangueras de CO₂ y con cierre en el extremo (tabla 5). Demanda = fila Mangueras del Plan mensual. Criterio: tiempo igual al de la PH del recipiente; falta el rótulo plástico</t>
  </si>
  <si>
    <t xml:space="preserve">PH Firesafer (alternativa, no entra en el cálculo)</t>
  </si>
  <si>
    <t xml:space="preserve">Banco Firesafer FS-JD12A</t>
  </si>
  <si>
    <t xml:space="preserve">El original copia el desglose de la Yukon (302 s) con 60 s: revisar antes de usarla</t>
  </si>
  <si>
    <t xml:space="preserve">Agente</t>
  </si>
  <si>
    <t xml:space="preserve">u. equiv.</t>
  </si>
  <si>
    <t xml:space="preserve">Incluye mant. de sustitutos (u./año)</t>
  </si>
  <si>
    <t xml:space="preserve">Total recipientes</t>
  </si>
  <si>
    <t xml:space="preserve">Por agente (u. equivalentes)</t>
  </si>
  <si>
    <t xml:space="preserve">Mangueras con PH anual (u.)</t>
  </si>
  <si>
    <t xml:space="preserve">Año 2026</t>
  </si>
  <si>
    <t xml:space="preserve">Total anual</t>
  </si>
  <si>
    <t xml:space="preserve">Demanda mes pico (u/mes)</t>
  </si>
  <si>
    <t xml:space="preserve">Demanda (u/h, 1 turno)</t>
  </si>
  <si>
    <t xml:space="preserve">Año 2027</t>
  </si>
  <si>
    <t xml:space="preserve">Año 2028</t>
  </si>
  <si>
    <t xml:space="preserve">Año 2029</t>
  </si>
  <si>
    <t xml:space="preserve">Año 2030</t>
  </si>
  <si>
    <t xml:space="preserve">Año 2031</t>
  </si>
  <si>
    <t xml:space="preserve">Año 2032</t>
  </si>
  <si>
    <t xml:space="preserve">Año 2033</t>
  </si>
  <si>
    <t xml:space="preserve">Año 2034</t>
  </si>
  <si>
    <t xml:space="preserve">Año 2035</t>
  </si>
  <si>
    <t xml:space="preserve">Aprovechamiento por puesto</t>
  </si>
  <si>
    <t xml:space="preserve">Acciones (lista)</t>
  </si>
  <si>
    <t xml:space="preserve">Cuándo</t>
  </si>
  <si>
    <t xml:space="preserve">OK</t>
  </si>
  <si>
    <t xml:space="preserve">Aprovechamiento dentro del umbral</t>
  </si>
  <si>
    <t xml:space="preserve">Agrega turno</t>
  </si>
  <si>
    <t xml:space="preserve">Hay turnos disponibles (menos que el máximo por día)</t>
  </si>
  <si>
    <t xml:space="preserve">Agrega máquina</t>
  </si>
  <si>
    <t xml:space="preserve">Ya está en el máximo de turnos y el puesto es de máquina</t>
  </si>
  <si>
    <t xml:space="preserve">Agrega operario (puesto manual)</t>
  </si>
  <si>
    <t xml:space="preserve">Ya está en el máximo de turnos y el puesto es manual</t>
  </si>
  <si>
    <t xml:space="preserve">Tercerizado</t>
  </si>
  <si>
    <t xml:space="preserve">Recurso cargado como Tercerizado en parametros_recargas</t>
  </si>
  <si>
    <t xml:space="preserve">Revisar</t>
  </si>
  <si>
    <t xml:space="preserve">Hay demanda y el puesto no tiene tiempo tipo</t>
  </si>
  <si>
    <t xml:space="preserve">Máquinas y turnos: celdas gris oscuro, cargar a mano.</t>
  </si>
  <si>
    <t xml:space="preserve">Aprovechamiento máximo</t>
  </si>
  <si>
    <t xml:space="preserve">Máquinas en el puesto (cargar a mano)</t>
  </si>
  <si>
    <t xml:space="preserve">TOTAL máquinas / puestos</t>
  </si>
  <si>
    <t xml:space="preserve">Turnos del puesto (cargar a mano)</t>
  </si>
  <si>
    <t xml:space="preserve">Turnos de la planta (máximo)</t>
  </si>
  <si>
    <t xml:space="preserve">Máquina × turno necesarios al umbral</t>
  </si>
  <si>
    <t xml:space="preserve">TOTAL máquina × turno necesarios</t>
  </si>
  <si>
    <t xml:space="preserve">Acción sugerida</t>
  </si>
  <si>
    <t xml:space="preserve">SOBRESTOCK DE SUSTITUTOS (IRAM 3517-2 9.4.5)</t>
  </si>
  <si>
    <t xml:space="preserve">Equipos afuera = retiros por día del mes pico × días afuera (ley de Little); depende de las recargas, no de la cantidad de clientes. El mantenimiento anual del stock entra al Plan mensual del año siguiente y suma al aprovechamiento.</t>
  </si>
  <si>
    <t xml:space="preserve">Días de ruta (retiro y devolución)</t>
  </si>
  <si>
    <t xml:space="preserve">Criterio (a confirmar): se retira hoy, se recarga y vuelve en la ruta del día siguiente. El camión entrega los recargados y retira en la misma visita (Word de procesos, Recepción)</t>
  </si>
  <si>
    <t xml:space="preserve">1. Tipo y sustituto equivalente (igual clasificación y por lo menos igual capacidad)</t>
  </si>
  <si>
    <t xml:space="preserve">Lleva sustituto (1 = sí)</t>
  </si>
  <si>
    <t xml:space="preserve">Sustituto equivalente</t>
  </si>
  <si>
    <t xml:space="preserve">Fuente</t>
  </si>
  <si>
    <t xml:space="preserve">Automotor: sin canje, vuelve el mismo equipo (criterio del usuario)</t>
  </si>
  <si>
    <t xml:space="preserve">Proyecciones, Reservas y Sustitutos, filas 54 a 65; 9.4.5</t>
  </si>
  <si>
    <t xml:space="preserve">2. Retiros por día hábil en el mes pico (recargas de clientes × mes pico ÷ días del mes)</t>
  </si>
  <si>
    <t xml:space="preserve">3a. Aprovechamiento máximo de los puestos de la ruta (mes pico, Resumen Capacidad)</t>
  </si>
  <si>
    <t xml:space="preserve">3b. Días de cola = (aprovechamiento − 1) × días del mes, si pasa el 100 %</t>
  </si>
  <si>
    <t xml:space="preserve">4. Días afuera = días de ruta + días de cola del agente</t>
  </si>
  <si>
    <t xml:space="preserve">5. Equipos afuera en el mes pico = retiros por día × días afuera</t>
  </si>
  <si>
    <t xml:space="preserve">6. Stock de sustitutos por equivalente (redondeado hacia arriba)</t>
  </si>
  <si>
    <t xml:space="preserve">7. Equipos afuera en un mes promedio (recargas del año ÷ 240 × días afuera)</t>
  </si>
  <si>
    <t xml:space="preserve">8. Sobrestock = stock − equipos afuera en un mes promedio (lo que sobra fuera del pico)</t>
  </si>
  <si>
    <t xml:space="preserve">9. Alta anual de sustitutos = lo que crece el stock + reposición de inutilizados</t>
  </si>
  <si>
    <t xml:space="preserve">10. Mantenimiento anual de sustitutos = stock del año anterior (9.4.5 y 9.2.1); entra al Plan mensual parejo en los 12 meses</t>
  </si>
  <si>
    <t xml:space="preserve">Criterio: el mantenimiento del stock propio se programa parejo en el año (1/12 por mes).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</si>
</sst>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0.0%"/>
    <numFmt numFmtId="167" formatCode="0"/>
    <numFmt numFmtId="168" formatCode="0.00"/>
    <numFmt numFmtId="169" formatCode="0%"/>
    <numFmt numFmtId="170" formatCode="0.000"/>
    <numFmt numFmtId="171" formatCode="0.0000"/>
    <numFmt numFmtId="172" formatCode="0.0"/>
    <numFmt numFmtId="173" formatCode="#,##0.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D9D9D9"/>
        <bgColor rgb="FFC0C0C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sz val="10"/>
      </font>
      <fill>
        <patternFill>
          <bgColor rgb="FFA6A6A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1" min="2" style="0" width="13"/>
    <col collapsed="false" customWidth="true" hidden="false" outlineLevel="0" max="12" min="12" style="0" width="5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n">
        <v>2026</v>
      </c>
      <c r="C4" s="3" t="n">
        <v>2027</v>
      </c>
      <c r="D4" s="3" t="n">
        <v>2028</v>
      </c>
      <c r="E4" s="3" t="n">
        <v>2029</v>
      </c>
      <c r="F4" s="3" t="n">
        <v>2030</v>
      </c>
      <c r="G4" s="3" t="n">
        <v>2031</v>
      </c>
      <c r="H4" s="3" t="n">
        <v>2032</v>
      </c>
      <c r="I4" s="3" t="n">
        <v>2033</v>
      </c>
      <c r="J4" s="3" t="n">
        <v>2034</v>
      </c>
      <c r="K4" s="3" t="n">
        <v>2035</v>
      </c>
    </row>
    <row r="5" customFormat="false" ht="15" hidden="false" customHeight="false" outlineLevel="0" collapsed="false">
      <c r="A5" s="4" t="s">
        <v>3</v>
      </c>
      <c r="B5" s="5" t="n">
        <v>3477.482124</v>
      </c>
      <c r="C5" s="5" t="n">
        <v>16970.58564</v>
      </c>
      <c r="D5" s="5" t="n">
        <v>30546.08951</v>
      </c>
      <c r="E5" s="5" t="n">
        <v>56048.31106</v>
      </c>
      <c r="F5" s="5" t="n">
        <v>84270.22613</v>
      </c>
      <c r="G5" s="5" t="n">
        <v>117407.8231</v>
      </c>
      <c r="H5" s="5" t="n">
        <v>147610.6356</v>
      </c>
      <c r="I5" s="5" t="n">
        <v>171404.3607</v>
      </c>
      <c r="J5" s="5" t="n">
        <v>183690.566</v>
      </c>
      <c r="K5" s="5" t="n">
        <v>196282.6907</v>
      </c>
    </row>
    <row r="6" customFormat="false" ht="15" hidden="false" customHeight="false" outlineLevel="0" collapsed="false">
      <c r="A6" s="4" t="s">
        <v>4</v>
      </c>
      <c r="B6" s="5" t="n">
        <v>329.996668</v>
      </c>
      <c r="C6" s="5" t="n">
        <v>1287.414024</v>
      </c>
      <c r="D6" s="5" t="n">
        <v>2947.169216</v>
      </c>
      <c r="E6" s="5" t="n">
        <v>5426.043269</v>
      </c>
      <c r="F6" s="5" t="n">
        <v>7850.875806</v>
      </c>
      <c r="G6" s="5" t="n">
        <v>10423.94365</v>
      </c>
      <c r="H6" s="5" t="n">
        <v>12809.89571</v>
      </c>
      <c r="I6" s="5" t="n">
        <v>14263.06831</v>
      </c>
      <c r="J6" s="5" t="n">
        <v>15432.86983</v>
      </c>
      <c r="K6" s="5" t="n">
        <v>16620.76117</v>
      </c>
    </row>
    <row r="7" customFormat="false" ht="15" hidden="false" customHeight="false" outlineLevel="0" collapsed="false">
      <c r="A7" s="4" t="s">
        <v>5</v>
      </c>
      <c r="B7" s="5" t="n">
        <v>1950.394097</v>
      </c>
      <c r="C7" s="5" t="n">
        <v>7852.61852</v>
      </c>
      <c r="D7" s="5" t="n">
        <v>17775.85701</v>
      </c>
      <c r="E7" s="5" t="n">
        <v>33605.56835</v>
      </c>
      <c r="F7" s="5" t="n">
        <v>48407.57189</v>
      </c>
      <c r="G7" s="5" t="n">
        <v>64323.04276</v>
      </c>
      <c r="H7" s="5" t="n">
        <v>78721.10039</v>
      </c>
      <c r="I7" s="5" t="n">
        <v>87237.2124</v>
      </c>
      <c r="J7" s="5" t="n">
        <v>94103.66761</v>
      </c>
      <c r="K7" s="5" t="n">
        <v>101095.1762</v>
      </c>
    </row>
    <row r="8" customFormat="false" ht="15" hidden="false" customHeight="false" outlineLevel="0" collapsed="false">
      <c r="A8" s="4" t="s">
        <v>6</v>
      </c>
      <c r="B8" s="5" t="n">
        <v>118.343632</v>
      </c>
      <c r="C8" s="5" t="n">
        <v>437.716578</v>
      </c>
      <c r="D8" s="5" t="n">
        <v>1024.974821</v>
      </c>
      <c r="E8" s="5" t="n">
        <v>1960.409862</v>
      </c>
      <c r="F8" s="5" t="n">
        <v>2844.976846</v>
      </c>
      <c r="G8" s="5" t="n">
        <v>3810.390622</v>
      </c>
      <c r="H8" s="5" t="n">
        <v>4663.67807</v>
      </c>
      <c r="I8" s="5" t="n">
        <v>5164.514584</v>
      </c>
      <c r="J8" s="5" t="n">
        <v>5571.544328</v>
      </c>
      <c r="K8" s="5" t="n">
        <v>5985.950855</v>
      </c>
    </row>
    <row r="9" customFormat="false" ht="15" hidden="false" customHeight="false" outlineLevel="0" collapsed="false">
      <c r="A9" s="4" t="s">
        <v>7</v>
      </c>
      <c r="B9" s="5" t="n">
        <v>159.308736</v>
      </c>
      <c r="C9" s="5" t="n">
        <v>643.423542</v>
      </c>
      <c r="D9" s="5" t="n">
        <v>1474.362741</v>
      </c>
      <c r="E9" s="5" t="n">
        <v>2766.451205</v>
      </c>
      <c r="F9" s="5" t="n">
        <v>3991.465221</v>
      </c>
      <c r="G9" s="5" t="n">
        <v>5335.75578</v>
      </c>
      <c r="H9" s="5" t="n">
        <v>6538.958887</v>
      </c>
      <c r="I9" s="5" t="n">
        <v>7269.819681</v>
      </c>
      <c r="J9" s="5" t="n">
        <v>7855.44139</v>
      </c>
      <c r="K9" s="5" t="n">
        <v>8450.814081</v>
      </c>
    </row>
    <row r="10" customFormat="false" ht="15" hidden="false" customHeight="false" outlineLevel="0" collapsed="false">
      <c r="A10" s="4" t="s">
        <v>8</v>
      </c>
      <c r="B10" s="5" t="n">
        <v>22.758391</v>
      </c>
      <c r="C10" s="5" t="n">
        <v>161.315751</v>
      </c>
      <c r="D10" s="5" t="n">
        <v>316.607276</v>
      </c>
      <c r="E10" s="5" t="n">
        <v>527.39462</v>
      </c>
      <c r="F10" s="5" t="n">
        <v>743.788946</v>
      </c>
      <c r="G10" s="5" t="n">
        <v>962.874335</v>
      </c>
      <c r="H10" s="5" t="n">
        <v>1194.942207</v>
      </c>
      <c r="I10" s="5" t="n">
        <v>1351.617183</v>
      </c>
      <c r="J10" s="5" t="n">
        <v>1477.54886</v>
      </c>
      <c r="K10" s="5" t="n">
        <v>1604.441422</v>
      </c>
    </row>
    <row r="11" customFormat="false" ht="15" hidden="false" customHeight="false" outlineLevel="0" collapsed="false">
      <c r="A11" s="4" t="s">
        <v>9</v>
      </c>
      <c r="B11" s="5" t="n">
        <v>11.379195</v>
      </c>
      <c r="C11" s="5" t="n">
        <v>83.22352</v>
      </c>
      <c r="D11" s="5" t="n">
        <v>164.463834</v>
      </c>
      <c r="E11" s="5" t="n">
        <v>281.341145</v>
      </c>
      <c r="F11" s="5" t="n">
        <v>398.902509</v>
      </c>
      <c r="G11" s="5" t="n">
        <v>514.527284</v>
      </c>
      <c r="H11" s="5" t="n">
        <v>629.065505</v>
      </c>
      <c r="I11" s="5" t="n">
        <v>711.178024</v>
      </c>
      <c r="J11" s="5" t="n">
        <v>773.41098</v>
      </c>
      <c r="K11" s="5" t="n">
        <v>836.350805</v>
      </c>
    </row>
    <row r="12" customFormat="false" ht="15" hidden="false" customHeight="false" outlineLevel="0" collapsed="false">
      <c r="A12" s="4" t="s">
        <v>10</v>
      </c>
      <c r="B12" s="5" t="n">
        <v>6.827517</v>
      </c>
      <c r="C12" s="5" t="n">
        <v>47.073112</v>
      </c>
      <c r="D12" s="5" t="n">
        <v>88.889676</v>
      </c>
      <c r="E12" s="5" t="n">
        <v>159.502491</v>
      </c>
      <c r="F12" s="5" t="n">
        <v>219.796202</v>
      </c>
      <c r="G12" s="5" t="n">
        <v>291.869853</v>
      </c>
      <c r="H12" s="5" t="n">
        <v>368.844169</v>
      </c>
      <c r="I12" s="5" t="n">
        <v>408.408953</v>
      </c>
      <c r="J12" s="5" t="n">
        <v>445.781944</v>
      </c>
      <c r="K12" s="5" t="n">
        <v>483.479203</v>
      </c>
    </row>
    <row r="13" customFormat="false" ht="15" hidden="false" customHeight="false" outlineLevel="0" collapsed="false">
      <c r="A13" s="4" t="s">
        <v>11</v>
      </c>
      <c r="B13" s="5" t="n">
        <v>81.930207</v>
      </c>
      <c r="C13" s="5" t="n">
        <v>335.398855</v>
      </c>
      <c r="D13" s="5" t="n">
        <v>746.598352</v>
      </c>
      <c r="E13" s="5" t="n">
        <v>1358.899837</v>
      </c>
      <c r="F13" s="5" t="n">
        <v>1961.125522</v>
      </c>
      <c r="G13" s="5" t="n">
        <v>2598.541412</v>
      </c>
      <c r="H13" s="5" t="n">
        <v>3197.263477</v>
      </c>
      <c r="I13" s="5" t="n">
        <v>3578.539452</v>
      </c>
      <c r="J13" s="5" t="n">
        <v>3870.747997</v>
      </c>
      <c r="K13" s="5" t="n">
        <v>4167.559622</v>
      </c>
    </row>
    <row r="14" customFormat="false" ht="15" hidden="false" customHeight="false" outlineLevel="0" collapsed="false">
      <c r="A14" s="4" t="s">
        <v>12</v>
      </c>
      <c r="B14" s="5" t="n">
        <v>450.616139</v>
      </c>
      <c r="C14" s="5" t="n">
        <v>1697.18149</v>
      </c>
      <c r="D14" s="5" t="n">
        <v>3955.196858</v>
      </c>
      <c r="E14" s="5" t="n">
        <v>7561.26033</v>
      </c>
      <c r="F14" s="5" t="n">
        <v>10920.14481</v>
      </c>
      <c r="G14" s="5" t="n">
        <v>14514.88522</v>
      </c>
      <c r="H14" s="5" t="n">
        <v>17746.49927</v>
      </c>
      <c r="I14" s="5" t="n">
        <v>19617.20546</v>
      </c>
      <c r="J14" s="5" t="n">
        <v>21161.80625</v>
      </c>
      <c r="K14" s="5" t="n">
        <v>22734.50171</v>
      </c>
    </row>
    <row r="15" customFormat="false" ht="15" hidden="false" customHeight="false" outlineLevel="0" collapsed="false">
      <c r="A15" s="4" t="s">
        <v>13</v>
      </c>
      <c r="B15" s="5" t="n">
        <v>125.17115</v>
      </c>
      <c r="C15" s="5" t="n">
        <v>643.630371</v>
      </c>
      <c r="D15" s="5" t="n">
        <v>1375.626719</v>
      </c>
      <c r="E15" s="5" t="n">
        <v>2460.284265</v>
      </c>
      <c r="F15" s="5" t="n">
        <v>3545.257683</v>
      </c>
      <c r="G15" s="5" t="n">
        <v>4723.461784</v>
      </c>
      <c r="H15" s="5" t="n">
        <v>5853.905178</v>
      </c>
      <c r="I15" s="5" t="n">
        <v>6608.459909</v>
      </c>
      <c r="J15" s="5" t="n">
        <v>7185.708397</v>
      </c>
      <c r="K15" s="5" t="n">
        <v>7769.577127</v>
      </c>
    </row>
    <row r="16" customFormat="false" ht="15" hidden="false" customHeight="false" outlineLevel="0" collapsed="false">
      <c r="A16" s="4" t="s">
        <v>14</v>
      </c>
      <c r="B16" s="5" t="n">
        <v>18.206713</v>
      </c>
      <c r="C16" s="5" t="n">
        <v>112.075122</v>
      </c>
      <c r="D16" s="5" t="n">
        <v>230.854041</v>
      </c>
      <c r="E16" s="5" t="n">
        <v>400.715334</v>
      </c>
      <c r="F16" s="5" t="n">
        <v>574.507789</v>
      </c>
      <c r="G16" s="5" t="n">
        <v>754.345623</v>
      </c>
      <c r="H16" s="5" t="n">
        <v>944.84884</v>
      </c>
      <c r="I16" s="5" t="n">
        <v>1072.234671</v>
      </c>
      <c r="J16" s="5" t="n">
        <v>1171.695753</v>
      </c>
      <c r="K16" s="5" t="n">
        <v>1271.941099</v>
      </c>
    </row>
    <row r="17" customFormat="false" ht="15" hidden="false" customHeight="false" outlineLevel="0" collapsed="false">
      <c r="A17" s="4" t="s">
        <v>15</v>
      </c>
      <c r="B17" s="5" t="n">
        <v>6.827517</v>
      </c>
      <c r="C17" s="5" t="n">
        <v>47.073112</v>
      </c>
      <c r="D17" s="5" t="n">
        <v>88.889676</v>
      </c>
      <c r="E17" s="5" t="n">
        <v>148.279182</v>
      </c>
      <c r="F17" s="5" t="n">
        <v>205.226053</v>
      </c>
      <c r="G17" s="5" t="n">
        <v>255.765145</v>
      </c>
      <c r="H17" s="5" t="n">
        <v>328.417902</v>
      </c>
      <c r="I17" s="5" t="n">
        <v>366.908071</v>
      </c>
      <c r="J17" s="5" t="n">
        <v>401.681707</v>
      </c>
      <c r="K17" s="5" t="n">
        <v>436.686782</v>
      </c>
    </row>
    <row r="18" customFormat="false" ht="15" hidden="false" customHeight="false" outlineLevel="0" collapsed="false">
      <c r="A18" s="4" t="s">
        <v>16</v>
      </c>
      <c r="B18" s="5" t="n">
        <v>17.637753</v>
      </c>
      <c r="C18" s="5" t="n">
        <v>85.987819</v>
      </c>
      <c r="D18" s="5" t="n">
        <v>186.869567</v>
      </c>
      <c r="E18" s="5" t="n">
        <v>336.583621</v>
      </c>
      <c r="F18" s="5" t="n">
        <v>484.132598</v>
      </c>
      <c r="G18" s="5" t="n">
        <v>643.220385</v>
      </c>
      <c r="H18" s="5" t="n">
        <v>792.431742</v>
      </c>
      <c r="I18" s="5" t="n">
        <v>889.677707</v>
      </c>
      <c r="J18" s="5" t="n">
        <v>965.31111</v>
      </c>
      <c r="K18" s="5" t="n">
        <v>1041.939702</v>
      </c>
    </row>
    <row r="19" customFormat="false" ht="15" hidden="false" customHeight="false" outlineLevel="0" collapsed="false">
      <c r="A19" s="4" t="s">
        <v>17</v>
      </c>
      <c r="B19" s="5" t="n">
        <v>38.803056</v>
      </c>
      <c r="C19" s="5" t="n">
        <v>189.173203</v>
      </c>
      <c r="D19" s="5" t="n">
        <v>411.113048</v>
      </c>
      <c r="E19" s="5" t="n">
        <v>740.483966</v>
      </c>
      <c r="F19" s="5" t="n">
        <v>1065.091715</v>
      </c>
      <c r="G19" s="5" t="n">
        <v>1415.084848</v>
      </c>
      <c r="H19" s="5" t="n">
        <v>1743.349833</v>
      </c>
      <c r="I19" s="5" t="n">
        <v>1957.290955</v>
      </c>
      <c r="J19" s="5" t="n">
        <v>2123.684441</v>
      </c>
      <c r="K19" s="5" t="n">
        <v>2292.267343</v>
      </c>
    </row>
    <row r="20" customFormat="false" ht="15" hidden="false" customHeight="false" outlineLevel="0" collapsed="false">
      <c r="A20" s="4" t="s">
        <v>18</v>
      </c>
      <c r="B20" s="5" t="n">
        <v>8.466121</v>
      </c>
      <c r="C20" s="5" t="n">
        <v>41.274153</v>
      </c>
      <c r="D20" s="5" t="n">
        <v>89.697392</v>
      </c>
      <c r="E20" s="5" t="n">
        <v>161.560138</v>
      </c>
      <c r="F20" s="5" t="n">
        <v>232.383647</v>
      </c>
      <c r="G20" s="5" t="n">
        <v>308.745785</v>
      </c>
      <c r="H20" s="5" t="n">
        <v>380.367236</v>
      </c>
      <c r="I20" s="5" t="n">
        <v>427.045299</v>
      </c>
      <c r="J20" s="5" t="n">
        <v>463.349333</v>
      </c>
      <c r="K20" s="5" t="n">
        <v>500.131057</v>
      </c>
    </row>
    <row r="21" customFormat="false" ht="15" hidden="false" customHeight="false" outlineLevel="0" collapsed="false">
      <c r="A21" s="4" t="s">
        <v>19</v>
      </c>
      <c r="B21" s="5" t="n">
        <v>5.644081</v>
      </c>
      <c r="C21" s="5" t="n">
        <v>27.516102</v>
      </c>
      <c r="D21" s="5" t="n">
        <v>59.798262</v>
      </c>
      <c r="E21" s="5" t="n">
        <v>107.706759</v>
      </c>
      <c r="F21" s="5" t="n">
        <v>154.922431</v>
      </c>
      <c r="G21" s="5" t="n">
        <v>205.830523</v>
      </c>
      <c r="H21" s="5" t="n">
        <v>253.578158</v>
      </c>
      <c r="I21" s="5" t="n">
        <v>284.696866</v>
      </c>
      <c r="J21" s="5" t="n">
        <v>308.899555</v>
      </c>
      <c r="K21" s="5" t="n">
        <v>333.420704</v>
      </c>
    </row>
    <row r="22" customFormat="false" ht="15" hidden="false" customHeight="false" outlineLevel="0" collapsed="false">
      <c r="A22" s="6" t="s">
        <v>20</v>
      </c>
      <c r="B22" s="7" t="n">
        <f aca="false">SUM(B5:B21)</f>
        <v>6829.793097</v>
      </c>
      <c r="C22" s="7" t="n">
        <f aca="false">SUM(C5:C21)</f>
        <v>30662.680914</v>
      </c>
      <c r="D22" s="7" t="n">
        <f aca="false">SUM(D5:D21)</f>
        <v>61483.057999</v>
      </c>
      <c r="E22" s="7" t="n">
        <f aca="false">SUM(E5:E21)</f>
        <v>114050.795434</v>
      </c>
      <c r="F22" s="7" t="n">
        <f aca="false">SUM(F5:F21)</f>
        <v>167870.395798</v>
      </c>
      <c r="G22" s="7" t="n">
        <f aca="false">SUM(G5:G21)</f>
        <v>228490.108109</v>
      </c>
      <c r="H22" s="7" t="n">
        <f aca="false">SUM(H5:H21)</f>
        <v>283777.782174</v>
      </c>
      <c r="I22" s="7" t="n">
        <f aca="false">SUM(I5:I21)</f>
        <v>322612.238225</v>
      </c>
      <c r="J22" s="7" t="n">
        <f aca="false">SUM(J5:J21)</f>
        <v>347003.715485</v>
      </c>
      <c r="K22" s="7" t="n">
        <f aca="false">SUM(K5:K21)</f>
        <v>371907.689582</v>
      </c>
    </row>
    <row r="24" customFormat="false" ht="15" hidden="false" customHeight="false" outlineLevel="0" collapsed="false">
      <c r="A24" s="1" t="s">
        <v>21</v>
      </c>
    </row>
    <row r="25" customFormat="false" ht="15" hidden="false" customHeight="false" outlineLevel="0" collapsed="false">
      <c r="A25" s="3" t="s">
        <v>22</v>
      </c>
      <c r="B25" s="3" t="s">
        <v>23</v>
      </c>
      <c r="C25" s="3" t="s">
        <v>24</v>
      </c>
    </row>
    <row r="26" customFormat="false" ht="15" hidden="false" customHeight="false" outlineLevel="0" collapsed="false">
      <c r="A26" s="4" t="s">
        <v>25</v>
      </c>
      <c r="B26" s="8" t="n">
        <v>0.0521797399</v>
      </c>
      <c r="C26" s="9" t="s">
        <v>26</v>
      </c>
    </row>
    <row r="27" customFormat="false" ht="15" hidden="false" customHeight="false" outlineLevel="0" collapsed="false">
      <c r="A27" s="4" t="s">
        <v>27</v>
      </c>
      <c r="B27" s="8" t="n">
        <v>0.0798836162</v>
      </c>
      <c r="C27" s="9" t="s">
        <v>26</v>
      </c>
    </row>
    <row r="28" customFormat="false" ht="15" hidden="false" customHeight="false" outlineLevel="0" collapsed="false">
      <c r="A28" s="4" t="s">
        <v>28</v>
      </c>
      <c r="B28" s="8" t="n">
        <v>0.059817286</v>
      </c>
      <c r="C28" s="9" t="s">
        <v>29</v>
      </c>
    </row>
    <row r="29" customFormat="false" ht="15" hidden="false" customHeight="false" outlineLevel="0" collapsed="false">
      <c r="A29" s="4" t="s">
        <v>30</v>
      </c>
      <c r="B29" s="8" t="n">
        <v>0.0637650712</v>
      </c>
      <c r="C29" s="9" t="s">
        <v>26</v>
      </c>
    </row>
    <row r="30" customFormat="false" ht="15" hidden="false" customHeight="false" outlineLevel="0" collapsed="false">
      <c r="A30" s="4" t="s">
        <v>31</v>
      </c>
      <c r="B30" s="8" t="n">
        <v>0.0676801452</v>
      </c>
      <c r="C30" s="9" t="s">
        <v>29</v>
      </c>
    </row>
    <row r="31" customFormat="false" ht="15" hidden="false" customHeight="false" outlineLevel="0" collapsed="false">
      <c r="A31" s="4" t="s">
        <v>32</v>
      </c>
      <c r="B31" s="8" t="n">
        <v>0.0932172985</v>
      </c>
      <c r="C31" s="9" t="s">
        <v>29</v>
      </c>
    </row>
    <row r="32" customFormat="false" ht="15" hidden="false" customHeight="false" outlineLevel="0" collapsed="false">
      <c r="A32" s="4" t="s">
        <v>33</v>
      </c>
      <c r="B32" s="8" t="n">
        <v>0.0675217758</v>
      </c>
      <c r="C32" s="9" t="s">
        <v>29</v>
      </c>
    </row>
    <row r="33" customFormat="false" ht="15" hidden="false" customHeight="false" outlineLevel="0" collapsed="false">
      <c r="A33" s="4" t="s">
        <v>34</v>
      </c>
      <c r="B33" s="8" t="n">
        <v>0.0533558834</v>
      </c>
      <c r="C33" s="9" t="s">
        <v>26</v>
      </c>
    </row>
    <row r="34" customFormat="false" ht="15" hidden="false" customHeight="false" outlineLevel="0" collapsed="false">
      <c r="A34" s="4" t="s">
        <v>35</v>
      </c>
      <c r="B34" s="8" t="n">
        <v>0.0885682049</v>
      </c>
      <c r="C34" s="9" t="s">
        <v>26</v>
      </c>
    </row>
    <row r="35" customFormat="false" ht="15" hidden="false" customHeight="false" outlineLevel="0" collapsed="false">
      <c r="A35" s="4" t="s">
        <v>36</v>
      </c>
      <c r="B35" s="8" t="n">
        <v>0.0471361107</v>
      </c>
      <c r="C35" s="9" t="s">
        <v>26</v>
      </c>
    </row>
    <row r="36" customFormat="false" ht="15" hidden="false" customHeight="false" outlineLevel="0" collapsed="false">
      <c r="A36" s="4" t="s">
        <v>37</v>
      </c>
      <c r="B36" s="8" t="n">
        <v>0.0848900664</v>
      </c>
      <c r="C36" s="9" t="s">
        <v>26</v>
      </c>
    </row>
    <row r="37" customFormat="false" ht="15" hidden="false" customHeight="false" outlineLevel="0" collapsed="false">
      <c r="A37" s="4" t="s">
        <v>38</v>
      </c>
      <c r="B37" s="8" t="n">
        <v>0.0672643024</v>
      </c>
      <c r="C37" s="9" t="s">
        <v>26</v>
      </c>
    </row>
    <row r="38" customFormat="false" ht="15" hidden="false" customHeight="false" outlineLevel="0" collapsed="false">
      <c r="A38" s="4" t="s">
        <v>39</v>
      </c>
      <c r="B38" s="8" t="n">
        <v>0.0174767438</v>
      </c>
      <c r="C38" s="9" t="s">
        <v>26</v>
      </c>
    </row>
    <row r="39" customFormat="false" ht="15" hidden="false" customHeight="false" outlineLevel="0" collapsed="false">
      <c r="A39" s="4" t="s">
        <v>40</v>
      </c>
      <c r="B39" s="8" t="n">
        <v>0.1572437555</v>
      </c>
      <c r="C39" s="9" t="s">
        <v>26</v>
      </c>
    </row>
    <row r="41" customFormat="false" ht="15" hidden="false" customHeight="false" outlineLevel="0" collapsed="false">
      <c r="A41" s="6" t="s">
        <v>41</v>
      </c>
      <c r="B41" s="10" t="n">
        <f aca="false">SUMIF($C$26:$C$39,"Comercial",$B$26:$B$39)</f>
        <v>0.7117634944</v>
      </c>
    </row>
    <row r="42" customFormat="false" ht="15" hidden="false" customHeight="false" outlineLevel="0" collapsed="false">
      <c r="A42" s="6" t="s">
        <v>42</v>
      </c>
      <c r="B42" s="10" t="n">
        <f aca="false">SUMIF($C$26:$C$39,"Industrial",$B$26:$B$39)</f>
        <v>0.2882365055</v>
      </c>
    </row>
    <row r="43" customFormat="false" ht="15" hidden="false" customHeight="false" outlineLevel="0" collapsed="false">
      <c r="A43" s="4" t="s">
        <v>43</v>
      </c>
      <c r="B43" s="11" t="n">
        <f aca="false">B41+B42</f>
        <v>0.9999999999</v>
      </c>
    </row>
    <row r="45" customFormat="false" ht="15" hidden="false" customHeight="false" outlineLevel="0" collapsed="false">
      <c r="A45" s="1" t="s">
        <v>44</v>
      </c>
    </row>
    <row r="46" customFormat="false" ht="15" hidden="false" customHeight="true" outlineLevel="0" collapsed="false">
      <c r="A46" s="3" t="s">
        <v>45</v>
      </c>
      <c r="B46" s="3" t="s">
        <v>46</v>
      </c>
      <c r="C46" s="3" t="s">
        <v>47</v>
      </c>
      <c r="D46" s="3"/>
      <c r="E46" s="3"/>
      <c r="F46" s="3"/>
      <c r="G46" s="3"/>
      <c r="H46" s="3"/>
      <c r="I46" s="3"/>
      <c r="J46" s="3"/>
      <c r="K46" s="3"/>
      <c r="L46" s="3"/>
    </row>
    <row r="47" customFormat="false" ht="15" hidden="false" customHeight="true" outlineLevel="0" collapsed="false">
      <c r="A47" s="4" t="s">
        <v>48</v>
      </c>
      <c r="B47" s="8" t="n">
        <v>0.05</v>
      </c>
      <c r="C47" s="4" t="s">
        <v>49</v>
      </c>
      <c r="D47" s="4"/>
      <c r="E47" s="4"/>
      <c r="F47" s="4"/>
      <c r="G47" s="4"/>
      <c r="H47" s="4"/>
      <c r="I47" s="4"/>
      <c r="J47" s="4"/>
      <c r="K47" s="4"/>
      <c r="L47" s="4"/>
    </row>
    <row r="48" customFormat="false" ht="15" hidden="false" customHeight="true" outlineLevel="0" collapsed="false">
      <c r="A48" s="4" t="s">
        <v>50</v>
      </c>
      <c r="B48" s="8" t="n">
        <v>0.02</v>
      </c>
      <c r="C48" s="4" t="s">
        <v>51</v>
      </c>
      <c r="D48" s="4"/>
      <c r="E48" s="4"/>
      <c r="F48" s="4"/>
      <c r="G48" s="4"/>
      <c r="H48" s="4"/>
      <c r="I48" s="4"/>
      <c r="J48" s="4"/>
      <c r="K48" s="4"/>
      <c r="L48" s="4"/>
    </row>
    <row r="49" customFormat="false" ht="15" hidden="false" customHeight="true" outlineLevel="0" collapsed="false">
      <c r="A49" s="4" t="s">
        <v>52</v>
      </c>
      <c r="B49" s="8" t="n">
        <v>0.01</v>
      </c>
      <c r="C49" s="4" t="s">
        <v>53</v>
      </c>
      <c r="D49" s="4"/>
      <c r="E49" s="4"/>
      <c r="F49" s="4"/>
      <c r="G49" s="4"/>
      <c r="H49" s="4"/>
      <c r="I49" s="4"/>
      <c r="J49" s="4"/>
      <c r="K49" s="4"/>
      <c r="L49" s="4"/>
    </row>
    <row r="50" customFormat="false" ht="15" hidden="false" customHeight="true" outlineLevel="0" collapsed="false">
      <c r="A50" s="4" t="s">
        <v>54</v>
      </c>
      <c r="B50" s="8" t="n">
        <v>0.0330204131377009</v>
      </c>
      <c r="C50" s="4" t="s">
        <v>55</v>
      </c>
      <c r="D50" s="4"/>
      <c r="E50" s="4"/>
      <c r="F50" s="4"/>
      <c r="G50" s="4"/>
      <c r="H50" s="4"/>
      <c r="I50" s="4"/>
      <c r="J50" s="4"/>
      <c r="K50" s="4"/>
      <c r="L50" s="4"/>
    </row>
    <row r="52" customFormat="false" ht="15" hidden="false" customHeight="false" outlineLevel="0" collapsed="false">
      <c r="A52" s="6" t="s">
        <v>56</v>
      </c>
      <c r="B52" s="9" t="s">
        <v>29</v>
      </c>
    </row>
    <row r="53" customFormat="false" ht="15" hidden="false" customHeight="false" outlineLevel="0" collapsed="false">
      <c r="A53" s="6" t="s">
        <v>57</v>
      </c>
      <c r="B53" s="10" t="n">
        <f aca="false">IF(B52="Comercial",B41,B42)</f>
        <v>0.2882365055</v>
      </c>
    </row>
  </sheetData>
  <mergeCells count="5">
    <mergeCell ref="C46:L46"/>
    <mergeCell ref="C47:L47"/>
    <mergeCell ref="C48:L48"/>
    <mergeCell ref="C49:L49"/>
    <mergeCell ref="C50:L50"/>
  </mergeCells>
  <dataValidations count="2">
    <dataValidation allowBlank="false" errorStyle="stop" operator="between" showDropDown="false" showErrorMessage="false" showInputMessage="false" sqref="C26:C39" type="list">
      <formula1>"Comercial,Industrial"</formula1>
      <formula2>0</formula2>
    </dataValidation>
    <dataValidation allowBlank="false" errorStyle="stop" operator="between" showDropDown="false" showErrorMessage="false" showInputMessage="false" sqref="B52" type="list">
      <formula1>"Comercial,Industrial"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11" min="2" style="0" width="11"/>
  </cols>
  <sheetData>
    <row r="1" customFormat="false" ht="15" hidden="false" customHeight="false" outlineLevel="0" collapsed="false">
      <c r="A1" s="3" t="s">
        <v>58</v>
      </c>
      <c r="B1" s="3" t="n">
        <f aca="false">PROY_Indexado!B4</f>
        <v>2026</v>
      </c>
      <c r="C1" s="3" t="n">
        <f aca="false">PROY_Indexado!C4</f>
        <v>2027</v>
      </c>
      <c r="D1" s="3" t="n">
        <f aca="false">PROY_Indexado!D4</f>
        <v>2028</v>
      </c>
      <c r="E1" s="3" t="n">
        <f aca="false">PROY_Indexado!E4</f>
        <v>2029</v>
      </c>
      <c r="F1" s="3" t="n">
        <f aca="false">PROY_Indexado!F4</f>
        <v>2030</v>
      </c>
      <c r="G1" s="3" t="n">
        <f aca="false">PROY_Indexado!G4</f>
        <v>2031</v>
      </c>
      <c r="H1" s="3" t="n">
        <f aca="false">PROY_Indexado!H4</f>
        <v>2032</v>
      </c>
      <c r="I1" s="3" t="n">
        <f aca="false">PROY_Indexado!I4</f>
        <v>2033</v>
      </c>
      <c r="J1" s="3" t="n">
        <f aca="false">PROY_Indexado!J4</f>
        <v>2034</v>
      </c>
      <c r="K1" s="3" t="n">
        <f aca="false">PROY_Indexado!K4</f>
        <v>2035</v>
      </c>
    </row>
    <row r="2" customFormat="false" ht="15" hidden="false" customHeight="false" outlineLevel="0" collapsed="false">
      <c r="A2" s="12" t="str">
        <f aca="false">PROY_Indexado!A5</f>
        <v>ABC 1 kg</v>
      </c>
      <c r="B2" s="13" t="n">
        <f aca="false">PROY_Indexado!B5*PROY_Indexado!$B$53</f>
        <v>1002.33729536048</v>
      </c>
      <c r="C2" s="13" t="n">
        <f aca="false">PROY_Indexado!C5*PROY_Indexado!$B$53</f>
        <v>4891.54230116208</v>
      </c>
      <c r="D2" s="13" t="n">
        <f aca="false">PROY_Indexado!D5*PROY_Indexado!$B$53</f>
        <v>8804.49809705261</v>
      </c>
      <c r="E2" s="13" t="n">
        <f aca="false">PROY_Indexado!E5*PROY_Indexado!$B$53</f>
        <v>16155.1693191114</v>
      </c>
      <c r="F2" s="13" t="n">
        <f aca="false">PROY_Indexado!F5*PROY_Indexado!$B$53</f>
        <v>24289.755497406</v>
      </c>
      <c r="G2" s="13" t="n">
        <f aca="false">PROY_Indexado!G5*PROY_Indexado!$B$53</f>
        <v>33841.2206487062</v>
      </c>
      <c r="H2" s="13" t="n">
        <f aca="false">PROY_Indexado!H5*PROY_Indexado!$B$53</f>
        <v>42546.7737799779</v>
      </c>
      <c r="I2" s="13" t="n">
        <f aca="false">PROY_Indexado!I5*PROY_Indexado!$B$53</f>
        <v>49404.9939556295</v>
      </c>
      <c r="J2" s="13" t="n">
        <f aca="false">PROY_Indexado!J5*PROY_Indexado!$B$53</f>
        <v>52946.3268371571</v>
      </c>
      <c r="K2" s="13" t="n">
        <f aca="false">PROY_Indexado!K5*PROY_Indexado!$B$53</f>
        <v>56575.8368575054</v>
      </c>
    </row>
    <row r="3" customFormat="false" ht="15" hidden="false" customHeight="false" outlineLevel="0" collapsed="false">
      <c r="A3" s="12" t="str">
        <f aca="false">PROY_Indexado!A6</f>
        <v>ABC 2,5 kg</v>
      </c>
      <c r="B3" s="13" t="n">
        <f aca="false">PROY_Indexado!B6*PROY_Indexado!$B$53</f>
        <v>95.1170864109637</v>
      </c>
      <c r="C3" s="13" t="n">
        <f aca="false">PROY_Indexado!C6*PROY_Indexado!$B$53</f>
        <v>371.079719409453</v>
      </c>
      <c r="D3" s="13" t="n">
        <f aca="false">PROY_Indexado!D6*PROY_Indexado!$B$53</f>
        <v>849.481755937015</v>
      </c>
      <c r="E3" s="13" t="n">
        <f aca="false">PROY_Indexado!E6*PROY_Indexado!$B$53</f>
        <v>1563.98375054836</v>
      </c>
      <c r="F3" s="13" t="n">
        <f aca="false">PROY_Indexado!F6*PROY_Indexado!$B$53</f>
        <v>2262.90900743594</v>
      </c>
      <c r="G3" s="13" t="n">
        <f aca="false">PROY_Indexado!G6*PROY_Indexado!$B$53</f>
        <v>3004.56109120492</v>
      </c>
      <c r="H3" s="13" t="n">
        <f aca="false">PROY_Indexado!H6*PROY_Indexado!$B$53</f>
        <v>3692.27957526984</v>
      </c>
      <c r="I3" s="13" t="n">
        <f aca="false">PROY_Indexado!I6*PROY_Indexado!$B$53</f>
        <v>4111.13696738219</v>
      </c>
      <c r="J3" s="13" t="n">
        <f aca="false">PROY_Indexado!J6*PROY_Indexado!$B$53</f>
        <v>4448.31646963558</v>
      </c>
      <c r="K3" s="13" t="n">
        <f aca="false">PROY_Indexado!K6*PROY_Indexado!$B$53</f>
        <v>4790.71011839089</v>
      </c>
    </row>
    <row r="4" customFormat="false" ht="15" hidden="false" customHeight="false" outlineLevel="0" collapsed="false">
      <c r="A4" s="12" t="str">
        <f aca="false">PROY_Indexado!A7</f>
        <v>ABC 5 kg</v>
      </c>
      <c r="B4" s="13" t="n">
        <f aca="false">PROY_Indexado!B7*PROY_Indexado!$B$53</f>
        <v>562.174778867108</v>
      </c>
      <c r="C4" s="13" t="n">
        <f aca="false">PROY_Indexado!C7*PROY_Indexado!$B$53</f>
        <v>2263.41132122938</v>
      </c>
      <c r="D4" s="13" t="n">
        <f aca="false">PROY_Indexado!D7*PROY_Indexado!$B$53</f>
        <v>5123.65090683008</v>
      </c>
      <c r="E4" s="13" t="n">
        <f aca="false">PROY_Indexado!E7*PROY_Indexado!$B$53</f>
        <v>9686.3515865454</v>
      </c>
      <c r="F4" s="13" t="n">
        <f aca="false">PROY_Indexado!F7*PROY_Indexado!$B$53</f>
        <v>13952.8293613136</v>
      </c>
      <c r="G4" s="13" t="n">
        <f aca="false">PROY_Indexado!G7*PROY_Indexado!$B$53</f>
        <v>18540.2490682695</v>
      </c>
      <c r="H4" s="13" t="n">
        <f aca="false">PROY_Indexado!H7*PROY_Indexado!$B$53</f>
        <v>22690.2948855283</v>
      </c>
      <c r="I4" s="13" t="n">
        <f aca="false">PROY_Indexado!I7*PROY_Indexado!$B$53</f>
        <v>25144.9492517373</v>
      </c>
      <c r="J4" s="13" t="n">
        <f aca="false">PROY_Indexado!J7*PROY_Indexado!$B$53</f>
        <v>27124.1123066399</v>
      </c>
      <c r="K4" s="13" t="n">
        <f aca="false">PROY_Indexado!K7*PROY_Indexado!$B$53</f>
        <v>29139.3203107948</v>
      </c>
    </row>
    <row r="5" customFormat="false" ht="15" hidden="false" customHeight="false" outlineLevel="0" collapsed="false">
      <c r="A5" s="12" t="str">
        <f aca="false">PROY_Indexado!A8</f>
        <v>ABC 10 kg</v>
      </c>
      <c r="B5" s="13" t="n">
        <f aca="false">PROY_Indexado!B8*PROY_Indexado!$B$53</f>
        <v>34.110954935858</v>
      </c>
      <c r="C5" s="13" t="n">
        <f aca="false">PROY_Indexado!C8*PROY_Indexado!$B$53</f>
        <v>126.165896842138</v>
      </c>
      <c r="D5" s="13" t="n">
        <f aca="false">PROY_Indexado!D8*PROY_Indexado!$B$53</f>
        <v>295.435160630528</v>
      </c>
      <c r="E5" s="13" t="n">
        <f aca="false">PROY_Indexado!E8*PROY_Indexado!$B$53</f>
        <v>565.061687970617</v>
      </c>
      <c r="F5" s="13" t="n">
        <f aca="false">PROY_Indexado!F8*PROY_Indexado!$B$53</f>
        <v>820.026184319452</v>
      </c>
      <c r="G5" s="13" t="n">
        <f aca="false">PROY_Indexado!G8*PROY_Indexado!$B$53</f>
        <v>1098.29367747525</v>
      </c>
      <c r="H5" s="13" t="n">
        <f aca="false">PROY_Indexado!H8*PROY_Indexado!$B$53</f>
        <v>1344.24226967378</v>
      </c>
      <c r="I5" s="13" t="n">
        <f aca="false">PROY_Indexado!I8*PROY_Indexado!$B$53</f>
        <v>1488.60163629595</v>
      </c>
      <c r="J5" s="13" t="n">
        <f aca="false">PROY_Indexado!J8*PROY_Indexado!$B$53</f>
        <v>1605.92246734107</v>
      </c>
      <c r="K5" s="13" t="n">
        <f aca="false">PROY_Indexado!K8*PROY_Indexado!$B$53</f>
        <v>1725.36955653994</v>
      </c>
    </row>
    <row r="6" customFormat="false" ht="15" hidden="false" customHeight="false" outlineLevel="0" collapsed="false">
      <c r="A6" s="12" t="str">
        <f aca="false">PROY_Indexado!A9</f>
        <v>Agua 10 l</v>
      </c>
      <c r="B6" s="13" t="n">
        <f aca="false">PROY_Indexado!B9*PROY_Indexado!$B$53</f>
        <v>45.9185933602621</v>
      </c>
      <c r="C6" s="13" t="n">
        <f aca="false">PROY_Indexado!C9*PROY_Indexado!$B$53</f>
        <v>185.458153302513</v>
      </c>
      <c r="D6" s="13" t="n">
        <f aca="false">PROY_Indexado!D9*PROY_Indexado!$B$53</f>
        <v>424.965164305242</v>
      </c>
      <c r="E6" s="13" t="n">
        <f aca="false">PROY_Indexado!E9*PROY_Indexado!$B$53</f>
        <v>797.392227965464</v>
      </c>
      <c r="F6" s="13" t="n">
        <f aca="false">PROY_Indexado!F9*PROY_Indexado!$B$53</f>
        <v>1150.48598712583</v>
      </c>
      <c r="G6" s="13" t="n">
        <f aca="false">PROY_Indexado!G9*PROY_Indexado!$B$53</f>
        <v>1537.95960022863</v>
      </c>
      <c r="H6" s="13" t="n">
        <f aca="false">PROY_Indexado!H9*PROY_Indexado!$B$53</f>
        <v>1884.76665919705</v>
      </c>
      <c r="I6" s="13" t="n">
        <f aca="false">PROY_Indexado!I9*PROY_Indexado!$B$53</f>
        <v>2095.42742046657</v>
      </c>
      <c r="J6" s="13" t="n">
        <f aca="false">PROY_Indexado!J9*PROY_Indexado!$B$53</f>
        <v>2264.22497541366</v>
      </c>
      <c r="K6" s="13" t="n">
        <f aca="false">PROY_Indexado!K9*PROY_Indexado!$B$53</f>
        <v>2435.83311933763</v>
      </c>
    </row>
    <row r="7" customFormat="false" ht="15" hidden="false" customHeight="false" outlineLevel="0" collapsed="false">
      <c r="A7" s="12" t="str">
        <f aca="false">PROY_Indexado!A10</f>
        <v>AFFF 10 l</v>
      </c>
      <c r="B7" s="13" t="n">
        <f aca="false">PROY_Indexado!B10*PROY_Indexado!$B$53</f>
        <v>6.55979909264265</v>
      </c>
      <c r="C7" s="13" t="n">
        <f aca="false">PROY_Indexado!C10*PROY_Indexado!$B$53</f>
        <v>46.4970883503481</v>
      </c>
      <c r="D7" s="13" t="n">
        <f aca="false">PROY_Indexado!D10*PROY_Indexado!$B$53</f>
        <v>91.257774850114</v>
      </c>
      <c r="E7" s="13" t="n">
        <f aca="false">PROY_Indexado!E10*PROY_Indexado!$B$53</f>
        <v>152.0143822883</v>
      </c>
      <c r="F7" s="13" t="n">
        <f aca="false">PROY_Indexado!F10*PROY_Indexado!$B$53</f>
        <v>214.387126624568</v>
      </c>
      <c r="G7" s="13" t="n">
        <f aca="false">PROY_Indexado!G10*PROY_Indexado!$B$53</f>
        <v>277.535533556036</v>
      </c>
      <c r="H7" s="13" t="n">
        <f aca="false">PROY_Indexado!H10*PROY_Indexado!$B$53</f>
        <v>344.425966020138</v>
      </c>
      <c r="I7" s="13" t="n">
        <f aca="false">PROY_Indexado!I10*PROY_Indexado!$B$53</f>
        <v>389.585413601674</v>
      </c>
      <c r="J7" s="13" t="n">
        <f aca="false">PROY_Indexado!J10*PROY_Indexado!$B$53</f>
        <v>425.883520111909</v>
      </c>
      <c r="K7" s="13" t="n">
        <f aca="false">PROY_Indexado!K10*PROY_Indexado!$B$53</f>
        <v>462.458588756731</v>
      </c>
    </row>
    <row r="8" customFormat="false" ht="15" hidden="false" customHeight="false" outlineLevel="0" collapsed="false">
      <c r="A8" s="12" t="str">
        <f aca="false">PROY_Indexado!A11</f>
        <v>AFFF 50 l s/ruedas</v>
      </c>
      <c r="B8" s="13" t="n">
        <f aca="false">PROY_Indexado!B11*PROY_Indexado!$B$53</f>
        <v>3.27989940220307</v>
      </c>
      <c r="C8" s="13" t="n">
        <f aca="false">PROY_Indexado!C11*PROY_Indexado!$B$53</f>
        <v>23.9880565802094</v>
      </c>
      <c r="D8" s="13" t="n">
        <f aca="false">PROY_Indexado!D11*PROY_Indexado!$B$53</f>
        <v>47.4044807932921</v>
      </c>
      <c r="E8" s="13" t="n">
        <f aca="false">PROY_Indexado!E11*PROY_Indexado!$B$53</f>
        <v>81.0927884881688</v>
      </c>
      <c r="F8" s="13" t="n">
        <f aca="false">PROY_Indexado!F11*PROY_Indexado!$B$53</f>
        <v>114.978265229342</v>
      </c>
      <c r="G8" s="13" t="n">
        <f aca="false">PROY_Indexado!G11*PROY_Indexado!$B$53</f>
        <v>148.305546324566</v>
      </c>
      <c r="H8" s="13" t="n">
        <f aca="false">PROY_Indexado!H11*PROY_Indexado!$B$53</f>
        <v>181.319642891793</v>
      </c>
      <c r="I8" s="13" t="n">
        <f aca="false">PROY_Indexado!I11*PROY_Indexado!$B$53</f>
        <v>204.987468426155</v>
      </c>
      <c r="J8" s="13" t="n">
        <f aca="false">PROY_Indexado!J11*PROY_Indexado!$B$53</f>
        <v>222.92527819053</v>
      </c>
      <c r="K8" s="13" t="n">
        <f aca="false">PROY_Indexado!K11*PROY_Indexado!$B$53</f>
        <v>241.066833405312</v>
      </c>
    </row>
    <row r="9" customFormat="false" ht="15" hidden="false" customHeight="false" outlineLevel="0" collapsed="false">
      <c r="A9" s="12" t="str">
        <f aca="false">PROY_Indexado!A12</f>
        <v>BC 5 kg</v>
      </c>
      <c r="B9" s="13" t="n">
        <f aca="false">PROY_Indexado!B12*PROY_Indexado!$B$53</f>
        <v>1.96793964132184</v>
      </c>
      <c r="C9" s="13" t="n">
        <f aca="false">PROY_Indexado!C12*PROY_Indexado!$B$53</f>
        <v>13.5681893058901</v>
      </c>
      <c r="D9" s="13" t="n">
        <f aca="false">PROY_Indexado!D12*PROY_Indexado!$B$53</f>
        <v>25.6212495852672</v>
      </c>
      <c r="E9" s="13" t="n">
        <f aca="false">PROY_Indexado!E12*PROY_Indexado!$B$53</f>
        <v>45.9744406243852</v>
      </c>
      <c r="F9" s="13" t="n">
        <f aca="false">PROY_Indexado!F12*PROY_Indexado!$B$53</f>
        <v>63.3532891866521</v>
      </c>
      <c r="G9" s="13" t="n">
        <f aca="false">PROY_Indexado!G12*PROY_Indexado!$B$53</f>
        <v>84.1275464895187</v>
      </c>
      <c r="H9" s="13" t="n">
        <f aca="false">PROY_Indexado!H12*PROY_Indexado!$B$53</f>
        <v>106.314354346611</v>
      </c>
      <c r="I9" s="13" t="n">
        <f aca="false">PROY_Indexado!I12*PROY_Indexado!$B$53</f>
        <v>117.718369427634</v>
      </c>
      <c r="J9" s="13" t="n">
        <f aca="false">PROY_Indexado!J12*PROY_Indexado!$B$53</f>
        <v>128.490629753557</v>
      </c>
      <c r="K9" s="13" t="n">
        <f aca="false">PROY_Indexado!K12*PROY_Indexado!$B$53</f>
        <v>139.356355954645</v>
      </c>
    </row>
    <row r="10" customFormat="false" ht="15" hidden="false" customHeight="false" outlineLevel="0" collapsed="false">
      <c r="A10" s="12" t="str">
        <f aca="false">PROY_Indexado!A13</f>
        <v>Sales K 6 l</v>
      </c>
      <c r="B10" s="13" t="n">
        <f aca="false">PROY_Indexado!B13*PROY_Indexado!$B$53</f>
        <v>23.6152765605716</v>
      </c>
      <c r="C10" s="13" t="n">
        <f aca="false">PROY_Indexado!C13*PROY_Indexado!$B$53</f>
        <v>96.6741939139012</v>
      </c>
      <c r="D10" s="13" t="n">
        <f aca="false">PROY_Indexado!D13*PROY_Indexado!$B$53</f>
        <v>215.196899992539</v>
      </c>
      <c r="E10" s="13" t="n">
        <f aca="false">PROY_Indexado!E13*PROY_Indexado!$B$53</f>
        <v>391.6845403414</v>
      </c>
      <c r="F10" s="13" t="n">
        <f aca="false">PROY_Indexado!F13*PROY_Indexado!$B$53</f>
        <v>565.267967308143</v>
      </c>
      <c r="G10" s="13" t="n">
        <f aca="false">PROY_Indexado!G13*PROY_Indexado!$B$53</f>
        <v>748.994495991916</v>
      </c>
      <c r="H10" s="13" t="n">
        <f aca="false">PROY_Indexado!H13*PROY_Indexado!$B$53</f>
        <v>921.56805177326</v>
      </c>
      <c r="I10" s="13" t="n">
        <f aca="false">PROY_Indexado!I13*PROY_Indexado!$B$53</f>
        <v>1031.46570643837</v>
      </c>
      <c r="J10" s="13" t="n">
        <f aca="false">PROY_Indexado!J13*PROY_Indexado!$B$53</f>
        <v>1115.6908763264</v>
      </c>
      <c r="K10" s="13" t="n">
        <f aca="false">PROY_Indexado!K13*PROY_Indexado!$B$53</f>
        <v>1201.24282190818</v>
      </c>
    </row>
    <row r="11" customFormat="false" ht="15" hidden="false" customHeight="false" outlineLevel="0" collapsed="false">
      <c r="A11" s="12" t="str">
        <f aca="false">PROY_Indexado!A14</f>
        <v>CO₂ 2 kg</v>
      </c>
      <c r="B11" s="13" t="n">
        <f aca="false">PROY_Indexado!B14*PROY_Indexado!$B$53</f>
        <v>129.884021227262</v>
      </c>
      <c r="C11" s="13" t="n">
        <f aca="false">PROY_Indexado!C14*PROY_Indexado!$B$53</f>
        <v>489.189661876883</v>
      </c>
      <c r="D11" s="13" t="n">
        <f aca="false">PROY_Indexado!D14*PROY_Indexado!$B$53</f>
        <v>1140.0321209145</v>
      </c>
      <c r="E11" s="13" t="n">
        <f aca="false">PROY_Indexado!E14*PROY_Indexado!$B$53</f>
        <v>2179.43125469498</v>
      </c>
      <c r="F11" s="13" t="n">
        <f aca="false">PROY_Indexado!F14*PROY_Indexado!$B$53</f>
        <v>3147.58437958836</v>
      </c>
      <c r="G11" s="13" t="n">
        <f aca="false">PROY_Indexado!G14*PROY_Indexado!$B$53</f>
        <v>4183.7197935464</v>
      </c>
      <c r="H11" s="13" t="n">
        <f aca="false">PROY_Indexado!H14*PROY_Indexado!$B$53</f>
        <v>5115.1889344431</v>
      </c>
      <c r="I11" s="13" t="n">
        <f aca="false">PROY_Indexado!I14*PROY_Indexado!$B$53</f>
        <v>5654.39474946592</v>
      </c>
      <c r="J11" s="13" t="n">
        <f aca="false">PROY_Indexado!J14*PROY_Indexado!$B$53</f>
        <v>6099.60508356806</v>
      </c>
      <c r="K11" s="13" t="n">
        <f aca="false">PROY_Indexado!K14*PROY_Indexado!$B$53</f>
        <v>6552.91332717418</v>
      </c>
    </row>
    <row r="12" customFormat="false" ht="15" hidden="false" customHeight="false" outlineLevel="0" collapsed="false">
      <c r="A12" s="12" t="str">
        <f aca="false">PROY_Indexado!A15</f>
        <v>CO₂ 5 kg</v>
      </c>
      <c r="B12" s="13" t="n">
        <f aca="false">PROY_Indexado!B15*PROY_Indexado!$B$53</f>
        <v>36.0788948654163</v>
      </c>
      <c r="C12" s="13" t="n">
        <f aca="false">PROY_Indexado!C15*PROY_Indexado!$B$53</f>
        <v>185.517768970709</v>
      </c>
      <c r="D12" s="13" t="n">
        <f aca="false">PROY_Indexado!D15*PROY_Indexado!$B$53</f>
        <v>396.505838356991</v>
      </c>
      <c r="E12" s="13" t="n">
        <f aca="false">PROY_Indexado!E15*PROY_Indexado!$B$53</f>
        <v>709.143739080236</v>
      </c>
      <c r="F12" s="13" t="n">
        <f aca="false">PROY_Indexado!F15*PROY_Indexado!$B$53</f>
        <v>1021.87268564495</v>
      </c>
      <c r="G12" s="13" t="n">
        <f aca="false">PROY_Indexado!G15*PROY_Indexado!$B$53</f>
        <v>1361.47411848296</v>
      </c>
      <c r="H12" s="13" t="n">
        <f aca="false">PROY_Indexado!H15*PROY_Indexado!$B$53</f>
        <v>1687.30917203508</v>
      </c>
      <c r="I12" s="13" t="n">
        <f aca="false">PROY_Indexado!I15*PROY_Indexado!$B$53</f>
        <v>1904.79939090701</v>
      </c>
      <c r="J12" s="13" t="n">
        <f aca="false">PROY_Indexado!J15*PROY_Indexado!$B$53</f>
        <v>2071.18347789329</v>
      </c>
      <c r="K12" s="13" t="n">
        <f aca="false">PROY_Indexado!K15*PROY_Indexado!$B$53</f>
        <v>2239.47576029921</v>
      </c>
    </row>
    <row r="13" customFormat="false" ht="15" hidden="false" customHeight="false" outlineLevel="0" collapsed="false">
      <c r="A13" s="12" t="str">
        <f aca="false">PROY_Indexado!A16</f>
        <v>HCFC/HFC 5 kg</v>
      </c>
      <c r="B13" s="13" t="n">
        <f aca="false">PROY_Indexado!B16*PROY_Indexado!$B$53</f>
        <v>5.24783933176142</v>
      </c>
      <c r="C13" s="13" t="n">
        <f aca="false">PROY_Indexado!C16*PROY_Indexado!$B$53</f>
        <v>32.3041415187662</v>
      </c>
      <c r="D13" s="13" t="n">
        <f aca="false">PROY_Indexado!D16*PROY_Indexado!$B$53</f>
        <v>66.5405620583937</v>
      </c>
      <c r="E13" s="13" t="n">
        <f aca="false">PROY_Indexado!E16*PROY_Indexado!$B$53</f>
        <v>115.500787572425</v>
      </c>
      <c r="F13" s="13" t="n">
        <f aca="false">PROY_Indexado!F16*PROY_Indexado!$B$53</f>
        <v>165.594117483891</v>
      </c>
      <c r="G13" s="13" t="n">
        <f aca="false">PROY_Indexado!G16*PROY_Indexado!$B$53</f>
        <v>217.42994631274</v>
      </c>
      <c r="H13" s="13" t="n">
        <f aca="false">PROY_Indexado!H16*PROY_Indexado!$B$53</f>
        <v>272.339927867329</v>
      </c>
      <c r="I13" s="13" t="n">
        <f aca="false">PROY_Indexado!I16*PROY_Indexado!$B$53</f>
        <v>309.057174644982</v>
      </c>
      <c r="J13" s="13" t="n">
        <f aca="false">PROY_Indexado!J16*PROY_Indexado!$B$53</f>
        <v>337.725489353911</v>
      </c>
      <c r="K13" s="13" t="n">
        <f aca="false">PROY_Indexado!K16*PROY_Indexado!$B$53</f>
        <v>366.61985757759</v>
      </c>
    </row>
    <row r="14" customFormat="false" ht="15" hidden="false" customHeight="false" outlineLevel="0" collapsed="false">
      <c r="A14" s="12" t="str">
        <f aca="false">PROY_Indexado!A17</f>
        <v>Clase D 9 l</v>
      </c>
      <c r="B14" s="13" t="n">
        <f aca="false">PROY_Indexado!B17*PROY_Indexado!$B$53</f>
        <v>1.96793964132184</v>
      </c>
      <c r="C14" s="13" t="n">
        <f aca="false">PROY_Indexado!C17*PROY_Indexado!$B$53</f>
        <v>13.5681893058901</v>
      </c>
      <c r="D14" s="13" t="n">
        <f aca="false">PROY_Indexado!D17*PROY_Indexado!$B$53</f>
        <v>25.6212495852672</v>
      </c>
      <c r="E14" s="13" t="n">
        <f aca="false">PROY_Indexado!E17*PROY_Indexado!$B$53</f>
        <v>42.7394732580785</v>
      </c>
      <c r="F14" s="13" t="n">
        <f aca="false">PROY_Indexado!F17*PROY_Indexado!$B$53</f>
        <v>59.1536403542778</v>
      </c>
      <c r="G14" s="13" t="n">
        <f aca="false">PROY_Indexado!G17*PROY_Indexado!$B$53</f>
        <v>73.7208516235008</v>
      </c>
      <c r="H14" s="13" t="n">
        <f aca="false">PROY_Indexado!H17*PROY_Indexado!$B$53</f>
        <v>94.6620284161215</v>
      </c>
      <c r="I14" s="13" t="n">
        <f aca="false">PROY_Indexado!I17*PROY_Indexado!$B$53</f>
        <v>105.756300224786</v>
      </c>
      <c r="J14" s="13" t="n">
        <f aca="false">PROY_Indexado!J17*PROY_Indexado!$B$53</f>
        <v>115.779331548955</v>
      </c>
      <c r="K14" s="13" t="n">
        <f aca="false">PROY_Indexado!K17*PROY_Indexado!$B$53</f>
        <v>125.86907204172</v>
      </c>
    </row>
    <row r="15" customFormat="false" ht="15" hidden="false" customHeight="false" outlineLevel="0" collapsed="false">
      <c r="A15" s="12" t="str">
        <f aca="false">PROY_Indexado!A18</f>
        <v>ABC 25 kg s/ruedas</v>
      </c>
      <c r="B15" s="13" t="n">
        <f aca="false">PROY_Indexado!B18*PROY_Indexado!$B$53</f>
        <v>5.08384428959214</v>
      </c>
      <c r="C15" s="13" t="n">
        <f aca="false">PROY_Indexado!C18*PROY_Indexado!$B$53</f>
        <v>24.7848284641265</v>
      </c>
      <c r="D15" s="13" t="n">
        <f aca="false">PROY_Indexado!D18*PROY_Indexado!$B$53</f>
        <v>53.8626309763781</v>
      </c>
      <c r="E15" s="13" t="n">
        <f aca="false">PROY_Indexado!E18*PROY_Indexado!$B$53</f>
        <v>97.0156867255764</v>
      </c>
      <c r="F15" s="13" t="n">
        <f aca="false">PROY_Indexado!F18*PROY_Indexado!$B$53</f>
        <v>139.544688246156</v>
      </c>
      <c r="G15" s="13" t="n">
        <f aca="false">PROY_Indexado!G18*PROY_Indexado!$B$53</f>
        <v>185.399596038765</v>
      </c>
      <c r="H15" s="13" t="n">
        <f aca="false">PROY_Indexado!H18*PROY_Indexado!$B$53</f>
        <v>228.407756161358</v>
      </c>
      <c r="I15" s="13" t="n">
        <f aca="false">PROY_Indexado!I18*PROY_Indexado!$B$53</f>
        <v>256.437593286933</v>
      </c>
      <c r="J15" s="13" t="n">
        <f aca="false">PROY_Indexado!J18*PROY_Indexado!$B$53</f>
        <v>278.237901066726</v>
      </c>
      <c r="K15" s="13" t="n">
        <f aca="false">PROY_Indexado!K18*PROY_Indexado!$B$53</f>
        <v>300.325058646191</v>
      </c>
    </row>
    <row r="16" customFormat="false" ht="15" hidden="false" customHeight="false" outlineLevel="0" collapsed="false">
      <c r="A16" s="12" t="str">
        <f aca="false">PROY_Indexado!A19</f>
        <v>ABC 50 kg s/ruedas</v>
      </c>
      <c r="B16" s="13" t="n">
        <f aca="false">PROY_Indexado!B19*PROY_Indexado!$B$53</f>
        <v>11.1844572641608</v>
      </c>
      <c r="C16" s="13" t="n">
        <f aca="false">PROY_Indexado!C19*PROY_Indexado!$B$53</f>
        <v>54.5266229669621</v>
      </c>
      <c r="D16" s="13" t="n">
        <f aca="false">PROY_Indexado!D19*PROY_Indexado!$B$53</f>
        <v>118.497788320974</v>
      </c>
      <c r="E16" s="13" t="n">
        <f aca="false">PROY_Indexado!E19*PROY_Indexado!$B$53</f>
        <v>213.434510738621</v>
      </c>
      <c r="F16" s="13" t="n">
        <f aca="false">PROY_Indexado!F19*PROY_Indexado!$B$53</f>
        <v>306.998313968602</v>
      </c>
      <c r="G16" s="13" t="n">
        <f aca="false">PROY_Indexado!G19*PROY_Indexado!$B$53</f>
        <v>407.879111573519</v>
      </c>
      <c r="H16" s="13" t="n">
        <f aca="false">PROY_Indexado!H19*PROY_Indexado!$B$53</f>
        <v>502.497063727929</v>
      </c>
      <c r="I16" s="13" t="n">
        <f aca="false">PROY_Indexado!I19*PROY_Indexado!$B$53</f>
        <v>564.162705115958</v>
      </c>
      <c r="J16" s="13" t="n">
        <f aca="false">PROY_Indexado!J19*PROY_Indexado!$B$53</f>
        <v>612.123382058561</v>
      </c>
      <c r="K16" s="13" t="n">
        <f aca="false">PROY_Indexado!K19*PROY_Indexado!$B$53</f>
        <v>660.71512861809</v>
      </c>
    </row>
    <row r="17" customFormat="false" ht="15" hidden="false" customHeight="false" outlineLevel="0" collapsed="false">
      <c r="A17" s="12" t="str">
        <f aca="false">PROY_Indexado!A20</f>
        <v>ABC 70 kg s/ruedas</v>
      </c>
      <c r="B17" s="13" t="n">
        <f aca="false">PROY_Indexado!B20*PROY_Indexado!$B$53</f>
        <v>2.44024513218017</v>
      </c>
      <c r="C17" s="13" t="n">
        <f aca="false">PROY_Indexado!C20*PROY_Indexado!$B$53</f>
        <v>11.8967176281923</v>
      </c>
      <c r="D17" s="13" t="n">
        <f aca="false">PROY_Indexado!D20*PROY_Indexado!$B$53</f>
        <v>25.8540628225437</v>
      </c>
      <c r="E17" s="13" t="n">
        <f aca="false">PROY_Indexado!E20*PROY_Indexado!$B$53</f>
        <v>46.5675296052178</v>
      </c>
      <c r="F17" s="13" t="n">
        <f aca="false">PROY_Indexado!F20*PROY_Indexado!$B$53</f>
        <v>66.9814503466256</v>
      </c>
      <c r="G17" s="13" t="n">
        <f aca="false">PROY_Indexado!G20*PROY_Indexado!$B$53</f>
        <v>88.9918061562543</v>
      </c>
      <c r="H17" s="13" t="n">
        <f aca="false">PROY_Indexado!H20*PROY_Indexado!$B$53</f>
        <v>109.635722911334</v>
      </c>
      <c r="I17" s="13" t="n">
        <f aca="false">PROY_Indexado!I20*PROY_Indexado!$B$53</f>
        <v>123.090044673963</v>
      </c>
      <c r="J17" s="13" t="n">
        <f aca="false">PROY_Indexado!J20*PROY_Indexado!$B$53</f>
        <v>133.554192569676</v>
      </c>
      <c r="K17" s="13" t="n">
        <f aca="false">PROY_Indexado!K20*PROY_Indexado!$B$53</f>
        <v>144.156028161701</v>
      </c>
    </row>
    <row r="18" customFormat="false" ht="15" hidden="false" customHeight="false" outlineLevel="0" collapsed="false">
      <c r="A18" s="12" t="str">
        <f aca="false">PROY_Indexado!A21</f>
        <v>ABC 100 kg s/ruedas</v>
      </c>
      <c r="B18" s="13" t="n">
        <f aca="false">PROY_Indexado!B21*PROY_Indexado!$B$53</f>
        <v>1.62683018419895</v>
      </c>
      <c r="C18" s="13" t="n">
        <f aca="false">PROY_Indexado!C21*PROY_Indexado!$B$53</f>
        <v>7.93114508546156</v>
      </c>
      <c r="D18" s="13" t="n">
        <f aca="false">PROY_Indexado!D21*PROY_Indexado!$B$53</f>
        <v>17.2360420738534</v>
      </c>
      <c r="E18" s="13" t="n">
        <f aca="false">PROY_Indexado!E21*PROY_Indexado!$B$53</f>
        <v>31.0450198328907</v>
      </c>
      <c r="F18" s="13" t="n">
        <f aca="false">PROY_Indexado!F21*PROY_Indexado!$B$53</f>
        <v>44.6543001350049</v>
      </c>
      <c r="G18" s="13" t="n">
        <f aca="false">PROY_Indexado!G21*PROY_Indexado!$B$53</f>
        <v>59.3278706747574</v>
      </c>
      <c r="H18" s="13" t="n">
        <f aca="false">PROY_Indexado!H21*PROY_Indexado!$B$53</f>
        <v>73.0904821330469</v>
      </c>
      <c r="I18" s="13" t="n">
        <f aca="false">PROY_Indexado!I21*PROY_Indexado!$B$53</f>
        <v>82.0600297826418</v>
      </c>
      <c r="J18" s="13" t="n">
        <f aca="false">PROY_Indexado!J21*PROY_Indexado!$B$53</f>
        <v>89.0361282837051</v>
      </c>
      <c r="K18" s="13" t="n">
        <f aca="false">PROY_Indexado!K21*PROY_Indexado!$B$53</f>
        <v>96.1040185823099</v>
      </c>
    </row>
    <row r="19" customFormat="false" ht="15" hidden="false" customHeight="false" outlineLevel="0" collapsed="false">
      <c r="A19" s="6" t="s">
        <v>59</v>
      </c>
      <c r="B19" s="7" t="n">
        <f aca="false">SUM(B2:B18)</f>
        <v>1968.5956955673</v>
      </c>
      <c r="C19" s="7" t="n">
        <f aca="false">SUM(C2:C18)</f>
        <v>8838.10399591291</v>
      </c>
      <c r="D19" s="7" t="n">
        <f aca="false">SUM(D2:D18)</f>
        <v>17721.6617850856</v>
      </c>
      <c r="E19" s="7" t="n">
        <f aca="false">SUM(E2:E18)</f>
        <v>32873.6027253915</v>
      </c>
      <c r="F19" s="7" t="n">
        <f aca="false">SUM(F2:F18)</f>
        <v>48386.3762617174</v>
      </c>
      <c r="G19" s="7" t="n">
        <f aca="false">SUM(G2:G18)</f>
        <v>65859.1903026554</v>
      </c>
      <c r="H19" s="7" t="n">
        <f aca="false">SUM(H2:H18)</f>
        <v>81795.116272374</v>
      </c>
      <c r="I19" s="7" t="n">
        <f aca="false">SUM(I2:I18)</f>
        <v>92988.6241775075</v>
      </c>
      <c r="J19" s="7" t="n">
        <f aca="false">SUM(J2:J18)</f>
        <v>100019.138346913</v>
      </c>
      <c r="K19" s="7" t="n">
        <f aca="false">SUM(K2:K18)</f>
        <v>107197.372813694</v>
      </c>
    </row>
    <row r="21" customFormat="false" ht="15" hidden="false" customHeight="false" outlineLevel="0" collapsed="false">
      <c r="A21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12" min="4" style="0" width="10"/>
    <col collapsed="false" customWidth="true" hidden="false" outlineLevel="0" max="13" min="13" style="0" width="11"/>
    <col collapsed="false" customWidth="true" hidden="false" outlineLevel="0" max="14" min="14" style="0" width="10"/>
    <col collapsed="false" customWidth="true" hidden="false" outlineLevel="0" max="15" min="15" style="0" width="11"/>
    <col collapsed="false" customWidth="true" hidden="false" outlineLevel="0" max="16" min="16" style="0" width="70"/>
    <col collapsed="false" customWidth="true" hidden="false" outlineLevel="0" max="17" min="17" style="0" width="60"/>
    <col collapsed="false" customWidth="true" hidden="false" outlineLevel="0" max="18" min="18" style="0" width="8"/>
  </cols>
  <sheetData>
    <row r="1" customFormat="false" ht="15" hidden="false" customHeight="true" outlineLevel="0" collapsed="false">
      <c r="A1" s="3" t="s">
        <v>61</v>
      </c>
      <c r="B1" s="3" t="s">
        <v>46</v>
      </c>
      <c r="C1" s="3" t="s">
        <v>62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customFormat="false" ht="15" hidden="false" customHeight="true" outlineLevel="0" collapsed="false">
      <c r="A2" s="4" t="s">
        <v>63</v>
      </c>
      <c r="B2" s="14" t="n">
        <v>20</v>
      </c>
      <c r="C2" s="4" t="s">
        <v>64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</row>
    <row r="3" customFormat="false" ht="15" hidden="false" customHeight="true" outlineLevel="0" collapsed="false">
      <c r="A3" s="4" t="s">
        <v>65</v>
      </c>
      <c r="B3" s="14" t="n">
        <v>8</v>
      </c>
      <c r="C3" s="4" t="s">
        <v>66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</row>
    <row r="4" customFormat="false" ht="15" hidden="false" customHeight="true" outlineLevel="0" collapsed="false">
      <c r="A4" s="4" t="s">
        <v>67</v>
      </c>
      <c r="B4" s="14" t="n">
        <v>30</v>
      </c>
      <c r="C4" s="4" t="s">
        <v>68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5" customFormat="false" ht="15" hidden="false" customHeight="false" outlineLevel="0" collapsed="false">
      <c r="A5" s="4" t="s">
        <v>69</v>
      </c>
      <c r="B5" s="15" t="n">
        <f aca="false">B3-B4/60</f>
        <v>7.5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</row>
    <row r="6" customFormat="false" ht="15" hidden="false" customHeight="false" outlineLevel="0" collapsed="false">
      <c r="A6" s="4" t="s">
        <v>70</v>
      </c>
      <c r="B6" s="16" t="n">
        <f aca="false">B2*B5</f>
        <v>150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</row>
    <row r="7" customFormat="false" ht="15" hidden="false" customHeight="true" outlineLevel="0" collapsed="false">
      <c r="A7" s="4" t="s">
        <v>71</v>
      </c>
      <c r="B7" s="17" t="n">
        <v>0.9</v>
      </c>
      <c r="C7" s="4" t="s">
        <v>72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</row>
    <row r="8" customFormat="false" ht="15" hidden="false" customHeight="true" outlineLevel="0" collapsed="false">
      <c r="A8" s="4" t="s">
        <v>73</v>
      </c>
      <c r="B8" s="14" t="n">
        <v>2</v>
      </c>
      <c r="C8" s="4" t="s">
        <v>74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customFormat="false" ht="15" hidden="false" customHeight="true" outlineLevel="0" collapsed="false">
      <c r="A9" s="4" t="s">
        <v>75</v>
      </c>
      <c r="B9" s="14" t="n">
        <v>3</v>
      </c>
      <c r="C9" s="4" t="s">
        <v>76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1" customFormat="false" ht="15" hidden="false" customHeight="false" outlineLevel="0" collapsed="false">
      <c r="A11" s="1" t="s">
        <v>77</v>
      </c>
    </row>
    <row r="12" customFormat="false" ht="15" hidden="false" customHeight="true" outlineLevel="0" collapsed="false">
      <c r="A12" s="3" t="s">
        <v>61</v>
      </c>
      <c r="B12" s="3" t="s">
        <v>46</v>
      </c>
      <c r="C12" s="3" t="s">
        <v>62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customFormat="false" ht="15" hidden="false" customHeight="true" outlineLevel="0" collapsed="false">
      <c r="A13" s="4" t="s">
        <v>78</v>
      </c>
      <c r="B13" s="14" t="n">
        <v>5</v>
      </c>
      <c r="C13" s="4" t="s">
        <v>79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customFormat="false" ht="15" hidden="false" customHeight="true" outlineLevel="0" collapsed="false">
      <c r="A14" s="4" t="s">
        <v>80</v>
      </c>
      <c r="B14" s="14" t="n">
        <v>2</v>
      </c>
      <c r="C14" s="4" t="s">
        <v>81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</row>
    <row r="15" customFormat="false" ht="15" hidden="false" customHeight="true" outlineLevel="0" collapsed="false">
      <c r="A15" s="4" t="s">
        <v>82</v>
      </c>
      <c r="B15" s="10" t="n">
        <f aca="false">1/B13</f>
        <v>0.2</v>
      </c>
      <c r="C15" s="4" t="s">
        <v>83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customFormat="false" ht="15" hidden="false" customHeight="true" outlineLevel="0" collapsed="false">
      <c r="A16" s="4" t="s">
        <v>84</v>
      </c>
      <c r="B16" s="10" t="n">
        <f aca="false">1/B14</f>
        <v>0.5</v>
      </c>
      <c r="C16" s="4" t="s">
        <v>85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</row>
    <row r="17" customFormat="false" ht="15" hidden="false" customHeight="true" outlineLevel="0" collapsed="false">
      <c r="A17" s="4" t="s">
        <v>86</v>
      </c>
      <c r="B17" s="14" t="n">
        <v>30</v>
      </c>
      <c r="C17" s="4" t="s">
        <v>87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</row>
    <row r="18" customFormat="false" ht="15" hidden="false" customHeight="true" outlineLevel="0" collapsed="false">
      <c r="A18" s="4" t="s">
        <v>88</v>
      </c>
      <c r="B18" s="14" t="n">
        <v>20</v>
      </c>
      <c r="C18" s="4" t="s">
        <v>89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</row>
    <row r="19" customFormat="false" ht="15" hidden="false" customHeight="true" outlineLevel="0" collapsed="false">
      <c r="A19" s="4" t="s">
        <v>90</v>
      </c>
      <c r="B19" s="10" t="n">
        <f aca="false">1/B17</f>
        <v>0.0333333333333333</v>
      </c>
      <c r="C19" s="4" t="s">
        <v>91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customFormat="false" ht="15" hidden="false" customHeight="true" outlineLevel="0" collapsed="false">
      <c r="A20" s="4" t="s">
        <v>92</v>
      </c>
      <c r="B20" s="10" t="n">
        <f aca="false">1/B18</f>
        <v>0.05</v>
      </c>
      <c r="C20" s="4" t="s">
        <v>93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customFormat="false" ht="15" hidden="false" customHeight="true" outlineLevel="0" collapsed="false">
      <c r="A21" s="4" t="s">
        <v>94</v>
      </c>
      <c r="B21" s="10" t="n">
        <f aca="false">PROY_Indexado!B48</f>
        <v>0.02</v>
      </c>
      <c r="C21" s="4" t="s">
        <v>95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customFormat="false" ht="15" hidden="false" customHeight="true" outlineLevel="0" collapsed="false">
      <c r="A22" s="4" t="s">
        <v>96</v>
      </c>
      <c r="B22" s="10" t="n">
        <f aca="false">PROY_Indexado!B49</f>
        <v>0.01</v>
      </c>
      <c r="C22" s="4" t="s">
        <v>97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customFormat="false" ht="15" hidden="false" customHeight="true" outlineLevel="0" collapsed="false">
      <c r="A23" s="4" t="s">
        <v>98</v>
      </c>
      <c r="B23" s="10" t="n">
        <f aca="false">B19+B21+B22</f>
        <v>0.0633333333333333</v>
      </c>
      <c r="C23" s="4" t="s">
        <v>99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</row>
    <row r="24" customFormat="false" ht="15" hidden="false" customHeight="true" outlineLevel="0" collapsed="false">
      <c r="A24" s="4" t="s">
        <v>100</v>
      </c>
      <c r="B24" s="10" t="n">
        <f aca="false">B20+B21+B22</f>
        <v>0.08</v>
      </c>
      <c r="C24" s="4" t="s">
        <v>99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</row>
    <row r="25" customFormat="false" ht="15" hidden="false" customHeight="true" outlineLevel="0" collapsed="false">
      <c r="A25" s="4" t="s">
        <v>101</v>
      </c>
      <c r="B25" s="10" t="n">
        <f aca="false">PROY_Indexado!B47</f>
        <v>0.05</v>
      </c>
      <c r="C25" s="4" t="s">
        <v>102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customFormat="false" ht="15" hidden="false" customHeight="true" outlineLevel="0" collapsed="false">
      <c r="A26" s="4" t="s">
        <v>103</v>
      </c>
      <c r="B26" s="14" t="n">
        <v>10</v>
      </c>
      <c r="C26" s="4" t="s">
        <v>104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15" hidden="false" customHeight="true" outlineLevel="0" collapsed="false">
      <c r="A27" s="4" t="s">
        <v>105</v>
      </c>
      <c r="B27" s="10" t="n">
        <f aca="false">1/B26</f>
        <v>0.1</v>
      </c>
      <c r="C27" s="4" t="s">
        <v>106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15" hidden="false" customHeight="true" outlineLevel="0" collapsed="false">
      <c r="A28" s="4" t="s">
        <v>107</v>
      </c>
      <c r="B28" s="17" t="n">
        <v>1</v>
      </c>
      <c r="C28" s="4" t="s">
        <v>108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15" hidden="false" customHeight="true" outlineLevel="0" collapsed="false">
      <c r="A29" s="4" t="s">
        <v>109</v>
      </c>
      <c r="B29" s="8" t="n">
        <v>0.05</v>
      </c>
      <c r="C29" s="4" t="s">
        <v>110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customFormat="false" ht="15" hidden="false" customHeight="true" outlineLevel="0" collapsed="false">
      <c r="A30" s="4" t="s">
        <v>111</v>
      </c>
      <c r="B30" s="8" t="n">
        <v>0.1</v>
      </c>
      <c r="C30" s="4" t="s">
        <v>112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customFormat="false" ht="15" hidden="false" customHeight="true" outlineLevel="0" collapsed="false">
      <c r="A31" s="4" t="s">
        <v>113</v>
      </c>
      <c r="B31" s="8" t="n">
        <v>0.01</v>
      </c>
      <c r="C31" s="4" t="s">
        <v>114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customFormat="false" ht="15" hidden="false" customHeight="true" outlineLevel="0" collapsed="false">
      <c r="A32" s="4" t="s">
        <v>115</v>
      </c>
      <c r="B32" s="18" t="n">
        <v>0.001</v>
      </c>
      <c r="C32" s="4" t="s">
        <v>116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4" customFormat="false" ht="15" hidden="false" customHeight="false" outlineLevel="0" collapsed="false">
      <c r="A34" s="1" t="s">
        <v>117</v>
      </c>
    </row>
    <row r="35" customFormat="false" ht="15" hidden="false" customHeight="false" outlineLevel="0" collapsed="false">
      <c r="A35" s="2" t="s">
        <v>118</v>
      </c>
    </row>
    <row r="36" customFormat="false" ht="23.85" hidden="false" customHeight="false" outlineLevel="0" collapsed="false">
      <c r="A36" s="3" t="s">
        <v>119</v>
      </c>
      <c r="B36" s="3" t="s">
        <v>120</v>
      </c>
      <c r="C36" s="3" t="s">
        <v>121</v>
      </c>
      <c r="D36" s="3" t="s">
        <v>122</v>
      </c>
      <c r="E36" s="3" t="s">
        <v>123</v>
      </c>
      <c r="F36" s="3" t="s">
        <v>124</v>
      </c>
      <c r="G36" s="3" t="s">
        <v>125</v>
      </c>
      <c r="H36" s="3" t="s">
        <v>126</v>
      </c>
      <c r="I36" s="3" t="s">
        <v>127</v>
      </c>
      <c r="J36" s="3" t="s">
        <v>128</v>
      </c>
      <c r="K36" s="3" t="s">
        <v>129</v>
      </c>
      <c r="L36" s="3" t="s">
        <v>130</v>
      </c>
      <c r="M36" s="3" t="s">
        <v>131</v>
      </c>
      <c r="N36" s="3" t="s">
        <v>132</v>
      </c>
      <c r="O36" s="3" t="s">
        <v>133</v>
      </c>
      <c r="P36" s="3" t="s">
        <v>134</v>
      </c>
      <c r="Q36" s="3" t="s">
        <v>135</v>
      </c>
      <c r="R36" s="3" t="s">
        <v>136</v>
      </c>
    </row>
    <row r="37" customFormat="false" ht="15" hidden="false" customHeight="false" outlineLevel="0" collapsed="false">
      <c r="A37" s="19" t="n">
        <v>2026</v>
      </c>
      <c r="B37" s="13" t="n">
        <f aca="false">datos_base!B19</f>
        <v>1968.5956955673</v>
      </c>
      <c r="C37" s="13" t="n">
        <f aca="false">datos_base!C19</f>
        <v>8838.10399591291</v>
      </c>
      <c r="D37" s="20" t="n">
        <f aca="false">IF(B37&gt;0,C37/B37,1)</f>
        <v>4.48954755708026</v>
      </c>
      <c r="E37" s="21" t="n">
        <f aca="false">D37^(1/12)</f>
        <v>1.13331389819629</v>
      </c>
      <c r="F37" s="11" t="n">
        <f aca="false">IF(ABS($E37-1)&lt;0.000000001,1/12,$E37^0*($E37-1)/($E37^12-1))</f>
        <v>0.0382037774283359</v>
      </c>
      <c r="G37" s="11" t="n">
        <f aca="false">IF(ABS($E37-1)&lt;0.000000001,1/12,$E37^1*($E37-1)/($E37^12-1))</f>
        <v>0.0432968719231306</v>
      </c>
      <c r="H37" s="11" t="n">
        <f aca="false">IF(ABS($E37-1)&lt;0.000000001,1/12,$E37^2*($E37-1)/($E37^12-1))</f>
        <v>0.0490689466989086</v>
      </c>
      <c r="I37" s="11" t="n">
        <f aca="false">IF(ABS($E37-1)&lt;0.000000001,1/12,$E37^3*($E37-1)/($E37^12-1))</f>
        <v>0.0556105192637259</v>
      </c>
      <c r="J37" s="11" t="n">
        <f aca="false">IF(ABS($E37-1)&lt;0.000000001,1/12,$E37^4*($E37-1)/($E37^12-1))</f>
        <v>0.063024174367493</v>
      </c>
      <c r="K37" s="11" t="n">
        <f aca="false">IF(ABS($E37-1)&lt;0.000000001,1/12,$E37^5*($E37-1)/($E37^12-1))</f>
        <v>0.071426172733026</v>
      </c>
      <c r="L37" s="11" t="n">
        <f aca="false">IF(ABS($E37-1)&lt;0.000000001,1/12,$E37^6*($E37-1)/($E37^12-1))</f>
        <v>0.080948274253307</v>
      </c>
      <c r="M37" s="11" t="n">
        <f aca="false">IF(ABS($E37-1)&lt;0.000000001,1/12,$E37^7*($E37-1)/($E37^12-1))</f>
        <v>0.0917398042462776</v>
      </c>
      <c r="N37" s="11" t="n">
        <f aca="false">IF(ABS($E37-1)&lt;0.000000001,1/12,$E37^8*($E37-1)/($E37^12-1))</f>
        <v>0.103969995170113</v>
      </c>
      <c r="O37" s="11" t="n">
        <f aca="false">IF(ABS($E37-1)&lt;0.000000001,1/12,$E37^9*($E37-1)/($E37^12-1))</f>
        <v>0.11783064052169</v>
      </c>
      <c r="P37" s="11" t="n">
        <f aca="false">IF(ABS($E37-1)&lt;0.000000001,1/12,$E37^10*($E37-1)/($E37^12-1))</f>
        <v>0.133539102536602</v>
      </c>
      <c r="Q37" s="11" t="n">
        <f aca="false">IF(ABS($E37-1)&lt;0.000000001,1/12,$E37^11*($E37-1)/($E37^12-1))</f>
        <v>0.15134172085739</v>
      </c>
      <c r="R37" s="10" t="n">
        <f aca="false">SUM(F37:Q37)</f>
        <v>1</v>
      </c>
    </row>
    <row r="38" customFormat="false" ht="15" hidden="false" customHeight="false" outlineLevel="0" collapsed="false">
      <c r="A38" s="19" t="n">
        <v>2027</v>
      </c>
      <c r="B38" s="13" t="n">
        <f aca="false">datos_base!C19</f>
        <v>8838.10399591291</v>
      </c>
      <c r="C38" s="13" t="n">
        <f aca="false">datos_base!D19</f>
        <v>17721.6617850856</v>
      </c>
      <c r="D38" s="20" t="n">
        <f aca="false">IF(B38&gt;0,C38/B38,1)</f>
        <v>2.0051429348739</v>
      </c>
      <c r="E38" s="21" t="n">
        <f aca="false">D38^(1/12)</f>
        <v>1.05968985845881</v>
      </c>
      <c r="F38" s="11" t="n">
        <f aca="false">IF(ABS($E38-1)&lt;0.000000001,1/12,$E38^0*($E38-1)/($E38^12-1))</f>
        <v>0.0593844481096613</v>
      </c>
      <c r="G38" s="11" t="n">
        <f aca="false">IF(ABS($E38-1)&lt;0.000000001,1/12,$E38^1*($E38-1)/($E38^12-1))</f>
        <v>0.0629290974119816</v>
      </c>
      <c r="H38" s="11" t="n">
        <f aca="false">IF(ABS($E38-1)&lt;0.000000001,1/12,$E38^2*($E38-1)/($E38^12-1))</f>
        <v>0.0666853263294436</v>
      </c>
      <c r="I38" s="11" t="n">
        <f aca="false">IF(ABS($E38-1)&lt;0.000000001,1/12,$E38^3*($E38-1)/($E38^12-1))</f>
        <v>0.0706657640193278</v>
      </c>
      <c r="J38" s="11" t="n">
        <f aca="false">IF(ABS($E38-1)&lt;0.000000001,1/12,$E38^4*($E38-1)/($E38^12-1))</f>
        <v>0.0748837934715252</v>
      </c>
      <c r="K38" s="11" t="n">
        <f aca="false">IF(ABS($E38-1)&lt;0.000000001,1/12,$E38^5*($E38-1)/($E38^12-1))</f>
        <v>0.0793535965046995</v>
      </c>
      <c r="L38" s="11" t="n">
        <f aca="false">IF(ABS($E38-1)&lt;0.000000001,1/12,$E38^6*($E38-1)/($E38^12-1))</f>
        <v>0.0840902014482627</v>
      </c>
      <c r="M38" s="11" t="n">
        <f aca="false">IF(ABS($E38-1)&lt;0.000000001,1/12,$E38^7*($E38-1)/($E38^12-1))</f>
        <v>0.0891095336704824</v>
      </c>
      <c r="N38" s="11" t="n">
        <f aca="false">IF(ABS($E38-1)&lt;0.000000001,1/12,$E38^8*($E38-1)/($E38^12-1))</f>
        <v>0.0944284691226043</v>
      </c>
      <c r="O38" s="11" t="n">
        <f aca="false">IF(ABS($E38-1)&lt;0.000000001,1/12,$E38^9*($E38-1)/($E38^12-1))</f>
        <v>0.100064891079015</v>
      </c>
      <c r="P38" s="11" t="n">
        <f aca="false">IF(ABS($E38-1)&lt;0.000000001,1/12,$E38^10*($E38-1)/($E38^12-1))</f>
        <v>0.106037750264218</v>
      </c>
      <c r="Q38" s="11" t="n">
        <f aca="false">IF(ABS($E38-1)&lt;0.000000001,1/12,$E38^11*($E38-1)/($E38^12-1))</f>
        <v>0.11236712856878</v>
      </c>
      <c r="R38" s="10" t="n">
        <f aca="false">SUM(F38:Q38)</f>
        <v>1</v>
      </c>
    </row>
    <row r="39" customFormat="false" ht="15" hidden="false" customHeight="false" outlineLevel="0" collapsed="false">
      <c r="A39" s="19" t="n">
        <v>2028</v>
      </c>
      <c r="B39" s="13" t="n">
        <f aca="false">datos_base!D19</f>
        <v>17721.6617850856</v>
      </c>
      <c r="C39" s="13" t="n">
        <f aca="false">datos_base!E19</f>
        <v>32873.6027253915</v>
      </c>
      <c r="D39" s="20" t="n">
        <f aca="false">IF(B39&gt;0,C39/B39,1)</f>
        <v>1.85499549218673</v>
      </c>
      <c r="E39" s="21" t="n">
        <f aca="false">D39^(1/12)</f>
        <v>1.05283885666119</v>
      </c>
      <c r="F39" s="11" t="n">
        <f aca="false">IF(ABS($E39-1)&lt;0.000000001,1/12,$E39^0*($E39-1)/($E39^12-1))</f>
        <v>0.0618001581810152</v>
      </c>
      <c r="G39" s="11" t="n">
        <f aca="false">IF(ABS($E39-1)&lt;0.000000001,1/12,$E39^1*($E39-1)/($E39^12-1))</f>
        <v>0.065065607880781</v>
      </c>
      <c r="H39" s="11" t="n">
        <f aca="false">IF(ABS($E39-1)&lt;0.000000001,1/12,$E39^2*($E39-1)/($E39^12-1))</f>
        <v>0.0685036002091671</v>
      </c>
      <c r="I39" s="11" t="n">
        <f aca="false">IF(ABS($E39-1)&lt;0.000000001,1/12,$E39^3*($E39-1)/($E39^12-1))</f>
        <v>0.0721232521213951</v>
      </c>
      <c r="J39" s="11" t="n">
        <f aca="false">IF(ABS($E39-1)&lt;0.000000001,1/12,$E39^4*($E39-1)/($E39^12-1))</f>
        <v>0.0759341623021766</v>
      </c>
      <c r="K39" s="11" t="n">
        <f aca="false">IF(ABS($E39-1)&lt;0.000000001,1/12,$E39^5*($E39-1)/($E39^12-1))</f>
        <v>0.0799464366197492</v>
      </c>
      <c r="L39" s="11" t="n">
        <f aca="false">IF(ABS($E39-1)&lt;0.000000001,1/12,$E39^6*($E39-1)/($E39^12-1))</f>
        <v>0.0841707149248734</v>
      </c>
      <c r="M39" s="11" t="n">
        <f aca="false">IF(ABS($E39-1)&lt;0.000000001,1/12,$E39^7*($E39-1)/($E39^12-1))</f>
        <v>0.0886181992658591</v>
      </c>
      <c r="N39" s="11" t="n">
        <f aca="false">IF(ABS($E39-1)&lt;0.000000001,1/12,$E39^8*($E39-1)/($E39^12-1))</f>
        <v>0.093300683594441</v>
      </c>
      <c r="O39" s="11" t="n">
        <f aca="false">IF(ABS($E39-1)&lt;0.000000001,1/12,$E39^9*($E39-1)/($E39^12-1))</f>
        <v>0.0982305850412791</v>
      </c>
      <c r="P39" s="11" t="n">
        <f aca="false">IF(ABS($E39-1)&lt;0.000000001,1/12,$E39^10*($E39-1)/($E39^12-1))</f>
        <v>0.103420976844021</v>
      </c>
      <c r="Q39" s="11" t="n">
        <f aca="false">IF(ABS($E39-1)&lt;0.000000001,1/12,$E39^11*($E39-1)/($E39^12-1))</f>
        <v>0.108885623015243</v>
      </c>
      <c r="R39" s="10" t="n">
        <f aca="false">SUM(F39:Q39)</f>
        <v>1</v>
      </c>
    </row>
    <row r="40" customFormat="false" ht="15" hidden="false" customHeight="false" outlineLevel="0" collapsed="false">
      <c r="A40" s="19" t="n">
        <v>2029</v>
      </c>
      <c r="B40" s="13" t="n">
        <f aca="false">datos_base!E19</f>
        <v>32873.6027253915</v>
      </c>
      <c r="C40" s="13" t="n">
        <f aca="false">datos_base!F19</f>
        <v>48386.3762617174</v>
      </c>
      <c r="D40" s="20" t="n">
        <f aca="false">IF(B40&gt;0,C40/B40,1)</f>
        <v>1.47189149500623</v>
      </c>
      <c r="E40" s="21" t="n">
        <f aca="false">D40^(1/12)</f>
        <v>1.03273679271127</v>
      </c>
      <c r="F40" s="11" t="n">
        <f aca="false">IF(ABS($E40-1)&lt;0.000000001,1/12,$E40^0*($E40-1)/($E40^12-1))</f>
        <v>0.0693735595104109</v>
      </c>
      <c r="G40" s="11" t="n">
        <f aca="false">IF(ABS($E40-1)&lt;0.000000001,1/12,$E40^1*($E40-1)/($E40^12-1))</f>
        <v>0.0716446273477462</v>
      </c>
      <c r="H40" s="11" t="n">
        <f aca="false">IF(ABS($E40-1)&lt;0.000000001,1/12,$E40^2*($E40-1)/($E40^12-1))</f>
        <v>0.0739900426621057</v>
      </c>
      <c r="I40" s="11" t="n">
        <f aca="false">IF(ABS($E40-1)&lt;0.000000001,1/12,$E40^3*($E40-1)/($E40^12-1))</f>
        <v>0.0764122393514332</v>
      </c>
      <c r="J40" s="11" t="n">
        <f aca="false">IF(ABS($E40-1)&lt;0.000000001,1/12,$E40^4*($E40-1)/($E40^12-1))</f>
        <v>0.0789137309916851</v>
      </c>
      <c r="K40" s="11" t="n">
        <f aca="false">IF(ABS($E40-1)&lt;0.000000001,1/12,$E40^5*($E40-1)/($E40^12-1))</f>
        <v>0.0814971134452329</v>
      </c>
      <c r="L40" s="11" t="n">
        <f aca="false">IF(ABS($E40-1)&lt;0.000000001,1/12,$E40^6*($E40-1)/($E40^12-1))</f>
        <v>0.0841650675546565</v>
      </c>
      <c r="M40" s="11" t="n">
        <f aca="false">IF(ABS($E40-1)&lt;0.000000001,1/12,$E40^7*($E40-1)/($E40^12-1))</f>
        <v>0.0869203619247234</v>
      </c>
      <c r="N40" s="11" t="n">
        <f aca="false">IF(ABS($E40-1)&lt;0.000000001,1/12,$E40^8*($E40-1)/($E40^12-1))</f>
        <v>0.0897658557954418</v>
      </c>
      <c r="O40" s="11" t="n">
        <f aca="false">IF(ABS($E40-1)&lt;0.000000001,1/12,$E40^9*($E40-1)/($E40^12-1))</f>
        <v>0.092704502009167</v>
      </c>
      <c r="P40" s="11" t="n">
        <f aca="false">IF(ABS($E40-1)&lt;0.000000001,1/12,$E40^10*($E40-1)/($E40^12-1))</f>
        <v>0.0957393500748428</v>
      </c>
      <c r="Q40" s="11" t="n">
        <f aca="false">IF(ABS($E40-1)&lt;0.000000001,1/12,$E40^11*($E40-1)/($E40^12-1))</f>
        <v>0.0988735493325547</v>
      </c>
      <c r="R40" s="10" t="n">
        <f aca="false">SUM(F40:Q40)</f>
        <v>1</v>
      </c>
    </row>
    <row r="41" customFormat="false" ht="15" hidden="false" customHeight="false" outlineLevel="0" collapsed="false">
      <c r="A41" s="19" t="n">
        <v>2030</v>
      </c>
      <c r="B41" s="13" t="n">
        <f aca="false">datos_base!F19</f>
        <v>48386.3762617174</v>
      </c>
      <c r="C41" s="13" t="n">
        <f aca="false">datos_base!G19</f>
        <v>65859.1903026554</v>
      </c>
      <c r="D41" s="20" t="n">
        <f aca="false">IF(B41&gt;0,C41/B41,1)</f>
        <v>1.36111020065708</v>
      </c>
      <c r="E41" s="21" t="n">
        <f aca="false">D41^(1/12)</f>
        <v>1.02602460118996</v>
      </c>
      <c r="F41" s="11" t="n">
        <f aca="false">IF(ABS($E41-1)&lt;0.000000001,1/12,$E41^0*($E41-1)/($E41^12-1))</f>
        <v>0.0720683080749448</v>
      </c>
      <c r="G41" s="11" t="n">
        <f aca="false">IF(ABS($E41-1)&lt;0.000000001,1/12,$E41^1*($E41-1)/($E41^12-1))</f>
        <v>0.0739438570510304</v>
      </c>
      <c r="H41" s="11" t="n">
        <f aca="false">IF(ABS($E41-1)&lt;0.000000001,1/12,$E41^2*($E41-1)/($E41^12-1))</f>
        <v>0.0758682164412309</v>
      </c>
      <c r="I41" s="11" t="n">
        <f aca="false">IF(ABS($E41-1)&lt;0.000000001,1/12,$E41^3*($E41-1)/($E41^12-1))</f>
        <v>0.0778426565171075</v>
      </c>
      <c r="J41" s="11" t="n">
        <f aca="false">IF(ABS($E41-1)&lt;0.000000001,1/12,$E41^4*($E41-1)/($E41^12-1))</f>
        <v>0.0798684806085322</v>
      </c>
      <c r="K41" s="11" t="n">
        <f aca="false">IF(ABS($E41-1)&lt;0.000000001,1/12,$E41^5*($E41-1)/($E41^12-1))</f>
        <v>0.0819470259640173</v>
      </c>
      <c r="L41" s="11" t="n">
        <f aca="false">IF(ABS($E41-1)&lt;0.000000001,1/12,$E41^6*($E41-1)/($E41^12-1))</f>
        <v>0.0840796646334342</v>
      </c>
      <c r="M41" s="11" t="n">
        <f aca="false">IF(ABS($E41-1)&lt;0.000000001,1/12,$E41^7*($E41-1)/($E41^12-1))</f>
        <v>0.0862678043737049</v>
      </c>
      <c r="N41" s="11" t="n">
        <f aca="false">IF(ABS($E41-1)&lt;0.000000001,1/12,$E41^8*($E41-1)/($E41^12-1))</f>
        <v>0.088512889578064</v>
      </c>
      <c r="O41" s="11" t="n">
        <f aca="false">IF(ABS($E41-1)&lt;0.000000001,1/12,$E41^9*($E41-1)/($E41^12-1))</f>
        <v>0.0908164022295041</v>
      </c>
      <c r="P41" s="11" t="n">
        <f aca="false">IF(ABS($E41-1)&lt;0.000000001,1/12,$E41^10*($E41-1)/($E41^12-1))</f>
        <v>0.0931798628790339</v>
      </c>
      <c r="Q41" s="11" t="n">
        <f aca="false">IF(ABS($E41-1)&lt;0.000000001,1/12,$E41^11*($E41-1)/($E41^12-1))</f>
        <v>0.0956048316493959</v>
      </c>
      <c r="R41" s="10" t="n">
        <f aca="false">SUM(F41:Q41)</f>
        <v>1</v>
      </c>
    </row>
    <row r="42" customFormat="false" ht="15" hidden="false" customHeight="false" outlineLevel="0" collapsed="false">
      <c r="A42" s="19" t="n">
        <v>2031</v>
      </c>
      <c r="B42" s="13" t="n">
        <f aca="false">datos_base!G19</f>
        <v>65859.1903026554</v>
      </c>
      <c r="C42" s="13" t="n">
        <f aca="false">datos_base!H19</f>
        <v>81795.116272374</v>
      </c>
      <c r="D42" s="20" t="n">
        <f aca="false">IF(B42&gt;0,C42/B42,1)</f>
        <v>1.24196966128015</v>
      </c>
      <c r="E42" s="21" t="n">
        <f aca="false">D42^(1/12)</f>
        <v>1.01822224842803</v>
      </c>
      <c r="F42" s="11" t="n">
        <f aca="false">IF(ABS($E42-1)&lt;0.000000001,1/12,$E42^0*($E42-1)/($E42^12-1))</f>
        <v>0.0753079883305414</v>
      </c>
      <c r="G42" s="11" t="n">
        <f aca="false">IF(ABS($E42-1)&lt;0.000000001,1/12,$E42^1*($E42-1)/($E42^12-1))</f>
        <v>0.0766802692025157</v>
      </c>
      <c r="H42" s="11" t="n">
        <f aca="false">IF(ABS($E42-1)&lt;0.000000001,1/12,$E42^2*($E42-1)/($E42^12-1))</f>
        <v>0.0780775561174523</v>
      </c>
      <c r="I42" s="11" t="n">
        <f aca="false">IF(ABS($E42-1)&lt;0.000000001,1/12,$E42^3*($E42-1)/($E42^12-1))</f>
        <v>0.079500304741678</v>
      </c>
      <c r="J42" s="11" t="n">
        <f aca="false">IF(ABS($E42-1)&lt;0.000000001,1/12,$E42^4*($E42-1)/($E42^12-1))</f>
        <v>0.080948979044785</v>
      </c>
      <c r="K42" s="11" t="n">
        <f aca="false">IF(ABS($E42-1)&lt;0.000000001,1/12,$E42^5*($E42-1)/($E42^12-1))</f>
        <v>0.0824240514509345</v>
      </c>
      <c r="L42" s="11" t="n">
        <f aca="false">IF(ABS($E42-1)&lt;0.000000001,1/12,$E42^6*($E42-1)/($E42^12-1))</f>
        <v>0.0839260029929182</v>
      </c>
      <c r="M42" s="11" t="n">
        <f aca="false">IF(ABS($E42-1)&lt;0.000000001,1/12,$E42^7*($E42-1)/($E42^12-1))</f>
        <v>0.0854553234690268</v>
      </c>
      <c r="N42" s="11" t="n">
        <f aca="false">IF(ABS($E42-1)&lt;0.000000001,1/12,$E42^8*($E42-1)/($E42^12-1))</f>
        <v>0.0870125116027772</v>
      </c>
      <c r="O42" s="11" t="n">
        <f aca="false">IF(ABS($E42-1)&lt;0.000000001,1/12,$E42^9*($E42-1)/($E42^12-1))</f>
        <v>0.0885980752055499</v>
      </c>
      <c r="P42" s="11" t="n">
        <f aca="false">IF(ABS($E42-1)&lt;0.000000001,1/12,$E42^10*($E42-1)/($E42^12-1))</f>
        <v>0.0902125313421908</v>
      </c>
      <c r="Q42" s="11" t="n">
        <f aca="false">IF(ABS($E42-1)&lt;0.000000001,1/12,$E42^11*($E42-1)/($E42^12-1))</f>
        <v>0.0918564064996297</v>
      </c>
      <c r="R42" s="10" t="n">
        <f aca="false">SUM(F42:Q42)</f>
        <v>1</v>
      </c>
    </row>
    <row r="43" customFormat="false" ht="15" hidden="false" customHeight="false" outlineLevel="0" collapsed="false">
      <c r="A43" s="19" t="n">
        <v>2032</v>
      </c>
      <c r="B43" s="13" t="n">
        <f aca="false">datos_base!H19</f>
        <v>81795.116272374</v>
      </c>
      <c r="C43" s="13" t="n">
        <f aca="false">datos_base!I19</f>
        <v>92988.6241775075</v>
      </c>
      <c r="D43" s="20" t="n">
        <f aca="false">IF(B43&gt;0,C43/B43,1)</f>
        <v>1.13684812022101</v>
      </c>
      <c r="E43" s="21" t="n">
        <f aca="false">D43^(1/12)</f>
        <v>1.01074562615561</v>
      </c>
      <c r="F43" s="11" t="n">
        <f aca="false">IF(ABS($E43-1)&lt;0.000000001,1/12,$E43^0*($E43-1)/($E43^12-1))</f>
        <v>0.0785222781156994</v>
      </c>
      <c r="G43" s="11" t="n">
        <f aca="false">IF(ABS($E43-1)&lt;0.000000001,1/12,$E43^1*($E43-1)/($E43^12-1))</f>
        <v>0.0793660491612171</v>
      </c>
      <c r="H43" s="11" t="n">
        <f aca="false">IF(ABS($E43-1)&lt;0.000000001,1/12,$E43^2*($E43-1)/($E43^12-1))</f>
        <v>0.0802188870549509</v>
      </c>
      <c r="I43" s="11" t="n">
        <f aca="false">IF(ABS($E43-1)&lt;0.000000001,1/12,$E43^3*($E43-1)/($E43^12-1))</f>
        <v>0.0810808892258621</v>
      </c>
      <c r="J43" s="11" t="n">
        <f aca="false">IF(ABS($E43-1)&lt;0.000000001,1/12,$E43^4*($E43-1)/($E43^12-1))</f>
        <v>0.0819521541498473</v>
      </c>
      <c r="K43" s="11" t="n">
        <f aca="false">IF(ABS($E43-1)&lt;0.000000001,1/12,$E43^5*($E43-1)/($E43^12-1))</f>
        <v>0.0828327813609881</v>
      </c>
      <c r="L43" s="11" t="n">
        <f aca="false">IF(ABS($E43-1)&lt;0.000000001,1/12,$E43^6*($E43-1)/($E43^12-1))</f>
        <v>0.0837228714629223</v>
      </c>
      <c r="M43" s="11" t="n">
        <f aca="false">IF(ABS($E43-1)&lt;0.000000001,1/12,$E43^7*($E43-1)/($E43^12-1))</f>
        <v>0.0846225261403366</v>
      </c>
      <c r="N43" s="11" t="n">
        <f aca="false">IF(ABS($E43-1)&lt;0.000000001,1/12,$E43^8*($E43-1)/($E43^12-1))</f>
        <v>0.0855318481705836</v>
      </c>
      <c r="O43" s="11" t="n">
        <f aca="false">IF(ABS($E43-1)&lt;0.000000001,1/12,$E43^9*($E43-1)/($E43^12-1))</f>
        <v>0.0864509414354226</v>
      </c>
      <c r="P43" s="11" t="n">
        <f aca="false">IF(ABS($E43-1)&lt;0.000000001,1/12,$E43^10*($E43-1)/($E43^12-1))</f>
        <v>0.0873799109328878</v>
      </c>
      <c r="Q43" s="11" t="n">
        <f aca="false">IF(ABS($E43-1)&lt;0.000000001,1/12,$E43^11*($E43-1)/($E43^12-1))</f>
        <v>0.0883188627892827</v>
      </c>
      <c r="R43" s="10" t="n">
        <f aca="false">SUM(F43:Q43)</f>
        <v>1</v>
      </c>
    </row>
    <row r="44" customFormat="false" ht="15" hidden="false" customHeight="false" outlineLevel="0" collapsed="false">
      <c r="A44" s="19" t="n">
        <v>2033</v>
      </c>
      <c r="B44" s="13" t="n">
        <f aca="false">datos_base!I19</f>
        <v>92988.6241775075</v>
      </c>
      <c r="C44" s="13" t="n">
        <f aca="false">datos_base!J19</f>
        <v>100019.138346913</v>
      </c>
      <c r="D44" s="20" t="n">
        <f aca="false">IF(B44&gt;0,C44/B44,1)</f>
        <v>1.07560617475084</v>
      </c>
      <c r="E44" s="21" t="n">
        <f aca="false">D44^(1/12)</f>
        <v>1.00609218115406</v>
      </c>
      <c r="F44" s="11" t="n">
        <f aca="false">IF(ABS($E44-1)&lt;0.000000001,1/12,$E44^0*($E44-1)/($E44^12-1))</f>
        <v>0.080577825477091</v>
      </c>
      <c r="G44" s="11" t="n">
        <f aca="false">IF(ABS($E44-1)&lt;0.000000001,1/12,$E44^1*($E44-1)/($E44^12-1))</f>
        <v>0.081068720186898</v>
      </c>
      <c r="H44" s="11" t="n">
        <f aca="false">IF(ABS($E44-1)&lt;0.000000001,1/12,$E44^2*($E44-1)/($E44^12-1))</f>
        <v>0.0815626055162047</v>
      </c>
      <c r="I44" s="11" t="n">
        <f aca="false">IF(ABS($E44-1)&lt;0.000000001,1/12,$E44^3*($E44-1)/($E44^12-1))</f>
        <v>0.0820594996844069</v>
      </c>
      <c r="J44" s="11" t="n">
        <f aca="false">IF(ABS($E44-1)&lt;0.000000001,1/12,$E44^4*($E44-1)/($E44^12-1))</f>
        <v>0.0825594210218961</v>
      </c>
      <c r="K44" s="11" t="n">
        <f aca="false">IF(ABS($E44-1)&lt;0.000000001,1/12,$E44^5*($E44-1)/($E44^12-1))</f>
        <v>0.0830623879707362</v>
      </c>
      <c r="L44" s="11" t="n">
        <f aca="false">IF(ABS($E44-1)&lt;0.000000001,1/12,$E44^6*($E44-1)/($E44^12-1))</f>
        <v>0.083568419085343</v>
      </c>
      <c r="M44" s="11" t="n">
        <f aca="false">IF(ABS($E44-1)&lt;0.000000001,1/12,$E44^7*($E44-1)/($E44^12-1))</f>
        <v>0.0840775330331697</v>
      </c>
      <c r="N44" s="11" t="n">
        <f aca="false">IF(ABS($E44-1)&lt;0.000000001,1/12,$E44^8*($E44-1)/($E44^12-1))</f>
        <v>0.0845897485953945</v>
      </c>
      <c r="O44" s="11" t="n">
        <f aca="false">IF(ABS($E44-1)&lt;0.000000001,1/12,$E44^9*($E44-1)/($E44^12-1))</f>
        <v>0.0851050846676144</v>
      </c>
      <c r="P44" s="11" t="n">
        <f aca="false">IF(ABS($E44-1)&lt;0.000000001,1/12,$E44^10*($E44-1)/($E44^12-1))</f>
        <v>0.0856235602605415</v>
      </c>
      <c r="Q44" s="11" t="n">
        <f aca="false">IF(ABS($E44-1)&lt;0.000000001,1/12,$E44^11*($E44-1)/($E44^12-1))</f>
        <v>0.0861451945007046</v>
      </c>
      <c r="R44" s="10" t="n">
        <f aca="false">SUM(F44:Q44)</f>
        <v>1</v>
      </c>
    </row>
    <row r="45" customFormat="false" ht="15" hidden="false" customHeight="false" outlineLevel="0" collapsed="false">
      <c r="A45" s="19" t="n">
        <v>2034</v>
      </c>
      <c r="B45" s="13" t="n">
        <f aca="false">datos_base!J19</f>
        <v>100019.138346913</v>
      </c>
      <c r="C45" s="13" t="n">
        <f aca="false">datos_base!K19</f>
        <v>107197.372813694</v>
      </c>
      <c r="D45" s="20" t="n">
        <f aca="false">IF(B45&gt;0,C45/B45,1)</f>
        <v>1.07176860934239</v>
      </c>
      <c r="E45" s="21" t="n">
        <f aca="false">D45^(1/12)</f>
        <v>1.00579256153194</v>
      </c>
      <c r="F45" s="11" t="n">
        <f aca="false">IF(ABS($E45-1)&lt;0.000000001,1/12,$E45^0*($E45-1)/($E45^12-1))</f>
        <v>0.0807116312411818</v>
      </c>
      <c r="G45" s="11" t="n">
        <f aca="false">IF(ABS($E45-1)&lt;0.000000001,1/12,$E45^1*($E45-1)/($E45^12-1))</f>
        <v>0.0811791583314891</v>
      </c>
      <c r="H45" s="11" t="n">
        <f aca="false">IF(ABS($E45-1)&lt;0.000000001,1/12,$E45^2*($E45-1)/($E45^12-1))</f>
        <v>0.081649393601235</v>
      </c>
      <c r="I45" s="11" t="n">
        <f aca="false">IF(ABS($E45-1)&lt;0.000000001,1/12,$E45^3*($E45-1)/($E45^12-1))</f>
        <v>0.0821223527377154</v>
      </c>
      <c r="J45" s="11" t="n">
        <f aca="false">IF(ABS($E45-1)&lt;0.000000001,1/12,$E45^4*($E45-1)/($E45^12-1))</f>
        <v>0.0825980515190958</v>
      </c>
      <c r="K45" s="11" t="n">
        <f aca="false">IF(ABS($E45-1)&lt;0.000000001,1/12,$E45^5*($E45-1)/($E45^12-1))</f>
        <v>0.0830765058149382</v>
      </c>
      <c r="L45" s="11" t="n">
        <f aca="false">IF(ABS($E45-1)&lt;0.000000001,1/12,$E45^6*($E45-1)/($E45^12-1))</f>
        <v>0.0835577315867294</v>
      </c>
      <c r="M45" s="11" t="n">
        <f aca="false">IF(ABS($E45-1)&lt;0.000000001,1/12,$E45^7*($E45-1)/($E45^12-1))</f>
        <v>0.0840417448884144</v>
      </c>
      <c r="N45" s="11" t="n">
        <f aca="false">IF(ABS($E45-1)&lt;0.000000001,1/12,$E45^8*($E45-1)/($E45^12-1))</f>
        <v>0.0845285618669318</v>
      </c>
      <c r="O45" s="11" t="n">
        <f aca="false">IF(ABS($E45-1)&lt;0.000000001,1/12,$E45^9*($E45-1)/($E45^12-1))</f>
        <v>0.085018198762752</v>
      </c>
      <c r="P45" s="11" t="n">
        <f aca="false">IF(ABS($E45-1)&lt;0.000000001,1/12,$E45^10*($E45-1)/($E45^12-1))</f>
        <v>0.0855106719104195</v>
      </c>
      <c r="Q45" s="11" t="n">
        <f aca="false">IF(ABS($E45-1)&lt;0.000000001,1/12,$E45^11*($E45-1)/($E45^12-1))</f>
        <v>0.0860059977390977</v>
      </c>
      <c r="R45" s="10" t="n">
        <f aca="false">SUM(F45:Q45)</f>
        <v>1</v>
      </c>
    </row>
    <row r="46" customFormat="false" ht="15" hidden="false" customHeight="false" outlineLevel="0" collapsed="false">
      <c r="A46" s="19" t="n">
        <v>2035</v>
      </c>
      <c r="B46" s="13" t="n">
        <f aca="false">datos_base!K19</f>
        <v>107197.372813694</v>
      </c>
      <c r="C46" s="13" t="n">
        <f aca="false">IF(datos_base!J19&gt;0,datos_base!K19^2/datos_base!J19,0)</f>
        <v>114890.779185691</v>
      </c>
      <c r="D46" s="20" t="n">
        <f aca="false">IF(B46&gt;0,C46/B46,1)</f>
        <v>1.07176860934239</v>
      </c>
      <c r="E46" s="21" t="n">
        <f aca="false">D46^(1/12)</f>
        <v>1.00579256153194</v>
      </c>
      <c r="F46" s="11" t="n">
        <f aca="false">IF(ABS($E46-1)&lt;0.000000001,1/12,$E46^0*($E46-1)/($E46^12-1))</f>
        <v>0.0807116312411818</v>
      </c>
      <c r="G46" s="11" t="n">
        <f aca="false">IF(ABS($E46-1)&lt;0.000000001,1/12,$E46^1*($E46-1)/($E46^12-1))</f>
        <v>0.0811791583314891</v>
      </c>
      <c r="H46" s="11" t="n">
        <f aca="false">IF(ABS($E46-1)&lt;0.000000001,1/12,$E46^2*($E46-1)/($E46^12-1))</f>
        <v>0.081649393601235</v>
      </c>
      <c r="I46" s="11" t="n">
        <f aca="false">IF(ABS($E46-1)&lt;0.000000001,1/12,$E46^3*($E46-1)/($E46^12-1))</f>
        <v>0.0821223527377154</v>
      </c>
      <c r="J46" s="11" t="n">
        <f aca="false">IF(ABS($E46-1)&lt;0.000000001,1/12,$E46^4*($E46-1)/($E46^12-1))</f>
        <v>0.0825980515190958</v>
      </c>
      <c r="K46" s="11" t="n">
        <f aca="false">IF(ABS($E46-1)&lt;0.000000001,1/12,$E46^5*($E46-1)/($E46^12-1))</f>
        <v>0.0830765058149382</v>
      </c>
      <c r="L46" s="11" t="n">
        <f aca="false">IF(ABS($E46-1)&lt;0.000000001,1/12,$E46^6*($E46-1)/($E46^12-1))</f>
        <v>0.0835577315867294</v>
      </c>
      <c r="M46" s="11" t="n">
        <f aca="false">IF(ABS($E46-1)&lt;0.000000001,1/12,$E46^7*($E46-1)/($E46^12-1))</f>
        <v>0.0840417448884144</v>
      </c>
      <c r="N46" s="11" t="n">
        <f aca="false">IF(ABS($E46-1)&lt;0.000000001,1/12,$E46^8*($E46-1)/($E46^12-1))</f>
        <v>0.0845285618669318</v>
      </c>
      <c r="O46" s="11" t="n">
        <f aca="false">IF(ABS($E46-1)&lt;0.000000001,1/12,$E46^9*($E46-1)/($E46^12-1))</f>
        <v>0.085018198762752</v>
      </c>
      <c r="P46" s="11" t="n">
        <f aca="false">IF(ABS($E46-1)&lt;0.000000001,1/12,$E46^10*($E46-1)/($E46^12-1))</f>
        <v>0.0855106719104195</v>
      </c>
      <c r="Q46" s="11" t="n">
        <f aca="false">IF(ABS($E46-1)&lt;0.000000001,1/12,$E46^11*($E46-1)/($E46^12-1))</f>
        <v>0.0860059977390977</v>
      </c>
      <c r="R46" s="10" t="n">
        <f aca="false">SUM(F46:Q46)</f>
        <v>1</v>
      </c>
    </row>
    <row r="49" customFormat="false" ht="15" hidden="false" customHeight="false" outlineLevel="0" collapsed="false">
      <c r="A49" s="1" t="s">
        <v>137</v>
      </c>
    </row>
    <row r="50" customFormat="false" ht="35.05" hidden="false" customHeight="true" outlineLevel="0" collapsed="false">
      <c r="A50" s="3" t="s">
        <v>138</v>
      </c>
      <c r="B50" s="3" t="s">
        <v>139</v>
      </c>
      <c r="C50" s="3" t="s">
        <v>140</v>
      </c>
      <c r="D50" s="3" t="s">
        <v>141</v>
      </c>
      <c r="E50" s="3" t="s">
        <v>142</v>
      </c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</row>
    <row r="51" customFormat="false" ht="15" hidden="false" customHeight="true" outlineLevel="0" collapsed="false">
      <c r="A51" s="12" t="str">
        <f aca="false">datos_base!A2</f>
        <v>ABC 1 kg</v>
      </c>
      <c r="B51" s="12" t="s">
        <v>143</v>
      </c>
      <c r="C51" s="14" t="n">
        <v>1</v>
      </c>
      <c r="D51" s="14" t="n">
        <v>0</v>
      </c>
      <c r="E51" s="4" t="s">
        <v>144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</row>
    <row r="52" customFormat="false" ht="15" hidden="false" customHeight="true" outlineLevel="0" collapsed="false">
      <c r="A52" s="12" t="str">
        <f aca="false">datos_base!A3</f>
        <v>ABC 2,5 kg</v>
      </c>
      <c r="B52" s="12" t="s">
        <v>143</v>
      </c>
      <c r="C52" s="14" t="n">
        <v>1</v>
      </c>
      <c r="D52" s="14" t="n">
        <v>0</v>
      </c>
      <c r="E52" s="4" t="s">
        <v>145</v>
      </c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</row>
    <row r="53" customFormat="false" ht="15" hidden="false" customHeight="true" outlineLevel="0" collapsed="false">
      <c r="A53" s="12" t="str">
        <f aca="false">datos_base!A4</f>
        <v>ABC 5 kg</v>
      </c>
      <c r="B53" s="12" t="s">
        <v>143</v>
      </c>
      <c r="C53" s="14" t="n">
        <v>1</v>
      </c>
      <c r="D53" s="14" t="n">
        <v>0</v>
      </c>
      <c r="E53" s="4" t="s">
        <v>145</v>
      </c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</row>
    <row r="54" customFormat="false" ht="15" hidden="false" customHeight="true" outlineLevel="0" collapsed="false">
      <c r="A54" s="12" t="str">
        <f aca="false">datos_base!A5</f>
        <v>ABC 10 kg</v>
      </c>
      <c r="B54" s="12" t="s">
        <v>143</v>
      </c>
      <c r="C54" s="14" t="n">
        <v>1</v>
      </c>
      <c r="D54" s="14" t="n">
        <v>0</v>
      </c>
      <c r="E54" s="4" t="s">
        <v>145</v>
      </c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</row>
    <row r="55" customFormat="false" ht="15" hidden="false" customHeight="true" outlineLevel="0" collapsed="false">
      <c r="A55" s="12" t="str">
        <f aca="false">datos_base!A6</f>
        <v>Agua 10 l</v>
      </c>
      <c r="B55" s="12" t="s">
        <v>146</v>
      </c>
      <c r="C55" s="14" t="n">
        <v>1</v>
      </c>
      <c r="D55" s="14" t="n">
        <v>0</v>
      </c>
      <c r="E55" s="4" t="s">
        <v>145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customFormat="false" ht="15" hidden="false" customHeight="true" outlineLevel="0" collapsed="false">
      <c r="A56" s="12" t="str">
        <f aca="false">datos_base!A7</f>
        <v>AFFF 10 l</v>
      </c>
      <c r="B56" s="12" t="s">
        <v>147</v>
      </c>
      <c r="C56" s="14" t="n">
        <v>1</v>
      </c>
      <c r="D56" s="14" t="n">
        <v>0</v>
      </c>
      <c r="E56" s="4" t="s">
        <v>145</v>
      </c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</row>
    <row r="57" customFormat="false" ht="15" hidden="false" customHeight="true" outlineLevel="0" collapsed="false">
      <c r="A57" s="12" t="str">
        <f aca="false">datos_base!A8</f>
        <v>AFFF 50 l s/ruedas</v>
      </c>
      <c r="B57" s="12" t="s">
        <v>147</v>
      </c>
      <c r="C57" s="16" t="n">
        <f aca="false">$B$9</f>
        <v>3</v>
      </c>
      <c r="D57" s="14" t="n">
        <v>1</v>
      </c>
      <c r="E57" s="4" t="s">
        <v>148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</row>
    <row r="58" customFormat="false" ht="15" hidden="false" customHeight="true" outlineLevel="0" collapsed="false">
      <c r="A58" s="12" t="str">
        <f aca="false">datos_base!A9</f>
        <v>BC 5 kg</v>
      </c>
      <c r="B58" s="12" t="s">
        <v>149</v>
      </c>
      <c r="C58" s="14" t="n">
        <v>1</v>
      </c>
      <c r="D58" s="14" t="n">
        <v>0</v>
      </c>
      <c r="E58" s="4" t="s">
        <v>145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</row>
    <row r="59" customFormat="false" ht="15" hidden="false" customHeight="true" outlineLevel="0" collapsed="false">
      <c r="A59" s="12" t="str">
        <f aca="false">datos_base!A10</f>
        <v>Sales K 6 l</v>
      </c>
      <c r="B59" s="12" t="s">
        <v>150</v>
      </c>
      <c r="C59" s="14" t="n">
        <v>1</v>
      </c>
      <c r="D59" s="14" t="n">
        <v>0</v>
      </c>
      <c r="E59" s="4" t="s">
        <v>145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</row>
    <row r="60" customFormat="false" ht="15" hidden="false" customHeight="true" outlineLevel="0" collapsed="false">
      <c r="A60" s="12" t="str">
        <f aca="false">datos_base!A11</f>
        <v>CO₂ 2 kg</v>
      </c>
      <c r="B60" s="12" t="s">
        <v>151</v>
      </c>
      <c r="C60" s="14" t="n">
        <v>1</v>
      </c>
      <c r="D60" s="14" t="n">
        <v>0</v>
      </c>
      <c r="E60" s="4" t="s">
        <v>152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customFormat="false" ht="15" hidden="false" customHeight="true" outlineLevel="0" collapsed="false">
      <c r="A61" s="12" t="str">
        <f aca="false">datos_base!A12</f>
        <v>CO₂ 5 kg</v>
      </c>
      <c r="B61" s="12" t="s">
        <v>151</v>
      </c>
      <c r="C61" s="14" t="n">
        <v>1</v>
      </c>
      <c r="D61" s="14" t="n">
        <v>1</v>
      </c>
      <c r="E61" s="4" t="s">
        <v>153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</row>
    <row r="62" customFormat="false" ht="15" hidden="false" customHeight="true" outlineLevel="0" collapsed="false">
      <c r="A62" s="12" t="str">
        <f aca="false">datos_base!A13</f>
        <v>HCFC/HFC 5 kg</v>
      </c>
      <c r="B62" s="12" t="s">
        <v>154</v>
      </c>
      <c r="C62" s="14" t="n">
        <v>1</v>
      </c>
      <c r="D62" s="14" t="n">
        <v>0</v>
      </c>
      <c r="E62" s="4" t="s">
        <v>145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</row>
    <row r="63" customFormat="false" ht="15" hidden="false" customHeight="true" outlineLevel="0" collapsed="false">
      <c r="A63" s="12" t="str">
        <f aca="false">datos_base!A14</f>
        <v>Clase D 9 l</v>
      </c>
      <c r="B63" s="12" t="s">
        <v>155</v>
      </c>
      <c r="C63" s="14" t="n">
        <v>1</v>
      </c>
      <c r="D63" s="14" t="n">
        <v>0</v>
      </c>
      <c r="E63" s="4" t="s">
        <v>145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</row>
    <row r="64" customFormat="false" ht="15" hidden="false" customHeight="true" outlineLevel="0" collapsed="false">
      <c r="A64" s="12" t="str">
        <f aca="false">datos_base!A15</f>
        <v>ABC 25 kg s/ruedas</v>
      </c>
      <c r="B64" s="12" t="s">
        <v>143</v>
      </c>
      <c r="C64" s="16" t="n">
        <f aca="false">$B$9</f>
        <v>3</v>
      </c>
      <c r="D64" s="14" t="n">
        <v>1</v>
      </c>
      <c r="E64" s="4" t="s">
        <v>156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</row>
    <row r="65" customFormat="false" ht="15" hidden="false" customHeight="true" outlineLevel="0" collapsed="false">
      <c r="A65" s="12" t="str">
        <f aca="false">datos_base!A16</f>
        <v>ABC 50 kg s/ruedas</v>
      </c>
      <c r="B65" s="12" t="s">
        <v>143</v>
      </c>
      <c r="C65" s="16" t="n">
        <f aca="false">$B$9</f>
        <v>3</v>
      </c>
      <c r="D65" s="14" t="n">
        <v>1</v>
      </c>
      <c r="E65" s="4" t="s">
        <v>156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customFormat="false" ht="15" hidden="false" customHeight="true" outlineLevel="0" collapsed="false">
      <c r="A66" s="12" t="str">
        <f aca="false">datos_base!A17</f>
        <v>ABC 70 kg s/ruedas</v>
      </c>
      <c r="B66" s="12" t="s">
        <v>143</v>
      </c>
      <c r="C66" s="16" t="n">
        <f aca="false">$B$9</f>
        <v>3</v>
      </c>
      <c r="D66" s="14" t="n">
        <v>1</v>
      </c>
      <c r="E66" s="4" t="s">
        <v>156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customFormat="false" ht="15" hidden="false" customHeight="true" outlineLevel="0" collapsed="false">
      <c r="A67" s="12" t="str">
        <f aca="false">datos_base!A18</f>
        <v>ABC 100 kg s/ruedas</v>
      </c>
      <c r="B67" s="12" t="s">
        <v>143</v>
      </c>
      <c r="C67" s="16" t="n">
        <f aca="false">$B$9</f>
        <v>3</v>
      </c>
      <c r="D67" s="14" t="n">
        <v>1</v>
      </c>
      <c r="E67" s="4" t="s">
        <v>156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</row>
    <row r="70" customFormat="false" ht="15" hidden="false" customHeight="false" outlineLevel="0" collapsed="false">
      <c r="A70" s="1" t="s">
        <v>157</v>
      </c>
    </row>
    <row r="71" customFormat="false" ht="35.05" hidden="false" customHeight="false" outlineLevel="0" collapsed="false">
      <c r="A71" s="3" t="s">
        <v>158</v>
      </c>
      <c r="B71" s="3" t="s">
        <v>159</v>
      </c>
      <c r="C71" s="3" t="s">
        <v>160</v>
      </c>
      <c r="D71" s="3" t="s">
        <v>161</v>
      </c>
      <c r="E71" s="3" t="s">
        <v>143</v>
      </c>
      <c r="F71" s="3" t="s">
        <v>149</v>
      </c>
      <c r="G71" s="3" t="s">
        <v>155</v>
      </c>
      <c r="H71" s="3" t="s">
        <v>146</v>
      </c>
      <c r="I71" s="3" t="s">
        <v>147</v>
      </c>
      <c r="J71" s="3" t="s">
        <v>150</v>
      </c>
      <c r="K71" s="3" t="s">
        <v>151</v>
      </c>
      <c r="L71" s="3" t="s">
        <v>154</v>
      </c>
      <c r="M71" s="3" t="s">
        <v>162</v>
      </c>
      <c r="N71" s="3" t="s">
        <v>163</v>
      </c>
      <c r="O71" s="3" t="s">
        <v>164</v>
      </c>
      <c r="P71" s="3" t="s">
        <v>165</v>
      </c>
      <c r="Q71" s="3" t="s">
        <v>166</v>
      </c>
    </row>
    <row r="72" customFormat="false" ht="23.85" hidden="false" customHeight="false" outlineLevel="0" collapsed="false">
      <c r="A72" s="19" t="n">
        <v>1</v>
      </c>
      <c r="B72" s="4" t="s">
        <v>167</v>
      </c>
      <c r="C72" s="4" t="s">
        <v>168</v>
      </c>
      <c r="D72" s="9" t="s">
        <v>169</v>
      </c>
      <c r="E72" s="11" t="n">
        <v>1</v>
      </c>
      <c r="F72" s="11" t="n">
        <v>1</v>
      </c>
      <c r="G72" s="11" t="n">
        <v>1</v>
      </c>
      <c r="H72" s="11" t="n">
        <v>1</v>
      </c>
      <c r="I72" s="11" t="n">
        <v>1</v>
      </c>
      <c r="J72" s="11" t="n">
        <v>1</v>
      </c>
      <c r="K72" s="11" t="n">
        <v>1</v>
      </c>
      <c r="L72" s="11" t="n">
        <v>1</v>
      </c>
      <c r="M72" s="14" t="n">
        <f aca="false">12.5+12.5+40+10</f>
        <v>75</v>
      </c>
      <c r="N72" s="22" t="n">
        <f aca="false">IF(M72&gt;0,3600/M72,0)</f>
        <v>48</v>
      </c>
      <c r="O72" s="7" t="n">
        <f aca="false">N72*$B$6</f>
        <v>7200</v>
      </c>
      <c r="P72" s="4" t="s">
        <v>170</v>
      </c>
      <c r="Q72" s="4"/>
    </row>
    <row r="73" customFormat="false" ht="15" hidden="false" customHeight="false" outlineLevel="0" collapsed="false">
      <c r="A73" s="19" t="n">
        <v>2</v>
      </c>
      <c r="B73" s="4" t="s">
        <v>171</v>
      </c>
      <c r="C73" s="4" t="s">
        <v>172</v>
      </c>
      <c r="D73" s="9" t="s">
        <v>169</v>
      </c>
      <c r="E73" s="11" t="n">
        <v>1</v>
      </c>
      <c r="F73" s="11" t="n">
        <v>1</v>
      </c>
      <c r="G73" s="11" t="n">
        <v>1</v>
      </c>
      <c r="H73" s="11" t="n">
        <v>1</v>
      </c>
      <c r="I73" s="11" t="n">
        <v>1</v>
      </c>
      <c r="J73" s="11" t="n">
        <v>1</v>
      </c>
      <c r="K73" s="11" t="n">
        <v>1</v>
      </c>
      <c r="L73" s="11" t="n">
        <v>1</v>
      </c>
      <c r="M73" s="14" t="n">
        <f aca="false">5+30+25+10+15+5</f>
        <v>90</v>
      </c>
      <c r="N73" s="22" t="n">
        <f aca="false">IF(M73&gt;0,3600/M73,0)</f>
        <v>40</v>
      </c>
      <c r="O73" s="7" t="n">
        <f aca="false">N73*$B$6</f>
        <v>6000</v>
      </c>
      <c r="P73" s="4" t="s">
        <v>173</v>
      </c>
      <c r="Q73" s="4" t="s">
        <v>174</v>
      </c>
    </row>
    <row r="74" customFormat="false" ht="15" hidden="false" customHeight="false" outlineLevel="0" collapsed="false">
      <c r="A74" s="19" t="n">
        <v>3</v>
      </c>
      <c r="B74" s="4" t="s">
        <v>175</v>
      </c>
      <c r="C74" s="4" t="s">
        <v>176</v>
      </c>
      <c r="D74" s="9" t="s">
        <v>177</v>
      </c>
      <c r="E74" s="11" t="n">
        <f aca="false">1-$B$25-$B$27</f>
        <v>0.85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0</v>
      </c>
      <c r="K74" s="11" t="n">
        <v>0</v>
      </c>
      <c r="L74" s="11" t="n">
        <v>0</v>
      </c>
      <c r="M74" s="14" t="n">
        <f aca="false">15+60+10</f>
        <v>85</v>
      </c>
      <c r="N74" s="22" t="n">
        <f aca="false">IF(M74&gt;0,3600/M74,0)</f>
        <v>42.3529411764706</v>
      </c>
      <c r="O74" s="7" t="n">
        <f aca="false">N74*$B$6</f>
        <v>6352.94117647059</v>
      </c>
      <c r="P74" s="4" t="s">
        <v>178</v>
      </c>
      <c r="Q74" s="4"/>
    </row>
    <row r="75" customFormat="false" ht="15" hidden="false" customHeight="false" outlineLevel="0" collapsed="false">
      <c r="A75" s="19" t="n">
        <v>4</v>
      </c>
      <c r="B75" s="4" t="s">
        <v>179</v>
      </c>
      <c r="C75" s="4" t="s">
        <v>180</v>
      </c>
      <c r="D75" s="9" t="s">
        <v>177</v>
      </c>
      <c r="E75" s="11" t="n">
        <f aca="false">$B$27</f>
        <v>0.1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0</v>
      </c>
      <c r="K75" s="11" t="n">
        <v>0</v>
      </c>
      <c r="L75" s="11" t="n">
        <v>0</v>
      </c>
      <c r="M75" s="14" t="n">
        <f aca="false">15+60+10</f>
        <v>85</v>
      </c>
      <c r="N75" s="22" t="n">
        <f aca="false">IF(M75&gt;0,3600/M75,0)</f>
        <v>42.3529411764706</v>
      </c>
      <c r="O75" s="7" t="n">
        <f aca="false">N75*$B$6</f>
        <v>6352.94117647059</v>
      </c>
      <c r="P75" s="4" t="s">
        <v>181</v>
      </c>
      <c r="Q75" s="4"/>
    </row>
    <row r="76" customFormat="false" ht="15" hidden="false" customHeight="false" outlineLevel="0" collapsed="false">
      <c r="A76" s="19" t="n">
        <v>5</v>
      </c>
      <c r="B76" s="4" t="s">
        <v>182</v>
      </c>
      <c r="C76" s="4" t="s">
        <v>183</v>
      </c>
      <c r="D76" s="9" t="s">
        <v>177</v>
      </c>
      <c r="E76" s="11" t="n">
        <v>0</v>
      </c>
      <c r="F76" s="11" t="n">
        <v>1</v>
      </c>
      <c r="G76" s="11" t="n">
        <v>0</v>
      </c>
      <c r="H76" s="11" t="n">
        <v>0</v>
      </c>
      <c r="I76" s="11" t="n">
        <v>0</v>
      </c>
      <c r="J76" s="11" t="n">
        <v>0</v>
      </c>
      <c r="K76" s="11" t="n">
        <v>0</v>
      </c>
      <c r="L76" s="11" t="n">
        <v>0</v>
      </c>
      <c r="M76" s="14" t="n">
        <f aca="false">15+60+10</f>
        <v>85</v>
      </c>
      <c r="N76" s="22" t="n">
        <f aca="false">IF(M76&gt;0,3600/M76,0)</f>
        <v>42.3529411764706</v>
      </c>
      <c r="O76" s="7" t="n">
        <f aca="false">N76*$B$6</f>
        <v>6352.94117647059</v>
      </c>
      <c r="P76" s="4" t="s">
        <v>184</v>
      </c>
      <c r="Q76" s="4"/>
    </row>
    <row r="77" customFormat="false" ht="15" hidden="false" customHeight="false" outlineLevel="0" collapsed="false">
      <c r="A77" s="19" t="n">
        <v>6</v>
      </c>
      <c r="B77" s="4" t="s">
        <v>185</v>
      </c>
      <c r="C77" s="4" t="s">
        <v>186</v>
      </c>
      <c r="D77" s="9" t="s">
        <v>177</v>
      </c>
      <c r="E77" s="11" t="n">
        <v>0</v>
      </c>
      <c r="F77" s="11" t="n">
        <v>0</v>
      </c>
      <c r="G77" s="11" t="n">
        <v>0</v>
      </c>
      <c r="H77" s="11" t="n">
        <f aca="false">$B$28</f>
        <v>1</v>
      </c>
      <c r="I77" s="11" t="n">
        <f aca="false">$B$28</f>
        <v>1</v>
      </c>
      <c r="J77" s="11" t="n">
        <f aca="false">$B$28</f>
        <v>1</v>
      </c>
      <c r="K77" s="11" t="n">
        <v>0</v>
      </c>
      <c r="L77" s="11" t="n">
        <v>0</v>
      </c>
      <c r="M77" s="14" t="n">
        <f aca="false">10+10+15+60+10</f>
        <v>105</v>
      </c>
      <c r="N77" s="22" t="n">
        <f aca="false">IF(M77&gt;0,3600/M77,0)</f>
        <v>34.2857142857143</v>
      </c>
      <c r="O77" s="7" t="n">
        <f aca="false">N77*$B$6</f>
        <v>5142.85714285714</v>
      </c>
      <c r="P77" s="4" t="s">
        <v>187</v>
      </c>
      <c r="Q77" s="4" t="s">
        <v>188</v>
      </c>
    </row>
    <row r="78" customFormat="false" ht="23.85" hidden="false" customHeight="false" outlineLevel="0" collapsed="false">
      <c r="A78" s="19" t="n">
        <v>7</v>
      </c>
      <c r="B78" s="4" t="s">
        <v>189</v>
      </c>
      <c r="C78" s="4" t="s">
        <v>190</v>
      </c>
      <c r="D78" s="9" t="s">
        <v>177</v>
      </c>
      <c r="E78" s="11" t="n">
        <v>0</v>
      </c>
      <c r="F78" s="11" t="n">
        <v>0</v>
      </c>
      <c r="G78" s="11" t="n">
        <v>0</v>
      </c>
      <c r="H78" s="11" t="n">
        <v>0</v>
      </c>
      <c r="I78" s="11" t="n">
        <v>0</v>
      </c>
      <c r="J78" s="11" t="n">
        <v>0</v>
      </c>
      <c r="K78" s="11" t="n">
        <f aca="false">$B$15+$B$29</f>
        <v>0.25</v>
      </c>
      <c r="L78" s="11" t="n">
        <v>0</v>
      </c>
      <c r="M78" s="14" t="n">
        <f aca="false">20+20+120+20+15+10</f>
        <v>205</v>
      </c>
      <c r="N78" s="22" t="n">
        <f aca="false">IF(M78&gt;0,3600/M78,0)</f>
        <v>17.5609756097561</v>
      </c>
      <c r="O78" s="7" t="n">
        <f aca="false">N78*$B$6</f>
        <v>2634.14634146342</v>
      </c>
      <c r="P78" s="4" t="s">
        <v>191</v>
      </c>
      <c r="Q78" s="4"/>
    </row>
    <row r="79" customFormat="false" ht="23.85" hidden="false" customHeight="false" outlineLevel="0" collapsed="false">
      <c r="A79" s="19" t="n">
        <v>8</v>
      </c>
      <c r="B79" s="4" t="s">
        <v>192</v>
      </c>
      <c r="C79" s="4" t="s">
        <v>193</v>
      </c>
      <c r="D79" s="9" t="s">
        <v>177</v>
      </c>
      <c r="E79" s="11" t="n">
        <v>0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1" t="n">
        <v>0</v>
      </c>
      <c r="L79" s="11" t="n">
        <f aca="false">$B$15+$B$25</f>
        <v>0.25</v>
      </c>
      <c r="M79" s="14" t="n">
        <f aca="false">60+20+30+300+40+15</f>
        <v>465</v>
      </c>
      <c r="N79" s="22" t="n">
        <f aca="false">IF(M79&gt;0,3600/M79,0)</f>
        <v>7.74193548387097</v>
      </c>
      <c r="O79" s="7" t="n">
        <f aca="false">N79*$B$6</f>
        <v>1161.29032258065</v>
      </c>
      <c r="P79" s="4" t="s">
        <v>194</v>
      </c>
      <c r="Q79" s="4"/>
    </row>
    <row r="80" customFormat="false" ht="23.85" hidden="false" customHeight="false" outlineLevel="0" collapsed="false">
      <c r="A80" s="19" t="n">
        <v>9</v>
      </c>
      <c r="B80" s="4" t="s">
        <v>195</v>
      </c>
      <c r="C80" s="4" t="s">
        <v>196</v>
      </c>
      <c r="D80" s="9" t="s">
        <v>169</v>
      </c>
      <c r="E80" s="11" t="n">
        <v>1</v>
      </c>
      <c r="F80" s="11" t="n">
        <v>1</v>
      </c>
      <c r="G80" s="11" t="n">
        <v>1</v>
      </c>
      <c r="H80" s="11" t="n">
        <v>0</v>
      </c>
      <c r="I80" s="11" t="n">
        <v>0</v>
      </c>
      <c r="J80" s="11" t="n">
        <v>0</v>
      </c>
      <c r="K80" s="11" t="n">
        <v>0</v>
      </c>
      <c r="L80" s="11" t="n">
        <v>0</v>
      </c>
      <c r="M80" s="14" t="n">
        <f aca="false">5+30+5+10+20+120*$B$15+5</f>
        <v>99</v>
      </c>
      <c r="N80" s="22" t="n">
        <f aca="false">IF(M80&gt;0,3600/M80,0)</f>
        <v>36.3636363636364</v>
      </c>
      <c r="O80" s="7" t="n">
        <f aca="false">N80*$B$6</f>
        <v>5454.54545454546</v>
      </c>
      <c r="P80" s="4" t="s">
        <v>197</v>
      </c>
      <c r="Q80" s="4" t="s">
        <v>198</v>
      </c>
    </row>
    <row r="81" customFormat="false" ht="15" hidden="false" customHeight="false" outlineLevel="0" collapsed="false">
      <c r="A81" s="19" t="n">
        <v>10</v>
      </c>
      <c r="B81" s="4" t="s">
        <v>199</v>
      </c>
      <c r="C81" s="4" t="s">
        <v>200</v>
      </c>
      <c r="D81" s="9" t="s">
        <v>169</v>
      </c>
      <c r="E81" s="11" t="n">
        <v>0</v>
      </c>
      <c r="F81" s="11" t="n">
        <v>0</v>
      </c>
      <c r="G81" s="11" t="n">
        <v>0</v>
      </c>
      <c r="H81" s="11" t="n">
        <f aca="false">$B$28</f>
        <v>1</v>
      </c>
      <c r="I81" s="11" t="n">
        <f aca="false">$B$28</f>
        <v>1</v>
      </c>
      <c r="J81" s="11" t="n">
        <f aca="false">$B$28</f>
        <v>1</v>
      </c>
      <c r="K81" s="11" t="n">
        <f aca="false">$B$15+$B$29</f>
        <v>0.25</v>
      </c>
      <c r="L81" s="11" t="n">
        <f aca="false">$B$15+$B$25</f>
        <v>0.25</v>
      </c>
      <c r="M81" s="14" t="n">
        <f aca="false">10+40+60+90*0.4+15+15</f>
        <v>176</v>
      </c>
      <c r="N81" s="22" t="n">
        <f aca="false">IF(M81&gt;0,3600/M81,0)</f>
        <v>20.4545454545455</v>
      </c>
      <c r="O81" s="7" t="n">
        <f aca="false">N81*$B$6</f>
        <v>3068.18181818182</v>
      </c>
      <c r="P81" s="4" t="s">
        <v>201</v>
      </c>
      <c r="Q81" s="4"/>
    </row>
    <row r="82" customFormat="false" ht="15" hidden="false" customHeight="false" outlineLevel="0" collapsed="false">
      <c r="A82" s="19" t="n">
        <v>11</v>
      </c>
      <c r="B82" s="4" t="s">
        <v>202</v>
      </c>
      <c r="C82" s="4" t="s">
        <v>203</v>
      </c>
      <c r="D82" s="9" t="s">
        <v>177</v>
      </c>
      <c r="E82" s="11" t="n">
        <f aca="false">$B$32</f>
        <v>0.001</v>
      </c>
      <c r="F82" s="11" t="n">
        <f aca="false">$B$32</f>
        <v>0.001</v>
      </c>
      <c r="G82" s="11" t="n">
        <v>0</v>
      </c>
      <c r="H82" s="11" t="n">
        <v>0</v>
      </c>
      <c r="I82" s="11" t="n">
        <v>0</v>
      </c>
      <c r="J82" s="11" t="n">
        <v>0</v>
      </c>
      <c r="K82" s="11" t="n">
        <v>0</v>
      </c>
      <c r="L82" s="11" t="n">
        <v>0</v>
      </c>
      <c r="M82" s="14" t="n">
        <f aca="false">300+600+1800+60+120+300</f>
        <v>3180</v>
      </c>
      <c r="N82" s="22" t="n">
        <f aca="false">IF(M82&gt;0,3600/M82,0)</f>
        <v>1.13207547169811</v>
      </c>
      <c r="O82" s="7" t="n">
        <f aca="false">N82*$B$6</f>
        <v>169.811320754717</v>
      </c>
      <c r="P82" s="4" t="s">
        <v>204</v>
      </c>
      <c r="Q82" s="4"/>
    </row>
    <row r="83" customFormat="false" ht="23.85" hidden="false" customHeight="false" outlineLevel="0" collapsed="false">
      <c r="A83" s="19" t="n">
        <v>12</v>
      </c>
      <c r="B83" s="4" t="s">
        <v>205</v>
      </c>
      <c r="C83" s="4" t="s">
        <v>206</v>
      </c>
      <c r="D83" s="9" t="s">
        <v>177</v>
      </c>
      <c r="E83" s="11" t="n">
        <f aca="false">$B$15</f>
        <v>0.2</v>
      </c>
      <c r="F83" s="11" t="n">
        <f aca="false">$B$15</f>
        <v>0.2</v>
      </c>
      <c r="G83" s="11" t="n">
        <f aca="false">$B$15</f>
        <v>0.2</v>
      </c>
      <c r="H83" s="11" t="n">
        <f aca="false">$B$16</f>
        <v>0.5</v>
      </c>
      <c r="I83" s="11" t="n">
        <f aca="false">$B$16</f>
        <v>0.5</v>
      </c>
      <c r="J83" s="11" t="n">
        <f aca="false">$B$16</f>
        <v>0.5</v>
      </c>
      <c r="K83" s="11" t="n">
        <f aca="false">$B$15</f>
        <v>0.2</v>
      </c>
      <c r="L83" s="11" t="n">
        <f aca="false">$B$15</f>
        <v>0.2</v>
      </c>
      <c r="M83" s="14" t="n">
        <f aca="false">12+20+90+90+75+15</f>
        <v>302</v>
      </c>
      <c r="N83" s="22" t="n">
        <f aca="false">IF(M83&gt;0,3600/M83,0)</f>
        <v>11.9205298013245</v>
      </c>
      <c r="O83" s="7" t="n">
        <f aca="false">N83*$B$6</f>
        <v>1788.07947019868</v>
      </c>
      <c r="P83" s="4" t="s">
        <v>207</v>
      </c>
      <c r="Q83" s="4"/>
    </row>
    <row r="84" customFormat="false" ht="15" hidden="false" customHeight="false" outlineLevel="0" collapsed="false">
      <c r="A84" s="19" t="n">
        <v>13</v>
      </c>
      <c r="B84" s="4" t="s">
        <v>208</v>
      </c>
      <c r="C84" s="4" t="s">
        <v>209</v>
      </c>
      <c r="D84" s="9" t="s">
        <v>177</v>
      </c>
      <c r="E84" s="11" t="n">
        <f aca="false">$B$15+$B$31</f>
        <v>0.21</v>
      </c>
      <c r="F84" s="11" t="n">
        <f aca="false">$B$15+$B$31</f>
        <v>0.21</v>
      </c>
      <c r="G84" s="11" t="n">
        <f aca="false">$B$15+$B$31</f>
        <v>0.21</v>
      </c>
      <c r="H84" s="11" t="n">
        <v>0</v>
      </c>
      <c r="I84" s="11" t="n">
        <v>0</v>
      </c>
      <c r="J84" s="11" t="n">
        <v>0</v>
      </c>
      <c r="K84" s="11" t="n">
        <f aca="false">$B$15</f>
        <v>0.2</v>
      </c>
      <c r="L84" s="11" t="n">
        <f aca="false">$B$15</f>
        <v>0.2</v>
      </c>
      <c r="M84" s="14" t="n">
        <f aca="false">15+15*60/6+15</f>
        <v>180</v>
      </c>
      <c r="N84" s="22" t="n">
        <f aca="false">IF(M84&gt;0,3600/M84,0)</f>
        <v>20</v>
      </c>
      <c r="O84" s="7" t="n">
        <f aca="false">N84*$B$6</f>
        <v>3000</v>
      </c>
      <c r="P84" s="4" t="s">
        <v>210</v>
      </c>
      <c r="Q84" s="4" t="s">
        <v>211</v>
      </c>
    </row>
    <row r="85" customFormat="false" ht="15" hidden="false" customHeight="false" outlineLevel="0" collapsed="false">
      <c r="A85" s="19" t="n">
        <v>14</v>
      </c>
      <c r="B85" s="4" t="s">
        <v>212</v>
      </c>
      <c r="C85" s="4" t="s">
        <v>213</v>
      </c>
      <c r="D85" s="9" t="s">
        <v>169</v>
      </c>
      <c r="E85" s="11" t="n">
        <f aca="false">$B$15+$B$31</f>
        <v>0.21</v>
      </c>
      <c r="F85" s="11" t="n">
        <f aca="false">$B$15+$B$31</f>
        <v>0.21</v>
      </c>
      <c r="G85" s="11" t="n">
        <f aca="false">$B$15+$B$31</f>
        <v>0.21</v>
      </c>
      <c r="H85" s="11" t="n">
        <v>0</v>
      </c>
      <c r="I85" s="11" t="n">
        <v>0</v>
      </c>
      <c r="J85" s="11" t="n">
        <v>0</v>
      </c>
      <c r="K85" s="11" t="n">
        <f aca="false">$B$15</f>
        <v>0.2</v>
      </c>
      <c r="L85" s="11" t="n">
        <f aca="false">$B$15</f>
        <v>0.2</v>
      </c>
      <c r="M85" s="14" t="n">
        <f aca="false">60+15+10</f>
        <v>85</v>
      </c>
      <c r="N85" s="22" t="n">
        <f aca="false">IF(M85&gt;0,3600/M85,0)</f>
        <v>42.3529411764706</v>
      </c>
      <c r="O85" s="7" t="n">
        <f aca="false">N85*$B$6</f>
        <v>6352.94117647059</v>
      </c>
      <c r="P85" s="4" t="s">
        <v>214</v>
      </c>
      <c r="Q85" s="4"/>
    </row>
    <row r="86" customFormat="false" ht="23.85" hidden="false" customHeight="false" outlineLevel="0" collapsed="false">
      <c r="A86" s="19" t="n">
        <v>15</v>
      </c>
      <c r="B86" s="4" t="s">
        <v>215</v>
      </c>
      <c r="C86" s="4" t="s">
        <v>216</v>
      </c>
      <c r="D86" s="9" t="s">
        <v>177</v>
      </c>
      <c r="E86" s="11" t="n">
        <f aca="false">$B$30</f>
        <v>0.1</v>
      </c>
      <c r="F86" s="11" t="n">
        <f aca="false">$B$30</f>
        <v>0.1</v>
      </c>
      <c r="G86" s="11" t="n">
        <f aca="false">$B$30</f>
        <v>0.1</v>
      </c>
      <c r="H86" s="11" t="n">
        <f aca="false">$B$30</f>
        <v>0.1</v>
      </c>
      <c r="I86" s="11" t="n">
        <f aca="false">$B$30</f>
        <v>0.1</v>
      </c>
      <c r="J86" s="11" t="n">
        <f aca="false">$B$30</f>
        <v>0.1</v>
      </c>
      <c r="K86" s="11" t="n">
        <f aca="false">$B$30</f>
        <v>0.1</v>
      </c>
      <c r="L86" s="11" t="n">
        <f aca="false">$B$30</f>
        <v>0.1</v>
      </c>
      <c r="M86" s="14" t="n">
        <v>750</v>
      </c>
      <c r="N86" s="22" t="n">
        <f aca="false">IF(M86&gt;0,3600/M86,0)</f>
        <v>4.8</v>
      </c>
      <c r="O86" s="7" t="n">
        <f aca="false">N86*$B$6</f>
        <v>720</v>
      </c>
      <c r="P86" s="4"/>
      <c r="Q86" s="4" t="s">
        <v>217</v>
      </c>
    </row>
    <row r="87" customFormat="false" ht="15" hidden="false" customHeight="false" outlineLevel="0" collapsed="false">
      <c r="A87" s="19" t="n">
        <v>16</v>
      </c>
      <c r="B87" s="4" t="s">
        <v>218</v>
      </c>
      <c r="C87" s="4" t="s">
        <v>219</v>
      </c>
      <c r="D87" s="9" t="s">
        <v>177</v>
      </c>
      <c r="E87" s="11" t="n">
        <v>1</v>
      </c>
      <c r="F87" s="11" t="n">
        <v>0</v>
      </c>
      <c r="G87" s="11" t="n">
        <v>0</v>
      </c>
      <c r="H87" s="11" t="n">
        <v>0</v>
      </c>
      <c r="I87" s="11" t="n">
        <v>0</v>
      </c>
      <c r="J87" s="11" t="n">
        <v>0</v>
      </c>
      <c r="K87" s="11" t="n">
        <v>0</v>
      </c>
      <c r="L87" s="11" t="n">
        <v>0</v>
      </c>
      <c r="M87" s="14" t="n">
        <f aca="false">6+15+45+15+15+10</f>
        <v>106</v>
      </c>
      <c r="N87" s="22" t="n">
        <f aca="false">IF(M87&gt;0,3600/M87,0)</f>
        <v>33.9622641509434</v>
      </c>
      <c r="O87" s="7" t="n">
        <f aca="false">N87*$B$6</f>
        <v>5094.33962264151</v>
      </c>
      <c r="P87" s="4" t="s">
        <v>220</v>
      </c>
      <c r="Q87" s="4" t="s">
        <v>221</v>
      </c>
    </row>
    <row r="88" customFormat="false" ht="15" hidden="false" customHeight="false" outlineLevel="0" collapsed="false">
      <c r="A88" s="19" t="n">
        <v>17</v>
      </c>
      <c r="B88" s="4" t="s">
        <v>222</v>
      </c>
      <c r="C88" s="4" t="s">
        <v>223</v>
      </c>
      <c r="D88" s="9" t="s">
        <v>177</v>
      </c>
      <c r="E88" s="11" t="n">
        <v>0</v>
      </c>
      <c r="F88" s="11" t="n">
        <v>1</v>
      </c>
      <c r="G88" s="11" t="n">
        <v>0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4" t="n">
        <f aca="false">10+15+75+15+15+10</f>
        <v>140</v>
      </c>
      <c r="N88" s="22" t="n">
        <f aca="false">IF(M88&gt;0,3600/M88,0)</f>
        <v>25.7142857142857</v>
      </c>
      <c r="O88" s="7" t="n">
        <f aca="false">N88*$B$6</f>
        <v>3857.14285714286</v>
      </c>
      <c r="P88" s="4" t="s">
        <v>224</v>
      </c>
      <c r="Q88" s="4"/>
    </row>
    <row r="89" customFormat="false" ht="15" hidden="false" customHeight="false" outlineLevel="0" collapsed="false">
      <c r="A89" s="19" t="n">
        <v>18</v>
      </c>
      <c r="B89" s="4" t="s">
        <v>225</v>
      </c>
      <c r="C89" s="4" t="s">
        <v>226</v>
      </c>
      <c r="D89" s="9" t="s">
        <v>169</v>
      </c>
      <c r="E89" s="11" t="n">
        <v>0</v>
      </c>
      <c r="F89" s="11" t="n">
        <v>0</v>
      </c>
      <c r="G89" s="11" t="n">
        <v>1</v>
      </c>
      <c r="H89" s="11" t="n">
        <v>0</v>
      </c>
      <c r="I89" s="11" t="n">
        <v>0</v>
      </c>
      <c r="J89" s="11" t="n">
        <v>0</v>
      </c>
      <c r="K89" s="11" t="n">
        <v>0</v>
      </c>
      <c r="L89" s="11" t="n">
        <v>0</v>
      </c>
      <c r="M89" s="14" t="n">
        <f aca="false">180+15+240+30+15+10</f>
        <v>490</v>
      </c>
      <c r="N89" s="22" t="n">
        <f aca="false">IF(M89&gt;0,3600/M89,0)</f>
        <v>7.3469387755102</v>
      </c>
      <c r="O89" s="7" t="n">
        <f aca="false">N89*$B$6</f>
        <v>1102.04081632653</v>
      </c>
      <c r="P89" s="4" t="s">
        <v>227</v>
      </c>
      <c r="Q89" s="4" t="s">
        <v>228</v>
      </c>
    </row>
    <row r="90" customFormat="false" ht="23.85" hidden="false" customHeight="false" outlineLevel="0" collapsed="false">
      <c r="A90" s="19" t="n">
        <v>19</v>
      </c>
      <c r="B90" s="4" t="s">
        <v>229</v>
      </c>
      <c r="C90" s="4" t="s">
        <v>230</v>
      </c>
      <c r="D90" s="9" t="s">
        <v>177</v>
      </c>
      <c r="E90" s="11" t="n">
        <v>0</v>
      </c>
      <c r="F90" s="11" t="n">
        <v>0</v>
      </c>
      <c r="G90" s="11" t="n">
        <v>0</v>
      </c>
      <c r="H90" s="11" t="n">
        <f aca="false">$B$28</f>
        <v>1</v>
      </c>
      <c r="I90" s="11" t="n">
        <f aca="false">$B$28</f>
        <v>1</v>
      </c>
      <c r="J90" s="11" t="n">
        <f aca="false">$B$28</f>
        <v>1</v>
      </c>
      <c r="K90" s="11" t="n">
        <v>0</v>
      </c>
      <c r="L90" s="11" t="n">
        <v>0</v>
      </c>
      <c r="M90" s="14" t="n">
        <f aca="false">20+10+30+15+15+10</f>
        <v>100</v>
      </c>
      <c r="N90" s="22" t="n">
        <f aca="false">IF(M90&gt;0,3600/M90,0)</f>
        <v>36</v>
      </c>
      <c r="O90" s="7" t="n">
        <f aca="false">N90*$B$6</f>
        <v>5400</v>
      </c>
      <c r="P90" s="4" t="s">
        <v>231</v>
      </c>
      <c r="Q90" s="4"/>
    </row>
    <row r="91" customFormat="false" ht="15" hidden="false" customHeight="false" outlineLevel="0" collapsed="false">
      <c r="A91" s="19" t="n">
        <v>20</v>
      </c>
      <c r="B91" s="4" t="s">
        <v>232</v>
      </c>
      <c r="C91" s="4" t="s">
        <v>233</v>
      </c>
      <c r="D91" s="9" t="s">
        <v>177</v>
      </c>
      <c r="E91" s="11" t="n">
        <v>0</v>
      </c>
      <c r="F91" s="11" t="n">
        <v>0</v>
      </c>
      <c r="G91" s="11" t="n">
        <v>0</v>
      </c>
      <c r="H91" s="11" t="n">
        <v>0</v>
      </c>
      <c r="I91" s="11" t="n">
        <v>0</v>
      </c>
      <c r="J91" s="11" t="n">
        <v>0</v>
      </c>
      <c r="K91" s="11" t="n">
        <f aca="false">$B$15+$B$29+$B$25</f>
        <v>0.3</v>
      </c>
      <c r="L91" s="11" t="n">
        <v>0</v>
      </c>
      <c r="M91" s="14" t="n">
        <f aca="false">30+10+15+150+25+10</f>
        <v>240</v>
      </c>
      <c r="N91" s="22" t="n">
        <f aca="false">IF(M91&gt;0,3600/M91,0)</f>
        <v>15</v>
      </c>
      <c r="O91" s="7" t="n">
        <f aca="false">N91*$B$6</f>
        <v>2250</v>
      </c>
      <c r="P91" s="4" t="s">
        <v>234</v>
      </c>
      <c r="Q91" s="4"/>
    </row>
    <row r="92" customFormat="false" ht="15" hidden="false" customHeight="false" outlineLevel="0" collapsed="false">
      <c r="A92" s="19" t="n">
        <v>21</v>
      </c>
      <c r="B92" s="4" t="s">
        <v>235</v>
      </c>
      <c r="C92" s="4" t="s">
        <v>236</v>
      </c>
      <c r="D92" s="9" t="s">
        <v>169</v>
      </c>
      <c r="E92" s="11" t="n">
        <v>1</v>
      </c>
      <c r="F92" s="11" t="n">
        <v>1</v>
      </c>
      <c r="G92" s="11" t="n">
        <v>1</v>
      </c>
      <c r="H92" s="11" t="n">
        <v>0</v>
      </c>
      <c r="I92" s="11" t="n">
        <v>0</v>
      </c>
      <c r="J92" s="11" t="n">
        <v>0</v>
      </c>
      <c r="K92" s="11" t="n">
        <v>0</v>
      </c>
      <c r="L92" s="11" t="n">
        <v>0</v>
      </c>
      <c r="M92" s="14" t="n">
        <f aca="false">10+30+20+10+30+20</f>
        <v>120</v>
      </c>
      <c r="N92" s="22" t="n">
        <f aca="false">IF(M92&gt;0,3600/M92,0)</f>
        <v>30</v>
      </c>
      <c r="O92" s="7" t="n">
        <f aca="false">N92*$B$6</f>
        <v>4500</v>
      </c>
      <c r="P92" s="4" t="s">
        <v>237</v>
      </c>
      <c r="Q92" s="4"/>
    </row>
    <row r="93" customFormat="false" ht="15" hidden="false" customHeight="false" outlineLevel="0" collapsed="false">
      <c r="A93" s="19" t="n">
        <v>22</v>
      </c>
      <c r="B93" s="4" t="s">
        <v>238</v>
      </c>
      <c r="C93" s="4" t="s">
        <v>239</v>
      </c>
      <c r="D93" s="9" t="s">
        <v>177</v>
      </c>
      <c r="E93" s="11" t="n">
        <v>1</v>
      </c>
      <c r="F93" s="11" t="n">
        <v>1</v>
      </c>
      <c r="G93" s="11" t="n">
        <v>1</v>
      </c>
      <c r="H93" s="11" t="n">
        <v>0</v>
      </c>
      <c r="I93" s="11" t="n">
        <v>0</v>
      </c>
      <c r="J93" s="11" t="n">
        <v>0</v>
      </c>
      <c r="K93" s="11" t="n">
        <v>0</v>
      </c>
      <c r="L93" s="11" t="n">
        <v>0</v>
      </c>
      <c r="M93" s="14" t="n">
        <f aca="false">3+15+10+20+15+10</f>
        <v>73</v>
      </c>
      <c r="N93" s="22" t="n">
        <f aca="false">IF(M93&gt;0,3600/M93,0)</f>
        <v>49.3150684931507</v>
      </c>
      <c r="O93" s="7" t="n">
        <f aca="false">N93*$B$6</f>
        <v>7397.2602739726</v>
      </c>
      <c r="P93" s="4" t="s">
        <v>240</v>
      </c>
      <c r="Q93" s="4"/>
    </row>
    <row r="94" customFormat="false" ht="15" hidden="false" customHeight="false" outlineLevel="0" collapsed="false">
      <c r="A94" s="19" t="n">
        <v>23</v>
      </c>
      <c r="B94" s="4" t="s">
        <v>241</v>
      </c>
      <c r="C94" s="4" t="s">
        <v>242</v>
      </c>
      <c r="D94" s="9" t="s">
        <v>169</v>
      </c>
      <c r="E94" s="11" t="n">
        <v>0</v>
      </c>
      <c r="F94" s="11" t="n">
        <v>0</v>
      </c>
      <c r="G94" s="11" t="n">
        <v>0</v>
      </c>
      <c r="H94" s="11" t="n">
        <f aca="false">$B$28</f>
        <v>1</v>
      </c>
      <c r="I94" s="11" t="n">
        <f aca="false">$B$28</f>
        <v>1</v>
      </c>
      <c r="J94" s="11" t="n">
        <f aca="false">$B$28</f>
        <v>1</v>
      </c>
      <c r="K94" s="11" t="n">
        <f aca="false">$B$15+$B$29</f>
        <v>0.25</v>
      </c>
      <c r="L94" s="11" t="n">
        <f aca="false">$B$15+$B$25</f>
        <v>0.25</v>
      </c>
      <c r="M94" s="14" t="n">
        <f aca="false">120+50</f>
        <v>170</v>
      </c>
      <c r="N94" s="22" t="n">
        <f aca="false">IF(M94&gt;0,3600/M94,0)</f>
        <v>21.1764705882353</v>
      </c>
      <c r="O94" s="7" t="n">
        <f aca="false">N94*$B$6</f>
        <v>3176.47058823529</v>
      </c>
      <c r="P94" s="4" t="s">
        <v>243</v>
      </c>
      <c r="Q94" s="4"/>
    </row>
    <row r="95" customFormat="false" ht="15" hidden="false" customHeight="false" outlineLevel="0" collapsed="false">
      <c r="A95" s="19" t="n">
        <v>24</v>
      </c>
      <c r="B95" s="4" t="s">
        <v>244</v>
      </c>
      <c r="C95" s="4" t="s">
        <v>245</v>
      </c>
      <c r="D95" s="9" t="s">
        <v>177</v>
      </c>
      <c r="E95" s="11" t="n">
        <v>0</v>
      </c>
      <c r="F95" s="11" t="n">
        <v>0</v>
      </c>
      <c r="G95" s="11" t="n">
        <v>0</v>
      </c>
      <c r="H95" s="11" t="n">
        <v>0</v>
      </c>
      <c r="I95" s="11" t="n">
        <v>0</v>
      </c>
      <c r="J95" s="11" t="n">
        <v>0</v>
      </c>
      <c r="K95" s="11" t="n">
        <v>0</v>
      </c>
      <c r="L95" s="11" t="n">
        <f aca="false">$B$15+$B$25</f>
        <v>0.25</v>
      </c>
      <c r="M95" s="14" t="n">
        <f aca="false">300+40+60+30</f>
        <v>430</v>
      </c>
      <c r="N95" s="22" t="n">
        <f aca="false">IF(M95&gt;0,3600/M95,0)</f>
        <v>8.37209302325582</v>
      </c>
      <c r="O95" s="7" t="n">
        <f aca="false">N95*$B$6</f>
        <v>1255.81395348837</v>
      </c>
      <c r="P95" s="4" t="s">
        <v>246</v>
      </c>
      <c r="Q95" s="4"/>
    </row>
    <row r="96" customFormat="false" ht="23.85" hidden="false" customHeight="false" outlineLevel="0" collapsed="false">
      <c r="A96" s="19" t="n">
        <v>25</v>
      </c>
      <c r="B96" s="4" t="s">
        <v>247</v>
      </c>
      <c r="C96" s="4" t="s">
        <v>248</v>
      </c>
      <c r="D96" s="9" t="s">
        <v>169</v>
      </c>
      <c r="E96" s="11" t="n">
        <v>0</v>
      </c>
      <c r="F96" s="11" t="n">
        <v>0</v>
      </c>
      <c r="G96" s="11" t="n">
        <v>0</v>
      </c>
      <c r="H96" s="11" t="n">
        <v>0</v>
      </c>
      <c r="I96" s="11" t="n">
        <v>0</v>
      </c>
      <c r="J96" s="11" t="n">
        <v>0</v>
      </c>
      <c r="K96" s="11" t="n">
        <f aca="false">1-($B$15+$B$29+$B$25)</f>
        <v>0.7</v>
      </c>
      <c r="L96" s="11" t="n">
        <f aca="false">1-($B$15+$B$25)</f>
        <v>0.75</v>
      </c>
      <c r="M96" s="14" t="n">
        <f aca="false">30+10</f>
        <v>40</v>
      </c>
      <c r="N96" s="22" t="n">
        <f aca="false">IF(M96&gt;0,3600/M96,0)</f>
        <v>90</v>
      </c>
      <c r="O96" s="7" t="n">
        <f aca="false">N96*$B$6</f>
        <v>13500</v>
      </c>
      <c r="P96" s="4" t="s">
        <v>249</v>
      </c>
      <c r="Q96" s="4" t="s">
        <v>250</v>
      </c>
    </row>
    <row r="97" customFormat="false" ht="23.85" hidden="false" customHeight="false" outlineLevel="0" collapsed="false">
      <c r="A97" s="19" t="n">
        <v>26</v>
      </c>
      <c r="B97" s="4" t="s">
        <v>251</v>
      </c>
      <c r="C97" s="4" t="s">
        <v>252</v>
      </c>
      <c r="D97" s="9" t="s">
        <v>177</v>
      </c>
      <c r="E97" s="11" t="n">
        <v>1</v>
      </c>
      <c r="F97" s="11" t="n">
        <v>1</v>
      </c>
      <c r="G97" s="11" t="n">
        <v>1</v>
      </c>
      <c r="H97" s="11" t="n">
        <v>1</v>
      </c>
      <c r="I97" s="11" t="n">
        <v>1</v>
      </c>
      <c r="J97" s="11" t="n">
        <v>1</v>
      </c>
      <c r="K97" s="11" t="n">
        <v>1</v>
      </c>
      <c r="L97" s="11" t="n">
        <v>1</v>
      </c>
      <c r="M97" s="14" t="n">
        <f aca="false">5+45+10+10+10</f>
        <v>80</v>
      </c>
      <c r="N97" s="22" t="n">
        <f aca="false">IF(M97&gt;0,3600/M97,0)</f>
        <v>45</v>
      </c>
      <c r="O97" s="7" t="n">
        <f aca="false">N97*$B$6</f>
        <v>6750</v>
      </c>
      <c r="P97" s="4" t="s">
        <v>253</v>
      </c>
      <c r="Q97" s="4"/>
    </row>
    <row r="98" customFormat="false" ht="15" hidden="false" customHeight="false" outlineLevel="0" collapsed="false">
      <c r="A98" s="19" t="n">
        <v>27</v>
      </c>
      <c r="B98" s="4" t="s">
        <v>254</v>
      </c>
      <c r="C98" s="4" t="s">
        <v>255</v>
      </c>
      <c r="D98" s="9" t="s">
        <v>169</v>
      </c>
      <c r="E98" s="11" t="n">
        <v>1</v>
      </c>
      <c r="F98" s="11" t="n">
        <v>1</v>
      </c>
      <c r="G98" s="11" t="n">
        <v>1</v>
      </c>
      <c r="H98" s="11" t="n">
        <v>1</v>
      </c>
      <c r="I98" s="11" t="n">
        <v>1</v>
      </c>
      <c r="J98" s="11" t="n">
        <v>1</v>
      </c>
      <c r="K98" s="11" t="n">
        <v>1</v>
      </c>
      <c r="L98" s="11" t="n">
        <v>1</v>
      </c>
      <c r="M98" s="14" t="n">
        <f aca="false">15+25+15+10+15+6</f>
        <v>86</v>
      </c>
      <c r="N98" s="22" t="n">
        <f aca="false">IF(M98&gt;0,3600/M98,0)</f>
        <v>41.8604651162791</v>
      </c>
      <c r="O98" s="7" t="n">
        <f aca="false">N98*$B$6</f>
        <v>6279.06976744186</v>
      </c>
      <c r="P98" s="4" t="s">
        <v>256</v>
      </c>
      <c r="Q98" s="4" t="s">
        <v>257</v>
      </c>
    </row>
    <row r="99" customFormat="false" ht="15" hidden="false" customHeight="false" outlineLevel="0" collapsed="false">
      <c r="A99" s="19" t="n">
        <v>28</v>
      </c>
      <c r="B99" s="4" t="s">
        <v>258</v>
      </c>
      <c r="C99" s="4" t="s">
        <v>259</v>
      </c>
      <c r="D99" s="9" t="s">
        <v>177</v>
      </c>
      <c r="E99" s="11" t="n">
        <f aca="false">$B$24</f>
        <v>0.08</v>
      </c>
      <c r="F99" s="11" t="n">
        <f aca="false">$B$24</f>
        <v>0.08</v>
      </c>
      <c r="G99" s="11" t="n">
        <f aca="false">$B$24</f>
        <v>0.08</v>
      </c>
      <c r="H99" s="11" t="n">
        <f aca="false">$B$24</f>
        <v>0.08</v>
      </c>
      <c r="I99" s="11" t="n">
        <f aca="false">$B$24</f>
        <v>0.08</v>
      </c>
      <c r="J99" s="11" t="n">
        <f aca="false">$B$24</f>
        <v>0.08</v>
      </c>
      <c r="K99" s="11" t="n">
        <f aca="false">$B$23</f>
        <v>0.0633333333333333</v>
      </c>
      <c r="L99" s="11" t="n">
        <f aca="false">$B$24</f>
        <v>0.08</v>
      </c>
      <c r="M99" s="14" t="n">
        <f aca="false">30+120+90+60+90</f>
        <v>390</v>
      </c>
      <c r="N99" s="22" t="n">
        <f aca="false">IF(M99&gt;0,3600/M99,0)</f>
        <v>9.23076923076923</v>
      </c>
      <c r="O99" s="7" t="n">
        <f aca="false">N99*$B$6</f>
        <v>1384.61538461538</v>
      </c>
      <c r="P99" s="4" t="s">
        <v>260</v>
      </c>
      <c r="Q99" s="4" t="s">
        <v>261</v>
      </c>
    </row>
    <row r="100" customFormat="false" ht="35.05" hidden="false" customHeight="false" outlineLevel="0" collapsed="false">
      <c r="A100" s="19" t="n">
        <v>29</v>
      </c>
      <c r="B100" s="4" t="s">
        <v>262</v>
      </c>
      <c r="C100" s="4" t="s">
        <v>263</v>
      </c>
      <c r="D100" s="9" t="s">
        <v>177</v>
      </c>
      <c r="E100" s="12" t="s">
        <v>264</v>
      </c>
      <c r="F100" s="12" t="s">
        <v>264</v>
      </c>
      <c r="G100" s="12" t="s">
        <v>264</v>
      </c>
      <c r="H100" s="12" t="s">
        <v>264</v>
      </c>
      <c r="I100" s="12" t="s">
        <v>264</v>
      </c>
      <c r="J100" s="12" t="s">
        <v>264</v>
      </c>
      <c r="K100" s="12" t="s">
        <v>264</v>
      </c>
      <c r="L100" s="12" t="s">
        <v>264</v>
      </c>
      <c r="M100" s="14" t="n">
        <f aca="false">12+20+90+90+75+15</f>
        <v>302</v>
      </c>
      <c r="N100" s="22" t="n">
        <f aca="false">IF(M100&gt;0,3600/M100,0)</f>
        <v>11.9205298013245</v>
      </c>
      <c r="O100" s="7" t="n">
        <f aca="false">N100*$B$6</f>
        <v>1788.07947019868</v>
      </c>
      <c r="P100" s="4" t="s">
        <v>265</v>
      </c>
      <c r="Q100" s="4" t="s">
        <v>266</v>
      </c>
    </row>
    <row r="102" customFormat="false" ht="23.85" hidden="false" customHeight="false" outlineLevel="0" collapsed="false">
      <c r="A102" s="12" t="s">
        <v>264</v>
      </c>
      <c r="B102" s="4" t="s">
        <v>267</v>
      </c>
      <c r="C102" s="4" t="s">
        <v>268</v>
      </c>
      <c r="M102" s="14" t="n">
        <v>60</v>
      </c>
      <c r="N102" s="22" t="n">
        <f aca="false">IF(M102&gt;0,3600/M102,0)</f>
        <v>60</v>
      </c>
      <c r="Q102" s="4" t="s">
        <v>269</v>
      </c>
    </row>
  </sheetData>
  <mergeCells count="48">
    <mergeCell ref="C1:P1"/>
    <mergeCell ref="C2:P2"/>
    <mergeCell ref="C3:P3"/>
    <mergeCell ref="C4:P4"/>
    <mergeCell ref="C5:P5"/>
    <mergeCell ref="C6:P6"/>
    <mergeCell ref="C7:P7"/>
    <mergeCell ref="C8:P8"/>
    <mergeCell ref="C9:P9"/>
    <mergeCell ref="C12:P12"/>
    <mergeCell ref="C13:P13"/>
    <mergeCell ref="C14:P14"/>
    <mergeCell ref="C15:P15"/>
    <mergeCell ref="C16:P16"/>
    <mergeCell ref="C17:P17"/>
    <mergeCell ref="C18:P18"/>
    <mergeCell ref="C19:P19"/>
    <mergeCell ref="C20:P20"/>
    <mergeCell ref="C21:P21"/>
    <mergeCell ref="C22:P22"/>
    <mergeCell ref="C23:P23"/>
    <mergeCell ref="C24:P24"/>
    <mergeCell ref="C25:P25"/>
    <mergeCell ref="C26:P26"/>
    <mergeCell ref="C27:P27"/>
    <mergeCell ref="C28:P28"/>
    <mergeCell ref="C29:P29"/>
    <mergeCell ref="C30:P30"/>
    <mergeCell ref="C31:P31"/>
    <mergeCell ref="C32:P32"/>
    <mergeCell ref="E50:P50"/>
    <mergeCell ref="E51:P51"/>
    <mergeCell ref="E52:P52"/>
    <mergeCell ref="E53:P53"/>
    <mergeCell ref="E54:P54"/>
    <mergeCell ref="E55:P55"/>
    <mergeCell ref="E56:P56"/>
    <mergeCell ref="E57:P57"/>
    <mergeCell ref="E58:P58"/>
    <mergeCell ref="E59:P59"/>
    <mergeCell ref="E60:P60"/>
    <mergeCell ref="E61:P61"/>
    <mergeCell ref="E62:P62"/>
    <mergeCell ref="E63:P63"/>
    <mergeCell ref="E64:P64"/>
    <mergeCell ref="E65:P65"/>
    <mergeCell ref="E66:P66"/>
    <mergeCell ref="E67:P67"/>
  </mergeCells>
  <dataValidations count="2">
    <dataValidation allowBlank="false" errorStyle="stop" operator="between" showDropDown="false" showErrorMessage="false" showInputMessage="false" sqref="B51:B67" type="list">
      <formula1>$E$71:$L$71</formula1>
      <formula2>0</formula2>
    </dataValidation>
    <dataValidation allowBlank="false" errorStyle="stop" operator="between" showDropDown="false" showErrorMessage="false" showInputMessage="false" sqref="D72:D100" type="list">
      <formula1>"Máquina,Manual,Tercerizado"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15" min="3" style="0" width="9"/>
    <col collapsed="false" customWidth="true" hidden="false" outlineLevel="0" max="16" min="16" style="0" width="10"/>
    <col collapsed="false" customWidth="true" hidden="false" outlineLevel="0" max="17" min="17" style="0" width="14"/>
  </cols>
  <sheetData>
    <row r="1" customFormat="false" ht="23.85" hidden="false" customHeight="false" outlineLevel="0" collapsed="false">
      <c r="A1" s="23" t="n">
        <v>2026</v>
      </c>
      <c r="B1" s="3" t="s">
        <v>270</v>
      </c>
      <c r="C1" s="3" t="s">
        <v>271</v>
      </c>
      <c r="D1" s="3" t="s">
        <v>124</v>
      </c>
      <c r="E1" s="3" t="s">
        <v>125</v>
      </c>
      <c r="F1" s="3" t="s">
        <v>126</v>
      </c>
      <c r="G1" s="3" t="s">
        <v>127</v>
      </c>
      <c r="H1" s="3" t="s">
        <v>128</v>
      </c>
      <c r="I1" s="3" t="s">
        <v>129</v>
      </c>
      <c r="J1" s="3" t="s">
        <v>130</v>
      </c>
      <c r="K1" s="3" t="s">
        <v>131</v>
      </c>
      <c r="L1" s="3" t="s">
        <v>132</v>
      </c>
      <c r="M1" s="3" t="s">
        <v>133</v>
      </c>
      <c r="N1" s="3" t="s">
        <v>134</v>
      </c>
      <c r="O1" s="3" t="s">
        <v>135</v>
      </c>
      <c r="P1" s="3" t="s">
        <v>136</v>
      </c>
      <c r="Q1" s="3" t="s">
        <v>272</v>
      </c>
    </row>
    <row r="2" customFormat="false" ht="15" hidden="false" customHeight="false" outlineLevel="0" collapsed="false">
      <c r="A2" s="12" t="str">
        <f aca="false">parametros_recargas!A51</f>
        <v>ABC 1 kg</v>
      </c>
      <c r="B2" s="12" t="str">
        <f aca="false">parametros_recargas!B51</f>
        <v>ABC</v>
      </c>
      <c r="C2" s="24" t="n">
        <f aca="false">parametros_recargas!C51</f>
        <v>1</v>
      </c>
      <c r="D2" s="25" t="n">
        <f aca="false">datos_base!$B$2*parametros_recargas!$F$37+sobrestock_sustitutos!$B$175/12</f>
        <v>38.2930709400718</v>
      </c>
      <c r="E2" s="25" t="n">
        <f aca="false">datos_base!$B$2*parametros_recargas!$G$37+sobrestock_sustitutos!$B$175/12</f>
        <v>43.3980695009998</v>
      </c>
      <c r="F2" s="25" t="n">
        <f aca="false">datos_base!$B$2*parametros_recargas!$H$37+sobrestock_sustitutos!$B$175/12</f>
        <v>49.1836353203715</v>
      </c>
      <c r="G2" s="25" t="n">
        <f aca="false">datos_base!$B$2*parametros_recargas!$I$37+sobrestock_sustitutos!$B$175/12</f>
        <v>55.7404974723948</v>
      </c>
      <c r="H2" s="25" t="n">
        <f aca="false">datos_base!$B$2*parametros_recargas!$J$37+sobrestock_sustitutos!$B$175/12</f>
        <v>63.17148047784</v>
      </c>
      <c r="I2" s="25" t="n">
        <f aca="false">datos_base!$B$2*parametros_recargas!$K$37+sobrestock_sustitutos!$B$175/12</f>
        <v>71.5931167951716</v>
      </c>
      <c r="J2" s="25" t="n">
        <f aca="false">datos_base!$B$2*parametros_recargas!$L$37+sobrestock_sustitutos!$B$175/12</f>
        <v>81.137474279158</v>
      </c>
      <c r="K2" s="25" t="n">
        <f aca="false">datos_base!$B$2*parametros_recargas!$M$37+sobrestock_sustitutos!$B$175/12</f>
        <v>91.9542272651135</v>
      </c>
      <c r="L2" s="25" t="n">
        <f aca="false">datos_base!$B$2*parametros_recargas!$N$37+sobrestock_sustitutos!$B$175/12</f>
        <v>104.213003757453</v>
      </c>
      <c r="M2" s="25" t="n">
        <f aca="false">datos_base!$B$2*parametros_recargas!$O$37+sobrestock_sustitutos!$B$175/12</f>
        <v>118.106045531104</v>
      </c>
      <c r="N2" s="25" t="n">
        <f aca="false">datos_base!$B$2*parametros_recargas!$P$37+sobrestock_sustitutos!$B$175/12</f>
        <v>133.851222861403</v>
      </c>
      <c r="O2" s="25" t="n">
        <f aca="false">datos_base!$B$2*parametros_recargas!$Q$37+sobrestock_sustitutos!$B$175/12</f>
        <v>151.695451159397</v>
      </c>
      <c r="P2" s="7" t="n">
        <f aca="false">SUM(D2:O2)</f>
        <v>1002.33729536048</v>
      </c>
      <c r="Q2" s="13" t="n">
        <f aca="false">sobrestock_sustitutos!$B$175</f>
        <v>0</v>
      </c>
    </row>
    <row r="3" customFormat="false" ht="15" hidden="false" customHeight="false" outlineLevel="0" collapsed="false">
      <c r="A3" s="12" t="str">
        <f aca="false">parametros_recargas!A52</f>
        <v>ABC 2,5 kg</v>
      </c>
      <c r="B3" s="12" t="str">
        <f aca="false">parametros_recargas!B52</f>
        <v>ABC</v>
      </c>
      <c r="C3" s="24" t="n">
        <f aca="false">parametros_recargas!C52</f>
        <v>1</v>
      </c>
      <c r="D3" s="25" t="n">
        <f aca="false">datos_base!$B$3*parametros_recargas!$F$37+sobrestock_sustitutos!$B$176/12</f>
        <v>3.63383199887625</v>
      </c>
      <c r="E3" s="25" t="n">
        <f aca="false">datos_base!$B$3*parametros_recargas!$G$37+sobrestock_sustitutos!$B$176/12</f>
        <v>4.11827230803684</v>
      </c>
      <c r="F3" s="25" t="n">
        <f aca="false">datos_base!$B$3*parametros_recargas!$H$37+sobrestock_sustitutos!$B$176/12</f>
        <v>4.66729524325506</v>
      </c>
      <c r="G3" s="25" t="n">
        <f aca="false">datos_base!$B$3*parametros_recargas!$I$37+sobrestock_sustitutos!$B$176/12</f>
        <v>5.28951056616638</v>
      </c>
      <c r="H3" s="25" t="n">
        <f aca="false">datos_base!$B$3*parametros_recargas!$J$37+sobrestock_sustitutos!$B$176/12</f>
        <v>5.99467583929247</v>
      </c>
      <c r="I3" s="25" t="n">
        <f aca="false">datos_base!$B$3*parametros_recargas!$K$37+sobrestock_sustitutos!$B$176/12</f>
        <v>6.79384944385165</v>
      </c>
      <c r="J3" s="25" t="n">
        <f aca="false">datos_base!$B$3*parametros_recargas!$L$37+sobrestock_sustitutos!$B$176/12</f>
        <v>7.69956399697019</v>
      </c>
      <c r="K3" s="25" t="n">
        <f aca="false">datos_base!$B$3*parametros_recargas!$M$37+sobrestock_sustitutos!$B$176/12</f>
        <v>8.72602288781807</v>
      </c>
      <c r="L3" s="25" t="n">
        <f aca="false">datos_base!$B$3*parametros_recargas!$N$37+sobrestock_sustitutos!$B$176/12</f>
        <v>9.88932301474313</v>
      </c>
      <c r="M3" s="25" t="n">
        <f aca="false">datos_base!$B$3*parametros_recargas!$O$37+sobrestock_sustitutos!$B$176/12</f>
        <v>11.2077072163608</v>
      </c>
      <c r="N3" s="25" t="n">
        <f aca="false">datos_base!$B$3*parametros_recargas!$P$37+sobrestock_sustitutos!$B$176/12</f>
        <v>12.7018503552165</v>
      </c>
      <c r="O3" s="25" t="n">
        <f aca="false">datos_base!$B$3*parametros_recargas!$Q$37+sobrestock_sustitutos!$B$176/12</f>
        <v>14.3951835403763</v>
      </c>
      <c r="P3" s="7" t="n">
        <f aca="false">SUM(D3:O3)</f>
        <v>95.1170864109637</v>
      </c>
      <c r="Q3" s="13" t="n">
        <f aca="false">sobrestock_sustitutos!$B$176</f>
        <v>0</v>
      </c>
    </row>
    <row r="4" customFormat="false" ht="15" hidden="false" customHeight="false" outlineLevel="0" collapsed="false">
      <c r="A4" s="12" t="str">
        <f aca="false">parametros_recargas!A53</f>
        <v>ABC 5 kg</v>
      </c>
      <c r="B4" s="12" t="str">
        <f aca="false">parametros_recargas!B53</f>
        <v>ABC</v>
      </c>
      <c r="C4" s="24" t="n">
        <f aca="false">parametros_recargas!C53</f>
        <v>1</v>
      </c>
      <c r="D4" s="25" t="n">
        <f aca="false">datos_base!$B$4*parametros_recargas!$F$37+sobrestock_sustitutos!$B$177/12</f>
        <v>21.4772001276629</v>
      </c>
      <c r="E4" s="25" t="n">
        <f aca="false">datos_base!$B$4*parametros_recargas!$G$37+sobrestock_sustitutos!$B$177/12</f>
        <v>24.3404093990235</v>
      </c>
      <c r="F4" s="25" t="n">
        <f aca="false">datos_base!$B$4*parametros_recargas!$H$37+sobrestock_sustitutos!$B$177/12</f>
        <v>27.5853242597008</v>
      </c>
      <c r="G4" s="25" t="n">
        <f aca="false">datos_base!$B$4*parametros_recargas!$I$37+sobrestock_sustitutos!$B$177/12</f>
        <v>31.2628313697702</v>
      </c>
      <c r="H4" s="25" t="n">
        <f aca="false">datos_base!$B$4*parametros_recargas!$J$37+sobrestock_sustitutos!$B$177/12</f>
        <v>35.4306012883274</v>
      </c>
      <c r="I4" s="25" t="n">
        <f aca="false">datos_base!$B$4*parametros_recargas!$K$37+sobrestock_sustitutos!$B$177/12</f>
        <v>40.1539928615128</v>
      </c>
      <c r="J4" s="25" t="n">
        <f aca="false">datos_base!$B$4*parametros_recargas!$L$37+sobrestock_sustitutos!$B$177/12</f>
        <v>45.5070781780269</v>
      </c>
      <c r="K4" s="25" t="n">
        <f aca="false">datos_base!$B$4*parametros_recargas!$M$37+sobrestock_sustitutos!$B$177/12</f>
        <v>51.5738041654629</v>
      </c>
      <c r="L4" s="25" t="n">
        <f aca="false">datos_base!$B$4*parametros_recargas!$N$37+sobrestock_sustitutos!$B$177/12</f>
        <v>58.4493090435727</v>
      </c>
      <c r="M4" s="25" t="n">
        <f aca="false">datos_base!$B$4*parametros_recargas!$O$37+sobrestock_sustitutos!$B$177/12</f>
        <v>66.2414142790508</v>
      </c>
      <c r="N4" s="25" t="n">
        <f aca="false">datos_base!$B$4*parametros_recargas!$P$37+sobrestock_sustitutos!$B$177/12</f>
        <v>75.0723154386263</v>
      </c>
      <c r="O4" s="25" t="n">
        <f aca="false">datos_base!$B$4*parametros_recargas!$Q$37+sobrestock_sustitutos!$B$177/12</f>
        <v>85.0804984563709</v>
      </c>
      <c r="P4" s="7" t="n">
        <f aca="false">SUM(D4:O4)</f>
        <v>562.174778867108</v>
      </c>
      <c r="Q4" s="13" t="n">
        <f aca="false">sobrestock_sustitutos!$B$177</f>
        <v>0</v>
      </c>
    </row>
    <row r="5" customFormat="false" ht="15" hidden="false" customHeight="false" outlineLevel="0" collapsed="false">
      <c r="A5" s="12" t="str">
        <f aca="false">parametros_recargas!A54</f>
        <v>ABC 10 kg</v>
      </c>
      <c r="B5" s="12" t="str">
        <f aca="false">parametros_recargas!B54</f>
        <v>ABC</v>
      </c>
      <c r="C5" s="24" t="n">
        <f aca="false">parametros_recargas!C54</f>
        <v>1</v>
      </c>
      <c r="D5" s="25" t="n">
        <f aca="false">datos_base!$B$5*parametros_recargas!$F$37+sobrestock_sustitutos!$B$178/12</f>
        <v>1.30316733023751</v>
      </c>
      <c r="E5" s="25" t="n">
        <f aca="false">datos_base!$B$5*parametros_recargas!$G$37+sobrestock_sustitutos!$B$178/12</f>
        <v>1.47689764703352</v>
      </c>
      <c r="F5" s="25" t="n">
        <f aca="false">datos_base!$B$5*parametros_recargas!$H$37+sobrestock_sustitutos!$B$178/12</f>
        <v>1.67378862959649</v>
      </c>
      <c r="G5" s="25" t="n">
        <f aca="false">datos_base!$B$5*parametros_recargas!$I$37+sobrestock_sustitutos!$B$178/12</f>
        <v>1.89692791656462</v>
      </c>
      <c r="H5" s="25" t="n">
        <f aca="false">datos_base!$B$5*parametros_recargas!$J$37+sobrestock_sustitutos!$B$178/12</f>
        <v>2.14981477171921</v>
      </c>
      <c r="I5" s="25" t="n">
        <f aca="false">datos_base!$B$5*parametros_recargas!$K$37+sobrestock_sustitutos!$B$178/12</f>
        <v>2.43641495933706</v>
      </c>
      <c r="J5" s="25" t="n">
        <f aca="false">datos_base!$B$5*parametros_recargas!$L$37+sobrestock_sustitutos!$B$178/12</f>
        <v>2.76122293519003</v>
      </c>
      <c r="K5" s="25" t="n">
        <f aca="false">datos_base!$B$5*parametros_recargas!$M$37+sobrestock_sustitutos!$B$178/12</f>
        <v>3.12933232846921</v>
      </c>
      <c r="L5" s="25" t="n">
        <f aca="false">datos_base!$B$5*parametros_recargas!$N$37+sobrestock_sustitutos!$B$178/12</f>
        <v>3.5465158199291</v>
      </c>
      <c r="M5" s="25" t="n">
        <f aca="false">datos_base!$B$5*parametros_recargas!$O$37+sobrestock_sustitutos!$B$178/12</f>
        <v>4.01931566889865</v>
      </c>
      <c r="N5" s="25" t="n">
        <f aca="false">datos_base!$B$5*parametros_recargas!$P$37+sobrestock_sustitutos!$B$178/12</f>
        <v>4.55514630880095</v>
      </c>
      <c r="O5" s="25" t="n">
        <f aca="false">datos_base!$B$5*parametros_recargas!$Q$37+sobrestock_sustitutos!$B$178/12</f>
        <v>5.16241062008163</v>
      </c>
      <c r="P5" s="7" t="n">
        <f aca="false">SUM(D5:O5)</f>
        <v>34.110954935858</v>
      </c>
      <c r="Q5" s="13" t="n">
        <f aca="false">sobrestock_sustitutos!$B$178</f>
        <v>0</v>
      </c>
    </row>
    <row r="6" customFormat="false" ht="15" hidden="false" customHeight="false" outlineLevel="0" collapsed="false">
      <c r="A6" s="12" t="str">
        <f aca="false">parametros_recargas!A55</f>
        <v>Agua 10 l</v>
      </c>
      <c r="B6" s="12" t="str">
        <f aca="false">parametros_recargas!B55</f>
        <v>Agua</v>
      </c>
      <c r="C6" s="24" t="n">
        <f aca="false">parametros_recargas!C55</f>
        <v>1</v>
      </c>
      <c r="D6" s="25" t="n">
        <f aca="false">datos_base!$B$6*parametros_recargas!$F$37+sobrestock_sustitutos!$B$179/12</f>
        <v>1.75426372055771</v>
      </c>
      <c r="E6" s="25" t="n">
        <f aca="false">datos_base!$B$6*parametros_recargas!$G$37+sobrestock_sustitutos!$B$179/12</f>
        <v>1.98813145560958</v>
      </c>
      <c r="F6" s="25" t="n">
        <f aca="false">datos_base!$B$6*parametros_recargas!$H$37+sobrestock_sustitutos!$B$179/12</f>
        <v>2.25317701008356</v>
      </c>
      <c r="G6" s="25" t="n">
        <f aca="false">datos_base!$B$6*parametros_recargas!$I$37+sobrestock_sustitutos!$B$179/12</f>
        <v>2.55355682062405</v>
      </c>
      <c r="H6" s="25" t="n">
        <f aca="false">datos_base!$B$6*parametros_recargas!$J$37+sobrestock_sustitutos!$B$179/12</f>
        <v>2.89398143464716</v>
      </c>
      <c r="I6" s="25" t="n">
        <f aca="false">datos_base!$B$6*parametros_recargas!$K$37+sobrestock_sustitutos!$B$179/12</f>
        <v>3.27978938100766</v>
      </c>
      <c r="J6" s="25" t="n">
        <f aca="false">datos_base!$B$6*parametros_recargas!$L$37+sobrestock_sustitutos!$B$179/12</f>
        <v>3.71703088865258</v>
      </c>
      <c r="K6" s="25" t="n">
        <f aca="false">datos_base!$B$6*parametros_recargas!$M$37+sobrestock_sustitutos!$B$179/12</f>
        <v>4.21256276613486</v>
      </c>
      <c r="L6" s="25" t="n">
        <f aca="false">datos_base!$B$6*parametros_recargas!$N$37+sobrestock_sustitutos!$B$179/12</f>
        <v>4.77415592988483</v>
      </c>
      <c r="M6" s="25" t="n">
        <f aca="false">datos_base!$B$6*parametros_recargas!$O$37+sobrestock_sustitutos!$B$179/12</f>
        <v>5.4106172674947</v>
      </c>
      <c r="N6" s="25" t="n">
        <f aca="false">datos_base!$B$6*parametros_recargas!$P$37+sobrestock_sustitutos!$B$179/12</f>
        <v>6.13192774707257</v>
      </c>
      <c r="O6" s="25" t="n">
        <f aca="false">datos_base!$B$6*parametros_recargas!$Q$37+sobrestock_sustitutos!$B$179/12</f>
        <v>6.94939893849279</v>
      </c>
      <c r="P6" s="7" t="n">
        <f aca="false">SUM(D6:O6)</f>
        <v>45.9185933602621</v>
      </c>
      <c r="Q6" s="13" t="n">
        <f aca="false">sobrestock_sustitutos!$B$179</f>
        <v>0</v>
      </c>
    </row>
    <row r="7" customFormat="false" ht="15" hidden="false" customHeight="false" outlineLevel="0" collapsed="false">
      <c r="A7" s="12" t="str">
        <f aca="false">parametros_recargas!A56</f>
        <v>AFFF 10 l</v>
      </c>
      <c r="B7" s="12" t="str">
        <f aca="false">parametros_recargas!B56</f>
        <v>AFFF</v>
      </c>
      <c r="C7" s="24" t="n">
        <f aca="false">parametros_recargas!C56</f>
        <v>1</v>
      </c>
      <c r="D7" s="25" t="n">
        <f aca="false">datos_base!$B$7*parametros_recargas!$F$37+sobrestock_sustitutos!$B$180/12</f>
        <v>0.250609104509919</v>
      </c>
      <c r="E7" s="25" t="n">
        <f aca="false">datos_base!$B$7*parametros_recargas!$G$37+sobrestock_sustitutos!$B$180/12</f>
        <v>0.284018781155617</v>
      </c>
      <c r="F7" s="25" t="n">
        <f aca="false">datos_base!$B$7*parametros_recargas!$H$37+sobrestock_sustitutos!$B$180/12</f>
        <v>0.321882432032431</v>
      </c>
      <c r="G7" s="25" t="n">
        <f aca="false">datos_base!$B$7*parametros_recargas!$I$37+sobrestock_sustitutos!$B$180/12</f>
        <v>0.364793833807576</v>
      </c>
      <c r="H7" s="25" t="n">
        <f aca="false">datos_base!$B$7*parametros_recargas!$J$37+sobrestock_sustitutos!$B$180/12</f>
        <v>0.413425921830433</v>
      </c>
      <c r="I7" s="25" t="n">
        <f aca="false">datos_base!$B$7*parametros_recargas!$K$37+sobrestock_sustitutos!$B$180/12</f>
        <v>0.468541343085041</v>
      </c>
      <c r="J7" s="25" t="n">
        <f aca="false">datos_base!$B$7*parametros_recargas!$L$37+sobrestock_sustitutos!$B$180/12</f>
        <v>0.531004415997832</v>
      </c>
      <c r="K7" s="25" t="n">
        <f aca="false">datos_base!$B$7*parametros_recargas!$M$37+sobrestock_sustitutos!$B$180/12</f>
        <v>0.601794684653946</v>
      </c>
      <c r="L7" s="25" t="n">
        <f aca="false">datos_base!$B$7*parametros_recargas!$N$37+sobrestock_sustitutos!$B$180/12</f>
        <v>0.682022279978969</v>
      </c>
      <c r="M7" s="25" t="n">
        <f aca="false">datos_base!$B$7*parametros_recargas!$O$37+sobrestock_sustitutos!$B$180/12</f>
        <v>0.772945328779685</v>
      </c>
      <c r="N7" s="25" t="n">
        <f aca="false">datos_base!$B$7*parametros_recargas!$P$37+sobrestock_sustitutos!$B$180/12</f>
        <v>0.875989683651916</v>
      </c>
      <c r="O7" s="25" t="n">
        <f aca="false">datos_base!$B$7*parametros_recargas!$Q$37+sobrestock_sustitutos!$B$180/12</f>
        <v>0.992771283159285</v>
      </c>
      <c r="P7" s="7" t="n">
        <f aca="false">SUM(D7:O7)</f>
        <v>6.55979909264265</v>
      </c>
      <c r="Q7" s="13" t="n">
        <f aca="false">sobrestock_sustitutos!$B$180</f>
        <v>0</v>
      </c>
    </row>
    <row r="8" customFormat="false" ht="15" hidden="false" customHeight="false" outlineLevel="0" collapsed="false">
      <c r="A8" s="12" t="str">
        <f aca="false">parametros_recargas!A57</f>
        <v>AFFF 50 l s/ruedas</v>
      </c>
      <c r="B8" s="12" t="str">
        <f aca="false">parametros_recargas!B57</f>
        <v>AFFF</v>
      </c>
      <c r="C8" s="24" t="n">
        <f aca="false">parametros_recargas!C57</f>
        <v>3</v>
      </c>
      <c r="D8" s="25" t="n">
        <f aca="false">datos_base!$B$8*parametros_recargas!$F$37+sobrestock_sustitutos!$B$181/12</f>
        <v>0.125304546749098</v>
      </c>
      <c r="E8" s="25" t="n">
        <f aca="false">datos_base!$B$8*parametros_recargas!$G$37+sobrestock_sustitutos!$B$181/12</f>
        <v>0.142009384337939</v>
      </c>
      <c r="F8" s="25" t="n">
        <f aca="false">datos_base!$B$8*parametros_recargas!$H$37+sobrestock_sustitutos!$B$181/12</f>
        <v>0.160941208944485</v>
      </c>
      <c r="G8" s="25" t="n">
        <f aca="false">datos_base!$B$8*parametros_recargas!$I$37+sobrestock_sustitutos!$B$181/12</f>
        <v>0.182396908889297</v>
      </c>
      <c r="H8" s="25" t="n">
        <f aca="false">datos_base!$B$8*parametros_recargas!$J$37+sobrestock_sustitutos!$B$181/12</f>
        <v>0.206712951832282</v>
      </c>
      <c r="I8" s="25" t="n">
        <f aca="false">datos_base!$B$8*parametros_recargas!$K$37+sobrestock_sustitutos!$B$181/12</f>
        <v>0.234270661248705</v>
      </c>
      <c r="J8" s="25" t="n">
        <f aca="false">datos_base!$B$8*parametros_recargas!$L$37+sobrestock_sustitutos!$B$181/12</f>
        <v>0.265502196332792</v>
      </c>
      <c r="K8" s="25" t="n">
        <f aca="false">datos_base!$B$8*parametros_recargas!$M$37+sobrestock_sustitutos!$B$181/12</f>
        <v>0.300897329105593</v>
      </c>
      <c r="L8" s="25" t="n">
        <f aca="false">datos_base!$B$8*parametros_recargas!$N$37+sobrestock_sustitutos!$B$181/12</f>
        <v>0.34101112500551</v>
      </c>
      <c r="M8" s="25" t="n">
        <f aca="false">datos_base!$B$8*parametros_recargas!$O$37+sobrestock_sustitutos!$B$181/12</f>
        <v>0.386472647408296</v>
      </c>
      <c r="N8" s="25" t="n">
        <f aca="false">datos_base!$B$8*parametros_recargas!$P$37+sobrestock_sustitutos!$B$181/12</f>
        <v>0.437994822580536</v>
      </c>
      <c r="O8" s="25" t="n">
        <f aca="false">datos_base!$B$8*parametros_recargas!$Q$37+sobrestock_sustitutos!$B$181/12</f>
        <v>0.496385619768538</v>
      </c>
      <c r="P8" s="7" t="n">
        <f aca="false">SUM(D8:O8)</f>
        <v>3.27989940220307</v>
      </c>
      <c r="Q8" s="13" t="n">
        <f aca="false">sobrestock_sustitutos!$B$181</f>
        <v>0</v>
      </c>
    </row>
    <row r="9" customFormat="false" ht="15" hidden="false" customHeight="false" outlineLevel="0" collapsed="false">
      <c r="A9" s="12" t="str">
        <f aca="false">parametros_recargas!A58</f>
        <v>BC 5 kg</v>
      </c>
      <c r="B9" s="12" t="str">
        <f aca="false">parametros_recargas!B58</f>
        <v>BC</v>
      </c>
      <c r="C9" s="24" t="n">
        <f aca="false">parametros_recargas!C58</f>
        <v>1</v>
      </c>
      <c r="D9" s="25" t="n">
        <f aca="false">datos_base!$B$9*parametros_recargas!$F$37+sobrestock_sustitutos!$B$182/12</f>
        <v>0.0751827280494588</v>
      </c>
      <c r="E9" s="25" t="n">
        <f aca="false">datos_base!$B$9*parametros_recargas!$G$37+sobrestock_sustitutos!$B$182/12</f>
        <v>0.0852056306027635</v>
      </c>
      <c r="F9" s="25" t="n">
        <f aca="false">datos_base!$B$9*parametros_recargas!$H$37+sobrestock_sustitutos!$B$182/12</f>
        <v>0.0965647253666908</v>
      </c>
      <c r="G9" s="25" t="n">
        <f aca="false">datos_base!$B$9*parametros_recargas!$I$37+sobrestock_sustitutos!$B$182/12</f>
        <v>0.109438145333578</v>
      </c>
      <c r="H9" s="25" t="n">
        <f aca="false">datos_base!$B$9*parametros_recargas!$J$37+sobrestock_sustitutos!$B$182/12</f>
        <v>0.124027771099369</v>
      </c>
      <c r="I9" s="25" t="n">
        <f aca="false">datos_base!$B$9*parametros_recargas!$K$37+sobrestock_sustitutos!$B$182/12</f>
        <v>0.140562396749223</v>
      </c>
      <c r="J9" s="25" t="n">
        <f aca="false">datos_base!$B$9*parametros_recargas!$L$37+sobrestock_sustitutos!$B$182/12</f>
        <v>0.159301317799675</v>
      </c>
      <c r="K9" s="25" t="n">
        <f aca="false">datos_base!$B$9*parametros_recargas!$M$37+sobrestock_sustitutos!$B$182/12</f>
        <v>0.180538397463356</v>
      </c>
      <c r="L9" s="25" t="n">
        <f aca="false">datos_base!$B$9*parametros_recargas!$N$37+sobrestock_sustitutos!$B$182/12</f>
        <v>0.204606675003306</v>
      </c>
      <c r="M9" s="25" t="n">
        <f aca="false">datos_base!$B$9*parametros_recargas!$O$37+sobrestock_sustitutos!$B$182/12</f>
        <v>0.231883588444978</v>
      </c>
      <c r="N9" s="25" t="n">
        <f aca="false">datos_base!$B$9*parametros_recargas!$P$37+sobrestock_sustitutos!$B$182/12</f>
        <v>0.262796893548322</v>
      </c>
      <c r="O9" s="25" t="n">
        <f aca="false">datos_base!$B$9*parametros_recargas!$Q$37+sobrestock_sustitutos!$B$182/12</f>
        <v>0.297831371861123</v>
      </c>
      <c r="P9" s="7" t="n">
        <f aca="false">SUM(D9:O9)</f>
        <v>1.96793964132184</v>
      </c>
      <c r="Q9" s="13" t="n">
        <f aca="false">sobrestock_sustitutos!$B$182</f>
        <v>0</v>
      </c>
    </row>
    <row r="10" customFormat="false" ht="15" hidden="false" customHeight="false" outlineLevel="0" collapsed="false">
      <c r="A10" s="12" t="str">
        <f aca="false">parametros_recargas!A59</f>
        <v>Sales K 6 l</v>
      </c>
      <c r="B10" s="12" t="str">
        <f aca="false">parametros_recargas!B59</f>
        <v>Sales K</v>
      </c>
      <c r="C10" s="24" t="n">
        <f aca="false">parametros_recargas!C59</f>
        <v>1</v>
      </c>
      <c r="D10" s="25" t="n">
        <f aca="false">datos_base!$B$10*parametros_recargas!$F$37+sobrestock_sustitutos!$B$183/12</f>
        <v>0.902192769628676</v>
      </c>
      <c r="E10" s="25" t="n">
        <f aca="false">datos_base!$B$10*parametros_recargas!$G$37+sobrestock_sustitutos!$B$183/12</f>
        <v>1.02246760467238</v>
      </c>
      <c r="F10" s="25" t="n">
        <f aca="false">datos_base!$B$10*parametros_recargas!$H$37+sobrestock_sustitutos!$B$183/12</f>
        <v>1.15877674683067</v>
      </c>
      <c r="G10" s="25" t="n">
        <f aca="false">datos_base!$B$10*parametros_recargas!$I$37+sobrestock_sustitutos!$B$183/12</f>
        <v>1.31325779208988</v>
      </c>
      <c r="H10" s="25" t="n">
        <f aca="false">datos_base!$B$10*parametros_recargas!$J$37+sobrestock_sustitutos!$B$183/12</f>
        <v>1.48833330769004</v>
      </c>
      <c r="I10" s="25" t="n">
        <f aca="false">datos_base!$B$10*parametros_recargas!$K$37+sobrestock_sustitutos!$B$183/12</f>
        <v>1.68674882275357</v>
      </c>
      <c r="J10" s="25" t="n">
        <f aca="false">datos_base!$B$10*parametros_recargas!$L$37+sobrestock_sustitutos!$B$183/12</f>
        <v>1.91161588359285</v>
      </c>
      <c r="K10" s="25" t="n">
        <f aca="false">datos_base!$B$10*parametros_recargas!$M$37+sobrestock_sustitutos!$B$183/12</f>
        <v>2.16646084888855</v>
      </c>
      <c r="L10" s="25" t="n">
        <f aca="false">datos_base!$B$10*parametros_recargas!$N$37+sobrestock_sustitutos!$B$183/12</f>
        <v>2.45528018994352</v>
      </c>
      <c r="M10" s="25" t="n">
        <f aca="false">datos_base!$B$10*parametros_recargas!$O$37+sobrestock_sustitutos!$B$183/12</f>
        <v>2.78260316322901</v>
      </c>
      <c r="N10" s="25" t="n">
        <f aca="false">datos_base!$B$10*parametros_recargas!$P$37+sobrestock_sustitutos!$B$183/12</f>
        <v>3.15356283805239</v>
      </c>
      <c r="O10" s="25" t="n">
        <f aca="false">datos_base!$B$10*parametros_recargas!$Q$37+sobrestock_sustitutos!$B$183/12</f>
        <v>3.5739765932001</v>
      </c>
      <c r="P10" s="7" t="n">
        <f aca="false">SUM(D10:O10)</f>
        <v>23.6152765605716</v>
      </c>
      <c r="Q10" s="13" t="n">
        <f aca="false">sobrestock_sustitutos!$B$183</f>
        <v>0</v>
      </c>
    </row>
    <row r="11" customFormat="false" ht="15" hidden="false" customHeight="false" outlineLevel="0" collapsed="false">
      <c r="A11" s="12" t="str">
        <f aca="false">parametros_recargas!A60</f>
        <v>CO₂ 2 kg</v>
      </c>
      <c r="B11" s="12" t="str">
        <f aca="false">parametros_recargas!B60</f>
        <v>CO₂</v>
      </c>
      <c r="C11" s="24" t="n">
        <f aca="false">parametros_recargas!C60</f>
        <v>1</v>
      </c>
      <c r="D11" s="25" t="n">
        <f aca="false">datos_base!$B$11*parametros_recargas!$F$37+sobrestock_sustitutos!$B$184/12</f>
        <v>4.96206023846358</v>
      </c>
      <c r="E11" s="25" t="n">
        <f aca="false">datos_base!$B$11*parametros_recargas!$G$37+sobrestock_sustitutos!$B$184/12</f>
        <v>5.62357183193796</v>
      </c>
      <c r="F11" s="25" t="n">
        <f aca="false">datos_base!$B$11*parametros_recargas!$H$37+sobrestock_sustitutos!$B$184/12</f>
        <v>6.37327211464044</v>
      </c>
      <c r="G11" s="25" t="n">
        <f aca="false">datos_base!$B$11*parametros_recargas!$I$37+sobrestock_sustitutos!$B$184/12</f>
        <v>7.22291786450885</v>
      </c>
      <c r="H11" s="25" t="n">
        <f aca="false">datos_base!$B$11*parametros_recargas!$J$37+sobrestock_sustitutos!$B$184/12</f>
        <v>8.18583320137813</v>
      </c>
      <c r="I11" s="25" t="n">
        <f aca="false">datos_base!$B$11*parametros_recargas!$K$37+sobrestock_sustitutos!$B$184/12</f>
        <v>9.27711853543845</v>
      </c>
      <c r="J11" s="25" t="n">
        <f aca="false">datos_base!$B$11*parametros_recargas!$L$37+sobrestock_sustitutos!$B$184/12</f>
        <v>10.5138873714268</v>
      </c>
      <c r="K11" s="25" t="n">
        <f aca="false">datos_base!$B$11*parametros_recargas!$M$37+sobrestock_sustitutos!$B$184/12</f>
        <v>11.9155346821084</v>
      </c>
      <c r="L11" s="25" t="n">
        <f aca="false">datos_base!$B$11*parametros_recargas!$N$37+sobrestock_sustitutos!$B$184/12</f>
        <v>13.5040410596733</v>
      </c>
      <c r="M11" s="25" t="n">
        <f aca="false">datos_base!$B$11*parametros_recargas!$O$37+sobrestock_sustitutos!$B$184/12</f>
        <v>15.3043174147411</v>
      </c>
      <c r="N11" s="25" t="n">
        <f aca="false">datos_base!$B$11*parametros_recargas!$P$37+sobrestock_sustitutos!$B$184/12</f>
        <v>17.3445956285336</v>
      </c>
      <c r="O11" s="25" t="n">
        <f aca="false">datos_base!$B$11*parametros_recargas!$Q$37+sobrestock_sustitutos!$B$184/12</f>
        <v>19.6568712844117</v>
      </c>
      <c r="P11" s="7" t="n">
        <f aca="false">SUM(D11:O11)</f>
        <v>129.884021227262</v>
      </c>
      <c r="Q11" s="13" t="n">
        <f aca="false">sobrestock_sustitutos!$B$184</f>
        <v>0</v>
      </c>
    </row>
    <row r="12" customFormat="false" ht="15" hidden="false" customHeight="false" outlineLevel="0" collapsed="false">
      <c r="A12" s="12" t="str">
        <f aca="false">parametros_recargas!A61</f>
        <v>CO₂ 5 kg</v>
      </c>
      <c r="B12" s="12" t="str">
        <f aca="false">parametros_recargas!B61</f>
        <v>CO₂</v>
      </c>
      <c r="C12" s="24" t="n">
        <f aca="false">parametros_recargas!C61</f>
        <v>1</v>
      </c>
      <c r="D12" s="25" t="n">
        <f aca="false">datos_base!$B$12*parametros_recargas!$F$37+sobrestock_sustitutos!$B$185/12</f>
        <v>1.37835006929869</v>
      </c>
      <c r="E12" s="25" t="n">
        <f aca="false">datos_base!$B$12*parametros_recargas!$G$37+sobrestock_sustitutos!$B$185/12</f>
        <v>1.56210329011603</v>
      </c>
      <c r="F12" s="25" t="n">
        <f aca="false">datos_base!$B$12*parametros_recargas!$H$37+sobrestock_sustitutos!$B$185/12</f>
        <v>1.77035336910664</v>
      </c>
      <c r="G12" s="25" t="n">
        <f aca="false">datos_base!$B$12*parametros_recargas!$I$37+sobrestock_sustitutos!$B$185/12</f>
        <v>2.00636607792718</v>
      </c>
      <c r="H12" s="25" t="n">
        <f aca="false">datos_base!$B$12*parametros_recargas!$J$37+sobrestock_sustitutos!$B$185/12</f>
        <v>2.27384256098445</v>
      </c>
      <c r="I12" s="25" t="n">
        <f aca="false">datos_base!$B$12*parametros_recargas!$K$37+sobrestock_sustitutos!$B$185/12</f>
        <v>2.57697737667391</v>
      </c>
      <c r="J12" s="25" t="n">
        <f aca="false">datos_base!$B$12*parametros_recargas!$L$37+sobrestock_sustitutos!$B$185/12</f>
        <v>2.92052427632195</v>
      </c>
      <c r="K12" s="25" t="n">
        <f aca="false">datos_base!$B$12*parametros_recargas!$M$37+sobrestock_sustitutos!$B$185/12</f>
        <v>3.30987075237532</v>
      </c>
      <c r="L12" s="25" t="n">
        <f aca="false">datos_base!$B$12*parametros_recargas!$N$37+sobrestock_sustitutos!$B$185/12</f>
        <v>3.75112252490036</v>
      </c>
      <c r="M12" s="25" t="n">
        <f aca="false">datos_base!$B$12*parametros_recargas!$O$37+sobrestock_sustitutos!$B$185/12</f>
        <v>4.25119929130672</v>
      </c>
      <c r="N12" s="25" t="n">
        <f aca="false">datos_base!$B$12*parametros_recargas!$P$37+sobrestock_sustitutos!$B$185/12</f>
        <v>4.81794324084011</v>
      </c>
      <c r="O12" s="25" t="n">
        <f aca="false">datos_base!$B$12*parametros_recargas!$Q$37+sobrestock_sustitutos!$B$185/12</f>
        <v>5.46024203556496</v>
      </c>
      <c r="P12" s="7" t="n">
        <f aca="false">SUM(D12:O12)</f>
        <v>36.0788948654163</v>
      </c>
      <c r="Q12" s="13" t="n">
        <f aca="false">sobrestock_sustitutos!$B$185</f>
        <v>0</v>
      </c>
    </row>
    <row r="13" customFormat="false" ht="15" hidden="false" customHeight="false" outlineLevel="0" collapsed="false">
      <c r="A13" s="12" t="str">
        <f aca="false">parametros_recargas!A62</f>
        <v>HCFC/HFC 5 kg</v>
      </c>
      <c r="B13" s="12" t="str">
        <f aca="false">parametros_recargas!B62</f>
        <v>Halogenado</v>
      </c>
      <c r="C13" s="24" t="n">
        <f aca="false">parametros_recargas!C62</f>
        <v>1</v>
      </c>
      <c r="D13" s="25" t="n">
        <f aca="false">datos_base!$B$13*parametros_recargas!$F$37+sobrestock_sustitutos!$B$186/12</f>
        <v>0.20048728581028</v>
      </c>
      <c r="E13" s="25" t="n">
        <f aca="false">datos_base!$B$13*parametros_recargas!$G$37+sobrestock_sustitutos!$B$186/12</f>
        <v>0.227215027420442</v>
      </c>
      <c r="F13" s="25" t="n">
        <f aca="false">datos_base!$B$13*parametros_recargas!$H$37+sobrestock_sustitutos!$B$186/12</f>
        <v>0.257505948454637</v>
      </c>
      <c r="G13" s="25" t="n">
        <f aca="false">datos_base!$B$13*parametros_recargas!$I$37+sobrestock_sustitutos!$B$186/12</f>
        <v>0.291835070251857</v>
      </c>
      <c r="H13" s="25" t="n">
        <f aca="false">datos_base!$B$13*parametros_recargas!$J$37+sobrestock_sustitutos!$B$186/12</f>
        <v>0.33074074109752</v>
      </c>
      <c r="I13" s="25" t="n">
        <f aca="false">datos_base!$B$13*parametros_recargas!$K$37+sobrestock_sustitutos!$B$186/12</f>
        <v>0.374833078585559</v>
      </c>
      <c r="J13" s="25" t="n">
        <f aca="false">datos_base!$B$13*parametros_recargas!$L$37+sobrestock_sustitutos!$B$186/12</f>
        <v>0.424803537464715</v>
      </c>
      <c r="K13" s="25" t="n">
        <f aca="false">datos_base!$B$13*parametros_recargas!$M$37+sobrestock_sustitutos!$B$186/12</f>
        <v>0.481435753011709</v>
      </c>
      <c r="L13" s="25" t="n">
        <f aca="false">datos_base!$B$13*parametros_recargas!$N$37+sobrestock_sustitutos!$B$186/12</f>
        <v>0.545617829976765</v>
      </c>
      <c r="M13" s="25" t="n">
        <f aca="false">datos_base!$B$13*parametros_recargas!$O$37+sobrestock_sustitutos!$B$186/12</f>
        <v>0.618356269816366</v>
      </c>
      <c r="N13" s="25" t="n">
        <f aca="false">datos_base!$B$13*parametros_recargas!$P$37+sobrestock_sustitutos!$B$186/12</f>
        <v>0.700791754619701</v>
      </c>
      <c r="O13" s="25" t="n">
        <f aca="false">datos_base!$B$13*parametros_recargas!$Q$37+sobrestock_sustitutos!$B$186/12</f>
        <v>0.79421703525187</v>
      </c>
      <c r="P13" s="7" t="n">
        <f aca="false">SUM(D13:O13)</f>
        <v>5.24783933176142</v>
      </c>
      <c r="Q13" s="13" t="n">
        <f aca="false">sobrestock_sustitutos!$B$186</f>
        <v>0</v>
      </c>
    </row>
    <row r="14" customFormat="false" ht="15" hidden="false" customHeight="false" outlineLevel="0" collapsed="false">
      <c r="A14" s="12" t="str">
        <f aca="false">parametros_recargas!A63</f>
        <v>Clase D 9 l</v>
      </c>
      <c r="B14" s="12" t="str">
        <f aca="false">parametros_recargas!B63</f>
        <v>Clase D</v>
      </c>
      <c r="C14" s="24" t="n">
        <f aca="false">parametros_recargas!C63</f>
        <v>1</v>
      </c>
      <c r="D14" s="25" t="n">
        <f aca="false">datos_base!$B$14*parametros_recargas!$F$37+sobrestock_sustitutos!$B$187/12</f>
        <v>0.0751827280494588</v>
      </c>
      <c r="E14" s="25" t="n">
        <f aca="false">datos_base!$B$14*parametros_recargas!$G$37+sobrestock_sustitutos!$B$187/12</f>
        <v>0.0852056306027635</v>
      </c>
      <c r="F14" s="25" t="n">
        <f aca="false">datos_base!$B$14*parametros_recargas!$H$37+sobrestock_sustitutos!$B$187/12</f>
        <v>0.0965647253666908</v>
      </c>
      <c r="G14" s="25" t="n">
        <f aca="false">datos_base!$B$14*parametros_recargas!$I$37+sobrestock_sustitutos!$B$187/12</f>
        <v>0.109438145333578</v>
      </c>
      <c r="H14" s="25" t="n">
        <f aca="false">datos_base!$B$14*parametros_recargas!$J$37+sobrestock_sustitutos!$B$187/12</f>
        <v>0.124027771099369</v>
      </c>
      <c r="I14" s="25" t="n">
        <f aca="false">datos_base!$B$14*parametros_recargas!$K$37+sobrestock_sustitutos!$B$187/12</f>
        <v>0.140562396749223</v>
      </c>
      <c r="J14" s="25" t="n">
        <f aca="false">datos_base!$B$14*parametros_recargas!$L$37+sobrestock_sustitutos!$B$187/12</f>
        <v>0.159301317799675</v>
      </c>
      <c r="K14" s="25" t="n">
        <f aca="false">datos_base!$B$14*parametros_recargas!$M$37+sobrestock_sustitutos!$B$187/12</f>
        <v>0.180538397463356</v>
      </c>
      <c r="L14" s="25" t="n">
        <f aca="false">datos_base!$B$14*parametros_recargas!$N$37+sobrestock_sustitutos!$B$187/12</f>
        <v>0.204606675003306</v>
      </c>
      <c r="M14" s="25" t="n">
        <f aca="false">datos_base!$B$14*parametros_recargas!$O$37+sobrestock_sustitutos!$B$187/12</f>
        <v>0.231883588444978</v>
      </c>
      <c r="N14" s="25" t="n">
        <f aca="false">datos_base!$B$14*parametros_recargas!$P$37+sobrestock_sustitutos!$B$187/12</f>
        <v>0.262796893548322</v>
      </c>
      <c r="O14" s="25" t="n">
        <f aca="false">datos_base!$B$14*parametros_recargas!$Q$37+sobrestock_sustitutos!$B$187/12</f>
        <v>0.297831371861123</v>
      </c>
      <c r="P14" s="7" t="n">
        <f aca="false">SUM(D14:O14)</f>
        <v>1.96793964132184</v>
      </c>
      <c r="Q14" s="13" t="n">
        <f aca="false">sobrestock_sustitutos!$B$187</f>
        <v>0</v>
      </c>
    </row>
    <row r="15" customFormat="false" ht="15" hidden="false" customHeight="false" outlineLevel="0" collapsed="false">
      <c r="A15" s="12" t="str">
        <f aca="false">parametros_recargas!A64</f>
        <v>ABC 25 kg s/ruedas</v>
      </c>
      <c r="B15" s="12" t="str">
        <f aca="false">parametros_recargas!B64</f>
        <v>ABC</v>
      </c>
      <c r="C15" s="24" t="n">
        <f aca="false">parametros_recargas!C64</f>
        <v>3</v>
      </c>
      <c r="D15" s="25" t="n">
        <f aca="false">datos_base!$B$15*parametros_recargas!$F$37+sobrestock_sustitutos!$B$188/12</f>
        <v>0.194222055719894</v>
      </c>
      <c r="E15" s="25" t="n">
        <f aca="false">datos_base!$B$15*parametros_recargas!$G$37+sobrestock_sustitutos!$B$188/12</f>
        <v>0.22011455508361</v>
      </c>
      <c r="F15" s="25" t="n">
        <f aca="false">datos_base!$B$15*parametros_recargas!$H$37+sobrestock_sustitutos!$B$188/12</f>
        <v>0.249458884471548</v>
      </c>
      <c r="G15" s="25" t="n">
        <f aca="false">datos_base!$B$15*parametros_recargas!$I$37+sobrestock_sustitutos!$B$188/12</f>
        <v>0.282715220800147</v>
      </c>
      <c r="H15" s="25" t="n">
        <f aca="false">datos_base!$B$15*parametros_recargas!$J$37+sobrestock_sustitutos!$B$188/12</f>
        <v>0.320405088964439</v>
      </c>
      <c r="I15" s="25" t="n">
        <f aca="false">datos_base!$B$15*parametros_recargas!$K$37+sobrestock_sustitutos!$B$188/12</f>
        <v>0.363119540376216</v>
      </c>
      <c r="J15" s="25" t="n">
        <f aca="false">datos_base!$B$15*parametros_recargas!$L$37+sobrestock_sustitutos!$B$188/12</f>
        <v>0.411528421815014</v>
      </c>
      <c r="K15" s="25" t="n">
        <f aca="false">datos_base!$B$15*parametros_recargas!$M$37+sobrestock_sustitutos!$B$188/12</f>
        <v>0.466390879945739</v>
      </c>
      <c r="L15" s="25" t="n">
        <f aca="false">datos_base!$B$15*parametros_recargas!$N$37+sobrestock_sustitutos!$B$188/12</f>
        <v>0.528567266234502</v>
      </c>
      <c r="M15" s="25" t="n">
        <f aca="false">datos_base!$B$15*parametros_recargas!$O$37+sobrestock_sustitutos!$B$188/12</f>
        <v>0.599032628955179</v>
      </c>
      <c r="N15" s="25" t="n">
        <f aca="false">datos_base!$B$15*parametros_recargas!$P$37+sobrestock_sustitutos!$B$188/12</f>
        <v>0.678892003867964</v>
      </c>
      <c r="O15" s="25" t="n">
        <f aca="false">datos_base!$B$15*parametros_recargas!$Q$37+sobrestock_sustitutos!$B$188/12</f>
        <v>0.769397743357891</v>
      </c>
      <c r="P15" s="7" t="n">
        <f aca="false">SUM(D15:O15)</f>
        <v>5.08384428959214</v>
      </c>
      <c r="Q15" s="13" t="n">
        <f aca="false">sobrestock_sustitutos!$B$188</f>
        <v>0</v>
      </c>
    </row>
    <row r="16" customFormat="false" ht="15" hidden="false" customHeight="false" outlineLevel="0" collapsed="false">
      <c r="A16" s="12" t="str">
        <f aca="false">parametros_recargas!A65</f>
        <v>ABC 50 kg s/ruedas</v>
      </c>
      <c r="B16" s="12" t="str">
        <f aca="false">parametros_recargas!B65</f>
        <v>ABC</v>
      </c>
      <c r="C16" s="24" t="n">
        <f aca="false">parametros_recargas!C65</f>
        <v>3</v>
      </c>
      <c r="D16" s="25" t="n">
        <f aca="false">datos_base!$B$16*parametros_recargas!$F$37+sobrestock_sustitutos!$B$189/12</f>
        <v>0.427288515976734</v>
      </c>
      <c r="E16" s="25" t="n">
        <f aca="false">datos_base!$B$16*parametros_recargas!$G$37+sobrestock_sustitutos!$B$189/12</f>
        <v>0.484252013696099</v>
      </c>
      <c r="F16" s="25" t="n">
        <f aca="false">datos_base!$B$16*parametros_recargas!$H$37+sobrestock_sustitutos!$B$189/12</f>
        <v>0.548809537351328</v>
      </c>
      <c r="G16" s="25" t="n">
        <f aca="false">datos_base!$B$16*parametros_recargas!$I$37+sobrestock_sustitutos!$B$189/12</f>
        <v>0.621973476142934</v>
      </c>
      <c r="H16" s="25" t="n">
        <f aca="false">datos_base!$B$16*parametros_recargas!$J$37+sobrestock_sustitutos!$B$189/12</f>
        <v>0.704891184822244</v>
      </c>
      <c r="I16" s="25" t="n">
        <f aca="false">datos_base!$B$16*parametros_recargas!$K$37+sobrestock_sustitutos!$B$189/12</f>
        <v>0.798862976475097</v>
      </c>
      <c r="J16" s="25" t="n">
        <f aca="false">datos_base!$B$16*parametros_recargas!$L$37+sobrestock_sustitutos!$B$189/12</f>
        <v>0.905362513993681</v>
      </c>
      <c r="K16" s="25" t="n">
        <f aca="false">datos_base!$B$16*parametros_recargas!$M$37+sobrestock_sustitutos!$B$189/12</f>
        <v>1.02605992001497</v>
      </c>
      <c r="L16" s="25" t="n">
        <f aca="false">datos_base!$B$16*parametros_recargas!$N$37+sobrestock_sustitutos!$B$189/12</f>
        <v>1.16284796773514</v>
      </c>
      <c r="M16" s="25" t="n">
        <f aca="false">datos_base!$B$16*parametros_recargas!$O$37+sobrestock_sustitutos!$B$189/12</f>
        <v>1.31787176332354</v>
      </c>
      <c r="N16" s="25" t="n">
        <f aca="false">datos_base!$B$16*parametros_recargas!$P$37+sobrestock_sustitutos!$B$189/12</f>
        <v>1.49356238541501</v>
      </c>
      <c r="O16" s="25" t="n">
        <f aca="false">datos_base!$B$16*parametros_recargas!$Q$37+sobrestock_sustitutos!$B$189/12</f>
        <v>1.69267500921403</v>
      </c>
      <c r="P16" s="7" t="n">
        <f aca="false">SUM(D16:O16)</f>
        <v>11.1844572641608</v>
      </c>
      <c r="Q16" s="13" t="n">
        <f aca="false">sobrestock_sustitutos!$B$189</f>
        <v>0</v>
      </c>
    </row>
    <row r="17" customFormat="false" ht="15" hidden="false" customHeight="false" outlineLevel="0" collapsed="false">
      <c r="A17" s="12" t="str">
        <f aca="false">parametros_recargas!A66</f>
        <v>ABC 70 kg s/ruedas</v>
      </c>
      <c r="B17" s="12" t="str">
        <f aca="false">parametros_recargas!B66</f>
        <v>ABC</v>
      </c>
      <c r="C17" s="24" t="n">
        <f aca="false">parametros_recargas!C66</f>
        <v>3</v>
      </c>
      <c r="D17" s="25" t="n">
        <f aca="false">datos_base!$B$17*parametros_recargas!$F$37+sobrestock_sustitutos!$B$190/12</f>
        <v>0.093226581900391</v>
      </c>
      <c r="E17" s="25" t="n">
        <f aca="false">datos_base!$B$17*parametros_recargas!$G$37+sobrestock_sustitutos!$B$190/12</f>
        <v>0.105654980949048</v>
      </c>
      <c r="F17" s="25" t="n">
        <f aca="false">datos_base!$B$17*parametros_recargas!$H$37+sobrestock_sustitutos!$B$190/12</f>
        <v>0.11974025832322</v>
      </c>
      <c r="G17" s="25" t="n">
        <f aca="false">datos_base!$B$17*parametros_recargas!$I$37+sobrestock_sustitutos!$B$190/12</f>
        <v>0.135703298931318</v>
      </c>
      <c r="H17" s="25" t="n">
        <f aca="false">datos_base!$B$17*parametros_recargas!$J$37+sobrestock_sustitutos!$B$190/12</f>
        <v>0.153794434709949</v>
      </c>
      <c r="I17" s="25" t="n">
        <f aca="false">datos_base!$B$17*parametros_recargas!$K$37+sobrestock_sustitutos!$B$190/12</f>
        <v>0.174297370322026</v>
      </c>
      <c r="J17" s="25" t="n">
        <f aca="false">datos_base!$B$17*parametros_recargas!$L$37+sobrestock_sustitutos!$B$190/12</f>
        <v>0.197533632205018</v>
      </c>
      <c r="K17" s="25" t="n">
        <f aca="false">datos_base!$B$17*parametros_recargas!$M$37+sobrestock_sustitutos!$B$190/12</f>
        <v>0.22386761073914</v>
      </c>
      <c r="L17" s="25" t="n">
        <f aca="false">datos_base!$B$17*parametros_recargas!$N$37+sobrestock_sustitutos!$B$190/12</f>
        <v>0.253712274606664</v>
      </c>
      <c r="M17" s="25" t="n">
        <f aca="false">datos_base!$B$17*parametros_recargas!$O$37+sobrestock_sustitutos!$B$190/12</f>
        <v>0.287535646954725</v>
      </c>
      <c r="N17" s="25" t="n">
        <f aca="false">datos_base!$B$17*parametros_recargas!$P$37+sobrestock_sustitutos!$B$190/12</f>
        <v>0.325868144920651</v>
      </c>
      <c r="O17" s="25" t="n">
        <f aca="false">datos_base!$B$17*parametros_recargas!$Q$37+sobrestock_sustitutos!$B$190/12</f>
        <v>0.369310897618016</v>
      </c>
      <c r="P17" s="7" t="n">
        <f aca="false">SUM(D17:O17)</f>
        <v>2.44024513218017</v>
      </c>
      <c r="Q17" s="13" t="n">
        <f aca="false">sobrestock_sustitutos!$B$190</f>
        <v>0</v>
      </c>
    </row>
    <row r="18" customFormat="false" ht="15" hidden="false" customHeight="false" outlineLevel="0" collapsed="false">
      <c r="A18" s="12" t="str">
        <f aca="false">parametros_recargas!A67</f>
        <v>ABC 100 kg s/ruedas</v>
      </c>
      <c r="B18" s="12" t="str">
        <f aca="false">parametros_recargas!B67</f>
        <v>ABC</v>
      </c>
      <c r="C18" s="24" t="n">
        <f aca="false">parametros_recargas!C67</f>
        <v>3</v>
      </c>
      <c r="D18" s="25" t="n">
        <f aca="false">datos_base!$B$18*parametros_recargas!$F$37+sobrestock_sustitutos!$B$191/12</f>
        <v>0.0621510582708351</v>
      </c>
      <c r="E18" s="25" t="n">
        <f aca="false">datos_base!$B$18*parametros_recargas!$G$37+sobrestock_sustitutos!$B$191/12</f>
        <v>0.0704366581259448</v>
      </c>
      <c r="F18" s="25" t="n">
        <f aca="false">datos_base!$B$18*parametros_recargas!$H$37+sobrestock_sustitutos!$B$191/12</f>
        <v>0.0798268435966337</v>
      </c>
      <c r="G18" s="25" t="n">
        <f aca="false">datos_base!$B$18*parametros_recargas!$I$37+sobrestock_sustitutos!$B$191/12</f>
        <v>0.0904688712972062</v>
      </c>
      <c r="H18" s="25" t="n">
        <f aca="false">datos_base!$B$18*parametros_recargas!$J$37+sobrestock_sustitutos!$B$191/12</f>
        <v>0.102529629195255</v>
      </c>
      <c r="I18" s="25" t="n">
        <f aca="false">datos_base!$B$18*parametros_recargas!$K$37+sobrestock_sustitutos!$B$191/12</f>
        <v>0.116198253743894</v>
      </c>
      <c r="J18" s="25" t="n">
        <f aca="false">datos_base!$B$18*parametros_recargas!$L$37+sobrestock_sustitutos!$B$191/12</f>
        <v>0.131689095914094</v>
      </c>
      <c r="K18" s="25" t="n">
        <f aca="false">datos_base!$B$18*parametros_recargas!$M$37+sobrestock_sustitutos!$B$191/12</f>
        <v>0.149245082640347</v>
      </c>
      <c r="L18" s="25" t="n">
        <f aca="false">datos_base!$B$18*parametros_recargas!$N$37+sobrestock_sustitutos!$B$191/12</f>
        <v>0.169141526393759</v>
      </c>
      <c r="M18" s="25" t="n">
        <f aca="false">datos_base!$B$18*parametros_recargas!$O$37+sobrestock_sustitutos!$B$191/12</f>
        <v>0.191690442624181</v>
      </c>
      <c r="N18" s="25" t="n">
        <f aca="false">datos_base!$B$18*parametros_recargas!$P$37+sobrestock_sustitutos!$B$191/12</f>
        <v>0.217245442777382</v>
      </c>
      <c r="O18" s="25" t="n">
        <f aca="false">datos_base!$B$18*parametros_recargas!$Q$37+sobrestock_sustitutos!$B$191/12</f>
        <v>0.246207279619413</v>
      </c>
      <c r="P18" s="7" t="n">
        <f aca="false">SUM(D18:O18)</f>
        <v>1.62683018419895</v>
      </c>
      <c r="Q18" s="13" t="n">
        <f aca="false">sobrestock_sustitutos!$B$191</f>
        <v>0</v>
      </c>
    </row>
    <row r="19" customFormat="false" ht="15" hidden="false" customHeight="false" outlineLevel="0" collapsed="false">
      <c r="A19" s="6" t="s">
        <v>273</v>
      </c>
      <c r="D19" s="7" t="n">
        <f aca="false">SUM(D2:D18)</f>
        <v>75.2077917998332</v>
      </c>
      <c r="E19" s="7" t="n">
        <f aca="false">SUM(E2:E18)</f>
        <v>85.2340356994038</v>
      </c>
      <c r="F19" s="7" t="n">
        <f aca="false">SUM(F2:F18)</f>
        <v>96.5969172574928</v>
      </c>
      <c r="G19" s="7" t="n">
        <f aca="false">SUM(G2:G18)</f>
        <v>109.474628850833</v>
      </c>
      <c r="H19" s="7" t="n">
        <f aca="false">SUM(H2:H18)</f>
        <v>124.06911837653</v>
      </c>
      <c r="I19" s="7" t="n">
        <f aca="false">SUM(I2:I18)</f>
        <v>140.609256193082</v>
      </c>
      <c r="J19" s="7" t="n">
        <f aca="false">SUM(J2:J18)</f>
        <v>159.354424258662</v>
      </c>
      <c r="K19" s="7" t="n">
        <f aca="false">SUM(K2:K18)</f>
        <v>180.598583751409</v>
      </c>
      <c r="L19" s="7" t="n">
        <f aca="false">SUM(L2:L18)</f>
        <v>204.674884960038</v>
      </c>
      <c r="M19" s="7" t="n">
        <f aca="false">SUM(M2:M18)</f>
        <v>231.960891736937</v>
      </c>
      <c r="N19" s="7" t="n">
        <f aca="false">SUM(N2:N18)</f>
        <v>262.884502443475</v>
      </c>
      <c r="O19" s="7" t="n">
        <f aca="false">SUM(O2:O18)</f>
        <v>297.930660239607</v>
      </c>
      <c r="P19" s="7" t="n">
        <f aca="false">SUM(P2:P18)</f>
        <v>1968.5956955673</v>
      </c>
    </row>
    <row r="20" customFormat="false" ht="15" hidden="false" customHeight="false" outlineLevel="0" collapsed="false">
      <c r="A20" s="6" t="s">
        <v>274</v>
      </c>
    </row>
    <row r="21" customFormat="false" ht="15" hidden="false" customHeight="false" outlineLevel="0" collapsed="false">
      <c r="A21" s="4" t="s">
        <v>143</v>
      </c>
      <c r="D21" s="25" t="n">
        <f aca="false">SUMPRODUCT(($B$2:$B$18=$A21)*D$2:D$18*$C$2:$C$18)</f>
        <v>67.0379350324521</v>
      </c>
      <c r="E21" s="25" t="n">
        <f aca="false">SUMPRODUCT(($B$2:$B$18=$A21)*E$2:E$18*$C$2:$C$18)</f>
        <v>75.9750234786577</v>
      </c>
      <c r="F21" s="25" t="n">
        <f aca="false">SUMPRODUCT(($B$2:$B$18=$A21)*F$2:F$18*$C$2:$C$18)</f>
        <v>86.103550024152</v>
      </c>
      <c r="G21" s="25" t="n">
        <f aca="false">SUMPRODUCT(($B$2:$B$18=$A21)*G$2:G$18*$C$2:$C$18)</f>
        <v>97.5823499264108</v>
      </c>
      <c r="H21" s="25" t="n">
        <f aca="false">SUMPRODUCT(($B$2:$B$18=$A21)*H$2:H$18*$C$2:$C$18)</f>
        <v>110.591433390255</v>
      </c>
      <c r="I21" s="25" t="n">
        <f aca="false">SUMPRODUCT(($B$2:$B$18=$A21)*I$2:I$18*$C$2:$C$18)</f>
        <v>125.334808482625</v>
      </c>
      <c r="J21" s="25" t="n">
        <f aca="false">SUMPRODUCT(($B$2:$B$18=$A21)*J$2:J$18*$C$2:$C$18)</f>
        <v>142.043680381129</v>
      </c>
      <c r="K21" s="25" t="n">
        <f aca="false">SUMPRODUCT(($B$2:$B$18=$A21)*K$2:K$18*$C$2:$C$18)</f>
        <v>160.980077126884</v>
      </c>
      <c r="L21" s="25" t="n">
        <f aca="false">SUMPRODUCT(($B$2:$B$18=$A21)*L$2:L$18*$C$2:$C$18)</f>
        <v>182.440958740608</v>
      </c>
      <c r="M21" s="25" t="n">
        <f aca="false">SUMPRODUCT(($B$2:$B$18=$A21)*M$2:M$18*$C$2:$C$18)</f>
        <v>206.762874140987</v>
      </c>
      <c r="N21" s="25" t="n">
        <f aca="false">SUMPRODUCT(($B$2:$B$18=$A21)*N$2:N$18*$C$2:$C$18)</f>
        <v>234.32723889499</v>
      </c>
      <c r="O21" s="25" t="n">
        <f aca="false">SUMPRODUCT(($B$2:$B$18=$A21)*O$2:O$18*$C$2:$C$18)</f>
        <v>265.566316565654</v>
      </c>
      <c r="P21" s="25" t="n">
        <f aca="false">SUMPRODUCT(($B$2:$B$18=$A21)*P$2:P$18*$C$2:$C$18)</f>
        <v>1754.7462461848</v>
      </c>
    </row>
    <row r="22" customFormat="false" ht="15" hidden="false" customHeight="false" outlineLevel="0" collapsed="false">
      <c r="A22" s="4" t="s">
        <v>149</v>
      </c>
      <c r="D22" s="25" t="n">
        <f aca="false">SUMPRODUCT(($B$2:$B$18=$A22)*D$2:D$18*$C$2:$C$18)</f>
        <v>0.0751827280494588</v>
      </c>
      <c r="E22" s="25" t="n">
        <f aca="false">SUMPRODUCT(($B$2:$B$18=$A22)*E$2:E$18*$C$2:$C$18)</f>
        <v>0.0852056306027635</v>
      </c>
      <c r="F22" s="25" t="n">
        <f aca="false">SUMPRODUCT(($B$2:$B$18=$A22)*F$2:F$18*$C$2:$C$18)</f>
        <v>0.0965647253666908</v>
      </c>
      <c r="G22" s="25" t="n">
        <f aca="false">SUMPRODUCT(($B$2:$B$18=$A22)*G$2:G$18*$C$2:$C$18)</f>
        <v>0.109438145333578</v>
      </c>
      <c r="H22" s="25" t="n">
        <f aca="false">SUMPRODUCT(($B$2:$B$18=$A22)*H$2:H$18*$C$2:$C$18)</f>
        <v>0.124027771099369</v>
      </c>
      <c r="I22" s="25" t="n">
        <f aca="false">SUMPRODUCT(($B$2:$B$18=$A22)*I$2:I$18*$C$2:$C$18)</f>
        <v>0.140562396749223</v>
      </c>
      <c r="J22" s="25" t="n">
        <f aca="false">SUMPRODUCT(($B$2:$B$18=$A22)*J$2:J$18*$C$2:$C$18)</f>
        <v>0.159301317799675</v>
      </c>
      <c r="K22" s="25" t="n">
        <f aca="false">SUMPRODUCT(($B$2:$B$18=$A22)*K$2:K$18*$C$2:$C$18)</f>
        <v>0.180538397463356</v>
      </c>
      <c r="L22" s="25" t="n">
        <f aca="false">SUMPRODUCT(($B$2:$B$18=$A22)*L$2:L$18*$C$2:$C$18)</f>
        <v>0.204606675003306</v>
      </c>
      <c r="M22" s="25" t="n">
        <f aca="false">SUMPRODUCT(($B$2:$B$18=$A22)*M$2:M$18*$C$2:$C$18)</f>
        <v>0.231883588444978</v>
      </c>
      <c r="N22" s="25" t="n">
        <f aca="false">SUMPRODUCT(($B$2:$B$18=$A22)*N$2:N$18*$C$2:$C$18)</f>
        <v>0.262796893548322</v>
      </c>
      <c r="O22" s="25" t="n">
        <f aca="false">SUMPRODUCT(($B$2:$B$18=$A22)*O$2:O$18*$C$2:$C$18)</f>
        <v>0.297831371861123</v>
      </c>
      <c r="P22" s="25" t="n">
        <f aca="false">SUMPRODUCT(($B$2:$B$18=$A22)*P$2:P$18*$C$2:$C$18)</f>
        <v>1.96793964132184</v>
      </c>
    </row>
    <row r="23" customFormat="false" ht="15" hidden="false" customHeight="false" outlineLevel="0" collapsed="false">
      <c r="A23" s="4" t="s">
        <v>155</v>
      </c>
      <c r="D23" s="25" t="n">
        <f aca="false">SUMPRODUCT(($B$2:$B$18=$A23)*D$2:D$18*$C$2:$C$18)</f>
        <v>0.0751827280494588</v>
      </c>
      <c r="E23" s="25" t="n">
        <f aca="false">SUMPRODUCT(($B$2:$B$18=$A23)*E$2:E$18*$C$2:$C$18)</f>
        <v>0.0852056306027635</v>
      </c>
      <c r="F23" s="25" t="n">
        <f aca="false">SUMPRODUCT(($B$2:$B$18=$A23)*F$2:F$18*$C$2:$C$18)</f>
        <v>0.0965647253666908</v>
      </c>
      <c r="G23" s="25" t="n">
        <f aca="false">SUMPRODUCT(($B$2:$B$18=$A23)*G$2:G$18*$C$2:$C$18)</f>
        <v>0.109438145333578</v>
      </c>
      <c r="H23" s="25" t="n">
        <f aca="false">SUMPRODUCT(($B$2:$B$18=$A23)*H$2:H$18*$C$2:$C$18)</f>
        <v>0.124027771099369</v>
      </c>
      <c r="I23" s="25" t="n">
        <f aca="false">SUMPRODUCT(($B$2:$B$18=$A23)*I$2:I$18*$C$2:$C$18)</f>
        <v>0.140562396749223</v>
      </c>
      <c r="J23" s="25" t="n">
        <f aca="false">SUMPRODUCT(($B$2:$B$18=$A23)*J$2:J$18*$C$2:$C$18)</f>
        <v>0.159301317799675</v>
      </c>
      <c r="K23" s="25" t="n">
        <f aca="false">SUMPRODUCT(($B$2:$B$18=$A23)*K$2:K$18*$C$2:$C$18)</f>
        <v>0.180538397463356</v>
      </c>
      <c r="L23" s="25" t="n">
        <f aca="false">SUMPRODUCT(($B$2:$B$18=$A23)*L$2:L$18*$C$2:$C$18)</f>
        <v>0.204606675003306</v>
      </c>
      <c r="M23" s="25" t="n">
        <f aca="false">SUMPRODUCT(($B$2:$B$18=$A23)*M$2:M$18*$C$2:$C$18)</f>
        <v>0.231883588444978</v>
      </c>
      <c r="N23" s="25" t="n">
        <f aca="false">SUMPRODUCT(($B$2:$B$18=$A23)*N$2:N$18*$C$2:$C$18)</f>
        <v>0.262796893548322</v>
      </c>
      <c r="O23" s="25" t="n">
        <f aca="false">SUMPRODUCT(($B$2:$B$18=$A23)*O$2:O$18*$C$2:$C$18)</f>
        <v>0.297831371861123</v>
      </c>
      <c r="P23" s="25" t="n">
        <f aca="false">SUMPRODUCT(($B$2:$B$18=$A23)*P$2:P$18*$C$2:$C$18)</f>
        <v>1.96793964132184</v>
      </c>
    </row>
    <row r="24" customFormat="false" ht="15" hidden="false" customHeight="false" outlineLevel="0" collapsed="false">
      <c r="A24" s="4" t="s">
        <v>146</v>
      </c>
      <c r="D24" s="25" t="n">
        <f aca="false">SUMPRODUCT(($B$2:$B$18=$A24)*D$2:D$18*$C$2:$C$18)</f>
        <v>1.75426372055771</v>
      </c>
      <c r="E24" s="25" t="n">
        <f aca="false">SUMPRODUCT(($B$2:$B$18=$A24)*E$2:E$18*$C$2:$C$18)</f>
        <v>1.98813145560958</v>
      </c>
      <c r="F24" s="25" t="n">
        <f aca="false">SUMPRODUCT(($B$2:$B$18=$A24)*F$2:F$18*$C$2:$C$18)</f>
        <v>2.25317701008356</v>
      </c>
      <c r="G24" s="25" t="n">
        <f aca="false">SUMPRODUCT(($B$2:$B$18=$A24)*G$2:G$18*$C$2:$C$18)</f>
        <v>2.55355682062405</v>
      </c>
      <c r="H24" s="25" t="n">
        <f aca="false">SUMPRODUCT(($B$2:$B$18=$A24)*H$2:H$18*$C$2:$C$18)</f>
        <v>2.89398143464716</v>
      </c>
      <c r="I24" s="25" t="n">
        <f aca="false">SUMPRODUCT(($B$2:$B$18=$A24)*I$2:I$18*$C$2:$C$18)</f>
        <v>3.27978938100766</v>
      </c>
      <c r="J24" s="25" t="n">
        <f aca="false">SUMPRODUCT(($B$2:$B$18=$A24)*J$2:J$18*$C$2:$C$18)</f>
        <v>3.71703088865258</v>
      </c>
      <c r="K24" s="25" t="n">
        <f aca="false">SUMPRODUCT(($B$2:$B$18=$A24)*K$2:K$18*$C$2:$C$18)</f>
        <v>4.21256276613486</v>
      </c>
      <c r="L24" s="25" t="n">
        <f aca="false">SUMPRODUCT(($B$2:$B$18=$A24)*L$2:L$18*$C$2:$C$18)</f>
        <v>4.77415592988483</v>
      </c>
      <c r="M24" s="25" t="n">
        <f aca="false">SUMPRODUCT(($B$2:$B$18=$A24)*M$2:M$18*$C$2:$C$18)</f>
        <v>5.4106172674947</v>
      </c>
      <c r="N24" s="25" t="n">
        <f aca="false">SUMPRODUCT(($B$2:$B$18=$A24)*N$2:N$18*$C$2:$C$18)</f>
        <v>6.13192774707257</v>
      </c>
      <c r="O24" s="25" t="n">
        <f aca="false">SUMPRODUCT(($B$2:$B$18=$A24)*O$2:O$18*$C$2:$C$18)</f>
        <v>6.94939893849279</v>
      </c>
      <c r="P24" s="25" t="n">
        <f aca="false">SUMPRODUCT(($B$2:$B$18=$A24)*P$2:P$18*$C$2:$C$18)</f>
        <v>45.9185933602621</v>
      </c>
    </row>
    <row r="25" customFormat="false" ht="15" hidden="false" customHeight="false" outlineLevel="0" collapsed="false">
      <c r="A25" s="4" t="s">
        <v>147</v>
      </c>
      <c r="D25" s="25" t="n">
        <f aca="false">SUMPRODUCT(($B$2:$B$18=$A25)*D$2:D$18*$C$2:$C$18)</f>
        <v>0.626522744757213</v>
      </c>
      <c r="E25" s="25" t="n">
        <f aca="false">SUMPRODUCT(($B$2:$B$18=$A25)*E$2:E$18*$C$2:$C$18)</f>
        <v>0.710046934169435</v>
      </c>
      <c r="F25" s="25" t="n">
        <f aca="false">SUMPRODUCT(($B$2:$B$18=$A25)*F$2:F$18*$C$2:$C$18)</f>
        <v>0.804706058865885</v>
      </c>
      <c r="G25" s="25" t="n">
        <f aca="false">SUMPRODUCT(($B$2:$B$18=$A25)*G$2:G$18*$C$2:$C$18)</f>
        <v>0.911984560475467</v>
      </c>
      <c r="H25" s="25" t="n">
        <f aca="false">SUMPRODUCT(($B$2:$B$18=$A25)*H$2:H$18*$C$2:$C$18)</f>
        <v>1.03356477732728</v>
      </c>
      <c r="I25" s="25" t="n">
        <f aca="false">SUMPRODUCT(($B$2:$B$18=$A25)*I$2:I$18*$C$2:$C$18)</f>
        <v>1.17135332683116</v>
      </c>
      <c r="J25" s="25" t="n">
        <f aca="false">SUMPRODUCT(($B$2:$B$18=$A25)*J$2:J$18*$C$2:$C$18)</f>
        <v>1.32751100499621</v>
      </c>
      <c r="K25" s="25" t="n">
        <f aca="false">SUMPRODUCT(($B$2:$B$18=$A25)*K$2:K$18*$C$2:$C$18)</f>
        <v>1.50448667197072</v>
      </c>
      <c r="L25" s="25" t="n">
        <f aca="false">SUMPRODUCT(($B$2:$B$18=$A25)*L$2:L$18*$C$2:$C$18)</f>
        <v>1.7050556549955</v>
      </c>
      <c r="M25" s="25" t="n">
        <f aca="false">SUMPRODUCT(($B$2:$B$18=$A25)*M$2:M$18*$C$2:$C$18)</f>
        <v>1.93236327100457</v>
      </c>
      <c r="N25" s="25" t="n">
        <f aca="false">SUMPRODUCT(($B$2:$B$18=$A25)*N$2:N$18*$C$2:$C$18)</f>
        <v>2.18997415139352</v>
      </c>
      <c r="O25" s="25" t="n">
        <f aca="false">SUMPRODUCT(($B$2:$B$18=$A25)*O$2:O$18*$C$2:$C$18)</f>
        <v>2.4819281424649</v>
      </c>
      <c r="P25" s="25" t="n">
        <f aca="false">SUMPRODUCT(($B$2:$B$18=$A25)*P$2:P$18*$C$2:$C$18)</f>
        <v>16.3994972992519</v>
      </c>
    </row>
    <row r="26" customFormat="false" ht="15" hidden="false" customHeight="false" outlineLevel="0" collapsed="false">
      <c r="A26" s="4" t="s">
        <v>150</v>
      </c>
      <c r="D26" s="25" t="n">
        <f aca="false">SUMPRODUCT(($B$2:$B$18=$A26)*D$2:D$18*$C$2:$C$18)</f>
        <v>0.902192769628676</v>
      </c>
      <c r="E26" s="25" t="n">
        <f aca="false">SUMPRODUCT(($B$2:$B$18=$A26)*E$2:E$18*$C$2:$C$18)</f>
        <v>1.02246760467238</v>
      </c>
      <c r="F26" s="25" t="n">
        <f aca="false">SUMPRODUCT(($B$2:$B$18=$A26)*F$2:F$18*$C$2:$C$18)</f>
        <v>1.15877674683067</v>
      </c>
      <c r="G26" s="25" t="n">
        <f aca="false">SUMPRODUCT(($B$2:$B$18=$A26)*G$2:G$18*$C$2:$C$18)</f>
        <v>1.31325779208988</v>
      </c>
      <c r="H26" s="25" t="n">
        <f aca="false">SUMPRODUCT(($B$2:$B$18=$A26)*H$2:H$18*$C$2:$C$18)</f>
        <v>1.48833330769004</v>
      </c>
      <c r="I26" s="25" t="n">
        <f aca="false">SUMPRODUCT(($B$2:$B$18=$A26)*I$2:I$18*$C$2:$C$18)</f>
        <v>1.68674882275357</v>
      </c>
      <c r="J26" s="25" t="n">
        <f aca="false">SUMPRODUCT(($B$2:$B$18=$A26)*J$2:J$18*$C$2:$C$18)</f>
        <v>1.91161588359285</v>
      </c>
      <c r="K26" s="25" t="n">
        <f aca="false">SUMPRODUCT(($B$2:$B$18=$A26)*K$2:K$18*$C$2:$C$18)</f>
        <v>2.16646084888855</v>
      </c>
      <c r="L26" s="25" t="n">
        <f aca="false">SUMPRODUCT(($B$2:$B$18=$A26)*L$2:L$18*$C$2:$C$18)</f>
        <v>2.45528018994352</v>
      </c>
      <c r="M26" s="25" t="n">
        <f aca="false">SUMPRODUCT(($B$2:$B$18=$A26)*M$2:M$18*$C$2:$C$18)</f>
        <v>2.78260316322901</v>
      </c>
      <c r="N26" s="25" t="n">
        <f aca="false">SUMPRODUCT(($B$2:$B$18=$A26)*N$2:N$18*$C$2:$C$18)</f>
        <v>3.15356283805239</v>
      </c>
      <c r="O26" s="25" t="n">
        <f aca="false">SUMPRODUCT(($B$2:$B$18=$A26)*O$2:O$18*$C$2:$C$18)</f>
        <v>3.5739765932001</v>
      </c>
      <c r="P26" s="25" t="n">
        <f aca="false">SUMPRODUCT(($B$2:$B$18=$A26)*P$2:P$18*$C$2:$C$18)</f>
        <v>23.6152765605716</v>
      </c>
    </row>
    <row r="27" customFormat="false" ht="15" hidden="false" customHeight="false" outlineLevel="0" collapsed="false">
      <c r="A27" s="4" t="s">
        <v>151</v>
      </c>
      <c r="D27" s="25" t="n">
        <f aca="false">SUMPRODUCT(($B$2:$B$18=$A27)*D$2:D$18*$C$2:$C$18)</f>
        <v>6.34041030776227</v>
      </c>
      <c r="E27" s="25" t="n">
        <f aca="false">SUMPRODUCT(($B$2:$B$18=$A27)*E$2:E$18*$C$2:$C$18)</f>
        <v>7.18567512205398</v>
      </c>
      <c r="F27" s="25" t="n">
        <f aca="false">SUMPRODUCT(($B$2:$B$18=$A27)*F$2:F$18*$C$2:$C$18)</f>
        <v>8.14362548374708</v>
      </c>
      <c r="G27" s="25" t="n">
        <f aca="false">SUMPRODUCT(($B$2:$B$18=$A27)*G$2:G$18*$C$2:$C$18)</f>
        <v>9.22928394243603</v>
      </c>
      <c r="H27" s="25" t="n">
        <f aca="false">SUMPRODUCT(($B$2:$B$18=$A27)*H$2:H$18*$C$2:$C$18)</f>
        <v>10.4596757623626</v>
      </c>
      <c r="I27" s="25" t="n">
        <f aca="false">SUMPRODUCT(($B$2:$B$18=$A27)*I$2:I$18*$C$2:$C$18)</f>
        <v>11.8540959121124</v>
      </c>
      <c r="J27" s="25" t="n">
        <f aca="false">SUMPRODUCT(($B$2:$B$18=$A27)*J$2:J$18*$C$2:$C$18)</f>
        <v>13.4344116477487</v>
      </c>
      <c r="K27" s="25" t="n">
        <f aca="false">SUMPRODUCT(($B$2:$B$18=$A27)*K$2:K$18*$C$2:$C$18)</f>
        <v>15.2254054344837</v>
      </c>
      <c r="L27" s="25" t="n">
        <f aca="false">SUMPRODUCT(($B$2:$B$18=$A27)*L$2:L$18*$C$2:$C$18)</f>
        <v>17.2551635845737</v>
      </c>
      <c r="M27" s="25" t="n">
        <f aca="false">SUMPRODUCT(($B$2:$B$18=$A27)*M$2:M$18*$C$2:$C$18)</f>
        <v>19.5555167060478</v>
      </c>
      <c r="N27" s="25" t="n">
        <f aca="false">SUMPRODUCT(($B$2:$B$18=$A27)*N$2:N$18*$C$2:$C$18)</f>
        <v>22.1625388693737</v>
      </c>
      <c r="O27" s="25" t="n">
        <f aca="false">SUMPRODUCT(($B$2:$B$18=$A27)*O$2:O$18*$C$2:$C$18)</f>
        <v>25.1171133199766</v>
      </c>
      <c r="P27" s="25" t="n">
        <f aca="false">SUMPRODUCT(($B$2:$B$18=$A27)*P$2:P$18*$C$2:$C$18)</f>
        <v>165.962916092679</v>
      </c>
    </row>
    <row r="28" customFormat="false" ht="15" hidden="false" customHeight="false" outlineLevel="0" collapsed="false">
      <c r="A28" s="4" t="s">
        <v>154</v>
      </c>
      <c r="D28" s="25" t="n">
        <f aca="false">SUMPRODUCT(($B$2:$B$18=$A28)*D$2:D$18*$C$2:$C$18)</f>
        <v>0.20048728581028</v>
      </c>
      <c r="E28" s="25" t="n">
        <f aca="false">SUMPRODUCT(($B$2:$B$18=$A28)*E$2:E$18*$C$2:$C$18)</f>
        <v>0.227215027420442</v>
      </c>
      <c r="F28" s="25" t="n">
        <f aca="false">SUMPRODUCT(($B$2:$B$18=$A28)*F$2:F$18*$C$2:$C$18)</f>
        <v>0.257505948454637</v>
      </c>
      <c r="G28" s="25" t="n">
        <f aca="false">SUMPRODUCT(($B$2:$B$18=$A28)*G$2:G$18*$C$2:$C$18)</f>
        <v>0.291835070251857</v>
      </c>
      <c r="H28" s="25" t="n">
        <f aca="false">SUMPRODUCT(($B$2:$B$18=$A28)*H$2:H$18*$C$2:$C$18)</f>
        <v>0.33074074109752</v>
      </c>
      <c r="I28" s="25" t="n">
        <f aca="false">SUMPRODUCT(($B$2:$B$18=$A28)*I$2:I$18*$C$2:$C$18)</f>
        <v>0.374833078585559</v>
      </c>
      <c r="J28" s="25" t="n">
        <f aca="false">SUMPRODUCT(($B$2:$B$18=$A28)*J$2:J$18*$C$2:$C$18)</f>
        <v>0.424803537464715</v>
      </c>
      <c r="K28" s="25" t="n">
        <f aca="false">SUMPRODUCT(($B$2:$B$18=$A28)*K$2:K$18*$C$2:$C$18)</f>
        <v>0.481435753011709</v>
      </c>
      <c r="L28" s="25" t="n">
        <f aca="false">SUMPRODUCT(($B$2:$B$18=$A28)*L$2:L$18*$C$2:$C$18)</f>
        <v>0.545617829976765</v>
      </c>
      <c r="M28" s="25" t="n">
        <f aca="false">SUMPRODUCT(($B$2:$B$18=$A28)*M$2:M$18*$C$2:$C$18)</f>
        <v>0.618356269816366</v>
      </c>
      <c r="N28" s="25" t="n">
        <f aca="false">SUMPRODUCT(($B$2:$B$18=$A28)*N$2:N$18*$C$2:$C$18)</f>
        <v>0.700791754619701</v>
      </c>
      <c r="O28" s="25" t="n">
        <f aca="false">SUMPRODUCT(($B$2:$B$18=$A28)*O$2:O$18*$C$2:$C$18)</f>
        <v>0.79421703525187</v>
      </c>
      <c r="P28" s="25" t="n">
        <f aca="false">SUMPRODUCT(($B$2:$B$18=$A28)*P$2:P$18*$C$2:$C$18)</f>
        <v>5.24783933176142</v>
      </c>
    </row>
    <row r="29" customFormat="false" ht="15" hidden="false" customHeight="false" outlineLevel="0" collapsed="false">
      <c r="A29" s="6" t="s">
        <v>275</v>
      </c>
      <c r="D29" s="26" t="n">
        <f aca="false">SUMPRODUCT(D$2:D$18*parametros_recargas!$D$51:$D$67)</f>
        <v>2.28054282791565</v>
      </c>
      <c r="E29" s="26" t="n">
        <f aca="false">SUMPRODUCT(E$2:E$18*parametros_recargas!$D$51:$D$67)</f>
        <v>2.58457088230867</v>
      </c>
      <c r="F29" s="26" t="n">
        <f aca="false">SUMPRODUCT(F$2:F$18*parametros_recargas!$D$51:$D$67)</f>
        <v>2.92913010179385</v>
      </c>
      <c r="G29" s="26" t="n">
        <f aca="false">SUMPRODUCT(G$2:G$18*parametros_recargas!$D$51:$D$67)</f>
        <v>3.31962385398808</v>
      </c>
      <c r="H29" s="26" t="n">
        <f aca="false">SUMPRODUCT(H$2:H$18*parametros_recargas!$D$51:$D$67)</f>
        <v>3.76217585050861</v>
      </c>
      <c r="I29" s="26" t="n">
        <f aca="false">SUMPRODUCT(I$2:I$18*parametros_recargas!$D$51:$D$67)</f>
        <v>4.26372617883985</v>
      </c>
      <c r="J29" s="26" t="n">
        <f aca="false">SUMPRODUCT(J$2:J$18*parametros_recargas!$D$51:$D$67)</f>
        <v>4.83214013658255</v>
      </c>
      <c r="K29" s="26" t="n">
        <f aca="false">SUMPRODUCT(K$2:K$18*parametros_recargas!$D$51:$D$67)</f>
        <v>5.47633157482111</v>
      </c>
      <c r="L29" s="26" t="n">
        <f aca="false">SUMPRODUCT(L$2:L$18*parametros_recargas!$D$51:$D$67)</f>
        <v>6.20640268487593</v>
      </c>
      <c r="M29" s="26" t="n">
        <f aca="false">SUMPRODUCT(M$2:M$18*parametros_recargas!$D$51:$D$67)</f>
        <v>7.03380242057264</v>
      </c>
      <c r="N29" s="26" t="n">
        <f aca="false">SUMPRODUCT(N$2:N$18*parametros_recargas!$D$51:$D$67)</f>
        <v>7.97150604040166</v>
      </c>
      <c r="O29" s="26" t="n">
        <f aca="false">SUMPRODUCT(O$2:O$18*parametros_recargas!$D$51:$D$67)</f>
        <v>9.03421858514286</v>
      </c>
      <c r="P29" s="26" t="n">
        <f aca="false">SUMPRODUCT(P$2:P$18*parametros_recargas!$D$51:$D$67)</f>
        <v>59.6941711377515</v>
      </c>
    </row>
    <row r="33" customFormat="false" ht="23.85" hidden="false" customHeight="false" outlineLevel="0" collapsed="false">
      <c r="A33" s="23" t="n">
        <v>2027</v>
      </c>
      <c r="B33" s="3" t="s">
        <v>270</v>
      </c>
      <c r="C33" s="3" t="s">
        <v>271</v>
      </c>
      <c r="D33" s="3" t="s">
        <v>124</v>
      </c>
      <c r="E33" s="3" t="s">
        <v>125</v>
      </c>
      <c r="F33" s="3" t="s">
        <v>126</v>
      </c>
      <c r="G33" s="3" t="s">
        <v>127</v>
      </c>
      <c r="H33" s="3" t="s">
        <v>128</v>
      </c>
      <c r="I33" s="3" t="s">
        <v>129</v>
      </c>
      <c r="J33" s="3" t="s">
        <v>130</v>
      </c>
      <c r="K33" s="3" t="s">
        <v>131</v>
      </c>
      <c r="L33" s="3" t="s">
        <v>132</v>
      </c>
      <c r="M33" s="3" t="s">
        <v>133</v>
      </c>
      <c r="N33" s="3" t="s">
        <v>134</v>
      </c>
      <c r="O33" s="3" t="s">
        <v>135</v>
      </c>
      <c r="P33" s="3" t="s">
        <v>136</v>
      </c>
      <c r="Q33" s="3" t="s">
        <v>272</v>
      </c>
    </row>
    <row r="34" customFormat="false" ht="15" hidden="false" customHeight="false" outlineLevel="0" collapsed="false">
      <c r="A34" s="12" t="str">
        <f aca="false">parametros_recargas!A51</f>
        <v>ABC 1 kg</v>
      </c>
      <c r="B34" s="12" t="str">
        <f aca="false">parametros_recargas!B51</f>
        <v>ABC</v>
      </c>
      <c r="C34" s="24" t="n">
        <f aca="false">parametros_recargas!C51</f>
        <v>1</v>
      </c>
      <c r="D34" s="25" t="n">
        <f aca="false">datos_base!$C$2*parametros_recargas!$F$38+sobrestock_sustitutos!$C$175/12</f>
        <v>290.481539959573</v>
      </c>
      <c r="E34" s="25" t="n">
        <f aca="false">datos_base!$C$2*parametros_recargas!$G$38+sobrestock_sustitutos!$C$175/12</f>
        <v>307.820341964657</v>
      </c>
      <c r="F34" s="25" t="n">
        <f aca="false">datos_base!$C$2*parametros_recargas!$H$38+sobrestock_sustitutos!$C$175/12</f>
        <v>326.194094607271</v>
      </c>
      <c r="G34" s="25" t="n">
        <f aca="false">datos_base!$C$2*parametros_recargas!$I$38+sobrestock_sustitutos!$C$175/12</f>
        <v>345.664573944479</v>
      </c>
      <c r="H34" s="25" t="n">
        <f aca="false">datos_base!$C$2*parametros_recargas!$J$38+sobrestock_sustitutos!$C$175/12</f>
        <v>366.297243437451</v>
      </c>
      <c r="I34" s="25" t="n">
        <f aca="false">datos_base!$C$2*parametros_recargas!$K$38+sobrestock_sustitutos!$C$175/12</f>
        <v>388.161474052085</v>
      </c>
      <c r="J34" s="25" t="n">
        <f aca="false">datos_base!$C$2*parametros_recargas!$L$38+sobrestock_sustitutos!$C$175/12</f>
        <v>411.330777497418</v>
      </c>
      <c r="K34" s="25" t="n">
        <f aca="false">datos_base!$C$2*parametros_recargas!$M$38+sobrestock_sustitutos!$C$175/12</f>
        <v>435.883053385992</v>
      </c>
      <c r="L34" s="25" t="n">
        <f aca="false">datos_base!$C$2*parametros_recargas!$N$38+sobrestock_sustitutos!$C$175/12</f>
        <v>461.900851147196</v>
      </c>
      <c r="M34" s="25" t="n">
        <f aca="false">datos_base!$C$2*parametros_recargas!$O$38+sobrestock_sustitutos!$C$175/12</f>
        <v>489.471647574177</v>
      </c>
      <c r="N34" s="25" t="n">
        <f aca="false">datos_base!$C$2*parametros_recargas!$P$38+sobrestock_sustitutos!$C$175/12</f>
        <v>518.688140937481</v>
      </c>
      <c r="O34" s="25" t="n">
        <f aca="false">datos_base!$C$2*parametros_recargas!$Q$38+sobrestock_sustitutos!$C$175/12</f>
        <v>549.648562654304</v>
      </c>
      <c r="P34" s="7" t="n">
        <f aca="false">SUM(D34:O34)</f>
        <v>4891.54230116208</v>
      </c>
      <c r="Q34" s="13" t="n">
        <f aca="false">sobrestock_sustitutos!$C$175</f>
        <v>0</v>
      </c>
    </row>
    <row r="35" customFormat="false" ht="15" hidden="false" customHeight="false" outlineLevel="0" collapsed="false">
      <c r="A35" s="12" t="str">
        <f aca="false">parametros_recargas!A52</f>
        <v>ABC 2,5 kg</v>
      </c>
      <c r="B35" s="12" t="str">
        <f aca="false">parametros_recargas!B52</f>
        <v>ABC</v>
      </c>
      <c r="C35" s="24" t="n">
        <f aca="false">parametros_recargas!C52</f>
        <v>1</v>
      </c>
      <c r="D35" s="25" t="n">
        <f aca="false">datos_base!$C$3*parametros_recargas!$F$38+sobrestock_sustitutos!$C$176/12</f>
        <v>22.0363643418183</v>
      </c>
      <c r="E35" s="25" t="n">
        <f aca="false">datos_base!$C$3*parametros_recargas!$G$38+sobrestock_sustitutos!$C$176/12</f>
        <v>23.3517118103283</v>
      </c>
      <c r="F35" s="25" t="n">
        <f aca="false">datos_base!$C$3*parametros_recargas!$H$38+sobrestock_sustitutos!$C$176/12</f>
        <v>24.7455721830577</v>
      </c>
      <c r="G35" s="25" t="n">
        <f aca="false">datos_base!$C$3*parametros_recargas!$I$38+sobrestock_sustitutos!$C$176/12</f>
        <v>26.2226318841468</v>
      </c>
      <c r="H35" s="25" t="n">
        <f aca="false">datos_base!$C$3*parametros_recargas!$J$38+sobrestock_sustitutos!$C$176/12</f>
        <v>27.787857069729</v>
      </c>
      <c r="I35" s="25" t="n">
        <f aca="false">datos_base!$C$3*parametros_recargas!$K$38+sobrestock_sustitutos!$C$176/12</f>
        <v>29.4465103250948</v>
      </c>
      <c r="J35" s="25" t="n">
        <f aca="false">datos_base!$C$3*parametros_recargas!$L$38+sobrestock_sustitutos!$C$176/12</f>
        <v>31.2041683585057</v>
      </c>
      <c r="K35" s="25" t="n">
        <f aca="false">datos_base!$C$3*parametros_recargas!$M$38+sobrestock_sustitutos!$C$176/12</f>
        <v>33.0667407511498</v>
      </c>
      <c r="L35" s="25" t="n">
        <f aca="false">datos_base!$C$3*parametros_recargas!$N$38+sobrestock_sustitutos!$C$176/12</f>
        <v>35.0404898262802</v>
      </c>
      <c r="M35" s="25" t="n">
        <f aca="false">datos_base!$C$3*parametros_recargas!$O$38+sobrestock_sustitutos!$C$176/12</f>
        <v>37.1320517043383</v>
      </c>
      <c r="N35" s="25" t="n">
        <f aca="false">datos_base!$C$3*parametros_recargas!$P$38+sobrestock_sustitutos!$C$176/12</f>
        <v>39.3484586148555</v>
      </c>
      <c r="O35" s="25" t="n">
        <f aca="false">datos_base!$C$3*parametros_recargas!$Q$38+sobrestock_sustitutos!$C$176/12</f>
        <v>41.6971625401487</v>
      </c>
      <c r="P35" s="7" t="n">
        <f aca="false">SUM(D35:O35)</f>
        <v>371.079719409453</v>
      </c>
      <c r="Q35" s="13" t="n">
        <f aca="false">sobrestock_sustitutos!$C$176</f>
        <v>0</v>
      </c>
    </row>
    <row r="36" customFormat="false" ht="15" hidden="false" customHeight="false" outlineLevel="0" collapsed="false">
      <c r="A36" s="12" t="str">
        <f aca="false">parametros_recargas!A53</f>
        <v>ABC 5 kg</v>
      </c>
      <c r="B36" s="12" t="str">
        <f aca="false">parametros_recargas!B53</f>
        <v>ABC</v>
      </c>
      <c r="C36" s="24" t="n">
        <f aca="false">parametros_recargas!C53</f>
        <v>1</v>
      </c>
      <c r="D36" s="25" t="n">
        <f aca="false">datos_base!$C$4*parametros_recargas!$F$38+sobrestock_sustitutos!$C$177/12</f>
        <v>134.828098823033</v>
      </c>
      <c r="E36" s="25" t="n">
        <f aca="false">datos_base!$C$4*parametros_recargas!$G$38+sobrestock_sustitutos!$C$177/12</f>
        <v>142.851098183692</v>
      </c>
      <c r="F36" s="25" t="n">
        <f aca="false">datos_base!$C$4*parametros_recargas!$H$38+sobrestock_sustitutos!$C$177/12</f>
        <v>151.352989240605</v>
      </c>
      <c r="G36" s="25" t="n">
        <f aca="false">datos_base!$C$4*parametros_recargas!$I$38+sobrestock_sustitutos!$C$177/12</f>
        <v>160.362356971337</v>
      </c>
      <c r="H36" s="25" t="n">
        <f aca="false">datos_base!$C$4*parametros_recargas!$J$38+sobrestock_sustitutos!$C$177/12</f>
        <v>169.90949258672</v>
      </c>
      <c r="I36" s="25" t="n">
        <f aca="false">datos_base!$C$4*parametros_recargas!$K$38+sobrestock_sustitutos!$C$177/12</f>
        <v>180.026495375672</v>
      </c>
      <c r="J36" s="25" t="n">
        <f aca="false">datos_base!$C$4*parametros_recargas!$L$38+sobrestock_sustitutos!$C$177/12</f>
        <v>190.747380629124</v>
      </c>
      <c r="K36" s="25" t="n">
        <f aca="false">datos_base!$C$4*parametros_recargas!$M$38+sobrestock_sustitutos!$C$177/12</f>
        <v>202.108194005907</v>
      </c>
      <c r="L36" s="25" t="n">
        <f aca="false">datos_base!$C$4*parametros_recargas!$N$38+sobrestock_sustitutos!$C$177/12</f>
        <v>214.147132725128</v>
      </c>
      <c r="M36" s="25" t="n">
        <f aca="false">datos_base!$C$4*parametros_recargas!$O$38+sobrestock_sustitutos!$C$177/12</f>
        <v>226.904673992494</v>
      </c>
      <c r="N36" s="25" t="n">
        <f aca="false">datos_base!$C$4*parametros_recargas!$P$38+sobrestock_sustitutos!$C$177/12</f>
        <v>240.423711092391</v>
      </c>
      <c r="O36" s="25" t="n">
        <f aca="false">datos_base!$C$4*parametros_recargas!$Q$38+sobrestock_sustitutos!$C$177/12</f>
        <v>254.74969760328</v>
      </c>
      <c r="P36" s="7" t="n">
        <f aca="false">SUM(D36:O36)</f>
        <v>2268.41132122938</v>
      </c>
      <c r="Q36" s="13" t="n">
        <f aca="false">sobrestock_sustitutos!$C$177</f>
        <v>5</v>
      </c>
    </row>
    <row r="37" customFormat="false" ht="15" hidden="false" customHeight="false" outlineLevel="0" collapsed="false">
      <c r="A37" s="12" t="str">
        <f aca="false">parametros_recargas!A54</f>
        <v>ABC 10 kg</v>
      </c>
      <c r="B37" s="12" t="str">
        <f aca="false">parametros_recargas!B54</f>
        <v>ABC</v>
      </c>
      <c r="C37" s="24" t="n">
        <f aca="false">parametros_recargas!C54</f>
        <v>1</v>
      </c>
      <c r="D37" s="25" t="n">
        <f aca="false">datos_base!$C$5*parametros_recargas!$F$38+sobrestock_sustitutos!$C$178/12</f>
        <v>7.57562548756416</v>
      </c>
      <c r="E37" s="25" t="n">
        <f aca="false">datos_base!$C$5*parametros_recargas!$G$38+sobrestock_sustitutos!$C$178/12</f>
        <v>8.02283934578227</v>
      </c>
      <c r="F37" s="25" t="n">
        <f aca="false">datos_base!$C$5*parametros_recargas!$H$38+sobrestock_sustitutos!$C$178/12</f>
        <v>8.49674733589824</v>
      </c>
      <c r="G37" s="25" t="n">
        <f aca="false">datos_base!$C$5*parametros_recargas!$I$38+sobrestock_sustitutos!$C$178/12</f>
        <v>8.99894282686672</v>
      </c>
      <c r="H37" s="25" t="n">
        <f aca="false">datos_base!$C$5*parametros_recargas!$J$38+sobrestock_sustitutos!$C$178/12</f>
        <v>9.53111429560977</v>
      </c>
      <c r="I37" s="25" t="n">
        <f aca="false">datos_base!$C$5*parametros_recargas!$K$38+sobrestock_sustitutos!$C$178/12</f>
        <v>10.0950510039979</v>
      </c>
      <c r="J37" s="25" t="n">
        <f aca="false">datos_base!$C$5*parametros_recargas!$L$38+sobrestock_sustitutos!$C$178/12</f>
        <v>10.6926490146895</v>
      </c>
      <c r="K37" s="25" t="n">
        <f aca="false">datos_base!$C$5*parametros_recargas!$M$38+sobrestock_sustitutos!$C$178/12</f>
        <v>11.3259175660545</v>
      </c>
      <c r="L37" s="25" t="n">
        <f aca="false">datos_base!$C$5*parametros_recargas!$N$38+sobrestock_sustitutos!$C$178/12</f>
        <v>11.9969858276169</v>
      </c>
      <c r="M37" s="25" t="n">
        <f aca="false">datos_base!$C$5*parametros_recargas!$O$38+sobrestock_sustitutos!$C$178/12</f>
        <v>12.7081100587281</v>
      </c>
      <c r="N37" s="25" t="n">
        <f aca="false">datos_base!$C$5*parametros_recargas!$P$38+sobrestock_sustitutos!$C$178/12</f>
        <v>13.461681194541</v>
      </c>
      <c r="O37" s="25" t="n">
        <f aca="false">datos_base!$C$5*parametros_recargas!$Q$38+sobrestock_sustitutos!$C$178/12</f>
        <v>14.2602328847893</v>
      </c>
      <c r="P37" s="7" t="n">
        <f aca="false">SUM(D37:O37)</f>
        <v>127.165896842138</v>
      </c>
      <c r="Q37" s="13" t="n">
        <f aca="false">sobrestock_sustitutos!$C$178</f>
        <v>1</v>
      </c>
    </row>
    <row r="38" customFormat="false" ht="15" hidden="false" customHeight="false" outlineLevel="0" collapsed="false">
      <c r="A38" s="12" t="str">
        <f aca="false">parametros_recargas!A55</f>
        <v>Agua 10 l</v>
      </c>
      <c r="B38" s="12" t="str">
        <f aca="false">parametros_recargas!B55</f>
        <v>Agua</v>
      </c>
      <c r="C38" s="24" t="n">
        <f aca="false">parametros_recargas!C55</f>
        <v>1</v>
      </c>
      <c r="D38" s="25" t="n">
        <f aca="false">datos_base!$C$6*parametros_recargas!$F$38+sobrestock_sustitutos!$C$179/12</f>
        <v>11.09666341464</v>
      </c>
      <c r="E38" s="25" t="n">
        <f aca="false">datos_base!$C$6*parametros_recargas!$G$38+sobrestock_sustitutos!$C$179/12</f>
        <v>11.7540475283534</v>
      </c>
      <c r="F38" s="25" t="n">
        <f aca="false">datos_base!$C$6*parametros_recargas!$H$38+sobrestock_sustitutos!$C$179/12</f>
        <v>12.4506708067674</v>
      </c>
      <c r="G38" s="25" t="n">
        <f aca="false">datos_base!$C$6*parametros_recargas!$I$38+sobrestock_sustitutos!$C$179/12</f>
        <v>13.188875430069</v>
      </c>
      <c r="H38" s="25" t="n">
        <f aca="false">datos_base!$C$6*parametros_recargas!$J$38+sobrestock_sustitutos!$C$179/12</f>
        <v>13.9711433828491</v>
      </c>
      <c r="I38" s="25" t="n">
        <f aca="false">datos_base!$C$6*parametros_recargas!$K$38+sobrestock_sustitutos!$C$179/12</f>
        <v>14.8001047990076</v>
      </c>
      <c r="J38" s="25" t="n">
        <f aca="false">datos_base!$C$6*parametros_recargas!$L$38+sobrestock_sustitutos!$C$179/12</f>
        <v>15.6785468047644</v>
      </c>
      <c r="K38" s="25" t="n">
        <f aca="false">datos_base!$C$6*parametros_recargas!$M$38+sobrestock_sustitutos!$C$179/12</f>
        <v>16.6094228895091</v>
      </c>
      <c r="L38" s="25" t="n">
        <f aca="false">datos_base!$C$6*parametros_recargas!$N$38+sobrestock_sustitutos!$C$179/12</f>
        <v>17.5958628359948</v>
      </c>
      <c r="M38" s="25" t="n">
        <f aca="false">datos_base!$C$6*parametros_recargas!$O$38+sobrestock_sustitutos!$C$179/12</f>
        <v>18.6411832432645</v>
      </c>
      <c r="N38" s="25" t="n">
        <f aca="false">datos_base!$C$6*parametros_recargas!$P$38+sobrestock_sustitutos!$C$179/12</f>
        <v>19.7488986776881</v>
      </c>
      <c r="O38" s="25" t="n">
        <f aca="false">datos_base!$C$6*parametros_recargas!$Q$38+sobrestock_sustitutos!$C$179/12</f>
        <v>20.9227334896052</v>
      </c>
      <c r="P38" s="7" t="n">
        <f aca="false">SUM(D38:O38)</f>
        <v>186.458153302513</v>
      </c>
      <c r="Q38" s="13" t="n">
        <f aca="false">sobrestock_sustitutos!$C$179</f>
        <v>1</v>
      </c>
    </row>
    <row r="39" customFormat="false" ht="15" hidden="false" customHeight="false" outlineLevel="0" collapsed="false">
      <c r="A39" s="12" t="str">
        <f aca="false">parametros_recargas!A56</f>
        <v>AFFF 10 l</v>
      </c>
      <c r="B39" s="12" t="str">
        <f aca="false">parametros_recargas!B56</f>
        <v>AFFF</v>
      </c>
      <c r="C39" s="24" t="n">
        <f aca="false">parametros_recargas!C56</f>
        <v>1</v>
      </c>
      <c r="D39" s="25" t="n">
        <f aca="false">datos_base!$C$7*parametros_recargas!$F$38+sobrestock_sustitutos!$C$180/12</f>
        <v>2.84453726372492</v>
      </c>
      <c r="E39" s="25" t="n">
        <f aca="false">datos_base!$C$7*parametros_recargas!$G$38+sobrestock_sustitutos!$C$180/12</f>
        <v>3.00935313550591</v>
      </c>
      <c r="F39" s="25" t="n">
        <f aca="false">datos_base!$C$7*parametros_recargas!$H$38+sobrestock_sustitutos!$C$180/12</f>
        <v>3.18400684334527</v>
      </c>
      <c r="G39" s="25" t="n">
        <f aca="false">datos_base!$C$7*parametros_recargas!$I$38+sobrestock_sustitutos!$C$180/12</f>
        <v>3.36908560628487</v>
      </c>
      <c r="H39" s="25" t="n">
        <f aca="false">datos_base!$C$7*parametros_recargas!$J$38+sobrestock_sustitutos!$C$180/12</f>
        <v>3.56521169438807</v>
      </c>
      <c r="I39" s="25" t="n">
        <f aca="false">datos_base!$C$7*parametros_recargas!$K$38+sobrestock_sustitutos!$C$180/12</f>
        <v>3.77304452093022</v>
      </c>
      <c r="J39" s="25" t="n">
        <f aca="false">datos_base!$C$7*parametros_recargas!$L$38+sobrestock_sustitutos!$C$180/12</f>
        <v>3.99328285947178</v>
      </c>
      <c r="K39" s="25" t="n">
        <f aca="false">datos_base!$C$7*parametros_recargas!$M$38+sobrestock_sustitutos!$C$180/12</f>
        <v>4.22666719326808</v>
      </c>
      <c r="L39" s="25" t="n">
        <f aca="false">datos_base!$C$7*parametros_recargas!$N$38+sobrestock_sustitutos!$C$180/12</f>
        <v>4.47398220491519</v>
      </c>
      <c r="M39" s="25" t="n">
        <f aca="false">datos_base!$C$7*parametros_recargas!$O$38+sobrestock_sustitutos!$C$180/12</f>
        <v>4.73605941460225</v>
      </c>
      <c r="N39" s="25" t="n">
        <f aca="false">datos_base!$C$7*parametros_recargas!$P$38+sobrestock_sustitutos!$C$180/12</f>
        <v>5.01377997584081</v>
      </c>
      <c r="O39" s="25" t="n">
        <f aca="false">datos_base!$C$7*parametros_recargas!$Q$38+sobrestock_sustitutos!$C$180/12</f>
        <v>5.30807763807081</v>
      </c>
      <c r="P39" s="7" t="n">
        <f aca="false">SUM(D39:O39)</f>
        <v>47.4970883503482</v>
      </c>
      <c r="Q39" s="13" t="n">
        <f aca="false">sobrestock_sustitutos!$C$180</f>
        <v>1</v>
      </c>
    </row>
    <row r="40" customFormat="false" ht="15" hidden="false" customHeight="false" outlineLevel="0" collapsed="false">
      <c r="A40" s="12" t="str">
        <f aca="false">parametros_recargas!A57</f>
        <v>AFFF 50 l s/ruedas</v>
      </c>
      <c r="B40" s="12" t="str">
        <f aca="false">parametros_recargas!B57</f>
        <v>AFFF</v>
      </c>
      <c r="C40" s="24" t="n">
        <f aca="false">parametros_recargas!C57</f>
        <v>3</v>
      </c>
      <c r="D40" s="25" t="n">
        <f aca="false">datos_base!$C$8*parametros_recargas!$F$38+sobrestock_sustitutos!$C$181/12</f>
        <v>1.50785083457239</v>
      </c>
      <c r="E40" s="25" t="n">
        <f aca="false">datos_base!$C$8*parametros_recargas!$G$38+sobrestock_sustitutos!$C$181/12</f>
        <v>1.59288008259345</v>
      </c>
      <c r="F40" s="25" t="n">
        <f aca="false">datos_base!$C$8*parametros_recargas!$H$38+sobrestock_sustitutos!$C$181/12</f>
        <v>1.68298471439375</v>
      </c>
      <c r="G40" s="25" t="n">
        <f aca="false">datos_base!$C$8*parametros_recargas!$I$38+sobrestock_sustitutos!$C$181/12</f>
        <v>1.77846767891269</v>
      </c>
      <c r="H40" s="25" t="n">
        <f aca="false">datos_base!$C$8*parametros_recargas!$J$38+sobrestock_sustitutos!$C$181/12</f>
        <v>1.87965000806899</v>
      </c>
      <c r="I40" s="25" t="n">
        <f aca="false">datos_base!$C$8*parametros_recargas!$K$38+sobrestock_sustitutos!$C$181/12</f>
        <v>1.98687189613117</v>
      </c>
      <c r="J40" s="25" t="n">
        <f aca="false">datos_base!$C$8*parametros_recargas!$L$38+sobrestock_sustitutos!$C$181/12</f>
        <v>2.10049384351546</v>
      </c>
      <c r="K40" s="25" t="n">
        <f aca="false">datos_base!$C$8*parametros_recargas!$M$38+sobrestock_sustitutos!$C$181/12</f>
        <v>2.22089786885694</v>
      </c>
      <c r="L40" s="25" t="n">
        <f aca="false">datos_base!$C$8*parametros_recargas!$N$38+sobrestock_sustitutos!$C$181/12</f>
        <v>2.34848879342892</v>
      </c>
      <c r="M40" s="25" t="n">
        <f aca="false">datos_base!$C$8*parametros_recargas!$O$38+sobrestock_sustitutos!$C$181/12</f>
        <v>2.48369560222923</v>
      </c>
      <c r="N40" s="25" t="n">
        <f aca="false">datos_base!$C$8*parametros_recargas!$P$38+sobrestock_sustitutos!$C$181/12</f>
        <v>2.6269728863095</v>
      </c>
      <c r="O40" s="25" t="n">
        <f aca="false">datos_base!$C$8*parametros_recargas!$Q$38+sobrestock_sustitutos!$C$181/12</f>
        <v>2.77880237119688</v>
      </c>
      <c r="P40" s="7" t="n">
        <f aca="false">SUM(D40:O40)</f>
        <v>24.9880565802094</v>
      </c>
      <c r="Q40" s="13" t="n">
        <f aca="false">sobrestock_sustitutos!$C$181</f>
        <v>1</v>
      </c>
    </row>
    <row r="41" customFormat="false" ht="15" hidden="false" customHeight="false" outlineLevel="0" collapsed="false">
      <c r="A41" s="12" t="str">
        <f aca="false">parametros_recargas!A58</f>
        <v>BC 5 kg</v>
      </c>
      <c r="B41" s="12" t="str">
        <f aca="false">parametros_recargas!B58</f>
        <v>BC</v>
      </c>
      <c r="C41" s="24" t="n">
        <f aca="false">parametros_recargas!C58</f>
        <v>1</v>
      </c>
      <c r="D41" s="25" t="n">
        <f aca="false">datos_base!$C$9*parametros_recargas!$F$38+sobrestock_sustitutos!$C$182/12</f>
        <v>0.889072767111026</v>
      </c>
      <c r="E41" s="25" t="n">
        <f aca="false">datos_base!$C$9*parametros_recargas!$G$38+sobrestock_sustitutos!$C$182/12</f>
        <v>0.9371672398679</v>
      </c>
      <c r="F41" s="25" t="n">
        <f aca="false">datos_base!$C$9*parametros_recargas!$H$38+sobrestock_sustitutos!$C$182/12</f>
        <v>0.988132464896282</v>
      </c>
      <c r="G41" s="25" t="n">
        <f aca="false">datos_base!$C$9*parametros_recargas!$I$38+sobrestock_sustitutos!$C$182/12</f>
        <v>1.04213979699293</v>
      </c>
      <c r="H41" s="25" t="n">
        <f aca="false">datos_base!$C$9*parametros_recargas!$J$38+sobrestock_sustitutos!$C$182/12</f>
        <v>1.09937081909817</v>
      </c>
      <c r="I41" s="25" t="n">
        <f aca="false">datos_base!$C$9*parametros_recargas!$K$38+sobrestock_sustitutos!$C$182/12</f>
        <v>1.16001795281232</v>
      </c>
      <c r="J41" s="25" t="n">
        <f aca="false">datos_base!$C$9*parametros_recargas!$L$38+sobrestock_sustitutos!$C$182/12</f>
        <v>1.2242851053538</v>
      </c>
      <c r="K41" s="25" t="n">
        <f aca="false">datos_base!$C$9*parametros_recargas!$M$38+sobrestock_sustitutos!$C$182/12</f>
        <v>1.29238835513403</v>
      </c>
      <c r="L41" s="25" t="n">
        <f aca="false">datos_base!$C$9*parametros_recargas!$N$38+sobrestock_sustitutos!$C$182/12</f>
        <v>1.36455667825423</v>
      </c>
      <c r="M41" s="25" t="n">
        <f aca="false">datos_base!$C$9*parametros_recargas!$O$38+sobrestock_sustitutos!$C$182/12</f>
        <v>1.44103271836668</v>
      </c>
      <c r="N41" s="25" t="n">
        <f aca="false">datos_base!$C$9*parametros_recargas!$P$38+sobrestock_sustitutos!$C$182/12</f>
        <v>1.52207360248894</v>
      </c>
      <c r="O41" s="25" t="n">
        <f aca="false">datos_base!$C$9*parametros_recargas!$Q$38+sobrestock_sustitutos!$C$182/12</f>
        <v>1.60795180551383</v>
      </c>
      <c r="P41" s="7" t="n">
        <f aca="false">SUM(D41:O41)</f>
        <v>14.5681893058901</v>
      </c>
      <c r="Q41" s="13" t="n">
        <f aca="false">sobrestock_sustitutos!$C$182</f>
        <v>1</v>
      </c>
    </row>
    <row r="42" customFormat="false" ht="15" hidden="false" customHeight="false" outlineLevel="0" collapsed="false">
      <c r="A42" s="12" t="str">
        <f aca="false">parametros_recargas!A59</f>
        <v>Sales K 6 l</v>
      </c>
      <c r="B42" s="12" t="str">
        <f aca="false">parametros_recargas!B59</f>
        <v>Sales K</v>
      </c>
      <c r="C42" s="24" t="n">
        <f aca="false">parametros_recargas!C59</f>
        <v>1</v>
      </c>
      <c r="D42" s="25" t="n">
        <f aca="false">datos_base!$C$10*parametros_recargas!$F$38+sobrestock_sustitutos!$C$183/12</f>
        <v>5.82427698535673</v>
      </c>
      <c r="E42" s="25" t="n">
        <f aca="false">datos_base!$C$10*parametros_recargas!$G$38+sobrestock_sustitutos!$C$183/12</f>
        <v>6.16695309936602</v>
      </c>
      <c r="F42" s="25" t="n">
        <f aca="false">datos_base!$C$10*parametros_recargas!$H$38+sobrestock_sustitutos!$C$183/12</f>
        <v>6.53008350211774</v>
      </c>
      <c r="G42" s="25" t="n">
        <f aca="false">datos_base!$C$10*parametros_recargas!$I$38+sobrestock_sustitutos!$C$183/12</f>
        <v>6.91488910721181</v>
      </c>
      <c r="H42" s="25" t="n">
        <f aca="false">datos_base!$C$10*parametros_recargas!$J$38+sobrestock_sustitutos!$C$183/12</f>
        <v>7.32266370440809</v>
      </c>
      <c r="I42" s="25" t="n">
        <f aca="false">datos_base!$C$10*parametros_recargas!$K$38+sobrestock_sustitutos!$C$183/12</f>
        <v>7.75477830959412</v>
      </c>
      <c r="J42" s="25" t="n">
        <f aca="false">datos_base!$C$10*parametros_recargas!$L$38+sobrestock_sustitutos!$C$183/12</f>
        <v>8.2126857744017</v>
      </c>
      <c r="K42" s="25" t="n">
        <f aca="false">datos_base!$C$10*parametros_recargas!$M$38+sobrestock_sustitutos!$C$183/12</f>
        <v>8.69792567097086</v>
      </c>
      <c r="L42" s="25" t="n">
        <f aca="false">datos_base!$C$10*parametros_recargas!$N$38+sobrestock_sustitutos!$C$183/12</f>
        <v>9.21212946828481</v>
      </c>
      <c r="M42" s="25" t="n">
        <f aca="false">datos_base!$C$10*parametros_recargas!$O$38+sobrestock_sustitutos!$C$183/12</f>
        <v>9.75702601747941</v>
      </c>
      <c r="N42" s="25" t="n">
        <f aca="false">datos_base!$C$10*parametros_recargas!$P$38+sobrestock_sustitutos!$C$183/12</f>
        <v>10.3344473645701</v>
      </c>
      <c r="O42" s="25" t="n">
        <f aca="false">datos_base!$C$10*parametros_recargas!$Q$38+sobrestock_sustitutos!$C$183/12</f>
        <v>10.9463349101398</v>
      </c>
      <c r="P42" s="7" t="n">
        <f aca="false">SUM(D42:O42)</f>
        <v>97.6741939139013</v>
      </c>
      <c r="Q42" s="13" t="n">
        <f aca="false">sobrestock_sustitutos!$C$183</f>
        <v>1</v>
      </c>
    </row>
    <row r="43" customFormat="false" ht="15" hidden="false" customHeight="false" outlineLevel="0" collapsed="false">
      <c r="A43" s="12" t="str">
        <f aca="false">parametros_recargas!A60</f>
        <v>CO₂ 2 kg</v>
      </c>
      <c r="B43" s="12" t="str">
        <f aca="false">parametros_recargas!B60</f>
        <v>CO₂</v>
      </c>
      <c r="C43" s="24" t="n">
        <f aca="false">parametros_recargas!C60</f>
        <v>1</v>
      </c>
      <c r="D43" s="25" t="n">
        <f aca="false">datos_base!$C$11*parametros_recargas!$F$38+sobrestock_sustitutos!$C$184/12</f>
        <v>29.0502580915105</v>
      </c>
      <c r="E43" s="25" t="n">
        <f aca="false">datos_base!$C$11*parametros_recargas!$G$38+sobrestock_sustitutos!$C$184/12</f>
        <v>30.7842638851847</v>
      </c>
      <c r="F43" s="25" t="n">
        <f aca="false">datos_base!$C$11*parametros_recargas!$H$38+sobrestock_sustitutos!$C$184/12</f>
        <v>32.6217722392501</v>
      </c>
      <c r="G43" s="25" t="n">
        <f aca="false">datos_base!$C$11*parametros_recargas!$I$38+sobrestock_sustitutos!$C$184/12</f>
        <v>34.5689612068866</v>
      </c>
      <c r="H43" s="25" t="n">
        <f aca="false">datos_base!$C$11*parametros_recargas!$J$38+sobrestock_sustitutos!$C$184/12</f>
        <v>36.6323776083938</v>
      </c>
      <c r="I43" s="25" t="n">
        <f aca="false">datos_base!$C$11*parametros_recargas!$K$38+sobrestock_sustitutos!$C$184/12</f>
        <v>38.8189590428486</v>
      </c>
      <c r="J43" s="25" t="n">
        <f aca="false">datos_base!$C$11*parametros_recargas!$L$38+sobrestock_sustitutos!$C$184/12</f>
        <v>41.1360572136346</v>
      </c>
      <c r="K43" s="25" t="n">
        <f aca="false">datos_base!$C$11*parametros_recargas!$M$38+sobrestock_sustitutos!$C$184/12</f>
        <v>43.59146264627</v>
      </c>
      <c r="L43" s="25" t="n">
        <f aca="false">datos_base!$C$11*parametros_recargas!$N$38+sobrestock_sustitutos!$C$184/12</f>
        <v>46.1934308816385</v>
      </c>
      <c r="M43" s="25" t="n">
        <f aca="false">datos_base!$C$11*parametros_recargas!$O$38+sobrestock_sustitutos!$C$184/12</f>
        <v>48.9507102326904</v>
      </c>
      <c r="N43" s="25" t="n">
        <f aca="false">datos_base!$C$11*parametros_recargas!$P$38+sobrestock_sustitutos!$C$184/12</f>
        <v>51.872571197938</v>
      </c>
      <c r="O43" s="25" t="n">
        <f aca="false">datos_base!$C$11*parametros_recargas!$Q$38+sobrestock_sustitutos!$C$184/12</f>
        <v>54.9688376306376</v>
      </c>
      <c r="P43" s="7" t="n">
        <f aca="false">SUM(D43:O43)</f>
        <v>489.189661876883</v>
      </c>
      <c r="Q43" s="13" t="n">
        <f aca="false">sobrestock_sustitutos!$C$184</f>
        <v>0</v>
      </c>
    </row>
    <row r="44" customFormat="false" ht="15" hidden="false" customHeight="false" outlineLevel="0" collapsed="false">
      <c r="A44" s="12" t="str">
        <f aca="false">parametros_recargas!A61</f>
        <v>CO₂ 5 kg</v>
      </c>
      <c r="B44" s="12" t="str">
        <f aca="false">parametros_recargas!B61</f>
        <v>CO₂</v>
      </c>
      <c r="C44" s="24" t="n">
        <f aca="false">parametros_recargas!C61</f>
        <v>1</v>
      </c>
      <c r="D44" s="25" t="n">
        <f aca="false">datos_base!$C$12*parametros_recargas!$F$38+sobrestock_sustitutos!$C$185/12</f>
        <v>11.1835369915278</v>
      </c>
      <c r="E44" s="25" t="n">
        <f aca="false">datos_base!$C$12*parametros_recargas!$G$38+sobrestock_sustitutos!$C$185/12</f>
        <v>11.8411324218779</v>
      </c>
      <c r="F44" s="25" t="n">
        <f aca="false">datos_base!$C$12*parametros_recargas!$H$38+sobrestock_sustitutos!$C$185/12</f>
        <v>12.5379796303887</v>
      </c>
      <c r="G44" s="25" t="n">
        <f aca="false">datos_base!$C$12*parametros_recargas!$I$38+sobrestock_sustitutos!$C$185/12</f>
        <v>13.2764215501429</v>
      </c>
      <c r="H44" s="25" t="n">
        <f aca="false">datos_base!$C$12*parametros_recargas!$J$38+sobrestock_sustitutos!$C$185/12</f>
        <v>14.0589409635673</v>
      </c>
      <c r="I44" s="25" t="n">
        <f aca="false">datos_base!$C$12*parametros_recargas!$K$38+sobrestock_sustitutos!$C$185/12</f>
        <v>14.8881688500203</v>
      </c>
      <c r="J44" s="25" t="n">
        <f aca="false">datos_base!$C$12*parametros_recargas!$L$38+sobrestock_sustitutos!$C$185/12</f>
        <v>15.7668932316458</v>
      </c>
      <c r="K44" s="25" t="n">
        <f aca="false">datos_base!$C$12*parametros_recargas!$M$38+sobrestock_sustitutos!$C$185/12</f>
        <v>16.6980685472348</v>
      </c>
      <c r="L44" s="25" t="n">
        <f aca="false">datos_base!$C$12*parametros_recargas!$N$38+sobrestock_sustitutos!$C$185/12</f>
        <v>17.6848255856117</v>
      </c>
      <c r="M44" s="25" t="n">
        <f aca="false">datos_base!$C$12*parametros_recargas!$O$38+sobrestock_sustitutos!$C$185/12</f>
        <v>18.7304820119424</v>
      </c>
      <c r="N44" s="25" t="n">
        <f aca="false">datos_base!$C$12*parametros_recargas!$P$38+sobrestock_sustitutos!$C$185/12</f>
        <v>19.8385535223575</v>
      </c>
      <c r="O44" s="25" t="n">
        <f aca="false">datos_base!$C$12*parametros_recargas!$Q$38+sobrestock_sustitutos!$C$185/12</f>
        <v>21.0127656643914</v>
      </c>
      <c r="P44" s="7" t="n">
        <f aca="false">SUM(D44:O44)</f>
        <v>187.517768970709</v>
      </c>
      <c r="Q44" s="13" t="n">
        <f aca="false">sobrestock_sustitutos!$C$185</f>
        <v>2</v>
      </c>
    </row>
    <row r="45" customFormat="false" ht="15" hidden="false" customHeight="false" outlineLevel="0" collapsed="false">
      <c r="A45" s="12" t="str">
        <f aca="false">parametros_recargas!A62</f>
        <v>HCFC/HFC 5 kg</v>
      </c>
      <c r="B45" s="12" t="str">
        <f aca="false">parametros_recargas!B62</f>
        <v>Halogenado</v>
      </c>
      <c r="C45" s="24" t="n">
        <f aca="false">parametros_recargas!C62</f>
        <v>1</v>
      </c>
      <c r="D45" s="25" t="n">
        <f aca="false">datos_base!$C$13*parametros_recargas!$F$38+sobrestock_sustitutos!$C$186/12</f>
        <v>2.00169694908166</v>
      </c>
      <c r="E45" s="25" t="n">
        <f aca="false">datos_base!$C$13*parametros_recargas!$G$38+sobrestock_sustitutos!$C$186/12</f>
        <v>2.11620380177821</v>
      </c>
      <c r="F45" s="25" t="n">
        <f aca="false">datos_base!$C$13*parametros_recargas!$H$38+sobrestock_sustitutos!$C$186/12</f>
        <v>2.23754555230478</v>
      </c>
      <c r="G45" s="25" t="n">
        <f aca="false">datos_base!$C$13*parametros_recargas!$I$38+sobrestock_sustitutos!$C$186/12</f>
        <v>2.36613017474543</v>
      </c>
      <c r="H45" s="25" t="n">
        <f aca="false">datos_base!$C$13*parametros_recargas!$J$38+sobrestock_sustitutos!$C$186/12</f>
        <v>2.50238999509954</v>
      </c>
      <c r="I45" s="25" t="n">
        <f aca="false">datos_base!$C$13*parametros_recargas!$K$38+sobrestock_sustitutos!$C$186/12</f>
        <v>2.64678314484421</v>
      </c>
      <c r="J45" s="25" t="n">
        <f aca="false">datos_base!$C$13*parametros_recargas!$L$38+sobrestock_sustitutos!$C$186/12</f>
        <v>2.79979510125957</v>
      </c>
      <c r="K45" s="25" t="n">
        <f aca="false">datos_base!$C$13*parametros_recargas!$M$38+sobrestock_sustitutos!$C$186/12</f>
        <v>2.96194031969586</v>
      </c>
      <c r="L45" s="25" t="n">
        <f aca="false">datos_base!$C$13*parametros_recargas!$N$38+sobrestock_sustitutos!$C$186/12</f>
        <v>3.13376396327038</v>
      </c>
      <c r="M45" s="25" t="n">
        <f aca="false">datos_base!$C$13*parametros_recargas!$O$38+sobrestock_sustitutos!$C$186/12</f>
        <v>3.31584373580975</v>
      </c>
      <c r="N45" s="25" t="n">
        <f aca="false">datos_base!$C$13*parametros_recargas!$P$38+sobrestock_sustitutos!$C$186/12</f>
        <v>3.5087918242002</v>
      </c>
      <c r="O45" s="25" t="n">
        <f aca="false">datos_base!$C$13*parametros_recargas!$Q$38+sobrestock_sustitutos!$C$186/12</f>
        <v>3.71325695667658</v>
      </c>
      <c r="P45" s="7" t="n">
        <f aca="false">SUM(D45:O45)</f>
        <v>33.3041415187662</v>
      </c>
      <c r="Q45" s="13" t="n">
        <f aca="false">sobrestock_sustitutos!$C$186</f>
        <v>1</v>
      </c>
    </row>
    <row r="46" customFormat="false" ht="15" hidden="false" customHeight="false" outlineLevel="0" collapsed="false">
      <c r="A46" s="12" t="str">
        <f aca="false">parametros_recargas!A63</f>
        <v>Clase D 9 l</v>
      </c>
      <c r="B46" s="12" t="str">
        <f aca="false">parametros_recargas!B63</f>
        <v>Clase D</v>
      </c>
      <c r="C46" s="24" t="n">
        <f aca="false">parametros_recargas!C63</f>
        <v>1</v>
      </c>
      <c r="D46" s="25" t="n">
        <f aca="false">datos_base!$C$14*parametros_recargas!$F$38+sobrestock_sustitutos!$C$187/12</f>
        <v>0.889072767111026</v>
      </c>
      <c r="E46" s="25" t="n">
        <f aca="false">datos_base!$C$14*parametros_recargas!$G$38+sobrestock_sustitutos!$C$187/12</f>
        <v>0.9371672398679</v>
      </c>
      <c r="F46" s="25" t="n">
        <f aca="false">datos_base!$C$14*parametros_recargas!$H$38+sobrestock_sustitutos!$C$187/12</f>
        <v>0.988132464896282</v>
      </c>
      <c r="G46" s="25" t="n">
        <f aca="false">datos_base!$C$14*parametros_recargas!$I$38+sobrestock_sustitutos!$C$187/12</f>
        <v>1.04213979699293</v>
      </c>
      <c r="H46" s="25" t="n">
        <f aca="false">datos_base!$C$14*parametros_recargas!$J$38+sobrestock_sustitutos!$C$187/12</f>
        <v>1.09937081909817</v>
      </c>
      <c r="I46" s="25" t="n">
        <f aca="false">datos_base!$C$14*parametros_recargas!$K$38+sobrestock_sustitutos!$C$187/12</f>
        <v>1.16001795281232</v>
      </c>
      <c r="J46" s="25" t="n">
        <f aca="false">datos_base!$C$14*parametros_recargas!$L$38+sobrestock_sustitutos!$C$187/12</f>
        <v>1.2242851053538</v>
      </c>
      <c r="K46" s="25" t="n">
        <f aca="false">datos_base!$C$14*parametros_recargas!$M$38+sobrestock_sustitutos!$C$187/12</f>
        <v>1.29238835513403</v>
      </c>
      <c r="L46" s="25" t="n">
        <f aca="false">datos_base!$C$14*parametros_recargas!$N$38+sobrestock_sustitutos!$C$187/12</f>
        <v>1.36455667825423</v>
      </c>
      <c r="M46" s="25" t="n">
        <f aca="false">datos_base!$C$14*parametros_recargas!$O$38+sobrestock_sustitutos!$C$187/12</f>
        <v>1.44103271836668</v>
      </c>
      <c r="N46" s="25" t="n">
        <f aca="false">datos_base!$C$14*parametros_recargas!$P$38+sobrestock_sustitutos!$C$187/12</f>
        <v>1.52207360248894</v>
      </c>
      <c r="O46" s="25" t="n">
        <f aca="false">datos_base!$C$14*parametros_recargas!$Q$38+sobrestock_sustitutos!$C$187/12</f>
        <v>1.60795180551383</v>
      </c>
      <c r="P46" s="7" t="n">
        <f aca="false">SUM(D46:O46)</f>
        <v>14.5681893058901</v>
      </c>
      <c r="Q46" s="13" t="n">
        <f aca="false">sobrestock_sustitutos!$C$187</f>
        <v>1</v>
      </c>
    </row>
    <row r="47" customFormat="false" ht="15" hidden="false" customHeight="false" outlineLevel="0" collapsed="false">
      <c r="A47" s="12" t="str">
        <f aca="false">parametros_recargas!A64</f>
        <v>ABC 25 kg s/ruedas</v>
      </c>
      <c r="B47" s="12" t="str">
        <f aca="false">parametros_recargas!B64</f>
        <v>ABC</v>
      </c>
      <c r="C47" s="24" t="n">
        <f aca="false">parametros_recargas!C64</f>
        <v>3</v>
      </c>
      <c r="D47" s="25" t="n">
        <f aca="false">datos_base!$C$15*parametros_recargas!$F$38+sobrestock_sustitutos!$C$188/12</f>
        <v>1.47183335983478</v>
      </c>
      <c r="E47" s="25" t="n">
        <f aca="false">datos_base!$C$15*parametros_recargas!$G$38+sobrestock_sustitutos!$C$188/12</f>
        <v>1.55968688475827</v>
      </c>
      <c r="F47" s="25" t="n">
        <f aca="false">datos_base!$C$15*parametros_recargas!$H$38+sobrestock_sustitutos!$C$188/12</f>
        <v>1.65278437414956</v>
      </c>
      <c r="G47" s="25" t="n">
        <f aca="false">datos_base!$C$15*parametros_recargas!$I$38+sobrestock_sustitutos!$C$188/12</f>
        <v>1.75143883950548</v>
      </c>
      <c r="H47" s="25" t="n">
        <f aca="false">datos_base!$C$15*parametros_recargas!$J$38+sobrestock_sustitutos!$C$188/12</f>
        <v>1.85598197593483</v>
      </c>
      <c r="I47" s="25" t="n">
        <f aca="false">datos_base!$C$15*parametros_recargas!$K$38+sobrestock_sustitutos!$C$188/12</f>
        <v>1.96676527738049</v>
      </c>
      <c r="J47" s="25" t="n">
        <f aca="false">datos_base!$C$15*parametros_recargas!$L$38+sobrestock_sustitutos!$C$188/12</f>
        <v>2.08416121840903</v>
      </c>
      <c r="K47" s="25" t="n">
        <f aca="false">datos_base!$C$15*parametros_recargas!$M$38+sobrestock_sustitutos!$C$188/12</f>
        <v>2.20856450654121</v>
      </c>
      <c r="L47" s="25" t="n">
        <f aca="false">datos_base!$C$15*parametros_recargas!$N$38+sobrestock_sustitutos!$C$188/12</f>
        <v>2.34039340933381</v>
      </c>
      <c r="M47" s="25" t="n">
        <f aca="false">datos_base!$C$15*parametros_recargas!$O$38+sobrestock_sustitutos!$C$188/12</f>
        <v>2.48009116067488</v>
      </c>
      <c r="N47" s="25" t="n">
        <f aca="false">datos_base!$C$15*parametros_recargas!$P$38+sobrestock_sustitutos!$C$188/12</f>
        <v>2.62812745102052</v>
      </c>
      <c r="O47" s="25" t="n">
        <f aca="false">datos_base!$C$15*parametros_recargas!$Q$38+sobrestock_sustitutos!$C$188/12</f>
        <v>2.78500000658365</v>
      </c>
      <c r="P47" s="7" t="n">
        <f aca="false">SUM(D47:O47)</f>
        <v>24.7848284641265</v>
      </c>
      <c r="Q47" s="13" t="n">
        <f aca="false">sobrestock_sustitutos!$C$188</f>
        <v>0</v>
      </c>
    </row>
    <row r="48" customFormat="false" ht="15" hidden="false" customHeight="false" outlineLevel="0" collapsed="false">
      <c r="A48" s="12" t="str">
        <f aca="false">parametros_recargas!A65</f>
        <v>ABC 50 kg s/ruedas</v>
      </c>
      <c r="B48" s="12" t="str">
        <f aca="false">parametros_recargas!B65</f>
        <v>ABC</v>
      </c>
      <c r="C48" s="24" t="n">
        <f aca="false">parametros_recargas!C65</f>
        <v>3</v>
      </c>
      <c r="D48" s="25" t="n">
        <f aca="false">datos_base!$C$16*parametros_recargas!$F$38+sobrestock_sustitutos!$C$189/12</f>
        <v>3.32136674550996</v>
      </c>
      <c r="E48" s="25" t="n">
        <f aca="false">datos_base!$C$16*parametros_recargas!$G$38+sobrestock_sustitutos!$C$189/12</f>
        <v>3.51464450156769</v>
      </c>
      <c r="F48" s="25" t="n">
        <f aca="false">datos_base!$C$16*parametros_recargas!$H$38+sobrestock_sustitutos!$C$189/12</f>
        <v>3.71945897952774</v>
      </c>
      <c r="G48" s="25" t="n">
        <f aca="false">datos_base!$C$16*parametros_recargas!$I$38+sobrestock_sustitutos!$C$189/12</f>
        <v>3.93649880468754</v>
      </c>
      <c r="H48" s="25" t="n">
        <f aca="false">datos_base!$C$16*parametros_recargas!$J$38+sobrestock_sustitutos!$C$189/12</f>
        <v>4.16649370629105</v>
      </c>
      <c r="I48" s="25" t="n">
        <f aca="false">datos_base!$C$16*parametros_recargas!$K$38+sobrestock_sustitutos!$C$189/12</f>
        <v>4.41021697101752</v>
      </c>
      <c r="J48" s="25" t="n">
        <f aca="false">datos_base!$C$16*parametros_recargas!$L$38+sobrestock_sustitutos!$C$189/12</f>
        <v>4.66848804291864</v>
      </c>
      <c r="K48" s="25" t="n">
        <f aca="false">datos_base!$C$16*parametros_recargas!$M$38+sobrestock_sustitutos!$C$189/12</f>
        <v>4.94217527854555</v>
      </c>
      <c r="L48" s="25" t="n">
        <f aca="false">datos_base!$C$16*parametros_recargas!$N$38+sobrestock_sustitutos!$C$189/12</f>
        <v>5.232198866529</v>
      </c>
      <c r="M48" s="25" t="n">
        <f aca="false">datos_base!$C$16*parametros_recargas!$O$38+sobrestock_sustitutos!$C$189/12</f>
        <v>5.5395339214289</v>
      </c>
      <c r="N48" s="25" t="n">
        <f aca="false">datos_base!$C$16*parametros_recargas!$P$38+sobrestock_sustitutos!$C$189/12</f>
        <v>5.86521376225522</v>
      </c>
      <c r="O48" s="25" t="n">
        <f aca="false">datos_base!$C$16*parametros_recargas!$Q$38+sobrestock_sustitutos!$C$189/12</f>
        <v>6.21033338668334</v>
      </c>
      <c r="P48" s="7" t="n">
        <f aca="false">SUM(D48:O48)</f>
        <v>55.5266229669621</v>
      </c>
      <c r="Q48" s="13" t="n">
        <f aca="false">sobrestock_sustitutos!$C$189</f>
        <v>1</v>
      </c>
    </row>
    <row r="49" customFormat="false" ht="15" hidden="false" customHeight="false" outlineLevel="0" collapsed="false">
      <c r="A49" s="12" t="str">
        <f aca="false">parametros_recargas!A66</f>
        <v>ABC 70 kg s/ruedas</v>
      </c>
      <c r="B49" s="12" t="str">
        <f aca="false">parametros_recargas!B66</f>
        <v>ABC</v>
      </c>
      <c r="C49" s="24" t="n">
        <f aca="false">parametros_recargas!C66</f>
        <v>3</v>
      </c>
      <c r="D49" s="25" t="n">
        <f aca="false">datos_base!$C$17*parametros_recargas!$F$38+sobrestock_sustitutos!$C$190/12</f>
        <v>0.70648001066668</v>
      </c>
      <c r="E49" s="25" t="n">
        <f aca="false">datos_base!$C$17*parametros_recargas!$G$38+sobrestock_sustitutos!$C$190/12</f>
        <v>0.748649702507355</v>
      </c>
      <c r="F49" s="25" t="n">
        <f aca="false">datos_base!$C$17*parametros_recargas!$H$38+sobrestock_sustitutos!$C$190/12</f>
        <v>0.79333649728525</v>
      </c>
      <c r="G49" s="25" t="n">
        <f aca="false">datos_base!$C$17*parametros_recargas!$I$38+sobrestock_sustitutos!$C$190/12</f>
        <v>0.840690640518417</v>
      </c>
      <c r="H49" s="25" t="n">
        <f aca="false">datos_base!$C$17*parametros_recargas!$J$38+sobrestock_sustitutos!$C$190/12</f>
        <v>0.890871345858609</v>
      </c>
      <c r="I49" s="25" t="n">
        <f aca="false">datos_base!$C$17*parametros_recargas!$K$38+sobrestock_sustitutos!$C$190/12</f>
        <v>0.94404733039792</v>
      </c>
      <c r="J49" s="25" t="n">
        <f aca="false">datos_base!$C$17*parametros_recargas!$L$38+sobrestock_sustitutos!$C$190/12</f>
        <v>1.00039738192779</v>
      </c>
      <c r="K49" s="25" t="n">
        <f aca="false">datos_base!$C$17*parametros_recargas!$M$38+sobrestock_sustitutos!$C$190/12</f>
        <v>1.06011096005763</v>
      </c>
      <c r="L49" s="25" t="n">
        <f aca="false">datos_base!$C$17*parametros_recargas!$N$38+sobrestock_sustitutos!$C$190/12</f>
        <v>1.1233888332141</v>
      </c>
      <c r="M49" s="25" t="n">
        <f aca="false">datos_base!$C$17*parametros_recargas!$O$38+sobrestock_sustitutos!$C$190/12</f>
        <v>1.19044375366286</v>
      </c>
      <c r="N49" s="25" t="n">
        <f aca="false">datos_base!$C$17*parametros_recargas!$P$38+sobrestock_sustitutos!$C$190/12</f>
        <v>1.26150117282217</v>
      </c>
      <c r="O49" s="25" t="n">
        <f aca="false">datos_base!$C$17*parametros_recargas!$Q$38+sobrestock_sustitutos!$C$190/12</f>
        <v>1.33679999927356</v>
      </c>
      <c r="P49" s="7" t="n">
        <f aca="false">SUM(D49:O49)</f>
        <v>11.8967176281923</v>
      </c>
      <c r="Q49" s="13" t="n">
        <f aca="false">sobrestock_sustitutos!$C$190</f>
        <v>0</v>
      </c>
    </row>
    <row r="50" customFormat="false" ht="15" hidden="false" customHeight="false" outlineLevel="0" collapsed="false">
      <c r="A50" s="12" t="str">
        <f aca="false">parametros_recargas!A67</f>
        <v>ABC 100 kg s/ruedas</v>
      </c>
      <c r="B50" s="12" t="str">
        <f aca="false">parametros_recargas!B67</f>
        <v>ABC</v>
      </c>
      <c r="C50" s="24" t="n">
        <f aca="false">parametros_recargas!C67</f>
        <v>3</v>
      </c>
      <c r="D50" s="25" t="n">
        <f aca="false">datos_base!$C$18*parametros_recargas!$F$38+sobrestock_sustitutos!$C$191/12</f>
        <v>0.55432000711112</v>
      </c>
      <c r="E50" s="25" t="n">
        <f aca="false">datos_base!$C$18*parametros_recargas!$G$38+sobrestock_sustitutos!$C$191/12</f>
        <v>0.582433135004903</v>
      </c>
      <c r="F50" s="25" t="n">
        <f aca="false">datos_base!$C$18*parametros_recargas!$H$38+sobrestock_sustitutos!$C$191/12</f>
        <v>0.6122243315235</v>
      </c>
      <c r="G50" s="25" t="n">
        <f aca="false">datos_base!$C$18*parametros_recargas!$I$38+sobrestock_sustitutos!$C$191/12</f>
        <v>0.643793760345611</v>
      </c>
      <c r="H50" s="25" t="n">
        <f aca="false">datos_base!$C$18*parametros_recargas!$J$38+sobrestock_sustitutos!$C$191/12</f>
        <v>0.677247563905739</v>
      </c>
      <c r="I50" s="25" t="n">
        <f aca="false">datos_base!$C$18*parametros_recargas!$K$38+sobrestock_sustitutos!$C$191/12</f>
        <v>0.71269822026528</v>
      </c>
      <c r="J50" s="25" t="n">
        <f aca="false">datos_base!$C$18*parametros_recargas!$L$38+sobrestock_sustitutos!$C$191/12</f>
        <v>0.750264921285194</v>
      </c>
      <c r="K50" s="25" t="n">
        <f aca="false">datos_base!$C$18*parametros_recargas!$M$38+sobrestock_sustitutos!$C$191/12</f>
        <v>0.790073973371752</v>
      </c>
      <c r="L50" s="25" t="n">
        <f aca="false">datos_base!$C$18*parametros_recargas!$N$38+sobrestock_sustitutos!$C$191/12</f>
        <v>0.832259222142735</v>
      </c>
      <c r="M50" s="25" t="n">
        <f aca="false">datos_base!$C$18*parametros_recargas!$O$38+sobrestock_sustitutos!$C$191/12</f>
        <v>0.876962502441908</v>
      </c>
      <c r="N50" s="25" t="n">
        <f aca="false">datos_base!$C$18*parametros_recargas!$P$38+sobrestock_sustitutos!$C$191/12</f>
        <v>0.924334115214783</v>
      </c>
      <c r="O50" s="25" t="n">
        <f aca="false">datos_base!$C$18*parametros_recargas!$Q$38+sobrestock_sustitutos!$C$191/12</f>
        <v>0.974533332849037</v>
      </c>
      <c r="P50" s="7" t="n">
        <f aca="false">SUM(D50:O50)</f>
        <v>8.93114508546156</v>
      </c>
      <c r="Q50" s="13" t="n">
        <f aca="false">sobrestock_sustitutos!$C$191</f>
        <v>1</v>
      </c>
    </row>
    <row r="51" customFormat="false" ht="15" hidden="false" customHeight="false" outlineLevel="0" collapsed="false">
      <c r="A51" s="6" t="s">
        <v>273</v>
      </c>
      <c r="D51" s="7" t="n">
        <f aca="false">SUM(D34:D50)</f>
        <v>526.262594799747</v>
      </c>
      <c r="E51" s="7" t="n">
        <f aca="false">SUM(E34:E50)</f>
        <v>557.590573962694</v>
      </c>
      <c r="F51" s="7" t="n">
        <f aca="false">SUM(F34:F50)</f>
        <v>590.788515767678</v>
      </c>
      <c r="G51" s="7" t="n">
        <f aca="false">SUM(G34:G50)</f>
        <v>625.968038020126</v>
      </c>
      <c r="H51" s="7" t="n">
        <f aca="false">SUM(H34:H50)</f>
        <v>663.247420976471</v>
      </c>
      <c r="I51" s="7" t="n">
        <f aca="false">SUM(I34:I50)</f>
        <v>702.752005024912</v>
      </c>
      <c r="J51" s="7" t="n">
        <f aca="false">SUM(J34:J50)</f>
        <v>744.614612103678</v>
      </c>
      <c r="K51" s="7" t="n">
        <f aca="false">SUM(K34:K50)</f>
        <v>788.975992273693</v>
      </c>
      <c r="L51" s="7" t="n">
        <f aca="false">SUM(L34:L50)</f>
        <v>835.985296947094</v>
      </c>
      <c r="M51" s="7" t="n">
        <f aca="false">SUM(M34:M50)</f>
        <v>885.800580362697</v>
      </c>
      <c r="N51" s="7" t="n">
        <f aca="false">SUM(N34:N50)</f>
        <v>938.589330994463</v>
      </c>
      <c r="O51" s="7" t="n">
        <f aca="false">SUM(O34:O50)</f>
        <v>994.529034679657</v>
      </c>
      <c r="P51" s="7" t="n">
        <f aca="false">SUM(P34:P50)</f>
        <v>8855.10399591291</v>
      </c>
    </row>
    <row r="52" customFormat="false" ht="15" hidden="false" customHeight="false" outlineLevel="0" collapsed="false">
      <c r="A52" s="6" t="s">
        <v>274</v>
      </c>
    </row>
    <row r="53" customFormat="false" ht="15" hidden="false" customHeight="false" outlineLevel="0" collapsed="false">
      <c r="A53" s="4" t="s">
        <v>143</v>
      </c>
      <c r="D53" s="25" t="n">
        <f aca="false">SUMPRODUCT(($B$34:$B$50=$A53)*D$34:D$50*$C$34:$C$50)</f>
        <v>473.083628981356</v>
      </c>
      <c r="E53" s="25" t="n">
        <f aca="false">SUMPRODUCT(($B$34:$B$50=$A53)*E$34:E$50*$C$34:$C$50)</f>
        <v>501.262233975975</v>
      </c>
      <c r="F53" s="25" t="n">
        <f aca="false">SUMPRODUCT(($B$34:$B$50=$A53)*F$34:F$50*$C$34:$C$50)</f>
        <v>531.12281591429</v>
      </c>
      <c r="G53" s="25" t="n">
        <f aca="false">SUMPRODUCT(($B$34:$B$50=$A53)*G$34:G$50*$C$34:$C$50)</f>
        <v>562.765771762001</v>
      </c>
      <c r="H53" s="25" t="n">
        <f aca="false">SUMPRODUCT(($B$34:$B$50=$A53)*H$34:H$50*$C$34:$C$50)</f>
        <v>596.29749116548</v>
      </c>
      <c r="I53" s="25" t="n">
        <f aca="false">SUMPRODUCT(($B$34:$B$50=$A53)*I$34:I$50*$C$34:$C$50)</f>
        <v>631.830714154033</v>
      </c>
      <c r="J53" s="25" t="n">
        <f aca="false">SUMPRODUCT(($B$34:$B$50=$A53)*J$34:J$50*$C$34:$C$50)</f>
        <v>669.484910193359</v>
      </c>
      <c r="K53" s="25" t="n">
        <f aca="false">SUMPRODUCT(($B$34:$B$50=$A53)*K$34:K$50*$C$34:$C$50)</f>
        <v>709.386679864652</v>
      </c>
      <c r="L53" s="25" t="n">
        <f aca="false">SUMPRODUCT(($B$34:$B$50=$A53)*L$34:L$50*$C$34:$C$50)</f>
        <v>751.67018051988</v>
      </c>
      <c r="M53" s="25" t="n">
        <f aca="false">SUMPRODUCT(($B$34:$B$50=$A53)*M$34:M$50*$C$34:$C$50)</f>
        <v>796.477577344363</v>
      </c>
      <c r="N53" s="25" t="n">
        <f aca="false">SUMPRODUCT(($B$34:$B$50=$A53)*N$34:N$50*$C$34:$C$50)</f>
        <v>843.959521343207</v>
      </c>
      <c r="O53" s="25" t="n">
        <f aca="false">SUMPRODUCT(($B$34:$B$50=$A53)*O$34:O$50*$C$34:$C$50)</f>
        <v>894.275655858691</v>
      </c>
      <c r="P53" s="25" t="n">
        <f aca="false">SUMPRODUCT(($B$34:$B$50=$A53)*P$34:P$50*$C$34:$C$50)</f>
        <v>7961.61718107728</v>
      </c>
    </row>
    <row r="54" customFormat="false" ht="15" hidden="false" customHeight="false" outlineLevel="0" collapsed="false">
      <c r="A54" s="4" t="s">
        <v>149</v>
      </c>
      <c r="D54" s="25" t="n">
        <f aca="false">SUMPRODUCT(($B$34:$B$50=$A54)*D$34:D$50*$C$34:$C$50)</f>
        <v>0.889072767111026</v>
      </c>
      <c r="E54" s="25" t="n">
        <f aca="false">SUMPRODUCT(($B$34:$B$50=$A54)*E$34:E$50*$C$34:$C$50)</f>
        <v>0.9371672398679</v>
      </c>
      <c r="F54" s="25" t="n">
        <f aca="false">SUMPRODUCT(($B$34:$B$50=$A54)*F$34:F$50*$C$34:$C$50)</f>
        <v>0.988132464896282</v>
      </c>
      <c r="G54" s="25" t="n">
        <f aca="false">SUMPRODUCT(($B$34:$B$50=$A54)*G$34:G$50*$C$34:$C$50)</f>
        <v>1.04213979699293</v>
      </c>
      <c r="H54" s="25" t="n">
        <f aca="false">SUMPRODUCT(($B$34:$B$50=$A54)*H$34:H$50*$C$34:$C$50)</f>
        <v>1.09937081909817</v>
      </c>
      <c r="I54" s="25" t="n">
        <f aca="false">SUMPRODUCT(($B$34:$B$50=$A54)*I$34:I$50*$C$34:$C$50)</f>
        <v>1.16001795281232</v>
      </c>
      <c r="J54" s="25" t="n">
        <f aca="false">SUMPRODUCT(($B$34:$B$50=$A54)*J$34:J$50*$C$34:$C$50)</f>
        <v>1.2242851053538</v>
      </c>
      <c r="K54" s="25" t="n">
        <f aca="false">SUMPRODUCT(($B$34:$B$50=$A54)*K$34:K$50*$C$34:$C$50)</f>
        <v>1.29238835513403</v>
      </c>
      <c r="L54" s="25" t="n">
        <f aca="false">SUMPRODUCT(($B$34:$B$50=$A54)*L$34:L$50*$C$34:$C$50)</f>
        <v>1.36455667825423</v>
      </c>
      <c r="M54" s="25" t="n">
        <f aca="false">SUMPRODUCT(($B$34:$B$50=$A54)*M$34:M$50*$C$34:$C$50)</f>
        <v>1.44103271836668</v>
      </c>
      <c r="N54" s="25" t="n">
        <f aca="false">SUMPRODUCT(($B$34:$B$50=$A54)*N$34:N$50*$C$34:$C$50)</f>
        <v>1.52207360248894</v>
      </c>
      <c r="O54" s="25" t="n">
        <f aca="false">SUMPRODUCT(($B$34:$B$50=$A54)*O$34:O$50*$C$34:$C$50)</f>
        <v>1.60795180551383</v>
      </c>
      <c r="P54" s="25" t="n">
        <f aca="false">SUMPRODUCT(($B$34:$B$50=$A54)*P$34:P$50*$C$34:$C$50)</f>
        <v>14.5681893058901</v>
      </c>
    </row>
    <row r="55" customFormat="false" ht="15" hidden="false" customHeight="false" outlineLevel="0" collapsed="false">
      <c r="A55" s="4" t="s">
        <v>155</v>
      </c>
      <c r="D55" s="25" t="n">
        <f aca="false">SUMPRODUCT(($B$34:$B$50=$A55)*D$34:D$50*$C$34:$C$50)</f>
        <v>0.889072767111026</v>
      </c>
      <c r="E55" s="25" t="n">
        <f aca="false">SUMPRODUCT(($B$34:$B$50=$A55)*E$34:E$50*$C$34:$C$50)</f>
        <v>0.9371672398679</v>
      </c>
      <c r="F55" s="25" t="n">
        <f aca="false">SUMPRODUCT(($B$34:$B$50=$A55)*F$34:F$50*$C$34:$C$50)</f>
        <v>0.988132464896282</v>
      </c>
      <c r="G55" s="25" t="n">
        <f aca="false">SUMPRODUCT(($B$34:$B$50=$A55)*G$34:G$50*$C$34:$C$50)</f>
        <v>1.04213979699293</v>
      </c>
      <c r="H55" s="25" t="n">
        <f aca="false">SUMPRODUCT(($B$34:$B$50=$A55)*H$34:H$50*$C$34:$C$50)</f>
        <v>1.09937081909817</v>
      </c>
      <c r="I55" s="25" t="n">
        <f aca="false">SUMPRODUCT(($B$34:$B$50=$A55)*I$34:I$50*$C$34:$C$50)</f>
        <v>1.16001795281232</v>
      </c>
      <c r="J55" s="25" t="n">
        <f aca="false">SUMPRODUCT(($B$34:$B$50=$A55)*J$34:J$50*$C$34:$C$50)</f>
        <v>1.2242851053538</v>
      </c>
      <c r="K55" s="25" t="n">
        <f aca="false">SUMPRODUCT(($B$34:$B$50=$A55)*K$34:K$50*$C$34:$C$50)</f>
        <v>1.29238835513403</v>
      </c>
      <c r="L55" s="25" t="n">
        <f aca="false">SUMPRODUCT(($B$34:$B$50=$A55)*L$34:L$50*$C$34:$C$50)</f>
        <v>1.36455667825423</v>
      </c>
      <c r="M55" s="25" t="n">
        <f aca="false">SUMPRODUCT(($B$34:$B$50=$A55)*M$34:M$50*$C$34:$C$50)</f>
        <v>1.44103271836668</v>
      </c>
      <c r="N55" s="25" t="n">
        <f aca="false">SUMPRODUCT(($B$34:$B$50=$A55)*N$34:N$50*$C$34:$C$50)</f>
        <v>1.52207360248894</v>
      </c>
      <c r="O55" s="25" t="n">
        <f aca="false">SUMPRODUCT(($B$34:$B$50=$A55)*O$34:O$50*$C$34:$C$50)</f>
        <v>1.60795180551383</v>
      </c>
      <c r="P55" s="25" t="n">
        <f aca="false">SUMPRODUCT(($B$34:$B$50=$A55)*P$34:P$50*$C$34:$C$50)</f>
        <v>14.5681893058901</v>
      </c>
    </row>
    <row r="56" customFormat="false" ht="15" hidden="false" customHeight="false" outlineLevel="0" collapsed="false">
      <c r="A56" s="4" t="s">
        <v>146</v>
      </c>
      <c r="D56" s="25" t="n">
        <f aca="false">SUMPRODUCT(($B$34:$B$50=$A56)*D$34:D$50*$C$34:$C$50)</f>
        <v>11.09666341464</v>
      </c>
      <c r="E56" s="25" t="n">
        <f aca="false">SUMPRODUCT(($B$34:$B$50=$A56)*E$34:E$50*$C$34:$C$50)</f>
        <v>11.7540475283534</v>
      </c>
      <c r="F56" s="25" t="n">
        <f aca="false">SUMPRODUCT(($B$34:$B$50=$A56)*F$34:F$50*$C$34:$C$50)</f>
        <v>12.4506708067674</v>
      </c>
      <c r="G56" s="25" t="n">
        <f aca="false">SUMPRODUCT(($B$34:$B$50=$A56)*G$34:G$50*$C$34:$C$50)</f>
        <v>13.188875430069</v>
      </c>
      <c r="H56" s="25" t="n">
        <f aca="false">SUMPRODUCT(($B$34:$B$50=$A56)*H$34:H$50*$C$34:$C$50)</f>
        <v>13.9711433828491</v>
      </c>
      <c r="I56" s="25" t="n">
        <f aca="false">SUMPRODUCT(($B$34:$B$50=$A56)*I$34:I$50*$C$34:$C$50)</f>
        <v>14.8001047990076</v>
      </c>
      <c r="J56" s="25" t="n">
        <f aca="false">SUMPRODUCT(($B$34:$B$50=$A56)*J$34:J$50*$C$34:$C$50)</f>
        <v>15.6785468047644</v>
      </c>
      <c r="K56" s="25" t="n">
        <f aca="false">SUMPRODUCT(($B$34:$B$50=$A56)*K$34:K$50*$C$34:$C$50)</f>
        <v>16.6094228895091</v>
      </c>
      <c r="L56" s="25" t="n">
        <f aca="false">SUMPRODUCT(($B$34:$B$50=$A56)*L$34:L$50*$C$34:$C$50)</f>
        <v>17.5958628359948</v>
      </c>
      <c r="M56" s="25" t="n">
        <f aca="false">SUMPRODUCT(($B$34:$B$50=$A56)*M$34:M$50*$C$34:$C$50)</f>
        <v>18.6411832432645</v>
      </c>
      <c r="N56" s="25" t="n">
        <f aca="false">SUMPRODUCT(($B$34:$B$50=$A56)*N$34:N$50*$C$34:$C$50)</f>
        <v>19.7488986776881</v>
      </c>
      <c r="O56" s="25" t="n">
        <f aca="false">SUMPRODUCT(($B$34:$B$50=$A56)*O$34:O$50*$C$34:$C$50)</f>
        <v>20.9227334896052</v>
      </c>
      <c r="P56" s="25" t="n">
        <f aca="false">SUMPRODUCT(($B$34:$B$50=$A56)*P$34:P$50*$C$34:$C$50)</f>
        <v>186.458153302513</v>
      </c>
    </row>
    <row r="57" customFormat="false" ht="15" hidden="false" customHeight="false" outlineLevel="0" collapsed="false">
      <c r="A57" s="4" t="s">
        <v>147</v>
      </c>
      <c r="D57" s="25" t="n">
        <f aca="false">SUMPRODUCT(($B$34:$B$50=$A57)*D$34:D$50*$C$34:$C$50)</f>
        <v>7.3680897674421</v>
      </c>
      <c r="E57" s="25" t="n">
        <f aca="false">SUMPRODUCT(($B$34:$B$50=$A57)*E$34:E$50*$C$34:$C$50)</f>
        <v>7.78799338328627</v>
      </c>
      <c r="F57" s="25" t="n">
        <f aca="false">SUMPRODUCT(($B$34:$B$50=$A57)*F$34:F$50*$C$34:$C$50)</f>
        <v>8.23296098652652</v>
      </c>
      <c r="G57" s="25" t="n">
        <f aca="false">SUMPRODUCT(($B$34:$B$50=$A57)*G$34:G$50*$C$34:$C$50)</f>
        <v>8.70448864302294</v>
      </c>
      <c r="H57" s="25" t="n">
        <f aca="false">SUMPRODUCT(($B$34:$B$50=$A57)*H$34:H$50*$C$34:$C$50)</f>
        <v>9.20416171859504</v>
      </c>
      <c r="I57" s="25" t="n">
        <f aca="false">SUMPRODUCT(($B$34:$B$50=$A57)*I$34:I$50*$C$34:$C$50)</f>
        <v>9.73366020932373</v>
      </c>
      <c r="J57" s="25" t="n">
        <f aca="false">SUMPRODUCT(($B$34:$B$50=$A57)*J$34:J$50*$C$34:$C$50)</f>
        <v>10.2947643900182</v>
      </c>
      <c r="K57" s="25" t="n">
        <f aca="false">SUMPRODUCT(($B$34:$B$50=$A57)*K$34:K$50*$C$34:$C$50)</f>
        <v>10.8893607998389</v>
      </c>
      <c r="L57" s="25" t="n">
        <f aca="false">SUMPRODUCT(($B$34:$B$50=$A57)*L$34:L$50*$C$34:$C$50)</f>
        <v>11.5194485852019</v>
      </c>
      <c r="M57" s="25" t="n">
        <f aca="false">SUMPRODUCT(($B$34:$B$50=$A57)*M$34:M$50*$C$34:$C$50)</f>
        <v>12.1871462212899</v>
      </c>
      <c r="N57" s="25" t="n">
        <f aca="false">SUMPRODUCT(($B$34:$B$50=$A57)*N$34:N$50*$C$34:$C$50)</f>
        <v>12.8946986347693</v>
      </c>
      <c r="O57" s="25" t="n">
        <f aca="false">SUMPRODUCT(($B$34:$B$50=$A57)*O$34:O$50*$C$34:$C$50)</f>
        <v>13.6444847516614</v>
      </c>
      <c r="P57" s="25" t="n">
        <f aca="false">SUMPRODUCT(($B$34:$B$50=$A57)*P$34:P$50*$C$34:$C$50)</f>
        <v>122.461258090976</v>
      </c>
    </row>
    <row r="58" customFormat="false" ht="15" hidden="false" customHeight="false" outlineLevel="0" collapsed="false">
      <c r="A58" s="4" t="s">
        <v>150</v>
      </c>
      <c r="D58" s="25" t="n">
        <f aca="false">SUMPRODUCT(($B$34:$B$50=$A58)*D$34:D$50*$C$34:$C$50)</f>
        <v>5.82427698535673</v>
      </c>
      <c r="E58" s="25" t="n">
        <f aca="false">SUMPRODUCT(($B$34:$B$50=$A58)*E$34:E$50*$C$34:$C$50)</f>
        <v>6.16695309936602</v>
      </c>
      <c r="F58" s="25" t="n">
        <f aca="false">SUMPRODUCT(($B$34:$B$50=$A58)*F$34:F$50*$C$34:$C$50)</f>
        <v>6.53008350211774</v>
      </c>
      <c r="G58" s="25" t="n">
        <f aca="false">SUMPRODUCT(($B$34:$B$50=$A58)*G$34:G$50*$C$34:$C$50)</f>
        <v>6.91488910721181</v>
      </c>
      <c r="H58" s="25" t="n">
        <f aca="false">SUMPRODUCT(($B$34:$B$50=$A58)*H$34:H$50*$C$34:$C$50)</f>
        <v>7.32266370440809</v>
      </c>
      <c r="I58" s="25" t="n">
        <f aca="false">SUMPRODUCT(($B$34:$B$50=$A58)*I$34:I$50*$C$34:$C$50)</f>
        <v>7.75477830959412</v>
      </c>
      <c r="J58" s="25" t="n">
        <f aca="false">SUMPRODUCT(($B$34:$B$50=$A58)*J$34:J$50*$C$34:$C$50)</f>
        <v>8.2126857744017</v>
      </c>
      <c r="K58" s="25" t="n">
        <f aca="false">SUMPRODUCT(($B$34:$B$50=$A58)*K$34:K$50*$C$34:$C$50)</f>
        <v>8.69792567097086</v>
      </c>
      <c r="L58" s="25" t="n">
        <f aca="false">SUMPRODUCT(($B$34:$B$50=$A58)*L$34:L$50*$C$34:$C$50)</f>
        <v>9.21212946828481</v>
      </c>
      <c r="M58" s="25" t="n">
        <f aca="false">SUMPRODUCT(($B$34:$B$50=$A58)*M$34:M$50*$C$34:$C$50)</f>
        <v>9.75702601747941</v>
      </c>
      <c r="N58" s="25" t="n">
        <f aca="false">SUMPRODUCT(($B$34:$B$50=$A58)*N$34:N$50*$C$34:$C$50)</f>
        <v>10.3344473645701</v>
      </c>
      <c r="O58" s="25" t="n">
        <f aca="false">SUMPRODUCT(($B$34:$B$50=$A58)*O$34:O$50*$C$34:$C$50)</f>
        <v>10.9463349101398</v>
      </c>
      <c r="P58" s="25" t="n">
        <f aca="false">SUMPRODUCT(($B$34:$B$50=$A58)*P$34:P$50*$C$34:$C$50)</f>
        <v>97.6741939139013</v>
      </c>
    </row>
    <row r="59" customFormat="false" ht="15" hidden="false" customHeight="false" outlineLevel="0" collapsed="false">
      <c r="A59" s="4" t="s">
        <v>151</v>
      </c>
      <c r="D59" s="25" t="n">
        <f aca="false">SUMPRODUCT(($B$34:$B$50=$A59)*D$34:D$50*$C$34:$C$50)</f>
        <v>40.2337950830383</v>
      </c>
      <c r="E59" s="25" t="n">
        <f aca="false">SUMPRODUCT(($B$34:$B$50=$A59)*E$34:E$50*$C$34:$C$50)</f>
        <v>42.6253963070626</v>
      </c>
      <c r="F59" s="25" t="n">
        <f aca="false">SUMPRODUCT(($B$34:$B$50=$A59)*F$34:F$50*$C$34:$C$50)</f>
        <v>45.1597518696388</v>
      </c>
      <c r="G59" s="25" t="n">
        <f aca="false">SUMPRODUCT(($B$34:$B$50=$A59)*G$34:G$50*$C$34:$C$50)</f>
        <v>47.8453827570295</v>
      </c>
      <c r="H59" s="25" t="n">
        <f aca="false">SUMPRODUCT(($B$34:$B$50=$A59)*H$34:H$50*$C$34:$C$50)</f>
        <v>50.6913185719611</v>
      </c>
      <c r="I59" s="25" t="n">
        <f aca="false">SUMPRODUCT(($B$34:$B$50=$A59)*I$34:I$50*$C$34:$C$50)</f>
        <v>53.7071278928689</v>
      </c>
      <c r="J59" s="25" t="n">
        <f aca="false">SUMPRODUCT(($B$34:$B$50=$A59)*J$34:J$50*$C$34:$C$50)</f>
        <v>56.9029504452804</v>
      </c>
      <c r="K59" s="25" t="n">
        <f aca="false">SUMPRODUCT(($B$34:$B$50=$A59)*K$34:K$50*$C$34:$C$50)</f>
        <v>60.2895311935048</v>
      </c>
      <c r="L59" s="25" t="n">
        <f aca="false">SUMPRODUCT(($B$34:$B$50=$A59)*L$34:L$50*$C$34:$C$50)</f>
        <v>63.8782564672501</v>
      </c>
      <c r="M59" s="25" t="n">
        <f aca="false">SUMPRODUCT(($B$34:$B$50=$A59)*M$34:M$50*$C$34:$C$50)</f>
        <v>67.6811922446328</v>
      </c>
      <c r="N59" s="25" t="n">
        <f aca="false">SUMPRODUCT(($B$34:$B$50=$A59)*N$34:N$50*$C$34:$C$50)</f>
        <v>71.7111247202955</v>
      </c>
      <c r="O59" s="25" t="n">
        <f aca="false">SUMPRODUCT(($B$34:$B$50=$A59)*O$34:O$50*$C$34:$C$50)</f>
        <v>75.981603295029</v>
      </c>
      <c r="P59" s="25" t="n">
        <f aca="false">SUMPRODUCT(($B$34:$B$50=$A59)*P$34:P$50*$C$34:$C$50)</f>
        <v>676.707430847592</v>
      </c>
    </row>
    <row r="60" customFormat="false" ht="15" hidden="false" customHeight="false" outlineLevel="0" collapsed="false">
      <c r="A60" s="4" t="s">
        <v>154</v>
      </c>
      <c r="D60" s="25" t="n">
        <f aca="false">SUMPRODUCT(($B$34:$B$50=$A60)*D$34:D$50*$C$34:$C$50)</f>
        <v>2.00169694908166</v>
      </c>
      <c r="E60" s="25" t="n">
        <f aca="false">SUMPRODUCT(($B$34:$B$50=$A60)*E$34:E$50*$C$34:$C$50)</f>
        <v>2.11620380177821</v>
      </c>
      <c r="F60" s="25" t="n">
        <f aca="false">SUMPRODUCT(($B$34:$B$50=$A60)*F$34:F$50*$C$34:$C$50)</f>
        <v>2.23754555230478</v>
      </c>
      <c r="G60" s="25" t="n">
        <f aca="false">SUMPRODUCT(($B$34:$B$50=$A60)*G$34:G$50*$C$34:$C$50)</f>
        <v>2.36613017474543</v>
      </c>
      <c r="H60" s="25" t="n">
        <f aca="false">SUMPRODUCT(($B$34:$B$50=$A60)*H$34:H$50*$C$34:$C$50)</f>
        <v>2.50238999509954</v>
      </c>
      <c r="I60" s="25" t="n">
        <f aca="false">SUMPRODUCT(($B$34:$B$50=$A60)*I$34:I$50*$C$34:$C$50)</f>
        <v>2.64678314484421</v>
      </c>
      <c r="J60" s="25" t="n">
        <f aca="false">SUMPRODUCT(($B$34:$B$50=$A60)*J$34:J$50*$C$34:$C$50)</f>
        <v>2.79979510125957</v>
      </c>
      <c r="K60" s="25" t="n">
        <f aca="false">SUMPRODUCT(($B$34:$B$50=$A60)*K$34:K$50*$C$34:$C$50)</f>
        <v>2.96194031969586</v>
      </c>
      <c r="L60" s="25" t="n">
        <f aca="false">SUMPRODUCT(($B$34:$B$50=$A60)*L$34:L$50*$C$34:$C$50)</f>
        <v>3.13376396327038</v>
      </c>
      <c r="M60" s="25" t="n">
        <f aca="false">SUMPRODUCT(($B$34:$B$50=$A60)*M$34:M$50*$C$34:$C$50)</f>
        <v>3.31584373580975</v>
      </c>
      <c r="N60" s="25" t="n">
        <f aca="false">SUMPRODUCT(($B$34:$B$50=$A60)*N$34:N$50*$C$34:$C$50)</f>
        <v>3.5087918242002</v>
      </c>
      <c r="O60" s="25" t="n">
        <f aca="false">SUMPRODUCT(($B$34:$B$50=$A60)*O$34:O$50*$C$34:$C$50)</f>
        <v>3.71325695667658</v>
      </c>
      <c r="P60" s="25" t="n">
        <f aca="false">SUMPRODUCT(($B$34:$B$50=$A60)*P$34:P$50*$C$34:$C$50)</f>
        <v>33.3041415187662</v>
      </c>
    </row>
    <row r="61" customFormat="false" ht="15" hidden="false" customHeight="false" outlineLevel="0" collapsed="false">
      <c r="A61" s="6" t="s">
        <v>275</v>
      </c>
      <c r="D61" s="26" t="n">
        <f aca="false">SUMPRODUCT(D$34:D$50*parametros_recargas!$D$51:$D$67)</f>
        <v>18.7453879492228</v>
      </c>
      <c r="E61" s="26" t="n">
        <f aca="false">SUMPRODUCT(E$34:E$50*parametros_recargas!$D$51:$D$67)</f>
        <v>19.8394267283096</v>
      </c>
      <c r="F61" s="26" t="n">
        <f aca="false">SUMPRODUCT(F$34:F$50*parametros_recargas!$D$51:$D$67)</f>
        <v>20.9987685272685</v>
      </c>
      <c r="G61" s="26" t="n">
        <f aca="false">SUMPRODUCT(G$34:G$50*parametros_recargas!$D$51:$D$67)</f>
        <v>22.2273112741127</v>
      </c>
      <c r="H61" s="26" t="n">
        <f aca="false">SUMPRODUCT(H$34:H$50*parametros_recargas!$D$51:$D$67)</f>
        <v>23.5291855636266</v>
      </c>
      <c r="I61" s="26" t="n">
        <f aca="false">SUMPRODUCT(I$34:I$50*parametros_recargas!$D$51:$D$67)</f>
        <v>24.9087685452127</v>
      </c>
      <c r="J61" s="26" t="n">
        <f aca="false">SUMPRODUCT(J$34:J$50*parametros_recargas!$D$51:$D$67)</f>
        <v>26.3706986397019</v>
      </c>
      <c r="K61" s="26" t="n">
        <f aca="false">SUMPRODUCT(K$34:K$50*parametros_recargas!$D$51:$D$67)</f>
        <v>27.9198911346079</v>
      </c>
      <c r="L61" s="26" t="n">
        <f aca="false">SUMPRODUCT(L$34:L$50*parametros_recargas!$D$51:$D$67)</f>
        <v>29.5615547102602</v>
      </c>
      <c r="M61" s="26" t="n">
        <f aca="false">SUMPRODUCT(M$34:M$50*parametros_recargas!$D$51:$D$67)</f>
        <v>31.3012089523802</v>
      </c>
      <c r="N61" s="26" t="n">
        <f aca="false">SUMPRODUCT(N$34:N$50*parametros_recargas!$D$51:$D$67)</f>
        <v>33.1447029099797</v>
      </c>
      <c r="O61" s="26" t="n">
        <f aca="false">SUMPRODUCT(O$34:O$50*parametros_recargas!$D$51:$D$67)</f>
        <v>35.0982347609779</v>
      </c>
      <c r="P61" s="26" t="n">
        <f aca="false">SUMPRODUCT(P$34:P$50*parametros_recargas!$D$51:$D$67)</f>
        <v>313.645139695661</v>
      </c>
    </row>
    <row r="65" customFormat="false" ht="23.85" hidden="false" customHeight="false" outlineLevel="0" collapsed="false">
      <c r="A65" s="23" t="n">
        <v>2028</v>
      </c>
      <c r="B65" s="3" t="s">
        <v>270</v>
      </c>
      <c r="C65" s="3" t="s">
        <v>271</v>
      </c>
      <c r="D65" s="3" t="s">
        <v>124</v>
      </c>
      <c r="E65" s="3" t="s">
        <v>125</v>
      </c>
      <c r="F65" s="3" t="s">
        <v>126</v>
      </c>
      <c r="G65" s="3" t="s">
        <v>127</v>
      </c>
      <c r="H65" s="3" t="s">
        <v>128</v>
      </c>
      <c r="I65" s="3" t="s">
        <v>129</v>
      </c>
      <c r="J65" s="3" t="s">
        <v>130</v>
      </c>
      <c r="K65" s="3" t="s">
        <v>131</v>
      </c>
      <c r="L65" s="3" t="s">
        <v>132</v>
      </c>
      <c r="M65" s="3" t="s">
        <v>133</v>
      </c>
      <c r="N65" s="3" t="s">
        <v>134</v>
      </c>
      <c r="O65" s="3" t="s">
        <v>135</v>
      </c>
      <c r="P65" s="3" t="s">
        <v>136</v>
      </c>
      <c r="Q65" s="3" t="s">
        <v>272</v>
      </c>
    </row>
    <row r="66" customFormat="false" ht="15" hidden="false" customHeight="false" outlineLevel="0" collapsed="false">
      <c r="A66" s="12" t="str">
        <f aca="false">parametros_recargas!A51</f>
        <v>ABC 1 kg</v>
      </c>
      <c r="B66" s="12" t="str">
        <f aca="false">parametros_recargas!B51</f>
        <v>ABC</v>
      </c>
      <c r="C66" s="24" t="n">
        <f aca="false">parametros_recargas!C51</f>
        <v>1</v>
      </c>
      <c r="D66" s="25" t="n">
        <f aca="false">datos_base!$D$2*parametros_recargas!$F$39+sobrestock_sustitutos!$D$175/12</f>
        <v>544.119375102299</v>
      </c>
      <c r="E66" s="25" t="n">
        <f aca="false">datos_base!$D$2*parametros_recargas!$G$39+sobrestock_sustitutos!$D$175/12</f>
        <v>572.870020769908</v>
      </c>
      <c r="F66" s="25" t="n">
        <f aca="false">datos_base!$D$2*parametros_recargas!$H$39+sobrestock_sustitutos!$D$175/12</f>
        <v>603.139817682864</v>
      </c>
      <c r="G66" s="25" t="n">
        <f aca="false">datos_base!$D$2*parametros_recargas!$I$39+sobrestock_sustitutos!$D$175/12</f>
        <v>635.009036056068</v>
      </c>
      <c r="H66" s="25" t="n">
        <f aca="false">datos_base!$D$2*parametros_recargas!$J$39+sobrestock_sustitutos!$D$175/12</f>
        <v>668.562187490798</v>
      </c>
      <c r="I66" s="25" t="n">
        <f aca="false">datos_base!$D$2*parametros_recargas!$K$39+sobrestock_sustitutos!$D$175/12</f>
        <v>703.888249084719</v>
      </c>
      <c r="J66" s="25" t="n">
        <f aca="false">datos_base!$D$2*parametros_recargas!$L$39+sobrestock_sustitutos!$D$175/12</f>
        <v>741.080899383606</v>
      </c>
      <c r="K66" s="25" t="n">
        <f aca="false">datos_base!$D$2*parametros_recargas!$M$39+sobrestock_sustitutos!$D$175/12</f>
        <v>780.238766800485</v>
      </c>
      <c r="L66" s="25" t="n">
        <f aca="false">datos_base!$D$2*parametros_recargas!$N$39+sobrestock_sustitutos!$D$175/12</f>
        <v>821.465691160963</v>
      </c>
      <c r="M66" s="25" t="n">
        <f aca="false">datos_base!$D$2*parametros_recargas!$O$39+sobrestock_sustitutos!$D$175/12</f>
        <v>864.870999068307</v>
      </c>
      <c r="N66" s="25" t="n">
        <f aca="false">datos_base!$D$2*parametros_recargas!$P$39+sobrestock_sustitutos!$D$175/12</f>
        <v>910.569793818501</v>
      </c>
      <c r="O66" s="25" t="n">
        <f aca="false">datos_base!$D$2*parametros_recargas!$Q$39+sobrestock_sustitutos!$D$175/12</f>
        <v>958.68326063409</v>
      </c>
      <c r="P66" s="7" t="n">
        <f aca="false">SUM(D66:O66)</f>
        <v>8804.49809705261</v>
      </c>
      <c r="Q66" s="13" t="n">
        <f aca="false">sobrestock_sustitutos!$D$175</f>
        <v>0</v>
      </c>
    </row>
    <row r="67" customFormat="false" ht="15" hidden="false" customHeight="false" outlineLevel="0" collapsed="false">
      <c r="A67" s="12" t="str">
        <f aca="false">parametros_recargas!A52</f>
        <v>ABC 2,5 kg</v>
      </c>
      <c r="B67" s="12" t="str">
        <f aca="false">parametros_recargas!B52</f>
        <v>ABC</v>
      </c>
      <c r="C67" s="24" t="n">
        <f aca="false">parametros_recargas!C52</f>
        <v>1</v>
      </c>
      <c r="D67" s="25" t="n">
        <f aca="false">datos_base!$D$3*parametros_recargas!$F$39+sobrestock_sustitutos!$D$176/12</f>
        <v>52.4981068887941</v>
      </c>
      <c r="E67" s="25" t="n">
        <f aca="false">datos_base!$D$3*parametros_recargas!$G$39+sobrestock_sustitutos!$D$176/12</f>
        <v>55.2720468336751</v>
      </c>
      <c r="F67" s="25" t="n">
        <f aca="false">datos_base!$D$3*parametros_recargas!$H$39+sobrestock_sustitutos!$D$176/12</f>
        <v>58.1925585936905</v>
      </c>
      <c r="G67" s="25" t="n">
        <f aca="false">datos_base!$D$3*parametros_recargas!$I$39+sobrestock_sustitutos!$D$176/12</f>
        <v>61.2673868559707</v>
      </c>
      <c r="H67" s="25" t="n">
        <f aca="false">datos_base!$D$3*parametros_recargas!$J$39+sobrestock_sustitutos!$D$176/12</f>
        <v>64.5046855280593</v>
      </c>
      <c r="I67" s="25" t="n">
        <f aca="false">datos_base!$D$3*parametros_recargas!$K$39+sobrestock_sustitutos!$D$176/12</f>
        <v>67.9130393606518</v>
      </c>
      <c r="J67" s="25" t="n">
        <f aca="false">datos_base!$D$3*parametros_recargas!$L$39+sobrestock_sustitutos!$D$176/12</f>
        <v>71.5014867128554</v>
      </c>
      <c r="K67" s="25" t="n">
        <f aca="false">datos_base!$D$3*parametros_recargas!$M$39+sobrestock_sustitutos!$D$176/12</f>
        <v>75.2795435203383</v>
      </c>
      <c r="L67" s="25" t="n">
        <f aca="false">datos_base!$D$3*parametros_recargas!$N$39+sobrestock_sustitutos!$D$176/12</f>
        <v>79.2572285299296</v>
      </c>
      <c r="M67" s="25" t="n">
        <f aca="false">datos_base!$D$3*parametros_recargas!$O$39+sobrestock_sustitutos!$D$176/12</f>
        <v>83.4450898675861</v>
      </c>
      <c r="N67" s="25" t="n">
        <f aca="false">datos_base!$D$3*parametros_recargas!$P$39+sobrestock_sustitutos!$D$176/12</f>
        <v>87.8542330101799</v>
      </c>
      <c r="O67" s="25" t="n">
        <f aca="false">datos_base!$D$3*parametros_recargas!$Q$39+sobrestock_sustitutos!$D$176/12</f>
        <v>92.496350235284</v>
      </c>
      <c r="P67" s="7" t="n">
        <f aca="false">SUM(D67:O67)</f>
        <v>849.481755937015</v>
      </c>
      <c r="Q67" s="13" t="n">
        <f aca="false">sobrestock_sustitutos!$D$176</f>
        <v>0</v>
      </c>
    </row>
    <row r="68" customFormat="false" ht="15" hidden="false" customHeight="false" outlineLevel="0" collapsed="false">
      <c r="A68" s="12" t="str">
        <f aca="false">parametros_recargas!A53</f>
        <v>ABC 5 kg</v>
      </c>
      <c r="B68" s="12" t="str">
        <f aca="false">parametros_recargas!B53</f>
        <v>ABC</v>
      </c>
      <c r="C68" s="24" t="n">
        <f aca="false">parametros_recargas!C53</f>
        <v>1</v>
      </c>
      <c r="D68" s="25" t="n">
        <f aca="false">datos_base!$D$4*parametros_recargas!$F$39+sobrestock_sustitutos!$D$177/12</f>
        <v>317.892436506401</v>
      </c>
      <c r="E68" s="25" t="n">
        <f aca="false">datos_base!$D$4*parametros_recargas!$G$39+sobrestock_sustitutos!$D$177/12</f>
        <v>334.623460821814</v>
      </c>
      <c r="F68" s="25" t="n">
        <f aca="false">datos_base!$D$4*parametros_recargas!$H$39+sobrestock_sustitutos!$D$177/12</f>
        <v>352.238533332824</v>
      </c>
      <c r="G68" s="25" t="n">
        <f aca="false">datos_base!$D$4*parametros_recargas!$I$39+sobrestock_sustitutos!$D$177/12</f>
        <v>370.78436613532</v>
      </c>
      <c r="H68" s="25" t="n">
        <f aca="false">datos_base!$D$4*parametros_recargas!$J$39+sobrestock_sustitutos!$D$177/12</f>
        <v>390.31013953893</v>
      </c>
      <c r="I68" s="25" t="n">
        <f aca="false">datos_base!$D$4*parametros_recargas!$K$39+sobrestock_sustitutos!$D$177/12</f>
        <v>410.867632484612</v>
      </c>
      <c r="J68" s="25" t="n">
        <f aca="false">datos_base!$D$4*parametros_recargas!$L$39+sobrestock_sustitutos!$D$177/12</f>
        <v>432.511359853364</v>
      </c>
      <c r="K68" s="25" t="n">
        <f aca="false">datos_base!$D$4*parametros_recargas!$M$39+sobrestock_sustitutos!$D$177/12</f>
        <v>455.298717030168</v>
      </c>
      <c r="L68" s="25" t="n">
        <f aca="false">datos_base!$D$4*parametros_recargas!$N$39+sobrestock_sustitutos!$D$177/12</f>
        <v>479.290132106524</v>
      </c>
      <c r="M68" s="25" t="n">
        <f aca="false">datos_base!$D$4*parametros_recargas!$O$39+sobrestock_sustitutos!$D$177/12</f>
        <v>504.549226125199</v>
      </c>
      <c r="N68" s="25" t="n">
        <f aca="false">datos_base!$D$4*parametros_recargas!$P$39+sobrestock_sustitutos!$D$177/12</f>
        <v>531.142981792119</v>
      </c>
      <c r="O68" s="25" t="n">
        <f aca="false">datos_base!$D$4*parametros_recargas!$Q$39+sobrestock_sustitutos!$D$177/12</f>
        <v>559.141921102805</v>
      </c>
      <c r="P68" s="7" t="n">
        <f aca="false">SUM(D68:O68)</f>
        <v>5138.65090683008</v>
      </c>
      <c r="Q68" s="13" t="n">
        <f aca="false">sobrestock_sustitutos!$D$177</f>
        <v>15</v>
      </c>
    </row>
    <row r="69" customFormat="false" ht="15" hidden="false" customHeight="false" outlineLevel="0" collapsed="false">
      <c r="A69" s="12" t="str">
        <f aca="false">parametros_recargas!A54</f>
        <v>ABC 10 kg</v>
      </c>
      <c r="B69" s="12" t="str">
        <f aca="false">parametros_recargas!B54</f>
        <v>ABC</v>
      </c>
      <c r="C69" s="24" t="n">
        <f aca="false">parametros_recargas!C54</f>
        <v>1</v>
      </c>
      <c r="D69" s="25" t="n">
        <f aca="false">datos_base!$D$5*parametros_recargas!$F$39+sobrestock_sustitutos!$D$178/12</f>
        <v>18.3412729925336</v>
      </c>
      <c r="E69" s="25" t="n">
        <f aca="false">datos_base!$D$5*parametros_recargas!$G$39+sobrestock_sustitutos!$D$178/12</f>
        <v>19.3060016491148</v>
      </c>
      <c r="F69" s="25" t="n">
        <f aca="false">datos_base!$D$5*parametros_recargas!$H$39+sobrestock_sustitutos!$D$178/12</f>
        <v>20.3217054648981</v>
      </c>
      <c r="G69" s="25" t="n">
        <f aca="false">datos_base!$D$5*parametros_recargas!$I$39+sobrestock_sustitutos!$D$178/12</f>
        <v>21.3910779090138</v>
      </c>
      <c r="H69" s="25" t="n">
        <f aca="false">datos_base!$D$5*parametros_recargas!$J$39+sobrestock_sustitutos!$D$178/12</f>
        <v>22.5169547704215</v>
      </c>
      <c r="I69" s="25" t="n">
        <f aca="false">datos_base!$D$5*parametros_recargas!$K$39+sobrestock_sustitutos!$D$178/12</f>
        <v>23.7023216779273</v>
      </c>
      <c r="J69" s="25" t="n">
        <f aca="false">datos_base!$D$5*parametros_recargas!$L$39+sobrestock_sustitutos!$D$178/12</f>
        <v>24.9503220175497</v>
      </c>
      <c r="K69" s="25" t="n">
        <f aca="false">datos_base!$D$5*parametros_recargas!$M$39+sobrestock_sustitutos!$D$178/12</f>
        <v>26.2642652682306</v>
      </c>
      <c r="L69" s="25" t="n">
        <f aca="false">datos_base!$D$5*parametros_recargas!$N$39+sobrestock_sustitutos!$D$178/12</f>
        <v>27.6476357779951</v>
      </c>
      <c r="M69" s="25" t="n">
        <f aca="false">datos_base!$D$5*parametros_recargas!$O$39+sobrestock_sustitutos!$D$178/12</f>
        <v>29.1041020038344</v>
      </c>
      <c r="N69" s="25" t="n">
        <f aca="false">datos_base!$D$5*parametros_recargas!$P$39+sobrestock_sustitutos!$D$178/12</f>
        <v>30.6375262398127</v>
      </c>
      <c r="O69" s="25" t="n">
        <f aca="false">datos_base!$D$5*parametros_recargas!$Q$39+sobrestock_sustitutos!$D$178/12</f>
        <v>32.2519748591966</v>
      </c>
      <c r="P69" s="7" t="n">
        <f aca="false">SUM(D69:O69)</f>
        <v>296.435160630528</v>
      </c>
      <c r="Q69" s="13" t="n">
        <f aca="false">sobrestock_sustitutos!$D$178</f>
        <v>1</v>
      </c>
    </row>
    <row r="70" customFormat="false" ht="15" hidden="false" customHeight="false" outlineLevel="0" collapsed="false">
      <c r="A70" s="12" t="str">
        <f aca="false">parametros_recargas!A55</f>
        <v>Agua 10 l</v>
      </c>
      <c r="B70" s="12" t="str">
        <f aca="false">parametros_recargas!B55</f>
        <v>Agua</v>
      </c>
      <c r="C70" s="24" t="n">
        <f aca="false">parametros_recargas!C55</f>
        <v>1</v>
      </c>
      <c r="D70" s="25" t="n">
        <f aca="false">datos_base!$D$6*parametros_recargas!$F$39+sobrestock_sustitutos!$D$179/12</f>
        <v>26.4295810421517</v>
      </c>
      <c r="E70" s="25" t="n">
        <f aca="false">datos_base!$D$6*parametros_recargas!$G$39+sobrestock_sustitutos!$D$179/12</f>
        <v>27.8172834103432</v>
      </c>
      <c r="F70" s="25" t="n">
        <f aca="false">datos_base!$D$6*parametros_recargas!$H$39+sobrestock_sustitutos!$D$179/12</f>
        <v>29.2783103850559</v>
      </c>
      <c r="G70" s="25" t="n">
        <f aca="false">datos_base!$D$6*parametros_recargas!$I$39+sobrestock_sustitutos!$D$179/12</f>
        <v>30.8165363546637</v>
      </c>
      <c r="H70" s="25" t="n">
        <f aca="false">datos_base!$D$6*parametros_recargas!$J$39+sobrestock_sustitutos!$D$179/12</f>
        <v>32.436040425792</v>
      </c>
      <c r="I70" s="25" t="n">
        <f aca="false">datos_base!$D$6*parametros_recargas!$K$39+sobrestock_sustitutos!$D$179/12</f>
        <v>34.141117240397</v>
      </c>
      <c r="J70" s="25" t="n">
        <f aca="false">datos_base!$D$6*parametros_recargas!$L$39+sobrestock_sustitutos!$D$179/12</f>
        <v>35.9362883644052</v>
      </c>
      <c r="K70" s="25" t="n">
        <f aca="false">datos_base!$D$6*parametros_recargas!$M$39+sobrestock_sustitutos!$D$179/12</f>
        <v>37.8263142781171</v>
      </c>
      <c r="L70" s="25" t="n">
        <f aca="false">datos_base!$D$6*parametros_recargas!$N$39+sobrestock_sustitutos!$D$179/12</f>
        <v>39.8162070001696</v>
      </c>
      <c r="M70" s="25" t="n">
        <f aca="false">datos_base!$D$6*parametros_recargas!$O$39+sobrestock_sustitutos!$D$179/12</f>
        <v>41.9112433785339</v>
      </c>
      <c r="N70" s="25" t="n">
        <f aca="false">datos_base!$D$6*parametros_recargas!$P$39+sobrestock_sustitutos!$D$179/12</f>
        <v>44.1169790837945</v>
      </c>
      <c r="O70" s="25" t="n">
        <f aca="false">datos_base!$D$6*parametros_recargas!$Q$39+sobrestock_sustitutos!$D$179/12</f>
        <v>46.4392633418178</v>
      </c>
      <c r="P70" s="7" t="n">
        <f aca="false">SUM(D70:O70)</f>
        <v>426.965164305242</v>
      </c>
      <c r="Q70" s="13" t="n">
        <f aca="false">sobrestock_sustitutos!$D$179</f>
        <v>2</v>
      </c>
    </row>
    <row r="71" customFormat="false" ht="15" hidden="false" customHeight="false" outlineLevel="0" collapsed="false">
      <c r="A71" s="12" t="str">
        <f aca="false">parametros_recargas!A56</f>
        <v>AFFF 10 l</v>
      </c>
      <c r="B71" s="12" t="str">
        <f aca="false">parametros_recargas!B56</f>
        <v>AFFF</v>
      </c>
      <c r="C71" s="24" t="n">
        <f aca="false">parametros_recargas!C56</f>
        <v>1</v>
      </c>
      <c r="D71" s="25" t="n">
        <f aca="false">datos_base!$D$7*parametros_recargas!$F$39+sobrestock_sustitutos!$D$180/12</f>
        <v>5.72307825431785</v>
      </c>
      <c r="E71" s="25" t="n">
        <f aca="false">datos_base!$D$7*parametros_recargas!$G$39+sobrestock_sustitutos!$D$180/12</f>
        <v>6.02107592780345</v>
      </c>
      <c r="F71" s="25" t="n">
        <f aca="false">datos_base!$D$7*parametros_recargas!$H$39+sobrestock_sustitutos!$D$180/12</f>
        <v>6.33481945764373</v>
      </c>
      <c r="G71" s="25" t="n">
        <f aca="false">datos_base!$D$7*parametros_recargas!$I$39+sobrestock_sustitutos!$D$180/12</f>
        <v>6.66514083688561</v>
      </c>
      <c r="H71" s="25" t="n">
        <f aca="false">datos_base!$D$7*parametros_recargas!$J$39+sobrestock_sustitutos!$D$180/12</f>
        <v>7.01291602013739</v>
      </c>
      <c r="I71" s="25" t="n">
        <f aca="false">datos_base!$D$7*parametros_recargas!$K$39+sobrestock_sustitutos!$D$180/12</f>
        <v>7.37906724644732</v>
      </c>
      <c r="J71" s="25" t="n">
        <f aca="false">datos_base!$D$7*parametros_recargas!$L$39+sobrestock_sustitutos!$D$180/12</f>
        <v>7.76456548492057</v>
      </c>
      <c r="K71" s="25" t="n">
        <f aca="false">datos_base!$D$7*parametros_recargas!$M$39+sobrestock_sustitutos!$D$180/12</f>
        <v>8.17043300955964</v>
      </c>
      <c r="L71" s="25" t="n">
        <f aca="false">datos_base!$D$7*parametros_recargas!$N$39+sobrestock_sustitutos!$D$180/12</f>
        <v>8.59774611015656</v>
      </c>
      <c r="M71" s="25" t="n">
        <f aca="false">datos_base!$D$7*parametros_recargas!$O$39+sobrestock_sustitutos!$D$180/12</f>
        <v>9.04763794642537</v>
      </c>
      <c r="N71" s="25" t="n">
        <f aca="false">datos_base!$D$7*parametros_recargas!$P$39+sobrestock_sustitutos!$D$180/12</f>
        <v>9.52130155294382</v>
      </c>
      <c r="O71" s="25" t="n">
        <f aca="false">datos_base!$D$7*parametros_recargas!$Q$39+sobrestock_sustitutos!$D$180/12</f>
        <v>10.0199930028727</v>
      </c>
      <c r="P71" s="7" t="n">
        <f aca="false">SUM(D71:O71)</f>
        <v>92.257774850114</v>
      </c>
      <c r="Q71" s="13" t="n">
        <f aca="false">sobrestock_sustitutos!$D$180</f>
        <v>1</v>
      </c>
    </row>
    <row r="72" customFormat="false" ht="15" hidden="false" customHeight="false" outlineLevel="0" collapsed="false">
      <c r="A72" s="12" t="str">
        <f aca="false">parametros_recargas!A57</f>
        <v>AFFF 50 l s/ruedas</v>
      </c>
      <c r="B72" s="12" t="str">
        <f aca="false">parametros_recargas!B57</f>
        <v>AFFF</v>
      </c>
      <c r="C72" s="24" t="n">
        <f aca="false">parametros_recargas!C57</f>
        <v>3</v>
      </c>
      <c r="D72" s="25" t="n">
        <f aca="false">datos_base!$D$8*parametros_recargas!$F$39+sobrestock_sustitutos!$D$181/12</f>
        <v>3.01293774484768</v>
      </c>
      <c r="E72" s="25" t="n">
        <f aca="false">datos_base!$D$8*parametros_recargas!$G$39+sobrestock_sustitutos!$D$181/12</f>
        <v>3.16773469242169</v>
      </c>
      <c r="F72" s="25" t="n">
        <f aca="false">datos_base!$D$8*parametros_recargas!$H$39+sobrestock_sustitutos!$D$181/12</f>
        <v>3.33071093372015</v>
      </c>
      <c r="G72" s="25" t="n">
        <f aca="false">datos_base!$D$8*parametros_recargas!$I$39+sobrestock_sustitutos!$D$181/12</f>
        <v>3.50229865327177</v>
      </c>
      <c r="H72" s="25" t="n">
        <f aca="false">datos_base!$D$8*parametros_recargas!$J$39+sobrestock_sustitutos!$D$181/12</f>
        <v>3.68295287174159</v>
      </c>
      <c r="I72" s="25" t="n">
        <f aca="false">datos_base!$D$8*parametros_recargas!$K$39+sobrestock_sustitutos!$D$181/12</f>
        <v>3.87315265256638</v>
      </c>
      <c r="J72" s="25" t="n">
        <f aca="false">datos_base!$D$8*parametros_recargas!$L$39+sobrestock_sustitutos!$D$181/12</f>
        <v>4.07340237234716</v>
      </c>
      <c r="K72" s="25" t="n">
        <f aca="false">datos_base!$D$8*parametros_recargas!$M$39+sobrestock_sustitutos!$D$181/12</f>
        <v>4.28423305836788</v>
      </c>
      <c r="L72" s="25" t="n">
        <f aca="false">datos_base!$D$8*parametros_recargas!$N$39+sobrestock_sustitutos!$D$181/12</f>
        <v>4.50620379678703</v>
      </c>
      <c r="M72" s="25" t="n">
        <f aca="false">datos_base!$D$8*parametros_recargas!$O$39+sobrestock_sustitutos!$D$181/12</f>
        <v>4.7399032152365</v>
      </c>
      <c r="N72" s="25" t="n">
        <f aca="false">datos_base!$D$8*parametros_recargas!$P$39+sobrestock_sustitutos!$D$181/12</f>
        <v>4.98595104375921</v>
      </c>
      <c r="O72" s="25" t="n">
        <f aca="false">datos_base!$D$8*parametros_recargas!$Q$39+sobrestock_sustitutos!$D$181/12</f>
        <v>5.24499975822504</v>
      </c>
      <c r="P72" s="7" t="n">
        <f aca="false">SUM(D72:O72)</f>
        <v>48.4044807932921</v>
      </c>
      <c r="Q72" s="13" t="n">
        <f aca="false">sobrestock_sustitutos!$D$181</f>
        <v>1</v>
      </c>
    </row>
    <row r="73" customFormat="false" ht="15" hidden="false" customHeight="false" outlineLevel="0" collapsed="false">
      <c r="A73" s="12" t="str">
        <f aca="false">parametros_recargas!A58</f>
        <v>BC 5 kg</v>
      </c>
      <c r="B73" s="12" t="str">
        <f aca="false">parametros_recargas!B58</f>
        <v>BC</v>
      </c>
      <c r="C73" s="24" t="n">
        <f aca="false">parametros_recargas!C58</f>
        <v>1</v>
      </c>
      <c r="D73" s="25" t="n">
        <f aca="false">datos_base!$D$9*parametros_recargas!$F$39+sobrestock_sustitutos!$D$182/12</f>
        <v>1.66673061049812</v>
      </c>
      <c r="E73" s="25" t="n">
        <f aca="false">datos_base!$D$9*parametros_recargas!$G$39+sobrestock_sustitutos!$D$182/12</f>
        <v>1.75039551226395</v>
      </c>
      <c r="F73" s="25" t="n">
        <f aca="false">datos_base!$D$9*parametros_recargas!$H$39+sobrestock_sustitutos!$D$182/12</f>
        <v>1.83848117178177</v>
      </c>
      <c r="G73" s="25" t="n">
        <f aca="false">datos_base!$D$9*parametros_recargas!$I$39+sobrestock_sustitutos!$D$182/12</f>
        <v>1.93122117683675</v>
      </c>
      <c r="H73" s="25" t="n">
        <f aca="false">datos_base!$D$9*parametros_recargas!$J$39+sobrestock_sustitutos!$D$182/12</f>
        <v>2.02886145772559</v>
      </c>
      <c r="I73" s="25" t="n">
        <f aca="false">datos_base!$D$9*parametros_recargas!$K$39+sobrestock_sustitutos!$D$182/12</f>
        <v>2.13166093942068</v>
      </c>
      <c r="J73" s="25" t="n">
        <f aca="false">datos_base!$D$9*parametros_recargas!$L$39+sobrestock_sustitutos!$D$182/12</f>
        <v>2.23989222819389</v>
      </c>
      <c r="K73" s="25" t="n">
        <f aca="false">datos_base!$D$9*parametros_recargas!$M$39+sobrestock_sustitutos!$D$182/12</f>
        <v>2.35384233452085</v>
      </c>
      <c r="L73" s="25" t="n">
        <f aca="false">datos_base!$D$9*parametros_recargas!$N$39+sobrestock_sustitutos!$D$182/12</f>
        <v>2.47381343418255</v>
      </c>
      <c r="M73" s="25" t="n">
        <f aca="false">datos_base!$D$9*parametros_recargas!$O$39+sobrestock_sustitutos!$D$182/12</f>
        <v>2.60012366958276</v>
      </c>
      <c r="N73" s="25" t="n">
        <f aca="false">datos_base!$D$9*parametros_recargas!$P$39+sobrestock_sustitutos!$D$182/12</f>
        <v>2.73310799340613</v>
      </c>
      <c r="O73" s="25" t="n">
        <f aca="false">datos_base!$D$9*parametros_recargas!$Q$39+sobrestock_sustitutos!$D$182/12</f>
        <v>2.87311905685418</v>
      </c>
      <c r="P73" s="7" t="n">
        <f aca="false">SUM(D73:O73)</f>
        <v>26.6212495852672</v>
      </c>
      <c r="Q73" s="13" t="n">
        <f aca="false">sobrestock_sustitutos!$D$182</f>
        <v>1</v>
      </c>
    </row>
    <row r="74" customFormat="false" ht="15" hidden="false" customHeight="false" outlineLevel="0" collapsed="false">
      <c r="A74" s="12" t="str">
        <f aca="false">parametros_recargas!A59</f>
        <v>Sales K 6 l</v>
      </c>
      <c r="B74" s="12" t="str">
        <f aca="false">parametros_recargas!B59</f>
        <v>Sales K</v>
      </c>
      <c r="C74" s="24" t="n">
        <f aca="false">parametros_recargas!C59</f>
        <v>1</v>
      </c>
      <c r="D74" s="25" t="n">
        <f aca="false">datos_base!$D$10*parametros_recargas!$F$39+sobrestock_sustitutos!$D$183/12</f>
        <v>13.3825357929363</v>
      </c>
      <c r="E74" s="25" t="n">
        <f aca="false">datos_base!$D$10*parametros_recargas!$G$39+sobrestock_sustitutos!$D$183/12</f>
        <v>14.0852504454075</v>
      </c>
      <c r="F74" s="25" t="n">
        <f aca="false">datos_base!$D$10*parametros_recargas!$H$39+sobrestock_sustitutos!$D$183/12</f>
        <v>14.8250957366743</v>
      </c>
      <c r="G74" s="25" t="n">
        <f aca="false">datos_base!$D$10*parametros_recargas!$I$39+sobrestock_sustitutos!$D$183/12</f>
        <v>15.6040336072379</v>
      </c>
      <c r="H74" s="25" t="n">
        <f aca="false">datos_base!$D$10*parametros_recargas!$J$39+sobrestock_sustitutos!$D$183/12</f>
        <v>16.4241296642921</v>
      </c>
      <c r="I74" s="25" t="n">
        <f aca="false">datos_base!$D$10*parametros_recargas!$K$39+sobrestock_sustitutos!$D$183/12</f>
        <v>17.2875586593534</v>
      </c>
      <c r="J74" s="25" t="n">
        <f aca="false">datos_base!$D$10*parametros_recargas!$L$39+sobrestock_sustitutos!$D$183/12</f>
        <v>18.1966102553218</v>
      </c>
      <c r="K74" s="25" t="n">
        <f aca="false">datos_base!$D$10*parametros_recargas!$M$39+sobrestock_sustitutos!$D$183/12</f>
        <v>19.1536950982673</v>
      </c>
      <c r="L74" s="25" t="n">
        <f aca="false">datos_base!$D$10*parametros_recargas!$N$39+sobrestock_sustitutos!$D$183/12</f>
        <v>20.1613512100418</v>
      </c>
      <c r="M74" s="25" t="n">
        <f aca="false">datos_base!$D$10*parametros_recargas!$O$39+sobrestock_sustitutos!$D$183/12</f>
        <v>21.2222507186701</v>
      </c>
      <c r="N74" s="25" t="n">
        <f aca="false">datos_base!$D$10*parametros_recargas!$P$39+sobrestock_sustitutos!$D$183/12</f>
        <v>22.3392069443667</v>
      </c>
      <c r="O74" s="25" t="n">
        <f aca="false">datos_base!$D$10*parametros_recargas!$Q$39+sobrestock_sustitutos!$D$183/12</f>
        <v>23.5151818599698</v>
      </c>
      <c r="P74" s="7" t="n">
        <f aca="false">SUM(D74:O74)</f>
        <v>216.196899992539</v>
      </c>
      <c r="Q74" s="13" t="n">
        <f aca="false">sobrestock_sustitutos!$D$183</f>
        <v>1</v>
      </c>
    </row>
    <row r="75" customFormat="false" ht="15" hidden="false" customHeight="false" outlineLevel="0" collapsed="false">
      <c r="A75" s="12" t="str">
        <f aca="false">parametros_recargas!A60</f>
        <v>CO₂ 2 kg</v>
      </c>
      <c r="B75" s="12" t="str">
        <f aca="false">parametros_recargas!B60</f>
        <v>CO₂</v>
      </c>
      <c r="C75" s="24" t="n">
        <f aca="false">parametros_recargas!C60</f>
        <v>1</v>
      </c>
      <c r="D75" s="25" t="n">
        <f aca="false">datos_base!$D$11*parametros_recargas!$F$39+sobrestock_sustitutos!$D$184/12</f>
        <v>70.4541654039543</v>
      </c>
      <c r="E75" s="25" t="n">
        <f aca="false">datos_base!$D$11*parametros_recargas!$G$39+sobrestock_sustitutos!$D$184/12</f>
        <v>74.176882950918</v>
      </c>
      <c r="F75" s="25" t="n">
        <f aca="false">datos_base!$D$11*parametros_recargas!$H$39+sobrestock_sustitutos!$D$184/12</f>
        <v>78.0963046367357</v>
      </c>
      <c r="G75" s="25" t="n">
        <f aca="false">datos_base!$D$11*parametros_recargas!$I$39+sobrestock_sustitutos!$D$184/12</f>
        <v>82.2228240832052</v>
      </c>
      <c r="H75" s="25" t="n">
        <f aca="false">datos_base!$D$11*parametros_recargas!$J$39+sobrestock_sustitutos!$D$184/12</f>
        <v>86.5673840992163</v>
      </c>
      <c r="I75" s="25" t="n">
        <f aca="false">datos_base!$D$11*parametros_recargas!$K$39+sobrestock_sustitutos!$D$184/12</f>
        <v>91.1415056991693</v>
      </c>
      <c r="J75" s="25" t="n">
        <f aca="false">datos_base!$D$11*parametros_recargas!$L$39+sobrestock_sustitutos!$D$184/12</f>
        <v>95.9573186546932</v>
      </c>
      <c r="K75" s="25" t="n">
        <f aca="false">datos_base!$D$11*parametros_recargas!$M$39+sobrestock_sustitutos!$D$184/12</f>
        <v>101.027593660681</v>
      </c>
      <c r="L75" s="25" t="n">
        <f aca="false">datos_base!$D$11*parametros_recargas!$N$39+sobrestock_sustitutos!$D$184/12</f>
        <v>106.365776200943</v>
      </c>
      <c r="M75" s="25" t="n">
        <f aca="false">datos_base!$D$11*parametros_recargas!$O$39+sobrestock_sustitutos!$D$184/12</f>
        <v>111.986022203282</v>
      </c>
      <c r="N75" s="25" t="n">
        <f aca="false">datos_base!$D$11*parametros_recargas!$P$39+sobrestock_sustitutos!$D$184/12</f>
        <v>117.903235578538</v>
      </c>
      <c r="O75" s="25" t="n">
        <f aca="false">datos_base!$D$11*parametros_recargas!$Q$39+sobrestock_sustitutos!$D$184/12</f>
        <v>124.133107743164</v>
      </c>
      <c r="P75" s="7" t="n">
        <f aca="false">SUM(D75:O75)</f>
        <v>1140.0321209145</v>
      </c>
      <c r="Q75" s="13" t="n">
        <f aca="false">sobrestock_sustitutos!$D$184</f>
        <v>0</v>
      </c>
    </row>
    <row r="76" customFormat="false" ht="15" hidden="false" customHeight="false" outlineLevel="0" collapsed="false">
      <c r="A76" s="12" t="str">
        <f aca="false">parametros_recargas!A61</f>
        <v>CO₂ 5 kg</v>
      </c>
      <c r="B76" s="12" t="str">
        <f aca="false">parametros_recargas!B61</f>
        <v>CO₂</v>
      </c>
      <c r="C76" s="24" t="n">
        <f aca="false">parametros_recargas!C61</f>
        <v>1</v>
      </c>
      <c r="D76" s="25" t="n">
        <f aca="false">datos_base!$D$12*parametros_recargas!$F$39+sobrestock_sustitutos!$D$185/12</f>
        <v>24.8374568634914</v>
      </c>
      <c r="E76" s="25" t="n">
        <f aca="false">datos_base!$D$12*parametros_recargas!$G$39+sobrestock_sustitutos!$D$185/12</f>
        <v>26.1322267343096</v>
      </c>
      <c r="F76" s="25" t="n">
        <f aca="false">datos_base!$D$12*parametros_recargas!$H$39+sobrestock_sustitutos!$D$185/12</f>
        <v>27.4954107647412</v>
      </c>
      <c r="G76" s="25" t="n">
        <f aca="false">datos_base!$D$12*parametros_recargas!$I$39+sobrestock_sustitutos!$D$185/12</f>
        <v>28.9306238807597</v>
      </c>
      <c r="H76" s="25" t="n">
        <f aca="false">datos_base!$D$12*parametros_recargas!$J$39+sobrestock_sustitutos!$D$185/12</f>
        <v>30.4416720168937</v>
      </c>
      <c r="I76" s="25" t="n">
        <f aca="false">datos_base!$D$12*parametros_recargas!$K$39+sobrestock_sustitutos!$D$185/12</f>
        <v>32.032562208901</v>
      </c>
      <c r="J76" s="25" t="n">
        <f aca="false">datos_base!$D$12*parametros_recargas!$L$39+sobrestock_sustitutos!$D$185/12</f>
        <v>33.7075132197275</v>
      </c>
      <c r="K76" s="25" t="n">
        <f aca="false">datos_base!$D$12*parametros_recargas!$M$39+sobrestock_sustitutos!$D$185/12</f>
        <v>35.4709667269296</v>
      </c>
      <c r="L76" s="25" t="n">
        <f aca="false">datos_base!$D$12*parametros_recargas!$N$39+sobrestock_sustitutos!$D$185/12</f>
        <v>37.3275991012275</v>
      </c>
      <c r="M76" s="25" t="n">
        <f aca="false">datos_base!$D$12*parametros_recargas!$O$39+sobrestock_sustitutos!$D$185/12</f>
        <v>39.2823338074234</v>
      </c>
      <c r="N76" s="25" t="n">
        <f aca="false">datos_base!$D$12*parametros_recargas!$P$39+sobrestock_sustitutos!$D$185/12</f>
        <v>41.3403544605706</v>
      </c>
      <c r="O76" s="25" t="n">
        <f aca="false">datos_base!$D$12*parametros_recargas!$Q$39+sobrestock_sustitutos!$D$185/12</f>
        <v>43.5071185720153</v>
      </c>
      <c r="P76" s="7" t="n">
        <f aca="false">SUM(D76:O76)</f>
        <v>400.50583835699</v>
      </c>
      <c r="Q76" s="13" t="n">
        <f aca="false">sobrestock_sustitutos!$D$185</f>
        <v>4</v>
      </c>
    </row>
    <row r="77" customFormat="false" ht="15" hidden="false" customHeight="false" outlineLevel="0" collapsed="false">
      <c r="A77" s="12" t="str">
        <f aca="false">parametros_recargas!A62</f>
        <v>HCFC/HFC 5 kg</v>
      </c>
      <c r="B77" s="12" t="str">
        <f aca="false">parametros_recargas!B62</f>
        <v>Halogenado</v>
      </c>
      <c r="C77" s="24" t="n">
        <f aca="false">parametros_recargas!C62</f>
        <v>1</v>
      </c>
      <c r="D77" s="25" t="n">
        <f aca="false">datos_base!$D$13*parametros_recargas!$F$39+sobrestock_sustitutos!$D$186/12</f>
        <v>4.19555059399572</v>
      </c>
      <c r="E77" s="25" t="n">
        <f aca="false">datos_base!$D$13*parametros_recargas!$G$39+sobrestock_sustitutos!$D$186/12</f>
        <v>4.41283545239155</v>
      </c>
      <c r="F77" s="25" t="n">
        <f aca="false">datos_base!$D$13*parametros_recargas!$H$39+sobrestock_sustitutos!$D$186/12</f>
        <v>4.64160139427481</v>
      </c>
      <c r="G77" s="25" t="n">
        <f aca="false">datos_base!$D$13*parametros_recargas!$I$39+sobrestock_sustitutos!$D$186/12</f>
        <v>4.8824550669702</v>
      </c>
      <c r="H77" s="25" t="n">
        <f aca="false">datos_base!$D$13*parametros_recargas!$J$39+sobrestock_sustitutos!$D$186/12</f>
        <v>5.13603517235346</v>
      </c>
      <c r="I77" s="25" t="n">
        <f aca="false">datos_base!$D$13*parametros_recargas!$K$39+sobrestock_sustitutos!$D$186/12</f>
        <v>5.4030141605772</v>
      </c>
      <c r="J77" s="25" t="n">
        <f aca="false">datos_base!$D$13*parametros_recargas!$L$39+sobrestock_sustitutos!$D$186/12</f>
        <v>5.68410001329124</v>
      </c>
      <c r="K77" s="25" t="n">
        <f aca="false">datos_base!$D$13*parametros_recargas!$M$39+sobrestock_sustitutos!$D$186/12</f>
        <v>5.98003812108633</v>
      </c>
      <c r="L77" s="25" t="n">
        <f aca="false">datos_base!$D$13*parametros_recargas!$N$39+sobrestock_sustitutos!$D$186/12</f>
        <v>6.29161326013979</v>
      </c>
      <c r="M77" s="25" t="n">
        <f aca="false">datos_base!$D$13*parametros_recargas!$O$39+sobrestock_sustitutos!$D$186/12</f>
        <v>6.61965167330489</v>
      </c>
      <c r="N77" s="25" t="n">
        <f aca="false">datos_base!$D$13*parametros_recargas!$P$39+sobrestock_sustitutos!$D$186/12</f>
        <v>6.96502326116259</v>
      </c>
      <c r="O77" s="25" t="n">
        <f aca="false">datos_base!$D$13*parametros_recargas!$Q$39+sobrestock_sustitutos!$D$186/12</f>
        <v>7.32864388884594</v>
      </c>
      <c r="P77" s="7" t="n">
        <f aca="false">SUM(D77:O77)</f>
        <v>67.5405620583937</v>
      </c>
      <c r="Q77" s="13" t="n">
        <f aca="false">sobrestock_sustitutos!$D$186</f>
        <v>1</v>
      </c>
    </row>
    <row r="78" customFormat="false" ht="15" hidden="false" customHeight="false" outlineLevel="0" collapsed="false">
      <c r="A78" s="12" t="str">
        <f aca="false">parametros_recargas!A63</f>
        <v>Clase D 9 l</v>
      </c>
      <c r="B78" s="12" t="str">
        <f aca="false">parametros_recargas!B63</f>
        <v>Clase D</v>
      </c>
      <c r="C78" s="24" t="n">
        <f aca="false">parametros_recargas!C63</f>
        <v>1</v>
      </c>
      <c r="D78" s="25" t="n">
        <f aca="false">datos_base!$D$14*parametros_recargas!$F$39+sobrestock_sustitutos!$D$187/12</f>
        <v>1.66673061049812</v>
      </c>
      <c r="E78" s="25" t="n">
        <f aca="false">datos_base!$D$14*parametros_recargas!$G$39+sobrestock_sustitutos!$D$187/12</f>
        <v>1.75039551226395</v>
      </c>
      <c r="F78" s="25" t="n">
        <f aca="false">datos_base!$D$14*parametros_recargas!$H$39+sobrestock_sustitutos!$D$187/12</f>
        <v>1.83848117178177</v>
      </c>
      <c r="G78" s="25" t="n">
        <f aca="false">datos_base!$D$14*parametros_recargas!$I$39+sobrestock_sustitutos!$D$187/12</f>
        <v>1.93122117683675</v>
      </c>
      <c r="H78" s="25" t="n">
        <f aca="false">datos_base!$D$14*parametros_recargas!$J$39+sobrestock_sustitutos!$D$187/12</f>
        <v>2.02886145772559</v>
      </c>
      <c r="I78" s="25" t="n">
        <f aca="false">datos_base!$D$14*parametros_recargas!$K$39+sobrestock_sustitutos!$D$187/12</f>
        <v>2.13166093942068</v>
      </c>
      <c r="J78" s="25" t="n">
        <f aca="false">datos_base!$D$14*parametros_recargas!$L$39+sobrestock_sustitutos!$D$187/12</f>
        <v>2.23989222819389</v>
      </c>
      <c r="K78" s="25" t="n">
        <f aca="false">datos_base!$D$14*parametros_recargas!$M$39+sobrestock_sustitutos!$D$187/12</f>
        <v>2.35384233452085</v>
      </c>
      <c r="L78" s="25" t="n">
        <f aca="false">datos_base!$D$14*parametros_recargas!$N$39+sobrestock_sustitutos!$D$187/12</f>
        <v>2.47381343418255</v>
      </c>
      <c r="M78" s="25" t="n">
        <f aca="false">datos_base!$D$14*parametros_recargas!$O$39+sobrestock_sustitutos!$D$187/12</f>
        <v>2.60012366958276</v>
      </c>
      <c r="N78" s="25" t="n">
        <f aca="false">datos_base!$D$14*parametros_recargas!$P$39+sobrestock_sustitutos!$D$187/12</f>
        <v>2.73310799340613</v>
      </c>
      <c r="O78" s="25" t="n">
        <f aca="false">datos_base!$D$14*parametros_recargas!$Q$39+sobrestock_sustitutos!$D$187/12</f>
        <v>2.87311905685418</v>
      </c>
      <c r="P78" s="7" t="n">
        <f aca="false">SUM(D78:O78)</f>
        <v>26.6212495852672</v>
      </c>
      <c r="Q78" s="13" t="n">
        <f aca="false">sobrestock_sustitutos!$D$187</f>
        <v>1</v>
      </c>
    </row>
    <row r="79" customFormat="false" ht="15" hidden="false" customHeight="false" outlineLevel="0" collapsed="false">
      <c r="A79" s="12" t="str">
        <f aca="false">parametros_recargas!A64</f>
        <v>ABC 25 kg s/ruedas</v>
      </c>
      <c r="B79" s="12" t="str">
        <f aca="false">parametros_recargas!B64</f>
        <v>ABC</v>
      </c>
      <c r="C79" s="24" t="n">
        <f aca="false">parametros_recargas!C64</f>
        <v>3</v>
      </c>
      <c r="D79" s="25" t="n">
        <f aca="false">datos_base!$D$15*parametros_recargas!$F$39+sobrestock_sustitutos!$D$188/12</f>
        <v>3.32871911438582</v>
      </c>
      <c r="E79" s="25" t="n">
        <f aca="false">datos_base!$D$15*parametros_recargas!$G$39+sobrestock_sustitutos!$D$188/12</f>
        <v>3.50460482653623</v>
      </c>
      <c r="F79" s="25" t="n">
        <f aca="false">datos_base!$D$15*parametros_recargas!$H$39+sobrestock_sustitutos!$D$188/12</f>
        <v>3.68978413861971</v>
      </c>
      <c r="G79" s="25" t="n">
        <f aca="false">datos_base!$D$15*parametros_recargas!$I$39+sobrestock_sustitutos!$D$188/12</f>
        <v>3.88474811383098</v>
      </c>
      <c r="H79" s="25" t="n">
        <f aca="false">datos_base!$D$15*parametros_recargas!$J$39+sobrestock_sustitutos!$D$188/12</f>
        <v>4.09001376258254</v>
      </c>
      <c r="I79" s="25" t="n">
        <f aca="false">datos_base!$D$15*parametros_recargas!$K$39+sobrestock_sustitutos!$D$188/12</f>
        <v>4.30612541352596</v>
      </c>
      <c r="J79" s="25" t="n">
        <f aca="false">datos_base!$D$15*parametros_recargas!$L$39+sobrestock_sustitutos!$D$188/12</f>
        <v>4.53365615701638</v>
      </c>
      <c r="K79" s="25" t="n">
        <f aca="false">datos_base!$D$15*parametros_recargas!$M$39+sobrestock_sustitutos!$D$188/12</f>
        <v>4.77320936484811</v>
      </c>
      <c r="L79" s="25" t="n">
        <f aca="false">datos_base!$D$15*parametros_recargas!$N$39+sobrestock_sustitutos!$D$188/12</f>
        <v>5.02542029029119</v>
      </c>
      <c r="M79" s="25" t="n">
        <f aca="false">datos_base!$D$15*parametros_recargas!$O$39+sobrestock_sustitutos!$D$188/12</f>
        <v>5.29095775267215</v>
      </c>
      <c r="N79" s="25" t="n">
        <f aca="false">datos_base!$D$15*parametros_recargas!$P$39+sobrestock_sustitutos!$D$188/12</f>
        <v>5.57052591096603</v>
      </c>
      <c r="O79" s="25" t="n">
        <f aca="false">datos_base!$D$15*parametros_recargas!$Q$39+sobrestock_sustitutos!$D$188/12</f>
        <v>5.86486613110303</v>
      </c>
      <c r="P79" s="7" t="n">
        <f aca="false">SUM(D79:O79)</f>
        <v>53.8626309763781</v>
      </c>
      <c r="Q79" s="13" t="n">
        <f aca="false">sobrestock_sustitutos!$D$188</f>
        <v>0</v>
      </c>
    </row>
    <row r="80" customFormat="false" ht="15" hidden="false" customHeight="false" outlineLevel="0" collapsed="false">
      <c r="A80" s="12" t="str">
        <f aca="false">parametros_recargas!A65</f>
        <v>ABC 50 kg s/ruedas</v>
      </c>
      <c r="B80" s="12" t="str">
        <f aca="false">parametros_recargas!B65</f>
        <v>ABC</v>
      </c>
      <c r="C80" s="24" t="n">
        <f aca="false">parametros_recargas!C65</f>
        <v>3</v>
      </c>
      <c r="D80" s="25" t="n">
        <f aca="false">datos_base!$D$16*parametros_recargas!$F$39+sobrestock_sustitutos!$D$189/12</f>
        <v>7.40651539566997</v>
      </c>
      <c r="E80" s="25" t="n">
        <f aca="false">datos_base!$D$16*parametros_recargas!$G$39+sobrestock_sustitutos!$D$189/12</f>
        <v>7.7934639629656</v>
      </c>
      <c r="F80" s="25" t="n">
        <f aca="false">datos_base!$D$16*parametros_recargas!$H$39+sobrestock_sustitutos!$D$189/12</f>
        <v>8.20085845014383</v>
      </c>
      <c r="G80" s="25" t="n">
        <f aca="false">datos_base!$D$16*parametros_recargas!$I$39+sobrestock_sustitutos!$D$189/12</f>
        <v>8.62977919623463</v>
      </c>
      <c r="H80" s="25" t="n">
        <f aca="false">datos_base!$D$16*parametros_recargas!$J$39+sobrestock_sustitutos!$D$189/12</f>
        <v>9.08136362414713</v>
      </c>
      <c r="I80" s="25" t="n">
        <f aca="false">datos_base!$D$16*parametros_recargas!$K$39+sobrestock_sustitutos!$D$189/12</f>
        <v>9.55680925691653</v>
      </c>
      <c r="J80" s="25" t="n">
        <f aca="false">datos_base!$D$16*parametros_recargas!$L$39+sobrestock_sustitutos!$D$189/12</f>
        <v>10.057376893326</v>
      </c>
      <c r="K80" s="25" t="n">
        <f aca="false">datos_base!$D$16*parametros_recargas!$M$39+sobrestock_sustitutos!$D$189/12</f>
        <v>10.584393951325</v>
      </c>
      <c r="L80" s="25" t="n">
        <f aca="false">datos_base!$D$16*parametros_recargas!$N$39+sobrestock_sustitutos!$D$189/12</f>
        <v>11.1392579881096</v>
      </c>
      <c r="M80" s="25" t="n">
        <f aca="false">datos_base!$D$16*parametros_recargas!$O$39+sobrestock_sustitutos!$D$189/12</f>
        <v>11.7234404062002</v>
      </c>
      <c r="N80" s="25" t="n">
        <f aca="false">datos_base!$D$16*parametros_recargas!$P$39+sobrestock_sustitutos!$D$189/12</f>
        <v>12.3384903553444</v>
      </c>
      <c r="O80" s="25" t="n">
        <f aca="false">datos_base!$D$16*parametros_recargas!$Q$39+sobrestock_sustitutos!$D$189/12</f>
        <v>12.9860388405909</v>
      </c>
      <c r="P80" s="7" t="n">
        <f aca="false">SUM(D80:O80)</f>
        <v>119.497788320974</v>
      </c>
      <c r="Q80" s="13" t="n">
        <f aca="false">sobrestock_sustitutos!$D$189</f>
        <v>1</v>
      </c>
    </row>
    <row r="81" customFormat="false" ht="15" hidden="false" customHeight="false" outlineLevel="0" collapsed="false">
      <c r="A81" s="12" t="str">
        <f aca="false">parametros_recargas!A66</f>
        <v>ABC 70 kg s/ruedas</v>
      </c>
      <c r="B81" s="12" t="str">
        <f aca="false">parametros_recargas!B66</f>
        <v>ABC</v>
      </c>
      <c r="C81" s="24" t="n">
        <f aca="false">parametros_recargas!C66</f>
        <v>3</v>
      </c>
      <c r="D81" s="25" t="n">
        <f aca="false">datos_base!$D$17*parametros_recargas!$F$39+sobrestock_sustitutos!$D$190/12</f>
        <v>1.5977851720551</v>
      </c>
      <c r="E81" s="25" t="n">
        <f aca="false">datos_base!$D$17*parametros_recargas!$G$39+sobrestock_sustitutos!$D$190/12</f>
        <v>1.6822103137367</v>
      </c>
      <c r="F81" s="25" t="n">
        <f aca="false">datos_base!$D$17*parametros_recargas!$H$39+sobrestock_sustitutos!$D$190/12</f>
        <v>1.77109638337822</v>
      </c>
      <c r="G81" s="25" t="n">
        <f aca="false">datos_base!$D$17*parametros_recargas!$I$39+sobrestock_sustitutos!$D$190/12</f>
        <v>1.8646790913127</v>
      </c>
      <c r="H81" s="25" t="n">
        <f aca="false">datos_base!$D$17*parametros_recargas!$J$39+sobrestock_sustitutos!$D$190/12</f>
        <v>1.9632066025377</v>
      </c>
      <c r="I81" s="25" t="n">
        <f aca="false">datos_base!$D$17*parametros_recargas!$K$39+sobrestock_sustitutos!$D$190/12</f>
        <v>2.0669401948055</v>
      </c>
      <c r="J81" s="25" t="n">
        <f aca="false">datos_base!$D$17*parametros_recargas!$L$39+sobrestock_sustitutos!$D$190/12</f>
        <v>2.17615495148609</v>
      </c>
      <c r="K81" s="25" t="n">
        <f aca="false">datos_base!$D$17*parametros_recargas!$M$39+sobrestock_sustitutos!$D$190/12</f>
        <v>2.29114049104021</v>
      </c>
      <c r="L81" s="25" t="n">
        <f aca="false">datos_base!$D$17*parametros_recargas!$N$39+sobrestock_sustitutos!$D$190/12</f>
        <v>2.41220173503695</v>
      </c>
      <c r="M81" s="25" t="n">
        <f aca="false">datos_base!$D$17*parametros_recargas!$O$39+sobrestock_sustitutos!$D$190/12</f>
        <v>2.53965971675245</v>
      </c>
      <c r="N81" s="25" t="n">
        <f aca="false">datos_base!$D$17*parametros_recargas!$P$39+sobrestock_sustitutos!$D$190/12</f>
        <v>2.67385243249414</v>
      </c>
      <c r="O81" s="25" t="n">
        <f aca="false">datos_base!$D$17*parametros_recargas!$Q$39+sobrestock_sustitutos!$D$190/12</f>
        <v>2.81513573790789</v>
      </c>
      <c r="P81" s="7" t="n">
        <f aca="false">SUM(D81:O81)</f>
        <v>25.8540628225437</v>
      </c>
      <c r="Q81" s="13" t="n">
        <f aca="false">sobrestock_sustitutos!$D$190</f>
        <v>0</v>
      </c>
    </row>
    <row r="82" customFormat="false" ht="15" hidden="false" customHeight="false" outlineLevel="0" collapsed="false">
      <c r="A82" s="12" t="str">
        <f aca="false">parametros_recargas!A67</f>
        <v>ABC 100 kg s/ruedas</v>
      </c>
      <c r="B82" s="12" t="str">
        <f aca="false">parametros_recargas!B67</f>
        <v>ABC</v>
      </c>
      <c r="C82" s="24" t="n">
        <f aca="false">parametros_recargas!C67</f>
        <v>3</v>
      </c>
      <c r="D82" s="25" t="n">
        <f aca="false">datos_base!$D$18*parametros_recargas!$F$39+sobrestock_sustitutos!$D$191/12</f>
        <v>1.14852345991211</v>
      </c>
      <c r="E82" s="25" t="n">
        <f aca="false">datos_base!$D$18*parametros_recargas!$G$39+sobrestock_sustitutos!$D$191/12</f>
        <v>1.20480688832732</v>
      </c>
      <c r="F82" s="25" t="n">
        <f aca="false">datos_base!$D$18*parametros_recargas!$H$39+sobrestock_sustitutos!$D$191/12</f>
        <v>1.26406426874897</v>
      </c>
      <c r="G82" s="25" t="n">
        <f aca="false">datos_base!$D$18*parametros_recargas!$I$39+sobrestock_sustitutos!$D$191/12</f>
        <v>1.32645274140084</v>
      </c>
      <c r="H82" s="25" t="n">
        <f aca="false">datos_base!$D$18*parametros_recargas!$J$39+sobrestock_sustitutos!$D$191/12</f>
        <v>1.39213774961647</v>
      </c>
      <c r="I82" s="25" t="n">
        <f aca="false">datos_base!$D$18*parametros_recargas!$K$39+sobrestock_sustitutos!$D$191/12</f>
        <v>1.46129347856599</v>
      </c>
      <c r="J82" s="25" t="n">
        <f aca="false">datos_base!$D$18*parametros_recargas!$L$39+sobrestock_sustitutos!$D$191/12</f>
        <v>1.53410331716478</v>
      </c>
      <c r="K82" s="25" t="n">
        <f aca="false">datos_base!$D$18*parametros_recargas!$M$39+sobrestock_sustitutos!$D$191/12</f>
        <v>1.61076034438881</v>
      </c>
      <c r="L82" s="25" t="n">
        <f aca="false">datos_base!$D$18*parametros_recargas!$N$39+sobrestock_sustitutos!$D$191/12</f>
        <v>1.69146784128641</v>
      </c>
      <c r="M82" s="25" t="n">
        <f aca="false">datos_base!$D$18*parametros_recargas!$O$39+sobrestock_sustitutos!$D$191/12</f>
        <v>1.77643983004406</v>
      </c>
      <c r="N82" s="25" t="n">
        <f aca="false">datos_base!$D$18*parametros_recargas!$P$39+sobrestock_sustitutos!$D$191/12</f>
        <v>1.86590164153589</v>
      </c>
      <c r="O82" s="25" t="n">
        <f aca="false">datos_base!$D$18*parametros_recargas!$Q$39+sobrestock_sustitutos!$D$191/12</f>
        <v>1.9600905128618</v>
      </c>
      <c r="P82" s="7" t="n">
        <f aca="false">SUM(D82:O82)</f>
        <v>18.2360420738534</v>
      </c>
      <c r="Q82" s="13" t="n">
        <f aca="false">sobrestock_sustitutos!$D$191</f>
        <v>1</v>
      </c>
    </row>
    <row r="83" customFormat="false" ht="15" hidden="false" customHeight="false" outlineLevel="0" collapsed="false">
      <c r="A83" s="6" t="s">
        <v>273</v>
      </c>
      <c r="D83" s="7" t="n">
        <f aca="false">SUM(D66:D82)</f>
        <v>1097.70150154874</v>
      </c>
      <c r="E83" s="7" t="n">
        <f aca="false">SUM(E66:E82)</f>
        <v>1155.5706967042</v>
      </c>
      <c r="F83" s="7" t="n">
        <f aca="false">SUM(F66:F82)</f>
        <v>1216.49763396758</v>
      </c>
      <c r="G83" s="7" t="n">
        <f aca="false">SUM(G66:G82)</f>
        <v>1280.64388093582</v>
      </c>
      <c r="H83" s="7" t="n">
        <f aca="false">SUM(H66:H82)</f>
        <v>1348.17954225297</v>
      </c>
      <c r="I83" s="7" t="n">
        <f aca="false">SUM(I66:I82)</f>
        <v>1419.28371069798</v>
      </c>
      <c r="J83" s="7" t="n">
        <f aca="false">SUM(J66:J82)</f>
        <v>1494.14494210746</v>
      </c>
      <c r="K83" s="7" t="n">
        <f aca="false">SUM(K66:K82)</f>
        <v>1572.96175539287</v>
      </c>
      <c r="L83" s="7" t="n">
        <f aca="false">SUM(L66:L82)</f>
        <v>1655.94315897797</v>
      </c>
      <c r="M83" s="7" t="n">
        <f aca="false">SUM(M66:M82)</f>
        <v>1743.30920505264</v>
      </c>
      <c r="N83" s="7" t="n">
        <f aca="false">SUM(N66:N82)</f>
        <v>1835.2915731129</v>
      </c>
      <c r="O83" s="7" t="n">
        <f aca="false">SUM(O66:O82)</f>
        <v>1932.13418433446</v>
      </c>
      <c r="P83" s="7" t="n">
        <f aca="false">SUM(P66:P82)</f>
        <v>17751.6617850856</v>
      </c>
    </row>
    <row r="84" customFormat="false" ht="15" hidden="false" customHeight="false" outlineLevel="0" collapsed="false">
      <c r="A84" s="6" t="s">
        <v>274</v>
      </c>
    </row>
    <row r="85" customFormat="false" ht="15" hidden="false" customHeight="false" outlineLevel="0" collapsed="false">
      <c r="A85" s="4" t="s">
        <v>143</v>
      </c>
      <c r="D85" s="25" t="n">
        <f aca="false">SUMPRODUCT(($B$66:$B$82=$A85)*D$66:D$82*$C$66:$C$82)</f>
        <v>973.295820916096</v>
      </c>
      <c r="E85" s="25" t="n">
        <f aca="false">SUMPRODUCT(($B$66:$B$82=$A85)*E$66:E$82*$C$66:$C$82)</f>
        <v>1024.62678804921</v>
      </c>
      <c r="F85" s="25" t="n">
        <f aca="false">SUMPRODUCT(($B$66:$B$82=$A85)*F$66:F$82*$C$66:$C$82)</f>
        <v>1078.67002479695</v>
      </c>
      <c r="G85" s="25" t="n">
        <f aca="false">SUMPRODUCT(($B$66:$B$82=$A85)*G$66:G$82*$C$66:$C$82)</f>
        <v>1135.56884438471</v>
      </c>
      <c r="H85" s="25" t="n">
        <f aca="false">SUMPRODUCT(($B$66:$B$82=$A85)*H$66:H$82*$C$66:$C$82)</f>
        <v>1195.47413254486</v>
      </c>
      <c r="I85" s="25" t="n">
        <f aca="false">SUMPRODUCT(($B$66:$B$82=$A85)*I$66:I$82*$C$66:$C$82)</f>
        <v>1258.54474763935</v>
      </c>
      <c r="J85" s="25" t="n">
        <f aca="false">SUMPRODUCT(($B$66:$B$82=$A85)*J$66:J$82*$C$66:$C$82)</f>
        <v>1324.94794192435</v>
      </c>
      <c r="K85" s="25" t="n">
        <f aca="false">SUMPRODUCT(($B$66:$B$82=$A85)*K$66:K$82*$C$66:$C$82)</f>
        <v>1394.85980507403</v>
      </c>
      <c r="L85" s="25" t="n">
        <f aca="false">SUMPRODUCT(($B$66:$B$82=$A85)*L$66:L$82*$C$66:$C$82)</f>
        <v>1468.46573113958</v>
      </c>
      <c r="M85" s="25" t="n">
        <f aca="false">SUMPRODUCT(($B$66:$B$82=$A85)*M$66:M$82*$C$66:$C$82)</f>
        <v>1545.96091018193</v>
      </c>
      <c r="N85" s="25" t="n">
        <f aca="false">SUMPRODUCT(($B$66:$B$82=$A85)*N$66:N$82*$C$66:$C$82)</f>
        <v>1627.55084588163</v>
      </c>
      <c r="O85" s="25" t="n">
        <f aca="false">SUMPRODUCT(($B$66:$B$82=$A85)*O$66:O$82*$C$66:$C$82)</f>
        <v>1713.45190049877</v>
      </c>
      <c r="P85" s="25" t="n">
        <f aca="false">SUMPRODUCT(($B$66:$B$82=$A85)*P$66:P$82*$C$66:$C$82)</f>
        <v>15741.4174930315</v>
      </c>
    </row>
    <row r="86" customFormat="false" ht="15" hidden="false" customHeight="false" outlineLevel="0" collapsed="false">
      <c r="A86" s="4" t="s">
        <v>149</v>
      </c>
      <c r="D86" s="25" t="n">
        <f aca="false">SUMPRODUCT(($B$66:$B$82=$A86)*D$66:D$82*$C$66:$C$82)</f>
        <v>1.66673061049812</v>
      </c>
      <c r="E86" s="25" t="n">
        <f aca="false">SUMPRODUCT(($B$66:$B$82=$A86)*E$66:E$82*$C$66:$C$82)</f>
        <v>1.75039551226395</v>
      </c>
      <c r="F86" s="25" t="n">
        <f aca="false">SUMPRODUCT(($B$66:$B$82=$A86)*F$66:F$82*$C$66:$C$82)</f>
        <v>1.83848117178177</v>
      </c>
      <c r="G86" s="25" t="n">
        <f aca="false">SUMPRODUCT(($B$66:$B$82=$A86)*G$66:G$82*$C$66:$C$82)</f>
        <v>1.93122117683675</v>
      </c>
      <c r="H86" s="25" t="n">
        <f aca="false">SUMPRODUCT(($B$66:$B$82=$A86)*H$66:H$82*$C$66:$C$82)</f>
        <v>2.02886145772559</v>
      </c>
      <c r="I86" s="25" t="n">
        <f aca="false">SUMPRODUCT(($B$66:$B$82=$A86)*I$66:I$82*$C$66:$C$82)</f>
        <v>2.13166093942068</v>
      </c>
      <c r="J86" s="25" t="n">
        <f aca="false">SUMPRODUCT(($B$66:$B$82=$A86)*J$66:J$82*$C$66:$C$82)</f>
        <v>2.23989222819389</v>
      </c>
      <c r="K86" s="25" t="n">
        <f aca="false">SUMPRODUCT(($B$66:$B$82=$A86)*K$66:K$82*$C$66:$C$82)</f>
        <v>2.35384233452085</v>
      </c>
      <c r="L86" s="25" t="n">
        <f aca="false">SUMPRODUCT(($B$66:$B$82=$A86)*L$66:L$82*$C$66:$C$82)</f>
        <v>2.47381343418255</v>
      </c>
      <c r="M86" s="25" t="n">
        <f aca="false">SUMPRODUCT(($B$66:$B$82=$A86)*M$66:M$82*$C$66:$C$82)</f>
        <v>2.60012366958276</v>
      </c>
      <c r="N86" s="25" t="n">
        <f aca="false">SUMPRODUCT(($B$66:$B$82=$A86)*N$66:N$82*$C$66:$C$82)</f>
        <v>2.73310799340613</v>
      </c>
      <c r="O86" s="25" t="n">
        <f aca="false">SUMPRODUCT(($B$66:$B$82=$A86)*O$66:O$82*$C$66:$C$82)</f>
        <v>2.87311905685418</v>
      </c>
      <c r="P86" s="25" t="n">
        <f aca="false">SUMPRODUCT(($B$66:$B$82=$A86)*P$66:P$82*$C$66:$C$82)</f>
        <v>26.6212495852672</v>
      </c>
    </row>
    <row r="87" customFormat="false" ht="15" hidden="false" customHeight="false" outlineLevel="0" collapsed="false">
      <c r="A87" s="4" t="s">
        <v>155</v>
      </c>
      <c r="D87" s="25" t="n">
        <f aca="false">SUMPRODUCT(($B$66:$B$82=$A87)*D$66:D$82*$C$66:$C$82)</f>
        <v>1.66673061049812</v>
      </c>
      <c r="E87" s="25" t="n">
        <f aca="false">SUMPRODUCT(($B$66:$B$82=$A87)*E$66:E$82*$C$66:$C$82)</f>
        <v>1.75039551226395</v>
      </c>
      <c r="F87" s="25" t="n">
        <f aca="false">SUMPRODUCT(($B$66:$B$82=$A87)*F$66:F$82*$C$66:$C$82)</f>
        <v>1.83848117178177</v>
      </c>
      <c r="G87" s="25" t="n">
        <f aca="false">SUMPRODUCT(($B$66:$B$82=$A87)*G$66:G$82*$C$66:$C$82)</f>
        <v>1.93122117683675</v>
      </c>
      <c r="H87" s="25" t="n">
        <f aca="false">SUMPRODUCT(($B$66:$B$82=$A87)*H$66:H$82*$C$66:$C$82)</f>
        <v>2.02886145772559</v>
      </c>
      <c r="I87" s="25" t="n">
        <f aca="false">SUMPRODUCT(($B$66:$B$82=$A87)*I$66:I$82*$C$66:$C$82)</f>
        <v>2.13166093942068</v>
      </c>
      <c r="J87" s="25" t="n">
        <f aca="false">SUMPRODUCT(($B$66:$B$82=$A87)*J$66:J$82*$C$66:$C$82)</f>
        <v>2.23989222819389</v>
      </c>
      <c r="K87" s="25" t="n">
        <f aca="false">SUMPRODUCT(($B$66:$B$82=$A87)*K$66:K$82*$C$66:$C$82)</f>
        <v>2.35384233452085</v>
      </c>
      <c r="L87" s="25" t="n">
        <f aca="false">SUMPRODUCT(($B$66:$B$82=$A87)*L$66:L$82*$C$66:$C$82)</f>
        <v>2.47381343418255</v>
      </c>
      <c r="M87" s="25" t="n">
        <f aca="false">SUMPRODUCT(($B$66:$B$82=$A87)*M$66:M$82*$C$66:$C$82)</f>
        <v>2.60012366958276</v>
      </c>
      <c r="N87" s="25" t="n">
        <f aca="false">SUMPRODUCT(($B$66:$B$82=$A87)*N$66:N$82*$C$66:$C$82)</f>
        <v>2.73310799340613</v>
      </c>
      <c r="O87" s="25" t="n">
        <f aca="false">SUMPRODUCT(($B$66:$B$82=$A87)*O$66:O$82*$C$66:$C$82)</f>
        <v>2.87311905685418</v>
      </c>
      <c r="P87" s="25" t="n">
        <f aca="false">SUMPRODUCT(($B$66:$B$82=$A87)*P$66:P$82*$C$66:$C$82)</f>
        <v>26.6212495852672</v>
      </c>
    </row>
    <row r="88" customFormat="false" ht="15" hidden="false" customHeight="false" outlineLevel="0" collapsed="false">
      <c r="A88" s="4" t="s">
        <v>146</v>
      </c>
      <c r="D88" s="25" t="n">
        <f aca="false">SUMPRODUCT(($B$66:$B$82=$A88)*D$66:D$82*$C$66:$C$82)</f>
        <v>26.4295810421517</v>
      </c>
      <c r="E88" s="25" t="n">
        <f aca="false">SUMPRODUCT(($B$66:$B$82=$A88)*E$66:E$82*$C$66:$C$82)</f>
        <v>27.8172834103432</v>
      </c>
      <c r="F88" s="25" t="n">
        <f aca="false">SUMPRODUCT(($B$66:$B$82=$A88)*F$66:F$82*$C$66:$C$82)</f>
        <v>29.2783103850559</v>
      </c>
      <c r="G88" s="25" t="n">
        <f aca="false">SUMPRODUCT(($B$66:$B$82=$A88)*G$66:G$82*$C$66:$C$82)</f>
        <v>30.8165363546637</v>
      </c>
      <c r="H88" s="25" t="n">
        <f aca="false">SUMPRODUCT(($B$66:$B$82=$A88)*H$66:H$82*$C$66:$C$82)</f>
        <v>32.436040425792</v>
      </c>
      <c r="I88" s="25" t="n">
        <f aca="false">SUMPRODUCT(($B$66:$B$82=$A88)*I$66:I$82*$C$66:$C$82)</f>
        <v>34.141117240397</v>
      </c>
      <c r="J88" s="25" t="n">
        <f aca="false">SUMPRODUCT(($B$66:$B$82=$A88)*J$66:J$82*$C$66:$C$82)</f>
        <v>35.9362883644052</v>
      </c>
      <c r="K88" s="25" t="n">
        <f aca="false">SUMPRODUCT(($B$66:$B$82=$A88)*K$66:K$82*$C$66:$C$82)</f>
        <v>37.8263142781171</v>
      </c>
      <c r="L88" s="25" t="n">
        <f aca="false">SUMPRODUCT(($B$66:$B$82=$A88)*L$66:L$82*$C$66:$C$82)</f>
        <v>39.8162070001696</v>
      </c>
      <c r="M88" s="25" t="n">
        <f aca="false">SUMPRODUCT(($B$66:$B$82=$A88)*M$66:M$82*$C$66:$C$82)</f>
        <v>41.9112433785339</v>
      </c>
      <c r="N88" s="25" t="n">
        <f aca="false">SUMPRODUCT(($B$66:$B$82=$A88)*N$66:N$82*$C$66:$C$82)</f>
        <v>44.1169790837945</v>
      </c>
      <c r="O88" s="25" t="n">
        <f aca="false">SUMPRODUCT(($B$66:$B$82=$A88)*O$66:O$82*$C$66:$C$82)</f>
        <v>46.4392633418178</v>
      </c>
      <c r="P88" s="25" t="n">
        <f aca="false">SUMPRODUCT(($B$66:$B$82=$A88)*P$66:P$82*$C$66:$C$82)</f>
        <v>426.965164305242</v>
      </c>
    </row>
    <row r="89" customFormat="false" ht="15" hidden="false" customHeight="false" outlineLevel="0" collapsed="false">
      <c r="A89" s="4" t="s">
        <v>147</v>
      </c>
      <c r="D89" s="25" t="n">
        <f aca="false">SUMPRODUCT(($B$66:$B$82=$A89)*D$66:D$82*$C$66:$C$82)</f>
        <v>14.7618914888609</v>
      </c>
      <c r="E89" s="25" t="n">
        <f aca="false">SUMPRODUCT(($B$66:$B$82=$A89)*E$66:E$82*$C$66:$C$82)</f>
        <v>15.5242800050685</v>
      </c>
      <c r="F89" s="25" t="n">
        <f aca="false">SUMPRODUCT(($B$66:$B$82=$A89)*F$66:F$82*$C$66:$C$82)</f>
        <v>16.3269522588042</v>
      </c>
      <c r="G89" s="25" t="n">
        <f aca="false">SUMPRODUCT(($B$66:$B$82=$A89)*G$66:G$82*$C$66:$C$82)</f>
        <v>17.1720367967009</v>
      </c>
      <c r="H89" s="25" t="n">
        <f aca="false">SUMPRODUCT(($B$66:$B$82=$A89)*H$66:H$82*$C$66:$C$82)</f>
        <v>18.0617746353622</v>
      </c>
      <c r="I89" s="25" t="n">
        <f aca="false">SUMPRODUCT(($B$66:$B$82=$A89)*I$66:I$82*$C$66:$C$82)</f>
        <v>18.9985252041465</v>
      </c>
      <c r="J89" s="25" t="n">
        <f aca="false">SUMPRODUCT(($B$66:$B$82=$A89)*J$66:J$82*$C$66:$C$82)</f>
        <v>19.984772601962</v>
      </c>
      <c r="K89" s="25" t="n">
        <f aca="false">SUMPRODUCT(($B$66:$B$82=$A89)*K$66:K$82*$C$66:$C$82)</f>
        <v>21.0231321846633</v>
      </c>
      <c r="L89" s="25" t="n">
        <f aca="false">SUMPRODUCT(($B$66:$B$82=$A89)*L$66:L$82*$C$66:$C$82)</f>
        <v>22.1163575005177</v>
      </c>
      <c r="M89" s="25" t="n">
        <f aca="false">SUMPRODUCT(($B$66:$B$82=$A89)*M$66:M$82*$C$66:$C$82)</f>
        <v>23.2673475921349</v>
      </c>
      <c r="N89" s="25" t="n">
        <f aca="false">SUMPRODUCT(($B$66:$B$82=$A89)*N$66:N$82*$C$66:$C$82)</f>
        <v>24.4791546842215</v>
      </c>
      <c r="O89" s="25" t="n">
        <f aca="false">SUMPRODUCT(($B$66:$B$82=$A89)*O$66:O$82*$C$66:$C$82)</f>
        <v>25.7549922775479</v>
      </c>
      <c r="P89" s="25" t="n">
        <f aca="false">SUMPRODUCT(($B$66:$B$82=$A89)*P$66:P$82*$C$66:$C$82)</f>
        <v>237.47121722999</v>
      </c>
    </row>
    <row r="90" customFormat="false" ht="15" hidden="false" customHeight="false" outlineLevel="0" collapsed="false">
      <c r="A90" s="4" t="s">
        <v>150</v>
      </c>
      <c r="D90" s="25" t="n">
        <f aca="false">SUMPRODUCT(($B$66:$B$82=$A90)*D$66:D$82*$C$66:$C$82)</f>
        <v>13.3825357929363</v>
      </c>
      <c r="E90" s="25" t="n">
        <f aca="false">SUMPRODUCT(($B$66:$B$82=$A90)*E$66:E$82*$C$66:$C$82)</f>
        <v>14.0852504454075</v>
      </c>
      <c r="F90" s="25" t="n">
        <f aca="false">SUMPRODUCT(($B$66:$B$82=$A90)*F$66:F$82*$C$66:$C$82)</f>
        <v>14.8250957366743</v>
      </c>
      <c r="G90" s="25" t="n">
        <f aca="false">SUMPRODUCT(($B$66:$B$82=$A90)*G$66:G$82*$C$66:$C$82)</f>
        <v>15.6040336072379</v>
      </c>
      <c r="H90" s="25" t="n">
        <f aca="false">SUMPRODUCT(($B$66:$B$82=$A90)*H$66:H$82*$C$66:$C$82)</f>
        <v>16.4241296642921</v>
      </c>
      <c r="I90" s="25" t="n">
        <f aca="false">SUMPRODUCT(($B$66:$B$82=$A90)*I$66:I$82*$C$66:$C$82)</f>
        <v>17.2875586593534</v>
      </c>
      <c r="J90" s="25" t="n">
        <f aca="false">SUMPRODUCT(($B$66:$B$82=$A90)*J$66:J$82*$C$66:$C$82)</f>
        <v>18.1966102553218</v>
      </c>
      <c r="K90" s="25" t="n">
        <f aca="false">SUMPRODUCT(($B$66:$B$82=$A90)*K$66:K$82*$C$66:$C$82)</f>
        <v>19.1536950982673</v>
      </c>
      <c r="L90" s="25" t="n">
        <f aca="false">SUMPRODUCT(($B$66:$B$82=$A90)*L$66:L$82*$C$66:$C$82)</f>
        <v>20.1613512100418</v>
      </c>
      <c r="M90" s="25" t="n">
        <f aca="false">SUMPRODUCT(($B$66:$B$82=$A90)*M$66:M$82*$C$66:$C$82)</f>
        <v>21.2222507186701</v>
      </c>
      <c r="N90" s="25" t="n">
        <f aca="false">SUMPRODUCT(($B$66:$B$82=$A90)*N$66:N$82*$C$66:$C$82)</f>
        <v>22.3392069443667</v>
      </c>
      <c r="O90" s="25" t="n">
        <f aca="false">SUMPRODUCT(($B$66:$B$82=$A90)*O$66:O$82*$C$66:$C$82)</f>
        <v>23.5151818599698</v>
      </c>
      <c r="P90" s="25" t="n">
        <f aca="false">SUMPRODUCT(($B$66:$B$82=$A90)*P$66:P$82*$C$66:$C$82)</f>
        <v>216.196899992539</v>
      </c>
    </row>
    <row r="91" customFormat="false" ht="15" hidden="false" customHeight="false" outlineLevel="0" collapsed="false">
      <c r="A91" s="4" t="s">
        <v>151</v>
      </c>
      <c r="D91" s="25" t="n">
        <f aca="false">SUMPRODUCT(($B$66:$B$82=$A91)*D$66:D$82*$C$66:$C$82)</f>
        <v>95.2916222674457</v>
      </c>
      <c r="E91" s="25" t="n">
        <f aca="false">SUMPRODUCT(($B$66:$B$82=$A91)*E$66:E$82*$C$66:$C$82)</f>
        <v>100.309109685228</v>
      </c>
      <c r="F91" s="25" t="n">
        <f aca="false">SUMPRODUCT(($B$66:$B$82=$A91)*F$66:F$82*$C$66:$C$82)</f>
        <v>105.591715401477</v>
      </c>
      <c r="G91" s="25" t="n">
        <f aca="false">SUMPRODUCT(($B$66:$B$82=$A91)*G$66:G$82*$C$66:$C$82)</f>
        <v>111.153447963965</v>
      </c>
      <c r="H91" s="25" t="n">
        <f aca="false">SUMPRODUCT(($B$66:$B$82=$A91)*H$66:H$82*$C$66:$C$82)</f>
        <v>117.00905611611</v>
      </c>
      <c r="I91" s="25" t="n">
        <f aca="false">SUMPRODUCT(($B$66:$B$82=$A91)*I$66:I$82*$C$66:$C$82)</f>
        <v>123.17406790807</v>
      </c>
      <c r="J91" s="25" t="n">
        <f aca="false">SUMPRODUCT(($B$66:$B$82=$A91)*J$66:J$82*$C$66:$C$82)</f>
        <v>129.664831874421</v>
      </c>
      <c r="K91" s="25" t="n">
        <f aca="false">SUMPRODUCT(($B$66:$B$82=$A91)*K$66:K$82*$C$66:$C$82)</f>
        <v>136.498560387611</v>
      </c>
      <c r="L91" s="25" t="n">
        <f aca="false">SUMPRODUCT(($B$66:$B$82=$A91)*L$66:L$82*$C$66:$C$82)</f>
        <v>143.693375302171</v>
      </c>
      <c r="M91" s="25" t="n">
        <f aca="false">SUMPRODUCT(($B$66:$B$82=$A91)*M$66:M$82*$C$66:$C$82)</f>
        <v>151.268356010705</v>
      </c>
      <c r="N91" s="25" t="n">
        <f aca="false">SUMPRODUCT(($B$66:$B$82=$A91)*N$66:N$82*$C$66:$C$82)</f>
        <v>159.243590039109</v>
      </c>
      <c r="O91" s="25" t="n">
        <f aca="false">SUMPRODUCT(($B$66:$B$82=$A91)*O$66:O$82*$C$66:$C$82)</f>
        <v>167.640226315179</v>
      </c>
      <c r="P91" s="25" t="n">
        <f aca="false">SUMPRODUCT(($B$66:$B$82=$A91)*P$66:P$82*$C$66:$C$82)</f>
        <v>1540.53795927149</v>
      </c>
    </row>
    <row r="92" customFormat="false" ht="15" hidden="false" customHeight="false" outlineLevel="0" collapsed="false">
      <c r="A92" s="4" t="s">
        <v>154</v>
      </c>
      <c r="D92" s="25" t="n">
        <f aca="false">SUMPRODUCT(($B$66:$B$82=$A92)*D$66:D$82*$C$66:$C$82)</f>
        <v>4.19555059399572</v>
      </c>
      <c r="E92" s="25" t="n">
        <f aca="false">SUMPRODUCT(($B$66:$B$82=$A92)*E$66:E$82*$C$66:$C$82)</f>
        <v>4.41283545239155</v>
      </c>
      <c r="F92" s="25" t="n">
        <f aca="false">SUMPRODUCT(($B$66:$B$82=$A92)*F$66:F$82*$C$66:$C$82)</f>
        <v>4.64160139427481</v>
      </c>
      <c r="G92" s="25" t="n">
        <f aca="false">SUMPRODUCT(($B$66:$B$82=$A92)*G$66:G$82*$C$66:$C$82)</f>
        <v>4.8824550669702</v>
      </c>
      <c r="H92" s="25" t="n">
        <f aca="false">SUMPRODUCT(($B$66:$B$82=$A92)*H$66:H$82*$C$66:$C$82)</f>
        <v>5.13603517235346</v>
      </c>
      <c r="I92" s="25" t="n">
        <f aca="false">SUMPRODUCT(($B$66:$B$82=$A92)*I$66:I$82*$C$66:$C$82)</f>
        <v>5.4030141605772</v>
      </c>
      <c r="J92" s="25" t="n">
        <f aca="false">SUMPRODUCT(($B$66:$B$82=$A92)*J$66:J$82*$C$66:$C$82)</f>
        <v>5.68410001329124</v>
      </c>
      <c r="K92" s="25" t="n">
        <f aca="false">SUMPRODUCT(($B$66:$B$82=$A92)*K$66:K$82*$C$66:$C$82)</f>
        <v>5.98003812108633</v>
      </c>
      <c r="L92" s="25" t="n">
        <f aca="false">SUMPRODUCT(($B$66:$B$82=$A92)*L$66:L$82*$C$66:$C$82)</f>
        <v>6.29161326013979</v>
      </c>
      <c r="M92" s="25" t="n">
        <f aca="false">SUMPRODUCT(($B$66:$B$82=$A92)*M$66:M$82*$C$66:$C$82)</f>
        <v>6.61965167330489</v>
      </c>
      <c r="N92" s="25" t="n">
        <f aca="false">SUMPRODUCT(($B$66:$B$82=$A92)*N$66:N$82*$C$66:$C$82)</f>
        <v>6.96502326116259</v>
      </c>
      <c r="O92" s="25" t="n">
        <f aca="false">SUMPRODUCT(($B$66:$B$82=$A92)*O$66:O$82*$C$66:$C$82)</f>
        <v>7.32864388884594</v>
      </c>
      <c r="P92" s="25" t="n">
        <f aca="false">SUMPRODUCT(($B$66:$B$82=$A92)*P$66:P$82*$C$66:$C$82)</f>
        <v>67.5405620583937</v>
      </c>
    </row>
    <row r="93" customFormat="false" ht="15" hidden="false" customHeight="false" outlineLevel="0" collapsed="false">
      <c r="A93" s="6" t="s">
        <v>275</v>
      </c>
      <c r="D93" s="26" t="n">
        <f aca="false">SUMPRODUCT(D$66:D$82*parametros_recargas!$D$51:$D$67)</f>
        <v>41.3319377503621</v>
      </c>
      <c r="E93" s="26" t="n">
        <f aca="false">SUMPRODUCT(E$66:E$82*parametros_recargas!$D$51:$D$67)</f>
        <v>43.4850474182972</v>
      </c>
      <c r="F93" s="26" t="n">
        <f aca="false">SUMPRODUCT(F$66:F$82*parametros_recargas!$D$51:$D$67)</f>
        <v>45.7519249393521</v>
      </c>
      <c r="G93" s="26" t="n">
        <f aca="false">SUMPRODUCT(G$66:G$82*parametros_recargas!$D$51:$D$67)</f>
        <v>48.1385816768106</v>
      </c>
      <c r="H93" s="26" t="n">
        <f aca="false">SUMPRODUCT(H$66:H$82*parametros_recargas!$D$51:$D$67)</f>
        <v>50.6513466275191</v>
      </c>
      <c r="I93" s="26" t="n">
        <f aca="false">SUMPRODUCT(I$66:I$82*parametros_recargas!$D$51:$D$67)</f>
        <v>53.2968832052814</v>
      </c>
      <c r="J93" s="26" t="n">
        <f aca="false">SUMPRODUCT(J$66:J$82*parametros_recargas!$D$51:$D$67)</f>
        <v>56.082206911068</v>
      </c>
      <c r="K93" s="26" t="n">
        <f aca="false">SUMPRODUCT(K$66:K$82*parametros_recargas!$D$51:$D$67)</f>
        <v>59.0147039368996</v>
      </c>
      <c r="L93" s="26" t="n">
        <f aca="false">SUMPRODUCT(L$66:L$82*parametros_recargas!$D$51:$D$67)</f>
        <v>62.1021507527386</v>
      </c>
      <c r="M93" s="26" t="n">
        <f aca="false">SUMPRODUCT(M$66:M$82*parametros_recargas!$D$51:$D$67)</f>
        <v>65.3527347283288</v>
      </c>
      <c r="N93" s="26" t="n">
        <f aca="false">SUMPRODUCT(N$66:N$82*parametros_recargas!$D$51:$D$67)</f>
        <v>68.7750758446703</v>
      </c>
      <c r="O93" s="26" t="n">
        <f aca="false">SUMPRODUCT(O$66:O$82*parametros_recargas!$D$51:$D$67)</f>
        <v>72.3782495527039</v>
      </c>
      <c r="P93" s="26" t="n">
        <f aca="false">SUMPRODUCT(P$66:P$82*parametros_recargas!$D$51:$D$67)</f>
        <v>666.360843344032</v>
      </c>
    </row>
    <row r="97" customFormat="false" ht="23.85" hidden="false" customHeight="false" outlineLevel="0" collapsed="false">
      <c r="A97" s="23" t="n">
        <v>2029</v>
      </c>
      <c r="B97" s="3" t="s">
        <v>270</v>
      </c>
      <c r="C97" s="3" t="s">
        <v>271</v>
      </c>
      <c r="D97" s="3" t="s">
        <v>124</v>
      </c>
      <c r="E97" s="3" t="s">
        <v>125</v>
      </c>
      <c r="F97" s="3" t="s">
        <v>126</v>
      </c>
      <c r="G97" s="3" t="s">
        <v>127</v>
      </c>
      <c r="H97" s="3" t="s">
        <v>128</v>
      </c>
      <c r="I97" s="3" t="s">
        <v>129</v>
      </c>
      <c r="J97" s="3" t="s">
        <v>130</v>
      </c>
      <c r="K97" s="3" t="s">
        <v>131</v>
      </c>
      <c r="L97" s="3" t="s">
        <v>132</v>
      </c>
      <c r="M97" s="3" t="s">
        <v>133</v>
      </c>
      <c r="N97" s="3" t="s">
        <v>134</v>
      </c>
      <c r="O97" s="3" t="s">
        <v>135</v>
      </c>
      <c r="P97" s="3" t="s">
        <v>136</v>
      </c>
      <c r="Q97" s="3" t="s">
        <v>272</v>
      </c>
    </row>
    <row r="98" customFormat="false" ht="15" hidden="false" customHeight="false" outlineLevel="0" collapsed="false">
      <c r="A98" s="12" t="str">
        <f aca="false">parametros_recargas!A51</f>
        <v>ABC 1 kg</v>
      </c>
      <c r="B98" s="12" t="str">
        <f aca="false">parametros_recargas!B51</f>
        <v>ABC</v>
      </c>
      <c r="C98" s="24" t="n">
        <f aca="false">parametros_recargas!C51</f>
        <v>1</v>
      </c>
      <c r="D98" s="25" t="n">
        <f aca="false">datos_base!$E$2*parametros_recargas!$F$40+sobrestock_sustitutos!$E$175/12</f>
        <v>1120.74160016014</v>
      </c>
      <c r="E98" s="25" t="n">
        <f aca="false">datos_base!$E$2*parametros_recargas!$G$40+sobrestock_sustitutos!$E$175/12</f>
        <v>1157.43108560748</v>
      </c>
      <c r="F98" s="25" t="n">
        <f aca="false">datos_base!$E$2*parametros_recargas!$H$40+sobrestock_sustitutos!$E$175/12</f>
        <v>1195.32166713459</v>
      </c>
      <c r="G98" s="25" t="n">
        <f aca="false">datos_base!$E$2*parametros_recargas!$I$40+sobrestock_sustitutos!$E$175/12</f>
        <v>1234.45266477487</v>
      </c>
      <c r="H98" s="25" t="n">
        <f aca="false">datos_base!$E$2*parametros_recargas!$J$40+sobrestock_sustitutos!$E$175/12</f>
        <v>1274.86468577348</v>
      </c>
      <c r="I98" s="25" t="n">
        <f aca="false">datos_base!$E$2*parametros_recargas!$K$40+sobrestock_sustitutos!$E$175/12</f>
        <v>1316.59966672657</v>
      </c>
      <c r="J98" s="25" t="n">
        <f aca="false">datos_base!$E$2*parametros_recargas!$L$40+sobrestock_sustitutos!$E$175/12</f>
        <v>1359.70091709992</v>
      </c>
      <c r="K98" s="25" t="n">
        <f aca="false">datos_base!$E$2*parametros_recargas!$M$40+sobrestock_sustitutos!$E$175/12</f>
        <v>1404.21316417235</v>
      </c>
      <c r="L98" s="25" t="n">
        <f aca="false">datos_base!$E$2*parametros_recargas!$N$40+sobrestock_sustitutos!$E$175/12</f>
        <v>1450.1825994503</v>
      </c>
      <c r="M98" s="25" t="n">
        <f aca="false">datos_base!$E$2*parametros_recargas!$O$40+sobrestock_sustitutos!$E$175/12</f>
        <v>1497.656926602</v>
      </c>
      <c r="N98" s="25" t="n">
        <f aca="false">datos_base!$E$2*parametros_recargas!$P$40+sobrestock_sustitutos!$E$175/12</f>
        <v>1546.68541096077</v>
      </c>
      <c r="O98" s="25" t="n">
        <f aca="false">datos_base!$E$2*parametros_recargas!$Q$40+sobrestock_sustitutos!$E$175/12</f>
        <v>1597.31893064894</v>
      </c>
      <c r="P98" s="7" t="n">
        <f aca="false">SUM(D98:O98)</f>
        <v>16155.1693191114</v>
      </c>
      <c r="Q98" s="13" t="n">
        <f aca="false">sobrestock_sustitutos!$E$175</f>
        <v>0</v>
      </c>
    </row>
    <row r="99" customFormat="false" ht="15" hidden="false" customHeight="false" outlineLevel="0" collapsed="false">
      <c r="A99" s="12" t="str">
        <f aca="false">parametros_recargas!A52</f>
        <v>ABC 2,5 kg</v>
      </c>
      <c r="B99" s="12" t="str">
        <f aca="false">parametros_recargas!B52</f>
        <v>ABC</v>
      </c>
      <c r="C99" s="24" t="n">
        <f aca="false">parametros_recargas!C52</f>
        <v>1</v>
      </c>
      <c r="D99" s="25" t="n">
        <f aca="false">datos_base!$E$3*parametros_recargas!$F$40+sobrestock_sustitutos!$E$176/12</f>
        <v>108.499119791982</v>
      </c>
      <c r="E99" s="25" t="n">
        <f aca="false">datos_base!$E$3*parametros_recargas!$G$40+sobrestock_sustitutos!$E$176/12</f>
        <v>112.051032985968</v>
      </c>
      <c r="F99" s="25" t="n">
        <f aca="false">datos_base!$E$3*parametros_recargas!$H$40+sobrestock_sustitutos!$E$176/12</f>
        <v>115.719224425913</v>
      </c>
      <c r="G99" s="25" t="n">
        <f aca="false">datos_base!$E$3*parametros_recargas!$I$40+sobrestock_sustitutos!$E$176/12</f>
        <v>119.507500688653</v>
      </c>
      <c r="H99" s="25" t="n">
        <f aca="false">datos_base!$E$3*parametros_recargas!$J$40+sobrestock_sustitutos!$E$176/12</f>
        <v>123.41979296614</v>
      </c>
      <c r="I99" s="25" t="n">
        <f aca="false">datos_base!$E$3*parametros_recargas!$K$40+sobrestock_sustitutos!$E$176/12</f>
        <v>127.46016114494</v>
      </c>
      <c r="J99" s="25" t="n">
        <f aca="false">datos_base!$E$3*parametros_recargas!$L$40+sobrestock_sustitutos!$E$176/12</f>
        <v>131.632798019287</v>
      </c>
      <c r="K99" s="25" t="n">
        <f aca="false">datos_base!$E$3*parametros_recargas!$M$40+sobrestock_sustitutos!$E$176/12</f>
        <v>135.94203364205</v>
      </c>
      <c r="L99" s="25" t="n">
        <f aca="false">datos_base!$E$3*parametros_recargas!$N$40+sobrestock_sustitutos!$E$176/12</f>
        <v>140.392339818138</v>
      </c>
      <c r="M99" s="25" t="n">
        <f aca="false">datos_base!$E$3*parametros_recargas!$O$40+sobrestock_sustitutos!$E$176/12</f>
        <v>144.988334745015</v>
      </c>
      <c r="N99" s="25" t="n">
        <f aca="false">datos_base!$E$3*parametros_recargas!$P$40+sobrestock_sustitutos!$E$176/12</f>
        <v>149.734787805115</v>
      </c>
      <c r="O99" s="25" t="n">
        <f aca="false">datos_base!$E$3*parametros_recargas!$Q$40+sobrestock_sustitutos!$E$176/12</f>
        <v>154.636624515157</v>
      </c>
      <c r="P99" s="7" t="n">
        <f aca="false">SUM(D99:O99)</f>
        <v>1563.98375054836</v>
      </c>
      <c r="Q99" s="13" t="n">
        <f aca="false">sobrestock_sustitutos!$E$176</f>
        <v>0</v>
      </c>
    </row>
    <row r="100" customFormat="false" ht="15" hidden="false" customHeight="false" outlineLevel="0" collapsed="false">
      <c r="A100" s="12" t="str">
        <f aca="false">parametros_recargas!A53</f>
        <v>ABC 5 kg</v>
      </c>
      <c r="B100" s="12" t="str">
        <f aca="false">parametros_recargas!B53</f>
        <v>ABC</v>
      </c>
      <c r="C100" s="24" t="n">
        <f aca="false">parametros_recargas!C53</f>
        <v>1</v>
      </c>
      <c r="D100" s="25" t="n">
        <f aca="false">datos_base!$E$4*parametros_recargas!$F$40+sobrestock_sustitutos!$E$177/12</f>
        <v>674.72668822797</v>
      </c>
      <c r="E100" s="25" t="n">
        <f aca="false">datos_base!$E$4*parametros_recargas!$G$40+sobrestock_sustitutos!$E$177/12</f>
        <v>696.725049777296</v>
      </c>
      <c r="F100" s="25" t="n">
        <f aca="false">datos_base!$E$4*parametros_recargas!$H$40+sobrestock_sustitutos!$E$177/12</f>
        <v>719.443567128649</v>
      </c>
      <c r="G100" s="25" t="n">
        <f aca="false">datos_base!$E$4*parametros_recargas!$I$40+sobrestock_sustitutos!$E$177/12</f>
        <v>742.905815873241</v>
      </c>
      <c r="H100" s="25" t="n">
        <f aca="false">datos_base!$E$4*parametros_recargas!$J$40+sobrestock_sustitutos!$E$177/12</f>
        <v>767.136143391526</v>
      </c>
      <c r="I100" s="25" t="n">
        <f aca="false">datos_base!$E$4*parametros_recargas!$K$40+sobrestock_sustitutos!$E$177/12</f>
        <v>792.159694119103</v>
      </c>
      <c r="J100" s="25" t="n">
        <f aca="false">datos_base!$E$4*parametros_recargas!$L$40+sobrestock_sustitutos!$E$177/12</f>
        <v>818.002435639748</v>
      </c>
      <c r="K100" s="25" t="n">
        <f aca="false">datos_base!$E$4*parametros_recargas!$M$40+sobrestock_sustitutos!$E$177/12</f>
        <v>844.691185632645</v>
      </c>
      <c r="L100" s="25" t="n">
        <f aca="false">datos_base!$E$4*parametros_recargas!$N$40+sobrestock_sustitutos!$E$177/12</f>
        <v>872.253639701783</v>
      </c>
      <c r="M100" s="25" t="n">
        <f aca="false">datos_base!$E$4*parametros_recargas!$O$40+sobrestock_sustitutos!$E$177/12</f>
        <v>900.718400116396</v>
      </c>
      <c r="N100" s="25" t="n">
        <f aca="false">datos_base!$E$4*parametros_recargas!$P$40+sobrestock_sustitutos!$E$177/12</f>
        <v>930.115005492279</v>
      </c>
      <c r="O100" s="25" t="n">
        <f aca="false">datos_base!$E$4*parametros_recargas!$Q$40+sobrestock_sustitutos!$E$177/12</f>
        <v>960.473961444767</v>
      </c>
      <c r="P100" s="7" t="n">
        <f aca="false">SUM(D100:O100)</f>
        <v>9719.3515865454</v>
      </c>
      <c r="Q100" s="13" t="n">
        <f aca="false">sobrestock_sustitutos!$E$177</f>
        <v>33</v>
      </c>
    </row>
    <row r="101" customFormat="false" ht="15" hidden="false" customHeight="false" outlineLevel="0" collapsed="false">
      <c r="A101" s="12" t="str">
        <f aca="false">parametros_recargas!A54</f>
        <v>ABC 10 kg</v>
      </c>
      <c r="B101" s="12" t="str">
        <f aca="false">parametros_recargas!B54</f>
        <v>ABC</v>
      </c>
      <c r="C101" s="24" t="n">
        <f aca="false">parametros_recargas!C54</f>
        <v>1</v>
      </c>
      <c r="D101" s="25" t="n">
        <f aca="false">datos_base!$E$5*parametros_recargas!$F$40+sobrestock_sustitutos!$E$178/12</f>
        <v>39.3670073041495</v>
      </c>
      <c r="E101" s="25" t="n">
        <f aca="false">datos_base!$E$5*parametros_recargas!$G$40+sobrestock_sustitutos!$E$178/12</f>
        <v>40.65030072981</v>
      </c>
      <c r="F101" s="25" t="n">
        <f aca="false">datos_base!$E$5*parametros_recargas!$H$40+sobrestock_sustitutos!$E$178/12</f>
        <v>41.9756050663341</v>
      </c>
      <c r="G101" s="25" t="n">
        <f aca="false">datos_base!$E$5*parametros_recargas!$I$40+sobrestock_sustitutos!$E$178/12</f>
        <v>43.3442956162023</v>
      </c>
      <c r="H101" s="25" t="n">
        <f aca="false">datos_base!$E$5*parametros_recargas!$J$40+sobrestock_sustitutos!$E$178/12</f>
        <v>44.7577927048875</v>
      </c>
      <c r="I101" s="25" t="n">
        <f aca="false">datos_base!$E$5*parametros_recargas!$K$40+sobrestock_sustitutos!$E$178/12</f>
        <v>46.2175631547629</v>
      </c>
      <c r="J101" s="25" t="n">
        <f aca="false">datos_base!$E$5*parametros_recargas!$L$40+sobrestock_sustitutos!$E$178/12</f>
        <v>47.7251218072619</v>
      </c>
      <c r="K101" s="25" t="n">
        <f aca="false">datos_base!$E$5*parametros_recargas!$M$40+sobrestock_sustitutos!$E$178/12</f>
        <v>49.2820330948679</v>
      </c>
      <c r="L101" s="25" t="n">
        <f aca="false">datos_base!$E$5*parametros_recargas!$N$40+sobrestock_sustitutos!$E$178/12</f>
        <v>50.889912664566</v>
      </c>
      <c r="M101" s="25" t="n">
        <f aca="false">datos_base!$E$5*parametros_recargas!$O$40+sobrestock_sustitutos!$E$178/12</f>
        <v>52.5504290544421</v>
      </c>
      <c r="N101" s="25" t="n">
        <f aca="false">datos_base!$E$5*parametros_recargas!$P$40+sobrestock_sustitutos!$E$178/12</f>
        <v>54.2653054251672</v>
      </c>
      <c r="O101" s="25" t="n">
        <f aca="false">datos_base!$E$5*parametros_recargas!$Q$40+sobrestock_sustitutos!$E$178/12</f>
        <v>56.0363213481662</v>
      </c>
      <c r="P101" s="7" t="n">
        <f aca="false">SUM(D101:O101)</f>
        <v>567.061687970617</v>
      </c>
      <c r="Q101" s="13" t="n">
        <f aca="false">sobrestock_sustitutos!$E$178</f>
        <v>2</v>
      </c>
    </row>
    <row r="102" customFormat="false" ht="15" hidden="false" customHeight="false" outlineLevel="0" collapsed="false">
      <c r="A102" s="12" t="str">
        <f aca="false">parametros_recargas!A55</f>
        <v>Agua 10 l</v>
      </c>
      <c r="B102" s="12" t="str">
        <f aca="false">parametros_recargas!B55</f>
        <v>Agua</v>
      </c>
      <c r="C102" s="24" t="n">
        <f aca="false">parametros_recargas!C55</f>
        <v>1</v>
      </c>
      <c r="D102" s="25" t="n">
        <f aca="false">datos_base!$E$6*parametros_recargas!$F$40+sobrestock_sustitutos!$E$179/12</f>
        <v>55.5679371799012</v>
      </c>
      <c r="E102" s="25" t="n">
        <f aca="false">datos_base!$E$6*parametros_recargas!$G$40+sobrestock_sustitutos!$E$179/12</f>
        <v>57.3788690225748</v>
      </c>
      <c r="F102" s="25" t="n">
        <f aca="false">datos_base!$E$6*parametros_recargas!$H$40+sobrestock_sustitutos!$E$179/12</f>
        <v>59.2490849655962</v>
      </c>
      <c r="G102" s="25" t="n">
        <f aca="false">datos_base!$E$6*parametros_recargas!$I$40+sobrestock_sustitutos!$E$179/12</f>
        <v>61.1805257802696</v>
      </c>
      <c r="H102" s="25" t="n">
        <f aca="false">datos_base!$E$6*parametros_recargas!$J$40+sobrestock_sustitutos!$E$179/12</f>
        <v>63.1751957725271</v>
      </c>
      <c r="I102" s="25" t="n">
        <f aca="false">datos_base!$E$6*parametros_recargas!$K$40+sobrestock_sustitutos!$E$179/12</f>
        <v>65.2351648628485</v>
      </c>
      <c r="J102" s="25" t="n">
        <f aca="false">datos_base!$E$6*parametros_recargas!$L$40+sobrestock_sustitutos!$E$179/12</f>
        <v>67.3625707342713</v>
      </c>
      <c r="K102" s="25" t="n">
        <f aca="false">datos_base!$E$6*parametros_recargas!$M$40+sobrestock_sustitutos!$E$179/12</f>
        <v>69.5596210507197</v>
      </c>
      <c r="L102" s="25" t="n">
        <f aca="false">datos_base!$E$6*parametros_recargas!$N$40+sobrestock_sustitutos!$E$179/12</f>
        <v>71.8285957479539</v>
      </c>
      <c r="M102" s="25" t="n">
        <f aca="false">datos_base!$E$6*parametros_recargas!$O$40+sobrestock_sustitutos!$E$179/12</f>
        <v>74.1718493995185</v>
      </c>
      <c r="N102" s="25" t="n">
        <f aca="false">datos_base!$E$6*parametros_recargas!$P$40+sobrestock_sustitutos!$E$179/12</f>
        <v>76.5918136601444</v>
      </c>
      <c r="O102" s="25" t="n">
        <f aca="false">datos_base!$E$6*parametros_recargas!$Q$40+sobrestock_sustitutos!$E$179/12</f>
        <v>79.0909997891391</v>
      </c>
      <c r="P102" s="7" t="n">
        <f aca="false">SUM(D102:O102)</f>
        <v>800.392227965464</v>
      </c>
      <c r="Q102" s="13" t="n">
        <f aca="false">sobrestock_sustitutos!$E$179</f>
        <v>3</v>
      </c>
    </row>
    <row r="103" customFormat="false" ht="15" hidden="false" customHeight="false" outlineLevel="0" collapsed="false">
      <c r="A103" s="12" t="str">
        <f aca="false">parametros_recargas!A56</f>
        <v>AFFF 10 l</v>
      </c>
      <c r="B103" s="12" t="str">
        <f aca="false">parametros_recargas!B56</f>
        <v>AFFF</v>
      </c>
      <c r="C103" s="24" t="n">
        <f aca="false">parametros_recargas!C56</f>
        <v>1</v>
      </c>
      <c r="D103" s="25" t="n">
        <f aca="false">datos_base!$E$7*parametros_recargas!$F$40+sobrestock_sustitutos!$E$180/12</f>
        <v>10.6291121294491</v>
      </c>
      <c r="E103" s="25" t="n">
        <f aca="false">datos_base!$E$7*parametros_recargas!$G$40+sobrestock_sustitutos!$E$180/12</f>
        <v>10.9743471038765</v>
      </c>
      <c r="F103" s="25" t="n">
        <f aca="false">datos_base!$E$7*parametros_recargas!$H$40+sobrestock_sustitutos!$E$180/12</f>
        <v>11.3308839640983</v>
      </c>
      <c r="G103" s="25" t="n">
        <f aca="false">datos_base!$E$7*parametros_recargas!$I$40+sobrestock_sustitutos!$E$180/12</f>
        <v>11.6990926976072</v>
      </c>
      <c r="H103" s="25" t="n">
        <f aca="false">datos_base!$E$7*parametros_recargas!$J$40+sobrestock_sustitutos!$E$180/12</f>
        <v>12.0793554040995</v>
      </c>
      <c r="I103" s="25" t="n">
        <f aca="false">datos_base!$E$7*parametros_recargas!$K$40+sobrestock_sustitutos!$E$180/12</f>
        <v>12.47206669199</v>
      </c>
      <c r="J103" s="25" t="n">
        <f aca="false">datos_base!$E$7*parametros_recargas!$L$40+sobrestock_sustitutos!$E$180/12</f>
        <v>12.8776340879075</v>
      </c>
      <c r="K103" s="25" t="n">
        <f aca="false">datos_base!$E$7*parametros_recargas!$M$40+sobrestock_sustitutos!$E$180/12</f>
        <v>13.2964784595957</v>
      </c>
      <c r="L103" s="25" t="n">
        <f aca="false">datos_base!$E$7*parametros_recargas!$N$40+sobrestock_sustitutos!$E$180/12</f>
        <v>13.7290344526581</v>
      </c>
      <c r="M103" s="25" t="n">
        <f aca="false">datos_base!$E$7*parametros_recargas!$O$40+sobrestock_sustitutos!$E$180/12</f>
        <v>14.1757509416014</v>
      </c>
      <c r="N103" s="25" t="n">
        <f aca="false">datos_base!$E$7*parametros_recargas!$P$40+sobrestock_sustitutos!$E$180/12</f>
        <v>14.6370914956439</v>
      </c>
      <c r="O103" s="25" t="n">
        <f aca="false">datos_base!$E$7*parametros_recargas!$Q$40+sobrestock_sustitutos!$E$180/12</f>
        <v>15.1135348597734</v>
      </c>
      <c r="P103" s="7" t="n">
        <f aca="false">SUM(D103:O103)</f>
        <v>153.0143822883</v>
      </c>
      <c r="Q103" s="13" t="n">
        <f aca="false">sobrestock_sustitutos!$E$180</f>
        <v>1</v>
      </c>
    </row>
    <row r="104" customFormat="false" ht="15" hidden="false" customHeight="false" outlineLevel="0" collapsed="false">
      <c r="A104" s="12" t="str">
        <f aca="false">parametros_recargas!A57</f>
        <v>AFFF 50 l s/ruedas</v>
      </c>
      <c r="B104" s="12" t="str">
        <f aca="false">parametros_recargas!B57</f>
        <v>AFFF</v>
      </c>
      <c r="C104" s="24" t="n">
        <f aca="false">parametros_recargas!C57</f>
        <v>3</v>
      </c>
      <c r="D104" s="25" t="n">
        <f aca="false">datos_base!$E$8*parametros_recargas!$F$40+sobrestock_sustitutos!$E$181/12</f>
        <v>5.70902872138247</v>
      </c>
      <c r="E104" s="25" t="n">
        <f aca="false">datos_base!$E$8*parametros_recargas!$G$40+sobrestock_sustitutos!$E$181/12</f>
        <v>5.89319594515779</v>
      </c>
      <c r="F104" s="25" t="n">
        <f aca="false">datos_base!$E$8*parametros_recargas!$H$40+sobrestock_sustitutos!$E$181/12</f>
        <v>6.08339221316206</v>
      </c>
      <c r="G104" s="25" t="n">
        <f aca="false">datos_base!$E$8*parametros_recargas!$I$40+sobrestock_sustitutos!$E$181/12</f>
        <v>6.27981489696643</v>
      </c>
      <c r="H104" s="25" t="n">
        <f aca="false">datos_base!$E$8*parametros_recargas!$J$40+sobrestock_sustitutos!$E$181/12</f>
        <v>6.4826678294543</v>
      </c>
      <c r="I104" s="25" t="n">
        <f aca="false">datos_base!$E$8*parametros_recargas!$K$40+sobrestock_sustitutos!$E$181/12</f>
        <v>6.6921615163439</v>
      </c>
      <c r="J104" s="25" t="n">
        <f aca="false">datos_base!$E$8*parametros_recargas!$L$40+sobrestock_sustitutos!$E$181/12</f>
        <v>6.90851335463553</v>
      </c>
      <c r="K104" s="25" t="n">
        <f aca="false">datos_base!$E$8*parametros_recargas!$M$40+sobrestock_sustitutos!$E$181/12</f>
        <v>7.13194785821001</v>
      </c>
      <c r="L104" s="25" t="n">
        <f aca="false">datos_base!$E$8*parametros_recargas!$N$40+sobrestock_sustitutos!$E$181/12</f>
        <v>7.36269689081255</v>
      </c>
      <c r="M104" s="25" t="n">
        <f aca="false">datos_base!$E$8*parametros_recargas!$O$40+sobrestock_sustitutos!$E$181/12</f>
        <v>7.60099990666373</v>
      </c>
      <c r="N104" s="25" t="n">
        <f aca="false">datos_base!$E$8*parametros_recargas!$P$40+sobrestock_sustitutos!$E$181/12</f>
        <v>7.84710419894731</v>
      </c>
      <c r="O104" s="25" t="n">
        <f aca="false">datos_base!$E$8*parametros_recargas!$Q$40+sobrestock_sustitutos!$E$181/12</f>
        <v>8.10126515643272</v>
      </c>
      <c r="P104" s="7" t="n">
        <f aca="false">SUM(D104:O104)</f>
        <v>82.0927884881688</v>
      </c>
      <c r="Q104" s="13" t="n">
        <f aca="false">sobrestock_sustitutos!$E$181</f>
        <v>1</v>
      </c>
    </row>
    <row r="105" customFormat="false" ht="15" hidden="false" customHeight="false" outlineLevel="0" collapsed="false">
      <c r="A105" s="12" t="str">
        <f aca="false">parametros_recargas!A58</f>
        <v>BC 5 kg</v>
      </c>
      <c r="B105" s="12" t="str">
        <f aca="false">parametros_recargas!B58</f>
        <v>BC</v>
      </c>
      <c r="C105" s="24" t="n">
        <f aca="false">parametros_recargas!C58</f>
        <v>1</v>
      </c>
      <c r="D105" s="25" t="n">
        <f aca="false">datos_base!$E$9*parametros_recargas!$F$40+sobrestock_sustitutos!$E$182/12</f>
        <v>3.27274392594697</v>
      </c>
      <c r="E105" s="25" t="n">
        <f aca="false">datos_base!$E$9*parametros_recargas!$G$40+sobrestock_sustitutos!$E$182/12</f>
        <v>3.3771549993885</v>
      </c>
      <c r="F105" s="25" t="n">
        <f aca="false">datos_base!$E$9*parametros_recargas!$H$40+sobrestock_sustitutos!$E$182/12</f>
        <v>3.48498415649804</v>
      </c>
      <c r="G105" s="25" t="n">
        <f aca="false">datos_base!$E$9*parametros_recargas!$I$40+sobrestock_sustitutos!$E$182/12</f>
        <v>3.59634329437211</v>
      </c>
      <c r="H105" s="25" t="n">
        <f aca="false">datos_base!$E$9*parametros_recargas!$J$40+sobrestock_sustitutos!$E$182/12</f>
        <v>3.71134797325927</v>
      </c>
      <c r="I105" s="25" t="n">
        <f aca="false">datos_base!$E$9*parametros_recargas!$K$40+sobrestock_sustitutos!$E$182/12</f>
        <v>3.83011753647998</v>
      </c>
      <c r="J105" s="25" t="n">
        <f aca="false">datos_base!$E$9*parametros_recargas!$L$40+sobrestock_sustitutos!$E$182/12</f>
        <v>3.95277523427226</v>
      </c>
      <c r="K105" s="25" t="n">
        <f aca="false">datos_base!$E$9*parametros_recargas!$M$40+sobrestock_sustitutos!$E$182/12</f>
        <v>4.0794483516916</v>
      </c>
      <c r="L105" s="25" t="n">
        <f aca="false">datos_base!$E$9*parametros_recargas!$N$40+sobrestock_sustitutos!$E$182/12</f>
        <v>4.210268340698</v>
      </c>
      <c r="M105" s="25" t="n">
        <f aca="false">datos_base!$E$9*parametros_recargas!$O$40+sobrestock_sustitutos!$E$182/12</f>
        <v>4.34537095656698</v>
      </c>
      <c r="N105" s="25" t="n">
        <f aca="false">datos_base!$E$9*parametros_recargas!$P$40+sobrestock_sustitutos!$E$182/12</f>
        <v>4.48489639876642</v>
      </c>
      <c r="O105" s="25" t="n">
        <f aca="false">datos_base!$E$9*parametros_recargas!$Q$40+sobrestock_sustitutos!$E$182/12</f>
        <v>4.62898945644509</v>
      </c>
      <c r="P105" s="7" t="n">
        <f aca="false">SUM(D105:O105)</f>
        <v>46.9744406243852</v>
      </c>
      <c r="Q105" s="13" t="n">
        <f aca="false">sobrestock_sustitutos!$E$182</f>
        <v>1</v>
      </c>
    </row>
    <row r="106" customFormat="false" ht="15" hidden="false" customHeight="false" outlineLevel="0" collapsed="false">
      <c r="A106" s="12" t="str">
        <f aca="false">parametros_recargas!A59</f>
        <v>Sales K 6 l</v>
      </c>
      <c r="B106" s="12" t="str">
        <f aca="false">parametros_recargas!B59</f>
        <v>Sales K</v>
      </c>
      <c r="C106" s="24" t="n">
        <f aca="false">parametros_recargas!C59</f>
        <v>1</v>
      </c>
      <c r="D106" s="25" t="n">
        <f aca="false">datos_base!$E$10*parametros_recargas!$F$40+sobrestock_sustitutos!$E$183/12</f>
        <v>27.3392174353487</v>
      </c>
      <c r="E106" s="25" t="n">
        <f aca="false">datos_base!$E$10*parametros_recargas!$G$40+sobrestock_sustitutos!$E$183/12</f>
        <v>28.2287595972995</v>
      </c>
      <c r="F106" s="25" t="n">
        <f aca="false">datos_base!$E$10*parametros_recargas!$H$40+sobrestock_sustitutos!$E$183/12</f>
        <v>29.1474225166141</v>
      </c>
      <c r="G106" s="25" t="n">
        <f aca="false">datos_base!$E$10*parametros_recargas!$I$40+sobrestock_sustitutos!$E$183/12</f>
        <v>30.0961595134898</v>
      </c>
      <c r="H106" s="25" t="n">
        <f aca="false">datos_base!$E$10*parametros_recargas!$J$40+sobrestock_sustitutos!$E$183/12</f>
        <v>31.0759551167697</v>
      </c>
      <c r="I106" s="25" t="n">
        <f aca="false">datos_base!$E$10*parametros_recargas!$K$40+sobrestock_sustitutos!$E$183/12</f>
        <v>32.0878260856136</v>
      </c>
      <c r="J106" s="25" t="n">
        <f aca="false">datos_base!$E$10*parametros_recargas!$L$40+sobrestock_sustitutos!$E$183/12</f>
        <v>33.1328224646151</v>
      </c>
      <c r="K106" s="25" t="n">
        <f aca="false">datos_base!$E$10*parametros_recargas!$M$40+sobrestock_sustitutos!$E$183/12</f>
        <v>34.2120286734601</v>
      </c>
      <c r="L106" s="25" t="n">
        <f aca="false">datos_base!$E$10*parametros_recargas!$N$40+sobrestock_sustitutos!$E$183/12</f>
        <v>35.3265646322566</v>
      </c>
      <c r="M106" s="25" t="n">
        <f aca="false">datos_base!$E$10*parametros_recargas!$O$40+sobrestock_sustitutos!$E$183/12</f>
        <v>36.4775869237056</v>
      </c>
      <c r="N106" s="25" t="n">
        <f aca="false">datos_base!$E$10*parametros_recargas!$P$40+sobrestock_sustitutos!$E$183/12</f>
        <v>37.6662899933158</v>
      </c>
      <c r="O106" s="25" t="n">
        <f aca="false">datos_base!$E$10*parametros_recargas!$Q$40+sobrestock_sustitutos!$E$183/12</f>
        <v>38.8939073889111</v>
      </c>
      <c r="P106" s="7" t="n">
        <f aca="false">SUM(D106:O106)</f>
        <v>393.6845403414</v>
      </c>
      <c r="Q106" s="13" t="n">
        <f aca="false">sobrestock_sustitutos!$E$183</f>
        <v>2</v>
      </c>
    </row>
    <row r="107" customFormat="false" ht="15" hidden="false" customHeight="false" outlineLevel="0" collapsed="false">
      <c r="A107" s="12" t="str">
        <f aca="false">parametros_recargas!A60</f>
        <v>CO₂ 2 kg</v>
      </c>
      <c r="B107" s="12" t="str">
        <f aca="false">parametros_recargas!B60</f>
        <v>CO₂</v>
      </c>
      <c r="C107" s="24" t="n">
        <f aca="false">parametros_recargas!C60</f>
        <v>1</v>
      </c>
      <c r="D107" s="25" t="n">
        <f aca="false">datos_base!$E$11*parametros_recargas!$F$40+sobrestock_sustitutos!$E$184/12</f>
        <v>151.194903846431</v>
      </c>
      <c r="E107" s="25" t="n">
        <f aca="false">datos_base!$E$11*parametros_recargas!$G$40+sobrestock_sustitutos!$E$184/12</f>
        <v>156.144540072653</v>
      </c>
      <c r="F107" s="25" t="n">
        <f aca="false">datos_base!$E$11*parametros_recargas!$H$40+sobrestock_sustitutos!$E$184/12</f>
        <v>161.256211514008</v>
      </c>
      <c r="G107" s="25" t="n">
        <f aca="false">datos_base!$E$11*parametros_recargas!$I$40+sobrestock_sustitutos!$E$184/12</f>
        <v>166.535222683747</v>
      </c>
      <c r="H107" s="25" t="n">
        <f aca="false">datos_base!$E$11*parametros_recargas!$J$40+sobrestock_sustitutos!$E$184/12</f>
        <v>171.98705174787</v>
      </c>
      <c r="I107" s="25" t="n">
        <f aca="false">datos_base!$E$11*parametros_recargas!$K$40+sobrestock_sustitutos!$E$184/12</f>
        <v>177.617356209963</v>
      </c>
      <c r="J107" s="25" t="n">
        <f aca="false">datos_base!$E$11*parametros_recargas!$L$40+sobrestock_sustitutos!$E$184/12</f>
        <v>183.431978782132</v>
      </c>
      <c r="K107" s="25" t="n">
        <f aca="false">datos_base!$E$11*parametros_recargas!$M$40+sobrestock_sustitutos!$E$184/12</f>
        <v>189.436953448141</v>
      </c>
      <c r="L107" s="25" t="n">
        <f aca="false">datos_base!$E$11*parametros_recargas!$N$40+sobrestock_sustitutos!$E$184/12</f>
        <v>195.638511725028</v>
      </c>
      <c r="M107" s="25" t="n">
        <f aca="false">datos_base!$E$11*parametros_recargas!$O$40+sobrestock_sustitutos!$E$184/12</f>
        <v>202.043089129712</v>
      </c>
      <c r="N107" s="25" t="n">
        <f aca="false">datos_base!$E$11*parametros_recargas!$P$40+sobrestock_sustitutos!$E$184/12</f>
        <v>208.657331857296</v>
      </c>
      <c r="O107" s="25" t="n">
        <f aca="false">datos_base!$E$11*parametros_recargas!$Q$40+sobrestock_sustitutos!$E$184/12</f>
        <v>215.488103677995</v>
      </c>
      <c r="P107" s="7" t="n">
        <f aca="false">SUM(D107:O107)</f>
        <v>2179.43125469498</v>
      </c>
      <c r="Q107" s="13" t="n">
        <f aca="false">sobrestock_sustitutos!$E$184</f>
        <v>0</v>
      </c>
    </row>
    <row r="108" customFormat="false" ht="15" hidden="false" customHeight="false" outlineLevel="0" collapsed="false">
      <c r="A108" s="12" t="str">
        <f aca="false">parametros_recargas!A61</f>
        <v>CO₂ 5 kg</v>
      </c>
      <c r="B108" s="12" t="str">
        <f aca="false">parametros_recargas!B61</f>
        <v>CO₂</v>
      </c>
      <c r="C108" s="24" t="n">
        <f aca="false">parametros_recargas!C61</f>
        <v>1</v>
      </c>
      <c r="D108" s="25" t="n">
        <f aca="false">datos_base!$E$12*parametros_recargas!$F$40+sobrestock_sustitutos!$E$185/12</f>
        <v>49.945825384518</v>
      </c>
      <c r="E108" s="25" t="n">
        <f aca="false">datos_base!$E$12*parametros_recargas!$G$40+sobrestock_sustitutos!$E$185/12</f>
        <v>51.5563389223909</v>
      </c>
      <c r="F108" s="25" t="n">
        <f aca="false">datos_base!$E$12*parametros_recargas!$H$40+sobrestock_sustitutos!$E$185/12</f>
        <v>53.2195755081118</v>
      </c>
      <c r="G108" s="25" t="n">
        <f aca="false">datos_base!$E$12*parametros_recargas!$I$40+sobrestock_sustitutos!$E$185/12</f>
        <v>54.9372611251693</v>
      </c>
      <c r="H108" s="25" t="n">
        <f aca="false">datos_base!$E$12*parametros_recargas!$J$40+sobrestock_sustitutos!$E$185/12</f>
        <v>56.7111782602155</v>
      </c>
      <c r="I108" s="25" t="n">
        <f aca="false">datos_base!$E$12*parametros_recargas!$K$40+sobrestock_sustitutos!$E$185/12</f>
        <v>58.5431677527987</v>
      </c>
      <c r="J108" s="25" t="n">
        <f aca="false">datos_base!$E$12*parametros_recargas!$L$40+sobrestock_sustitutos!$E$185/12</f>
        <v>60.4351307056497</v>
      </c>
      <c r="K108" s="25" t="n">
        <f aca="false">datos_base!$E$12*parametros_recargas!$M$40+sobrestock_sustitutos!$E$185/12</f>
        <v>62.3890304575057</v>
      </c>
      <c r="L108" s="25" t="n">
        <f aca="false">datos_base!$E$12*parametros_recargas!$N$40+sobrestock_sustitutos!$E$185/12</f>
        <v>64.4068946205169</v>
      </c>
      <c r="M108" s="25" t="n">
        <f aca="false">datos_base!$E$12*parametros_recargas!$O$40+sobrestock_sustitutos!$E$185/12</f>
        <v>66.490817184352</v>
      </c>
      <c r="N108" s="25" t="n">
        <f aca="false">datos_base!$E$12*parametros_recargas!$P$40+sobrestock_sustitutos!$E$185/12</f>
        <v>68.6429606891857</v>
      </c>
      <c r="O108" s="25" t="n">
        <f aca="false">datos_base!$E$12*parametros_recargas!$Q$40+sobrestock_sustitutos!$E$185/12</f>
        <v>70.865558469822</v>
      </c>
      <c r="P108" s="7" t="n">
        <f aca="false">SUM(D108:O108)</f>
        <v>718.143739080236</v>
      </c>
      <c r="Q108" s="13" t="n">
        <f aca="false">sobrestock_sustitutos!$E$185</f>
        <v>9</v>
      </c>
    </row>
    <row r="109" customFormat="false" ht="15" hidden="false" customHeight="false" outlineLevel="0" collapsed="false">
      <c r="A109" s="12" t="str">
        <f aca="false">parametros_recargas!A62</f>
        <v>HCFC/HFC 5 kg</v>
      </c>
      <c r="B109" s="12" t="str">
        <f aca="false">parametros_recargas!B62</f>
        <v>Halogenado</v>
      </c>
      <c r="C109" s="24" t="n">
        <f aca="false">parametros_recargas!C62</f>
        <v>1</v>
      </c>
      <c r="D109" s="25" t="n">
        <f aca="false">datos_base!$E$13*parametros_recargas!$F$40+sobrestock_sustitutos!$E$186/12</f>
        <v>8.09603409348831</v>
      </c>
      <c r="E109" s="25" t="n">
        <f aca="false">datos_base!$E$13*parametros_recargas!$G$40+sobrestock_sustitutos!$E$186/12</f>
        <v>8.35834421733095</v>
      </c>
      <c r="F109" s="25" t="n">
        <f aca="false">datos_base!$E$13*parametros_recargas!$H$40+sobrestock_sustitutos!$E$186/12</f>
        <v>8.62924153332389</v>
      </c>
      <c r="G109" s="25" t="n">
        <f aca="false">datos_base!$E$13*parametros_recargas!$I$40+sobrestock_sustitutos!$E$186/12</f>
        <v>8.90900715859653</v>
      </c>
      <c r="H109" s="25" t="n">
        <f aca="false">datos_base!$E$13*parametros_recargas!$J$40+sobrestock_sustitutos!$E$186/12</f>
        <v>9.19793141315147</v>
      </c>
      <c r="I109" s="25" t="n">
        <f aca="false">datos_base!$E$13*parametros_recargas!$K$40+sobrestock_sustitutos!$E$186/12</f>
        <v>9.49631412113703</v>
      </c>
      <c r="J109" s="25" t="n">
        <f aca="false">datos_base!$E$13*parametros_recargas!$L$40+sobrestock_sustitutos!$E$186/12</f>
        <v>9.80446492198254</v>
      </c>
      <c r="K109" s="25" t="n">
        <f aca="false">datos_base!$E$13*parametros_recargas!$M$40+sobrestock_sustitutos!$E$186/12</f>
        <v>10.1227035917191</v>
      </c>
      <c r="L109" s="25" t="n">
        <f aca="false">datos_base!$E$13*parametros_recargas!$N$40+sobrestock_sustitutos!$E$186/12</f>
        <v>10.4513603748196</v>
      </c>
      <c r="M109" s="25" t="n">
        <f aca="false">datos_base!$E$13*parametros_recargas!$O$40+sobrestock_sustitutos!$E$186/12</f>
        <v>10.7907763269016</v>
      </c>
      <c r="N109" s="25" t="n">
        <f aca="false">datos_base!$E$13*parametros_recargas!$P$40+sobrestock_sustitutos!$E$186/12</f>
        <v>11.1413036686498</v>
      </c>
      <c r="O109" s="25" t="n">
        <f aca="false">datos_base!$E$13*parametros_recargas!$Q$40+sobrestock_sustitutos!$E$186/12</f>
        <v>11.5033061513245</v>
      </c>
      <c r="P109" s="7" t="n">
        <f aca="false">SUM(D109:O109)</f>
        <v>116.500787572425</v>
      </c>
      <c r="Q109" s="13" t="n">
        <f aca="false">sobrestock_sustitutos!$E$186</f>
        <v>1</v>
      </c>
    </row>
    <row r="110" customFormat="false" ht="15" hidden="false" customHeight="false" outlineLevel="0" collapsed="false">
      <c r="A110" s="12" t="str">
        <f aca="false">parametros_recargas!A63</f>
        <v>Clase D 9 l</v>
      </c>
      <c r="B110" s="12" t="str">
        <f aca="false">parametros_recargas!B63</f>
        <v>Clase D</v>
      </c>
      <c r="C110" s="24" t="n">
        <f aca="false">parametros_recargas!C63</f>
        <v>1</v>
      </c>
      <c r="D110" s="25" t="n">
        <f aca="false">datos_base!$E$14*parametros_recargas!$F$40+sobrestock_sustitutos!$E$187/12</f>
        <v>3.04832272484626</v>
      </c>
      <c r="E110" s="25" t="n">
        <f aca="false">datos_base!$E$14*parametros_recargas!$G$40+sobrestock_sustitutos!$E$187/12</f>
        <v>3.14538696794733</v>
      </c>
      <c r="F110" s="25" t="n">
        <f aca="false">datos_base!$E$14*parametros_recargas!$H$40+sobrestock_sustitutos!$E$187/12</f>
        <v>3.24562878305449</v>
      </c>
      <c r="G110" s="25" t="n">
        <f aca="false">datos_base!$E$14*parametros_recargas!$I$40+sobrestock_sustitutos!$E$187/12</f>
        <v>3.3491521936838</v>
      </c>
      <c r="H110" s="25" t="n">
        <f aca="false">datos_base!$E$14*parametros_recargas!$J$40+sobrestock_sustitutos!$E$187/12</f>
        <v>3.45606462874766</v>
      </c>
      <c r="I110" s="25" t="n">
        <f aca="false">datos_base!$E$14*parametros_recargas!$K$40+sobrestock_sustitutos!$E$187/12</f>
        <v>3.56647703403646</v>
      </c>
      <c r="J110" s="25" t="n">
        <f aca="false">datos_base!$E$14*parametros_recargas!$L$40+sobrestock_sustitutos!$E$187/12</f>
        <v>3.68050398734994</v>
      </c>
      <c r="K110" s="25" t="n">
        <f aca="false">datos_base!$E$14*parametros_recargas!$M$40+sobrestock_sustitutos!$E$187/12</f>
        <v>3.79826381739756</v>
      </c>
      <c r="L110" s="25" t="n">
        <f aca="false">datos_base!$E$14*parametros_recargas!$N$40+sobrestock_sustitutos!$E$187/12</f>
        <v>3.91987872659115</v>
      </c>
      <c r="M110" s="25" t="n">
        <f aca="false">datos_base!$E$14*parametros_recargas!$O$40+sobrestock_sustitutos!$E$187/12</f>
        <v>4.04547491785761</v>
      </c>
      <c r="N110" s="25" t="n">
        <f aca="false">datos_base!$E$14*parametros_recargas!$P$40+sobrestock_sustitutos!$E$187/12</f>
        <v>4.17518272560289</v>
      </c>
      <c r="O110" s="25" t="n">
        <f aca="false">datos_base!$E$14*parametros_recargas!$Q$40+sobrestock_sustitutos!$E$187/12</f>
        <v>4.30913675096336</v>
      </c>
      <c r="P110" s="7" t="n">
        <f aca="false">SUM(D110:O110)</f>
        <v>43.7394732580785</v>
      </c>
      <c r="Q110" s="13" t="n">
        <f aca="false">sobrestock_sustitutos!$E$187</f>
        <v>1</v>
      </c>
    </row>
    <row r="111" customFormat="false" ht="15" hidden="false" customHeight="false" outlineLevel="0" collapsed="false">
      <c r="A111" s="12" t="str">
        <f aca="false">parametros_recargas!A64</f>
        <v>ABC 25 kg s/ruedas</v>
      </c>
      <c r="B111" s="12" t="str">
        <f aca="false">parametros_recargas!B64</f>
        <v>ABC</v>
      </c>
      <c r="C111" s="24" t="n">
        <f aca="false">parametros_recargas!C64</f>
        <v>3</v>
      </c>
      <c r="D111" s="25" t="n">
        <f aca="false">datos_base!$E$15*parametros_recargas!$F$40+sobrestock_sustitutos!$E$188/12</f>
        <v>6.73032351650015</v>
      </c>
      <c r="E111" s="25" t="n">
        <f aca="false">datos_base!$E$15*parametros_recargas!$G$40+sobrestock_sustitutos!$E$188/12</f>
        <v>6.95065272233961</v>
      </c>
      <c r="F111" s="25" t="n">
        <f aca="false">datos_base!$E$15*parametros_recargas!$H$40+sobrestock_sustitutos!$E$188/12</f>
        <v>7.17819479971888</v>
      </c>
      <c r="G111" s="25" t="n">
        <f aca="false">datos_base!$E$15*parametros_recargas!$I$40+sobrestock_sustitutos!$E$188/12</f>
        <v>7.4131858749184</v>
      </c>
      <c r="H111" s="25" t="n">
        <f aca="false">datos_base!$E$15*parametros_recargas!$J$40+sobrestock_sustitutos!$E$188/12</f>
        <v>7.65586980423573</v>
      </c>
      <c r="I111" s="25" t="n">
        <f aca="false">datos_base!$E$15*parametros_recargas!$K$40+sobrestock_sustitutos!$E$188/12</f>
        <v>7.90649842704148</v>
      </c>
      <c r="J111" s="25" t="n">
        <f aca="false">datos_base!$E$15*parametros_recargas!$L$40+sobrestock_sustitutos!$E$188/12</f>
        <v>8.16533182711953</v>
      </c>
      <c r="K111" s="25" t="n">
        <f aca="false">datos_base!$E$15*parametros_recargas!$M$40+sobrestock_sustitutos!$E$188/12</f>
        <v>8.43263860256269</v>
      </c>
      <c r="L111" s="25" t="n">
        <f aca="false">datos_base!$E$15*parametros_recargas!$N$40+sobrestock_sustitutos!$E$188/12</f>
        <v>8.70869614450385</v>
      </c>
      <c r="M111" s="25" t="n">
        <f aca="false">datos_base!$E$15*parametros_recargas!$O$40+sobrestock_sustitutos!$E$188/12</f>
        <v>8.99379092497192</v>
      </c>
      <c r="N111" s="25" t="n">
        <f aca="false">datos_base!$E$15*parametros_recargas!$P$40+sobrestock_sustitutos!$E$188/12</f>
        <v>9.28821879417124</v>
      </c>
      <c r="O111" s="25" t="n">
        <f aca="false">datos_base!$E$15*parametros_recargas!$Q$40+sobrestock_sustitutos!$E$188/12</f>
        <v>9.59228528749296</v>
      </c>
      <c r="P111" s="7" t="n">
        <f aca="false">SUM(D111:O111)</f>
        <v>97.0156867255764</v>
      </c>
      <c r="Q111" s="13" t="n">
        <f aca="false">sobrestock_sustitutos!$E$188</f>
        <v>0</v>
      </c>
    </row>
    <row r="112" customFormat="false" ht="15" hidden="false" customHeight="false" outlineLevel="0" collapsed="false">
      <c r="A112" s="12" t="str">
        <f aca="false">parametros_recargas!A65</f>
        <v>ABC 50 kg s/ruedas</v>
      </c>
      <c r="B112" s="12" t="str">
        <f aca="false">parametros_recargas!B65</f>
        <v>ABC</v>
      </c>
      <c r="C112" s="24" t="n">
        <f aca="false">parametros_recargas!C65</f>
        <v>3</v>
      </c>
      <c r="D112" s="25" t="n">
        <f aca="false">datos_base!$E$16*parametros_recargas!$F$40+sobrestock_sustitutos!$E$189/12</f>
        <v>14.8900450656345</v>
      </c>
      <c r="E112" s="25" t="n">
        <f aca="false">datos_base!$E$16*parametros_recargas!$G$40+sobrestock_sustitutos!$E$189/12</f>
        <v>15.3747693183504</v>
      </c>
      <c r="F112" s="25" t="n">
        <f aca="false">datos_base!$E$16*parametros_recargas!$H$40+sobrestock_sustitutos!$E$189/12</f>
        <v>15.8753618884495</v>
      </c>
      <c r="G112" s="25" t="n">
        <f aca="false">datos_base!$E$16*parametros_recargas!$I$40+sobrestock_sustitutos!$E$189/12</f>
        <v>16.3923422537489</v>
      </c>
      <c r="H112" s="25" t="n">
        <f aca="false">datos_base!$E$16*parametros_recargas!$J$40+sobrestock_sustitutos!$E$189/12</f>
        <v>16.9262468981028</v>
      </c>
      <c r="I112" s="25" t="n">
        <f aca="false">datos_base!$E$16*parametros_recargas!$K$40+sobrestock_sustitutos!$E$189/12</f>
        <v>17.4776298681265</v>
      </c>
      <c r="J112" s="25" t="n">
        <f aca="false">datos_base!$E$16*parametros_recargas!$L$40+sobrestock_sustitutos!$E$189/12</f>
        <v>18.0470633481444</v>
      </c>
      <c r="K112" s="25" t="n">
        <f aca="false">datos_base!$E$16*parametros_recargas!$M$40+sobrestock_sustitutos!$E$189/12</f>
        <v>18.6351382539605</v>
      </c>
      <c r="L112" s="25" t="n">
        <f aca="false">datos_base!$E$16*parametros_recargas!$N$40+sobrestock_sustitutos!$E$189/12</f>
        <v>19.242464846067</v>
      </c>
      <c r="M112" s="25" t="n">
        <f aca="false">datos_base!$E$16*parametros_recargas!$O$40+sobrestock_sustitutos!$E$189/12</f>
        <v>19.8696733629274</v>
      </c>
      <c r="N112" s="25" t="n">
        <f aca="false">datos_base!$E$16*parametros_recargas!$P$40+sobrestock_sustitutos!$E$189/12</f>
        <v>20.5174146749909</v>
      </c>
      <c r="O112" s="25" t="n">
        <f aca="false">datos_base!$E$16*parametros_recargas!$Q$40+sobrestock_sustitutos!$E$189/12</f>
        <v>21.186360960118</v>
      </c>
      <c r="P112" s="7" t="n">
        <f aca="false">SUM(D112:O112)</f>
        <v>214.434510738621</v>
      </c>
      <c r="Q112" s="13" t="n">
        <f aca="false">sobrestock_sustitutos!$E$189</f>
        <v>1</v>
      </c>
    </row>
    <row r="113" customFormat="false" ht="15" hidden="false" customHeight="false" outlineLevel="0" collapsed="false">
      <c r="A113" s="12" t="str">
        <f aca="false">parametros_recargas!A66</f>
        <v>ABC 70 kg s/ruedas</v>
      </c>
      <c r="B113" s="12" t="str">
        <f aca="false">parametros_recargas!B66</f>
        <v>ABC</v>
      </c>
      <c r="C113" s="24" t="n">
        <f aca="false">parametros_recargas!C66</f>
        <v>3</v>
      </c>
      <c r="D113" s="25" t="n">
        <f aca="false">datos_base!$E$17*parametros_recargas!$F$40+sobrestock_sustitutos!$E$190/12</f>
        <v>3.23055528632039</v>
      </c>
      <c r="E113" s="25" t="n">
        <f aca="false">datos_base!$E$17*parametros_recargas!$G$40+sobrestock_sustitutos!$E$190/12</f>
        <v>3.33631330507097</v>
      </c>
      <c r="F113" s="25" t="n">
        <f aca="false">datos_base!$E$17*parametros_recargas!$H$40+sobrestock_sustitutos!$E$190/12</f>
        <v>3.44553350215893</v>
      </c>
      <c r="G113" s="25" t="n">
        <f aca="false">datos_base!$E$17*parametros_recargas!$I$40+sobrestock_sustitutos!$E$190/12</f>
        <v>3.55832921819885</v>
      </c>
      <c r="H113" s="25" t="n">
        <f aca="false">datos_base!$E$17*parametros_recargas!$J$40+sobrestock_sustitutos!$E$190/12</f>
        <v>3.67481750421349</v>
      </c>
      <c r="I113" s="25" t="n">
        <f aca="false">datos_base!$E$17*parametros_recargas!$K$40+sobrestock_sustitutos!$E$190/12</f>
        <v>3.79511924310067</v>
      </c>
      <c r="J113" s="25" t="n">
        <f aca="false">datos_base!$E$17*parametros_recargas!$L$40+sobrestock_sustitutos!$E$190/12</f>
        <v>3.91935927507662</v>
      </c>
      <c r="K113" s="25" t="n">
        <f aca="false">datos_base!$E$17*parametros_recargas!$M$40+sobrestock_sustitutos!$E$190/12</f>
        <v>4.0476665272258</v>
      </c>
      <c r="L113" s="25" t="n">
        <f aca="false">datos_base!$E$17*parametros_recargas!$N$40+sobrestock_sustitutos!$E$190/12</f>
        <v>4.18017414729194</v>
      </c>
      <c r="M113" s="25" t="n">
        <f aca="false">datos_base!$E$17*parametros_recargas!$O$40+sobrestock_sustitutos!$E$190/12</f>
        <v>4.31701964184885</v>
      </c>
      <c r="N113" s="25" t="n">
        <f aca="false">datos_base!$E$17*parametros_recargas!$P$40+sobrestock_sustitutos!$E$190/12</f>
        <v>4.45834501899455</v>
      </c>
      <c r="O113" s="25" t="n">
        <f aca="false">datos_base!$E$17*parametros_recargas!$Q$40+sobrestock_sustitutos!$E$190/12</f>
        <v>4.6042969357167</v>
      </c>
      <c r="P113" s="7" t="n">
        <f aca="false">SUM(D113:O113)</f>
        <v>46.5675296052178</v>
      </c>
      <c r="Q113" s="13" t="n">
        <f aca="false">sobrestock_sustitutos!$E$190</f>
        <v>0</v>
      </c>
    </row>
    <row r="114" customFormat="false" ht="15" hidden="false" customHeight="false" outlineLevel="0" collapsed="false">
      <c r="A114" s="12" t="str">
        <f aca="false">parametros_recargas!A67</f>
        <v>ABC 100 kg s/ruedas</v>
      </c>
      <c r="B114" s="12" t="str">
        <f aca="false">parametros_recargas!B67</f>
        <v>ABC</v>
      </c>
      <c r="C114" s="24" t="n">
        <f aca="false">parametros_recargas!C67</f>
        <v>3</v>
      </c>
      <c r="D114" s="25" t="n">
        <f aca="false">datos_base!$E$18*parametros_recargas!$F$40+sobrestock_sustitutos!$E$191/12</f>
        <v>2.23703686421226</v>
      </c>
      <c r="E114" s="25" t="n">
        <f aca="false">datos_base!$E$18*parametros_recargas!$G$40+sobrestock_sustitutos!$E$191/12</f>
        <v>2.30754221026418</v>
      </c>
      <c r="F114" s="25" t="n">
        <f aca="false">datos_base!$E$18*parametros_recargas!$H$40+sobrestock_sustitutos!$E$191/12</f>
        <v>2.38035567521483</v>
      </c>
      <c r="G114" s="25" t="n">
        <f aca="false">datos_base!$E$18*parametros_recargas!$I$40+sobrestock_sustitutos!$E$191/12</f>
        <v>2.45555281947417</v>
      </c>
      <c r="H114" s="25" t="n">
        <f aca="false">datos_base!$E$18*parametros_recargas!$J$40+sobrestock_sustitutos!$E$191/12</f>
        <v>2.5332116770576</v>
      </c>
      <c r="I114" s="25" t="n">
        <f aca="false">datos_base!$E$18*parametros_recargas!$K$40+sobrestock_sustitutos!$E$191/12</f>
        <v>2.61341283656393</v>
      </c>
      <c r="J114" s="25" t="n">
        <f aca="false">datos_base!$E$18*parametros_recargas!$L$40+sobrestock_sustitutos!$E$191/12</f>
        <v>2.69623952480423</v>
      </c>
      <c r="K114" s="25" t="n">
        <f aca="false">datos_base!$E$18*parametros_recargas!$M$40+sobrestock_sustitutos!$E$191/12</f>
        <v>2.78177769316841</v>
      </c>
      <c r="L114" s="25" t="n">
        <f aca="false">datos_base!$E$18*parametros_recargas!$N$40+sobrestock_sustitutos!$E$191/12</f>
        <v>2.87011610681923</v>
      </c>
      <c r="M114" s="25" t="n">
        <f aca="false">datos_base!$E$18*parametros_recargas!$O$40+sobrestock_sustitutos!$E$191/12</f>
        <v>2.96134643680618</v>
      </c>
      <c r="N114" s="25" t="n">
        <f aca="false">datos_base!$E$18*parametros_recargas!$P$40+sobrestock_sustitutos!$E$191/12</f>
        <v>3.05556335519489</v>
      </c>
      <c r="O114" s="25" t="n">
        <f aca="false">datos_base!$E$18*parametros_recargas!$Q$40+sobrestock_sustitutos!$E$191/12</f>
        <v>3.15286463331079</v>
      </c>
      <c r="P114" s="7" t="n">
        <f aca="false">SUM(D114:O114)</f>
        <v>32.0450198328907</v>
      </c>
      <c r="Q114" s="13" t="n">
        <f aca="false">sobrestock_sustitutos!$E$191</f>
        <v>1</v>
      </c>
    </row>
    <row r="115" customFormat="false" ht="15" hidden="false" customHeight="false" outlineLevel="0" collapsed="false">
      <c r="A115" s="6" t="s">
        <v>273</v>
      </c>
      <c r="D115" s="7" t="n">
        <f aca="false">SUM(D98:D114)</f>
        <v>2285.22550165822</v>
      </c>
      <c r="E115" s="7" t="n">
        <f aca="false">SUM(E98:E114)</f>
        <v>2359.8836835052</v>
      </c>
      <c r="F115" s="7" t="n">
        <f aca="false">SUM(F98:F114)</f>
        <v>2436.9859347755</v>
      </c>
      <c r="G115" s="7" t="n">
        <f aca="false">SUM(G98:G114)</f>
        <v>2516.61226646321</v>
      </c>
      <c r="H115" s="7" t="n">
        <f aca="false">SUM(H98:H114)</f>
        <v>2598.84530886574</v>
      </c>
      <c r="I115" s="7" t="n">
        <f aca="false">SUM(I98:I114)</f>
        <v>2683.77039733142</v>
      </c>
      <c r="J115" s="7" t="n">
        <f aca="false">SUM(J98:J114)</f>
        <v>2771.47566081418</v>
      </c>
      <c r="K115" s="7" t="n">
        <f aca="false">SUM(K98:K114)</f>
        <v>2862.05211332727</v>
      </c>
      <c r="L115" s="7" t="n">
        <f aca="false">SUM(L98:L114)</f>
        <v>2955.5937483908</v>
      </c>
      <c r="M115" s="7" t="n">
        <f aca="false">SUM(M98:M114)</f>
        <v>3052.19763657128</v>
      </c>
      <c r="N115" s="7" t="n">
        <f aca="false">SUM(N98:N114)</f>
        <v>3151.96402621423</v>
      </c>
      <c r="O115" s="7" t="n">
        <f aca="false">SUM(O98:O114)</f>
        <v>3254.99644747447</v>
      </c>
      <c r="P115" s="7" t="n">
        <f aca="false">SUM(P98:P114)</f>
        <v>32929.6027253915</v>
      </c>
    </row>
    <row r="116" customFormat="false" ht="15" hidden="false" customHeight="false" outlineLevel="0" collapsed="false">
      <c r="A116" s="6" t="s">
        <v>274</v>
      </c>
    </row>
    <row r="117" customFormat="false" ht="15" hidden="false" customHeight="false" outlineLevel="0" collapsed="false">
      <c r="A117" s="4" t="s">
        <v>143</v>
      </c>
      <c r="D117" s="25" t="n">
        <f aca="false">SUMPRODUCT(($B$98:$B$114=$A117)*D$98:D$114*$C$98:$C$114)</f>
        <v>2024.59829768224</v>
      </c>
      <c r="E117" s="25" t="n">
        <f aca="false">SUMPRODUCT(($B$98:$B$114=$A117)*E$98:E$114*$C$98:$C$114)</f>
        <v>2090.76530176863</v>
      </c>
      <c r="F117" s="25" t="n">
        <f aca="false">SUMPRODUCT(($B$98:$B$114=$A117)*F$98:F$114*$C$98:$C$114)</f>
        <v>2159.09840135212</v>
      </c>
      <c r="G117" s="25" t="n">
        <f aca="false">SUMPRODUCT(($B$98:$B$114=$A117)*G$98:G$114*$C$98:$C$114)</f>
        <v>2229.66850745199</v>
      </c>
      <c r="H117" s="25" t="n">
        <f aca="false">SUMPRODUCT(($B$98:$B$114=$A117)*H$98:H$114*$C$98:$C$114)</f>
        <v>2302.54885248686</v>
      </c>
      <c r="I117" s="25" t="n">
        <f aca="false">SUMPRODUCT(($B$98:$B$114=$A117)*I$98:I$114*$C$98:$C$114)</f>
        <v>2377.81506626987</v>
      </c>
      <c r="J117" s="25" t="n">
        <f aca="false">SUMPRODUCT(($B$98:$B$114=$A117)*J$98:J$114*$C$98:$C$114)</f>
        <v>2455.54525449166</v>
      </c>
      <c r="K117" s="25" t="n">
        <f aca="false">SUMPRODUCT(($B$98:$B$114=$A117)*K$98:K$114*$C$98:$C$114)</f>
        <v>2535.82007977267</v>
      </c>
      <c r="L117" s="25" t="n">
        <f aca="false">SUMPRODUCT(($B$98:$B$114=$A117)*L$98:L$114*$C$98:$C$114)</f>
        <v>2618.72284536883</v>
      </c>
      <c r="M117" s="25" t="n">
        <f aca="false">SUMPRODUCT(($B$98:$B$114=$A117)*M$98:M$114*$C$98:$C$114)</f>
        <v>2704.33958161751</v>
      </c>
      <c r="N117" s="25" t="n">
        <f aca="false">SUMPRODUCT(($B$98:$B$114=$A117)*N$98:N$114*$C$98:$C$114)</f>
        <v>2792.75913521338</v>
      </c>
      <c r="O117" s="25" t="n">
        <f aca="false">SUMPRODUCT(($B$98:$B$114=$A117)*O$98:O$114*$C$98:$C$114)</f>
        <v>2884.07326140694</v>
      </c>
      <c r="P117" s="25" t="n">
        <f aca="false">SUMPRODUCT(($B$98:$B$114=$A117)*P$98:P$114*$C$98:$C$114)</f>
        <v>29175.7545848827</v>
      </c>
    </row>
    <row r="118" customFormat="false" ht="15" hidden="false" customHeight="false" outlineLevel="0" collapsed="false">
      <c r="A118" s="4" t="s">
        <v>149</v>
      </c>
      <c r="D118" s="25" t="n">
        <f aca="false">SUMPRODUCT(($B$98:$B$114=$A118)*D$98:D$114*$C$98:$C$114)</f>
        <v>3.27274392594697</v>
      </c>
      <c r="E118" s="25" t="n">
        <f aca="false">SUMPRODUCT(($B$98:$B$114=$A118)*E$98:E$114*$C$98:$C$114)</f>
        <v>3.3771549993885</v>
      </c>
      <c r="F118" s="25" t="n">
        <f aca="false">SUMPRODUCT(($B$98:$B$114=$A118)*F$98:F$114*$C$98:$C$114)</f>
        <v>3.48498415649804</v>
      </c>
      <c r="G118" s="25" t="n">
        <f aca="false">SUMPRODUCT(($B$98:$B$114=$A118)*G$98:G$114*$C$98:$C$114)</f>
        <v>3.59634329437211</v>
      </c>
      <c r="H118" s="25" t="n">
        <f aca="false">SUMPRODUCT(($B$98:$B$114=$A118)*H$98:H$114*$C$98:$C$114)</f>
        <v>3.71134797325927</v>
      </c>
      <c r="I118" s="25" t="n">
        <f aca="false">SUMPRODUCT(($B$98:$B$114=$A118)*I$98:I$114*$C$98:$C$114)</f>
        <v>3.83011753647998</v>
      </c>
      <c r="J118" s="25" t="n">
        <f aca="false">SUMPRODUCT(($B$98:$B$114=$A118)*J$98:J$114*$C$98:$C$114)</f>
        <v>3.95277523427226</v>
      </c>
      <c r="K118" s="25" t="n">
        <f aca="false">SUMPRODUCT(($B$98:$B$114=$A118)*K$98:K$114*$C$98:$C$114)</f>
        <v>4.0794483516916</v>
      </c>
      <c r="L118" s="25" t="n">
        <f aca="false">SUMPRODUCT(($B$98:$B$114=$A118)*L$98:L$114*$C$98:$C$114)</f>
        <v>4.210268340698</v>
      </c>
      <c r="M118" s="25" t="n">
        <f aca="false">SUMPRODUCT(($B$98:$B$114=$A118)*M$98:M$114*$C$98:$C$114)</f>
        <v>4.34537095656698</v>
      </c>
      <c r="N118" s="25" t="n">
        <f aca="false">SUMPRODUCT(($B$98:$B$114=$A118)*N$98:N$114*$C$98:$C$114)</f>
        <v>4.48489639876642</v>
      </c>
      <c r="O118" s="25" t="n">
        <f aca="false">SUMPRODUCT(($B$98:$B$114=$A118)*O$98:O$114*$C$98:$C$114)</f>
        <v>4.62898945644509</v>
      </c>
      <c r="P118" s="25" t="n">
        <f aca="false">SUMPRODUCT(($B$98:$B$114=$A118)*P$98:P$114*$C$98:$C$114)</f>
        <v>46.9744406243852</v>
      </c>
    </row>
    <row r="119" customFormat="false" ht="15" hidden="false" customHeight="false" outlineLevel="0" collapsed="false">
      <c r="A119" s="4" t="s">
        <v>155</v>
      </c>
      <c r="D119" s="25" t="n">
        <f aca="false">SUMPRODUCT(($B$98:$B$114=$A119)*D$98:D$114*$C$98:$C$114)</f>
        <v>3.04832272484626</v>
      </c>
      <c r="E119" s="25" t="n">
        <f aca="false">SUMPRODUCT(($B$98:$B$114=$A119)*E$98:E$114*$C$98:$C$114)</f>
        <v>3.14538696794733</v>
      </c>
      <c r="F119" s="25" t="n">
        <f aca="false">SUMPRODUCT(($B$98:$B$114=$A119)*F$98:F$114*$C$98:$C$114)</f>
        <v>3.24562878305449</v>
      </c>
      <c r="G119" s="25" t="n">
        <f aca="false">SUMPRODUCT(($B$98:$B$114=$A119)*G$98:G$114*$C$98:$C$114)</f>
        <v>3.3491521936838</v>
      </c>
      <c r="H119" s="25" t="n">
        <f aca="false">SUMPRODUCT(($B$98:$B$114=$A119)*H$98:H$114*$C$98:$C$114)</f>
        <v>3.45606462874766</v>
      </c>
      <c r="I119" s="25" t="n">
        <f aca="false">SUMPRODUCT(($B$98:$B$114=$A119)*I$98:I$114*$C$98:$C$114)</f>
        <v>3.56647703403646</v>
      </c>
      <c r="J119" s="25" t="n">
        <f aca="false">SUMPRODUCT(($B$98:$B$114=$A119)*J$98:J$114*$C$98:$C$114)</f>
        <v>3.68050398734994</v>
      </c>
      <c r="K119" s="25" t="n">
        <f aca="false">SUMPRODUCT(($B$98:$B$114=$A119)*K$98:K$114*$C$98:$C$114)</f>
        <v>3.79826381739756</v>
      </c>
      <c r="L119" s="25" t="n">
        <f aca="false">SUMPRODUCT(($B$98:$B$114=$A119)*L$98:L$114*$C$98:$C$114)</f>
        <v>3.91987872659115</v>
      </c>
      <c r="M119" s="25" t="n">
        <f aca="false">SUMPRODUCT(($B$98:$B$114=$A119)*M$98:M$114*$C$98:$C$114)</f>
        <v>4.04547491785761</v>
      </c>
      <c r="N119" s="25" t="n">
        <f aca="false">SUMPRODUCT(($B$98:$B$114=$A119)*N$98:N$114*$C$98:$C$114)</f>
        <v>4.17518272560289</v>
      </c>
      <c r="O119" s="25" t="n">
        <f aca="false">SUMPRODUCT(($B$98:$B$114=$A119)*O$98:O$114*$C$98:$C$114)</f>
        <v>4.30913675096336</v>
      </c>
      <c r="P119" s="25" t="n">
        <f aca="false">SUMPRODUCT(($B$98:$B$114=$A119)*P$98:P$114*$C$98:$C$114)</f>
        <v>43.7394732580785</v>
      </c>
    </row>
    <row r="120" customFormat="false" ht="15" hidden="false" customHeight="false" outlineLevel="0" collapsed="false">
      <c r="A120" s="4" t="s">
        <v>146</v>
      </c>
      <c r="D120" s="25" t="n">
        <f aca="false">SUMPRODUCT(($B$98:$B$114=$A120)*D$98:D$114*$C$98:$C$114)</f>
        <v>55.5679371799012</v>
      </c>
      <c r="E120" s="25" t="n">
        <f aca="false">SUMPRODUCT(($B$98:$B$114=$A120)*E$98:E$114*$C$98:$C$114)</f>
        <v>57.3788690225748</v>
      </c>
      <c r="F120" s="25" t="n">
        <f aca="false">SUMPRODUCT(($B$98:$B$114=$A120)*F$98:F$114*$C$98:$C$114)</f>
        <v>59.2490849655962</v>
      </c>
      <c r="G120" s="25" t="n">
        <f aca="false">SUMPRODUCT(($B$98:$B$114=$A120)*G$98:G$114*$C$98:$C$114)</f>
        <v>61.1805257802696</v>
      </c>
      <c r="H120" s="25" t="n">
        <f aca="false">SUMPRODUCT(($B$98:$B$114=$A120)*H$98:H$114*$C$98:$C$114)</f>
        <v>63.1751957725271</v>
      </c>
      <c r="I120" s="25" t="n">
        <f aca="false">SUMPRODUCT(($B$98:$B$114=$A120)*I$98:I$114*$C$98:$C$114)</f>
        <v>65.2351648628485</v>
      </c>
      <c r="J120" s="25" t="n">
        <f aca="false">SUMPRODUCT(($B$98:$B$114=$A120)*J$98:J$114*$C$98:$C$114)</f>
        <v>67.3625707342713</v>
      </c>
      <c r="K120" s="25" t="n">
        <f aca="false">SUMPRODUCT(($B$98:$B$114=$A120)*K$98:K$114*$C$98:$C$114)</f>
        <v>69.5596210507197</v>
      </c>
      <c r="L120" s="25" t="n">
        <f aca="false">SUMPRODUCT(($B$98:$B$114=$A120)*L$98:L$114*$C$98:$C$114)</f>
        <v>71.8285957479539</v>
      </c>
      <c r="M120" s="25" t="n">
        <f aca="false">SUMPRODUCT(($B$98:$B$114=$A120)*M$98:M$114*$C$98:$C$114)</f>
        <v>74.1718493995185</v>
      </c>
      <c r="N120" s="25" t="n">
        <f aca="false">SUMPRODUCT(($B$98:$B$114=$A120)*N$98:N$114*$C$98:$C$114)</f>
        <v>76.5918136601444</v>
      </c>
      <c r="O120" s="25" t="n">
        <f aca="false">SUMPRODUCT(($B$98:$B$114=$A120)*O$98:O$114*$C$98:$C$114)</f>
        <v>79.0909997891391</v>
      </c>
      <c r="P120" s="25" t="n">
        <f aca="false">SUMPRODUCT(($B$98:$B$114=$A120)*P$98:P$114*$C$98:$C$114)</f>
        <v>800.392227965464</v>
      </c>
    </row>
    <row r="121" customFormat="false" ht="15" hidden="false" customHeight="false" outlineLevel="0" collapsed="false">
      <c r="A121" s="4" t="s">
        <v>147</v>
      </c>
      <c r="D121" s="25" t="n">
        <f aca="false">SUMPRODUCT(($B$98:$B$114=$A121)*D$98:D$114*$C$98:$C$114)</f>
        <v>27.7561982935965</v>
      </c>
      <c r="E121" s="25" t="n">
        <f aca="false">SUMPRODUCT(($B$98:$B$114=$A121)*E$98:E$114*$C$98:$C$114)</f>
        <v>28.6539349393498</v>
      </c>
      <c r="F121" s="25" t="n">
        <f aca="false">SUMPRODUCT(($B$98:$B$114=$A121)*F$98:F$114*$C$98:$C$114)</f>
        <v>29.5810606035845</v>
      </c>
      <c r="G121" s="25" t="n">
        <f aca="false">SUMPRODUCT(($B$98:$B$114=$A121)*G$98:G$114*$C$98:$C$114)</f>
        <v>30.5385373885065</v>
      </c>
      <c r="H121" s="25" t="n">
        <f aca="false">SUMPRODUCT(($B$98:$B$114=$A121)*H$98:H$114*$C$98:$C$114)</f>
        <v>31.5273588924624</v>
      </c>
      <c r="I121" s="25" t="n">
        <f aca="false">SUMPRODUCT(($B$98:$B$114=$A121)*I$98:I$114*$C$98:$C$114)</f>
        <v>32.5485512410217</v>
      </c>
      <c r="J121" s="25" t="n">
        <f aca="false">SUMPRODUCT(($B$98:$B$114=$A121)*J$98:J$114*$C$98:$C$114)</f>
        <v>33.6031741518141</v>
      </c>
      <c r="K121" s="25" t="n">
        <f aca="false">SUMPRODUCT(($B$98:$B$114=$A121)*K$98:K$114*$C$98:$C$114)</f>
        <v>34.6923220342257</v>
      </c>
      <c r="L121" s="25" t="n">
        <f aca="false">SUMPRODUCT(($B$98:$B$114=$A121)*L$98:L$114*$C$98:$C$114)</f>
        <v>35.8171251250957</v>
      </c>
      <c r="M121" s="25" t="n">
        <f aca="false">SUMPRODUCT(($B$98:$B$114=$A121)*M$98:M$114*$C$98:$C$114)</f>
        <v>36.9787506615926</v>
      </c>
      <c r="N121" s="25" t="n">
        <f aca="false">SUMPRODUCT(($B$98:$B$114=$A121)*N$98:N$114*$C$98:$C$114)</f>
        <v>38.1784040924858</v>
      </c>
      <c r="O121" s="25" t="n">
        <f aca="false">SUMPRODUCT(($B$98:$B$114=$A121)*O$98:O$114*$C$98:$C$114)</f>
        <v>39.4173303290716</v>
      </c>
      <c r="P121" s="25" t="n">
        <f aca="false">SUMPRODUCT(($B$98:$B$114=$A121)*P$98:P$114*$C$98:$C$114)</f>
        <v>399.292747752807</v>
      </c>
    </row>
    <row r="122" customFormat="false" ht="15" hidden="false" customHeight="false" outlineLevel="0" collapsed="false">
      <c r="A122" s="4" t="s">
        <v>150</v>
      </c>
      <c r="D122" s="25" t="n">
        <f aca="false">SUMPRODUCT(($B$98:$B$114=$A122)*D$98:D$114*$C$98:$C$114)</f>
        <v>27.3392174353487</v>
      </c>
      <c r="E122" s="25" t="n">
        <f aca="false">SUMPRODUCT(($B$98:$B$114=$A122)*E$98:E$114*$C$98:$C$114)</f>
        <v>28.2287595972995</v>
      </c>
      <c r="F122" s="25" t="n">
        <f aca="false">SUMPRODUCT(($B$98:$B$114=$A122)*F$98:F$114*$C$98:$C$114)</f>
        <v>29.1474225166141</v>
      </c>
      <c r="G122" s="25" t="n">
        <f aca="false">SUMPRODUCT(($B$98:$B$114=$A122)*G$98:G$114*$C$98:$C$114)</f>
        <v>30.0961595134898</v>
      </c>
      <c r="H122" s="25" t="n">
        <f aca="false">SUMPRODUCT(($B$98:$B$114=$A122)*H$98:H$114*$C$98:$C$114)</f>
        <v>31.0759551167697</v>
      </c>
      <c r="I122" s="25" t="n">
        <f aca="false">SUMPRODUCT(($B$98:$B$114=$A122)*I$98:I$114*$C$98:$C$114)</f>
        <v>32.0878260856136</v>
      </c>
      <c r="J122" s="25" t="n">
        <f aca="false">SUMPRODUCT(($B$98:$B$114=$A122)*J$98:J$114*$C$98:$C$114)</f>
        <v>33.1328224646151</v>
      </c>
      <c r="K122" s="25" t="n">
        <f aca="false">SUMPRODUCT(($B$98:$B$114=$A122)*K$98:K$114*$C$98:$C$114)</f>
        <v>34.2120286734601</v>
      </c>
      <c r="L122" s="25" t="n">
        <f aca="false">SUMPRODUCT(($B$98:$B$114=$A122)*L$98:L$114*$C$98:$C$114)</f>
        <v>35.3265646322566</v>
      </c>
      <c r="M122" s="25" t="n">
        <f aca="false">SUMPRODUCT(($B$98:$B$114=$A122)*M$98:M$114*$C$98:$C$114)</f>
        <v>36.4775869237056</v>
      </c>
      <c r="N122" s="25" t="n">
        <f aca="false">SUMPRODUCT(($B$98:$B$114=$A122)*N$98:N$114*$C$98:$C$114)</f>
        <v>37.6662899933158</v>
      </c>
      <c r="O122" s="25" t="n">
        <f aca="false">SUMPRODUCT(($B$98:$B$114=$A122)*O$98:O$114*$C$98:$C$114)</f>
        <v>38.8939073889111</v>
      </c>
      <c r="P122" s="25" t="n">
        <f aca="false">SUMPRODUCT(($B$98:$B$114=$A122)*P$98:P$114*$C$98:$C$114)</f>
        <v>393.6845403414</v>
      </c>
    </row>
    <row r="123" customFormat="false" ht="15" hidden="false" customHeight="false" outlineLevel="0" collapsed="false">
      <c r="A123" s="4" t="s">
        <v>151</v>
      </c>
      <c r="D123" s="25" t="n">
        <f aca="false">SUMPRODUCT(($B$98:$B$114=$A123)*D$98:D$114*$C$98:$C$114)</f>
        <v>201.140729230949</v>
      </c>
      <c r="E123" s="25" t="n">
        <f aca="false">SUMPRODUCT(($B$98:$B$114=$A123)*E$98:E$114*$C$98:$C$114)</f>
        <v>207.700878995044</v>
      </c>
      <c r="F123" s="25" t="n">
        <f aca="false">SUMPRODUCT(($B$98:$B$114=$A123)*F$98:F$114*$C$98:$C$114)</f>
        <v>214.47578702212</v>
      </c>
      <c r="G123" s="25" t="n">
        <f aca="false">SUMPRODUCT(($B$98:$B$114=$A123)*G$98:G$114*$C$98:$C$114)</f>
        <v>221.472483808916</v>
      </c>
      <c r="H123" s="25" t="n">
        <f aca="false">SUMPRODUCT(($B$98:$B$114=$A123)*H$98:H$114*$C$98:$C$114)</f>
        <v>228.698230008086</v>
      </c>
      <c r="I123" s="25" t="n">
        <f aca="false">SUMPRODUCT(($B$98:$B$114=$A123)*I$98:I$114*$C$98:$C$114)</f>
        <v>236.160523962762</v>
      </c>
      <c r="J123" s="25" t="n">
        <f aca="false">SUMPRODUCT(($B$98:$B$114=$A123)*J$98:J$114*$C$98:$C$114)</f>
        <v>243.867109487782</v>
      </c>
      <c r="K123" s="25" t="n">
        <f aca="false">SUMPRODUCT(($B$98:$B$114=$A123)*K$98:K$114*$C$98:$C$114)</f>
        <v>251.825983905647</v>
      </c>
      <c r="L123" s="25" t="n">
        <f aca="false">SUMPRODUCT(($B$98:$B$114=$A123)*L$98:L$114*$C$98:$C$114)</f>
        <v>260.045406345545</v>
      </c>
      <c r="M123" s="25" t="n">
        <f aca="false">SUMPRODUCT(($B$98:$B$114=$A123)*M$98:M$114*$C$98:$C$114)</f>
        <v>268.533906314064</v>
      </c>
      <c r="N123" s="25" t="n">
        <f aca="false">SUMPRODUCT(($B$98:$B$114=$A123)*N$98:N$114*$C$98:$C$114)</f>
        <v>277.300292546482</v>
      </c>
      <c r="O123" s="25" t="n">
        <f aca="false">SUMPRODUCT(($B$98:$B$114=$A123)*O$98:O$114*$C$98:$C$114)</f>
        <v>286.353662147818</v>
      </c>
      <c r="P123" s="25" t="n">
        <f aca="false">SUMPRODUCT(($B$98:$B$114=$A123)*P$98:P$114*$C$98:$C$114)</f>
        <v>2897.57499377521</v>
      </c>
    </row>
    <row r="124" customFormat="false" ht="15" hidden="false" customHeight="false" outlineLevel="0" collapsed="false">
      <c r="A124" s="4" t="s">
        <v>154</v>
      </c>
      <c r="D124" s="25" t="n">
        <f aca="false">SUMPRODUCT(($B$98:$B$114=$A124)*D$98:D$114*$C$98:$C$114)</f>
        <v>8.09603409348831</v>
      </c>
      <c r="E124" s="25" t="n">
        <f aca="false">SUMPRODUCT(($B$98:$B$114=$A124)*E$98:E$114*$C$98:$C$114)</f>
        <v>8.35834421733095</v>
      </c>
      <c r="F124" s="25" t="n">
        <f aca="false">SUMPRODUCT(($B$98:$B$114=$A124)*F$98:F$114*$C$98:$C$114)</f>
        <v>8.62924153332389</v>
      </c>
      <c r="G124" s="25" t="n">
        <f aca="false">SUMPRODUCT(($B$98:$B$114=$A124)*G$98:G$114*$C$98:$C$114)</f>
        <v>8.90900715859653</v>
      </c>
      <c r="H124" s="25" t="n">
        <f aca="false">SUMPRODUCT(($B$98:$B$114=$A124)*H$98:H$114*$C$98:$C$114)</f>
        <v>9.19793141315147</v>
      </c>
      <c r="I124" s="25" t="n">
        <f aca="false">SUMPRODUCT(($B$98:$B$114=$A124)*I$98:I$114*$C$98:$C$114)</f>
        <v>9.49631412113703</v>
      </c>
      <c r="J124" s="25" t="n">
        <f aca="false">SUMPRODUCT(($B$98:$B$114=$A124)*J$98:J$114*$C$98:$C$114)</f>
        <v>9.80446492198254</v>
      </c>
      <c r="K124" s="25" t="n">
        <f aca="false">SUMPRODUCT(($B$98:$B$114=$A124)*K$98:K$114*$C$98:$C$114)</f>
        <v>10.1227035917191</v>
      </c>
      <c r="L124" s="25" t="n">
        <f aca="false">SUMPRODUCT(($B$98:$B$114=$A124)*L$98:L$114*$C$98:$C$114)</f>
        <v>10.4513603748196</v>
      </c>
      <c r="M124" s="25" t="n">
        <f aca="false">SUMPRODUCT(($B$98:$B$114=$A124)*M$98:M$114*$C$98:$C$114)</f>
        <v>10.7907763269016</v>
      </c>
      <c r="N124" s="25" t="n">
        <f aca="false">SUMPRODUCT(($B$98:$B$114=$A124)*N$98:N$114*$C$98:$C$114)</f>
        <v>11.1413036686498</v>
      </c>
      <c r="O124" s="25" t="n">
        <f aca="false">SUMPRODUCT(($B$98:$B$114=$A124)*O$98:O$114*$C$98:$C$114)</f>
        <v>11.5033061513245</v>
      </c>
      <c r="P124" s="25" t="n">
        <f aca="false">SUMPRODUCT(($B$98:$B$114=$A124)*P$98:P$114*$C$98:$C$114)</f>
        <v>116.500787572425</v>
      </c>
    </row>
    <row r="125" customFormat="false" ht="15" hidden="false" customHeight="false" outlineLevel="0" collapsed="false">
      <c r="A125" s="6" t="s">
        <v>275</v>
      </c>
      <c r="D125" s="26" t="n">
        <f aca="false">SUMPRODUCT(D$98:D$114*parametros_recargas!$D$51:$D$67)</f>
        <v>82.7428148385678</v>
      </c>
      <c r="E125" s="26" t="n">
        <f aca="false">SUMPRODUCT(E$98:E$114*parametros_recargas!$D$51:$D$67)</f>
        <v>85.4188124235738</v>
      </c>
      <c r="F125" s="26" t="n">
        <f aca="false">SUMPRODUCT(F$98:F$114*parametros_recargas!$D$51:$D$67)</f>
        <v>88.1824135868161</v>
      </c>
      <c r="G125" s="26" t="n">
        <f aca="false">SUMPRODUCT(G$98:G$114*parametros_recargas!$D$51:$D$67)</f>
        <v>91.036486188476</v>
      </c>
      <c r="H125" s="26" t="n">
        <f aca="false">SUMPRODUCT(H$98:H$114*parametros_recargas!$D$51:$D$67)</f>
        <v>93.9839919732793</v>
      </c>
      <c r="I125" s="26" t="n">
        <f aca="false">SUMPRODUCT(I$98:I$114*parametros_recargas!$D$51:$D$67)</f>
        <v>97.0279896439752</v>
      </c>
      <c r="J125" s="26" t="n">
        <f aca="false">SUMPRODUCT(J$98:J$114*parametros_recargas!$D$51:$D$67)</f>
        <v>100.17163803543</v>
      </c>
      <c r="K125" s="26" t="n">
        <f aca="false">SUMPRODUCT(K$98:K$114*parametros_recargas!$D$51:$D$67)</f>
        <v>103.418199392633</v>
      </c>
      <c r="L125" s="26" t="n">
        <f aca="false">SUMPRODUCT(L$98:L$114*parametros_recargas!$D$51:$D$67)</f>
        <v>106.771042756011</v>
      </c>
      <c r="M125" s="26" t="n">
        <f aca="false">SUMPRODUCT(M$98:M$114*parametros_recargas!$D$51:$D$67)</f>
        <v>110.23364745757</v>
      </c>
      <c r="N125" s="26" t="n">
        <f aca="false">SUMPRODUCT(N$98:N$114*parametros_recargas!$D$51:$D$67)</f>
        <v>113.809606731485</v>
      </c>
      <c r="O125" s="26" t="n">
        <f aca="false">SUMPRODUCT(O$98:O$114*parametros_recargas!$D$51:$D$67)</f>
        <v>117.502631442893</v>
      </c>
      <c r="P125" s="26" t="n">
        <f aca="false">SUMPRODUCT(P$98:P$114*parametros_recargas!$D$51:$D$67)</f>
        <v>1190.29927447071</v>
      </c>
    </row>
    <row r="129" customFormat="false" ht="23.85" hidden="false" customHeight="false" outlineLevel="0" collapsed="false">
      <c r="A129" s="23" t="n">
        <v>2030</v>
      </c>
      <c r="B129" s="3" t="s">
        <v>270</v>
      </c>
      <c r="C129" s="3" t="s">
        <v>271</v>
      </c>
      <c r="D129" s="3" t="s">
        <v>124</v>
      </c>
      <c r="E129" s="3" t="s">
        <v>125</v>
      </c>
      <c r="F129" s="3" t="s">
        <v>126</v>
      </c>
      <c r="G129" s="3" t="s">
        <v>127</v>
      </c>
      <c r="H129" s="3" t="s">
        <v>128</v>
      </c>
      <c r="I129" s="3" t="s">
        <v>129</v>
      </c>
      <c r="J129" s="3" t="s">
        <v>130</v>
      </c>
      <c r="K129" s="3" t="s">
        <v>131</v>
      </c>
      <c r="L129" s="3" t="s">
        <v>132</v>
      </c>
      <c r="M129" s="3" t="s">
        <v>133</v>
      </c>
      <c r="N129" s="3" t="s">
        <v>134</v>
      </c>
      <c r="O129" s="3" t="s">
        <v>135</v>
      </c>
      <c r="P129" s="3" t="s">
        <v>136</v>
      </c>
      <c r="Q129" s="3" t="s">
        <v>272</v>
      </c>
    </row>
    <row r="130" customFormat="false" ht="15" hidden="false" customHeight="false" outlineLevel="0" collapsed="false">
      <c r="A130" s="12" t="str">
        <f aca="false">parametros_recargas!A51</f>
        <v>ABC 1 kg</v>
      </c>
      <c r="B130" s="12" t="str">
        <f aca="false">parametros_recargas!B51</f>
        <v>ABC</v>
      </c>
      <c r="C130" s="24" t="n">
        <f aca="false">parametros_recargas!C51</f>
        <v>1</v>
      </c>
      <c r="D130" s="25" t="n">
        <f aca="false">datos_base!$F$2*parametros_recargas!$F$41+sobrestock_sustitutos!$F$175/12</f>
        <v>1750.52158225214</v>
      </c>
      <c r="E130" s="25" t="n">
        <f aca="false">datos_base!$F$2*parametros_recargas!$G$41+sobrestock_sustitutos!$F$175/12</f>
        <v>1796.07820830467</v>
      </c>
      <c r="F130" s="25" t="n">
        <f aca="false">datos_base!$F$2*parametros_recargas!$H$41+sobrestock_sustitutos!$F$175/12</f>
        <v>1842.82042738178</v>
      </c>
      <c r="G130" s="25" t="n">
        <f aca="false">datos_base!$F$2*parametros_recargas!$I$41+sobrestock_sustitutos!$F$175/12</f>
        <v>1890.7790940691</v>
      </c>
      <c r="H130" s="25" t="n">
        <f aca="false">datos_base!$F$2*parametros_recargas!$J$41+sobrestock_sustitutos!$F$175/12</f>
        <v>1939.98586593056</v>
      </c>
      <c r="I130" s="25" t="n">
        <f aca="false">datos_base!$F$2*parametros_recargas!$K$41+sobrestock_sustitutos!$F$175/12</f>
        <v>1990.47322440556</v>
      </c>
      <c r="J130" s="25" t="n">
        <f aca="false">datos_base!$F$2*parametros_recargas!$L$41+sobrestock_sustitutos!$F$175/12</f>
        <v>2042.27449625001</v>
      </c>
      <c r="K130" s="25" t="n">
        <f aca="false">datos_base!$F$2*parametros_recargas!$M$41+sobrestock_sustitutos!$F$175/12</f>
        <v>2095.42387553534</v>
      </c>
      <c r="L130" s="25" t="n">
        <f aca="false">datos_base!$F$2*parametros_recargas!$N$41+sobrestock_sustitutos!$F$175/12</f>
        <v>2149.95644622007</v>
      </c>
      <c r="M130" s="25" t="n">
        <f aca="false">datos_base!$F$2*parametros_recargas!$O$41+sobrestock_sustitutos!$F$175/12</f>
        <v>2205.90820530873</v>
      </c>
      <c r="N130" s="25" t="n">
        <f aca="false">datos_base!$F$2*parametros_recargas!$P$41+sobrestock_sustitutos!$F$175/12</f>
        <v>2263.31608661355</v>
      </c>
      <c r="O130" s="25" t="n">
        <f aca="false">datos_base!$F$2*parametros_recargas!$Q$41+sobrestock_sustitutos!$F$175/12</f>
        <v>2322.21798513449</v>
      </c>
      <c r="P130" s="7" t="n">
        <f aca="false">SUM(D130:O130)</f>
        <v>24289.755497406</v>
      </c>
      <c r="Q130" s="13" t="n">
        <f aca="false">sobrestock_sustitutos!$F$175</f>
        <v>0</v>
      </c>
    </row>
    <row r="131" customFormat="false" ht="15" hidden="false" customHeight="false" outlineLevel="0" collapsed="false">
      <c r="A131" s="12" t="str">
        <f aca="false">parametros_recargas!A52</f>
        <v>ABC 2,5 kg</v>
      </c>
      <c r="B131" s="12" t="str">
        <f aca="false">parametros_recargas!B52</f>
        <v>ABC</v>
      </c>
      <c r="C131" s="24" t="n">
        <f aca="false">parametros_recargas!C52</f>
        <v>1</v>
      </c>
      <c r="D131" s="25" t="n">
        <f aca="false">datos_base!$F$3*parametros_recargas!$F$41+sobrestock_sustitutos!$F$176/12</f>
        <v>163.084023493461</v>
      </c>
      <c r="E131" s="25" t="n">
        <f aca="false">datos_base!$F$3*parametros_recargas!$G$41+sobrestock_sustitutos!$F$176/12</f>
        <v>167.328220165332</v>
      </c>
      <c r="F131" s="25" t="n">
        <f aca="false">datos_base!$F$3*parametros_recargas!$H$41+sobrestock_sustitutos!$F$176/12</f>
        <v>171.682870362961</v>
      </c>
      <c r="G131" s="25" t="n">
        <f aca="false">datos_base!$F$3*parametros_recargas!$I$41+sobrestock_sustitutos!$F$176/12</f>
        <v>176.150848595304</v>
      </c>
      <c r="H131" s="25" t="n">
        <f aca="false">datos_base!$F$3*parametros_recargas!$J$41+sobrestock_sustitutos!$F$176/12</f>
        <v>180.73510417927</v>
      </c>
      <c r="I131" s="25" t="n">
        <f aca="false">datos_base!$F$3*parametros_recargas!$K$41+sobrestock_sustitutos!$F$176/12</f>
        <v>185.438663186561</v>
      </c>
      <c r="J131" s="25" t="n">
        <f aca="false">datos_base!$F$3*parametros_recargas!$L$41+sobrestock_sustitutos!$F$176/12</f>
        <v>190.264630441191</v>
      </c>
      <c r="K131" s="25" t="n">
        <f aca="false">datos_base!$F$3*parametros_recargas!$M$41+sobrestock_sustitutos!$F$176/12</f>
        <v>195.216191568978</v>
      </c>
      <c r="L131" s="25" t="n">
        <f aca="false">datos_base!$F$3*parametros_recargas!$N$41+sobrestock_sustitutos!$F$176/12</f>
        <v>200.296615100383</v>
      </c>
      <c r="M131" s="25" t="n">
        <f aca="false">datos_base!$F$3*parametros_recargas!$O$41+sobrestock_sustitutos!$F$176/12</f>
        <v>205.50925462807</v>
      </c>
      <c r="N131" s="25" t="n">
        <f aca="false">datos_base!$F$3*parametros_recargas!$P$41+sobrestock_sustitutos!$F$176/12</f>
        <v>210.857551020611</v>
      </c>
      <c r="O131" s="25" t="n">
        <f aca="false">datos_base!$F$3*parametros_recargas!$Q$41+sobrestock_sustitutos!$F$176/12</f>
        <v>216.345034693814</v>
      </c>
      <c r="P131" s="7" t="n">
        <f aca="false">SUM(D131:O131)</f>
        <v>2262.90900743594</v>
      </c>
      <c r="Q131" s="13" t="n">
        <f aca="false">sobrestock_sustitutos!$F$176</f>
        <v>0</v>
      </c>
    </row>
    <row r="132" customFormat="false" ht="15" hidden="false" customHeight="false" outlineLevel="0" collapsed="false">
      <c r="A132" s="12" t="str">
        <f aca="false">parametros_recargas!A53</f>
        <v>ABC 5 kg</v>
      </c>
      <c r="B132" s="12" t="str">
        <f aca="false">parametros_recargas!B53</f>
        <v>ABC</v>
      </c>
      <c r="C132" s="24" t="n">
        <f aca="false">parametros_recargas!C53</f>
        <v>1</v>
      </c>
      <c r="D132" s="25" t="n">
        <f aca="false">datos_base!$F$4*parametros_recargas!$F$41+sobrestock_sustitutos!$F$177/12</f>
        <v>1010.22347159495</v>
      </c>
      <c r="E132" s="25" t="n">
        <f aca="false">datos_base!$F$4*parametros_recargas!$G$41+sobrestock_sustitutos!$F$177/12</f>
        <v>1036.39268641706</v>
      </c>
      <c r="F132" s="25" t="n">
        <f aca="false">datos_base!$F$4*parametros_recargas!$H$41+sobrestock_sustitutos!$F$177/12</f>
        <v>1063.24294461837</v>
      </c>
      <c r="G132" s="25" t="n">
        <f aca="false">datos_base!$F$4*parametros_recargas!$I$41+sobrestock_sustitutos!$F$177/12</f>
        <v>1090.79197008122</v>
      </c>
      <c r="H132" s="25" t="n">
        <f aca="false">datos_base!$F$4*parametros_recargas!$J$41+sobrestock_sustitutos!$F$177/12</f>
        <v>1119.0579479449</v>
      </c>
      <c r="I132" s="25" t="n">
        <f aca="false">datos_base!$F$4*parametros_recargas!$K$41+sobrestock_sustitutos!$F$177/12</f>
        <v>1148.05953660974</v>
      </c>
      <c r="J132" s="25" t="n">
        <f aca="false">datos_base!$F$4*parametros_recargas!$L$41+sobrestock_sustitutos!$F$177/12</f>
        <v>1177.81588005345</v>
      </c>
      <c r="K132" s="25" t="n">
        <f aca="false">datos_base!$F$4*parametros_recargas!$M$41+sobrestock_sustitutos!$F$177/12</f>
        <v>1208.34662046816</v>
      </c>
      <c r="L132" s="25" t="n">
        <f aca="false">datos_base!$F$4*parametros_recargas!$N$41+sobrestock_sustitutos!$F$177/12</f>
        <v>1239.67191122619</v>
      </c>
      <c r="M132" s="25" t="n">
        <f aca="false">datos_base!$F$4*parametros_recargas!$O$41+sobrestock_sustitutos!$F$177/12</f>
        <v>1271.81243018336</v>
      </c>
      <c r="N132" s="25" t="n">
        <f aca="false">datos_base!$F$4*parametros_recargas!$P$41+sobrestock_sustitutos!$F$177/12</f>
        <v>1304.78939332843</v>
      </c>
      <c r="O132" s="25" t="n">
        <f aca="false">datos_base!$F$4*parametros_recargas!$Q$41+sobrestock_sustitutos!$F$177/12</f>
        <v>1338.6245687878</v>
      </c>
      <c r="P132" s="7" t="n">
        <f aca="false">SUM(D132:O132)</f>
        <v>14008.8293613136</v>
      </c>
      <c r="Q132" s="13" t="n">
        <f aca="false">sobrestock_sustitutos!$F$177</f>
        <v>56</v>
      </c>
    </row>
    <row r="133" customFormat="false" ht="15" hidden="false" customHeight="false" outlineLevel="0" collapsed="false">
      <c r="A133" s="12" t="str">
        <f aca="false">parametros_recargas!A54</f>
        <v>ABC 10 kg</v>
      </c>
      <c r="B133" s="12" t="str">
        <f aca="false">parametros_recargas!B54</f>
        <v>ABC</v>
      </c>
      <c r="C133" s="24" t="n">
        <f aca="false">parametros_recargas!C54</f>
        <v>1</v>
      </c>
      <c r="D133" s="25" t="n">
        <f aca="false">datos_base!$F$5*parametros_recargas!$F$41+sobrestock_sustitutos!$F$178/12</f>
        <v>59.3478996810557</v>
      </c>
      <c r="E133" s="25" t="n">
        <f aca="false">datos_base!$F$5*parametros_recargas!$G$41+sobrestock_sustitutos!$F$178/12</f>
        <v>60.8858989514195</v>
      </c>
      <c r="F133" s="25" t="n">
        <f aca="false">datos_base!$F$5*parametros_recargas!$H$41+sobrestock_sustitutos!$F$178/12</f>
        <v>62.4639240394249</v>
      </c>
      <c r="G133" s="25" t="n">
        <f aca="false">datos_base!$F$5*parametros_recargas!$I$41+sobrestock_sustitutos!$F$178/12</f>
        <v>64.0830166010133</v>
      </c>
      <c r="H133" s="25" t="n">
        <f aca="false">datos_base!$F$5*parametros_recargas!$J$41+sobrestock_sustitutos!$F$178/12</f>
        <v>65.7442454008068</v>
      </c>
      <c r="I133" s="25" t="n">
        <f aca="false">datos_base!$F$5*parametros_recargas!$K$41+sobrestock_sustitutos!$F$178/12</f>
        <v>67.4487070176002</v>
      </c>
      <c r="J133" s="25" t="n">
        <f aca="false">datos_base!$F$5*parametros_recargas!$L$41+sobrestock_sustitutos!$F$178/12</f>
        <v>69.1975265682142</v>
      </c>
      <c r="K133" s="25" t="n">
        <f aca="false">datos_base!$F$5*parametros_recargas!$M$41+sobrestock_sustitutos!$F$178/12</f>
        <v>70.9918584501861</v>
      </c>
      <c r="L133" s="25" t="n">
        <f aca="false">datos_base!$F$5*parametros_recargas!$N$41+sobrestock_sustitutos!$F$178/12</f>
        <v>72.8328871037888</v>
      </c>
      <c r="M133" s="25" t="n">
        <f aca="false">datos_base!$F$5*parametros_recargas!$O$41+sobrestock_sustitutos!$F$178/12</f>
        <v>74.7218277938808</v>
      </c>
      <c r="N133" s="25" t="n">
        <f aca="false">datos_base!$F$5*parametros_recargas!$P$41+sobrestock_sustitutos!$F$178/12</f>
        <v>76.6599274121039</v>
      </c>
      <c r="O133" s="25" t="n">
        <f aca="false">datos_base!$F$5*parametros_recargas!$Q$41+sobrestock_sustitutos!$F$178/12</f>
        <v>78.6484652999577</v>
      </c>
      <c r="P133" s="7" t="n">
        <f aca="false">SUM(D133:O133)</f>
        <v>823.026184319452</v>
      </c>
      <c r="Q133" s="13" t="n">
        <f aca="false">sobrestock_sustitutos!$F$178</f>
        <v>3</v>
      </c>
    </row>
    <row r="134" customFormat="false" ht="15" hidden="false" customHeight="false" outlineLevel="0" collapsed="false">
      <c r="A134" s="12" t="str">
        <f aca="false">parametros_recargas!A55</f>
        <v>Agua 10 l</v>
      </c>
      <c r="B134" s="12" t="str">
        <f aca="false">parametros_recargas!B55</f>
        <v>Agua</v>
      </c>
      <c r="C134" s="24" t="n">
        <f aca="false">parametros_recargas!C55</f>
        <v>1</v>
      </c>
      <c r="D134" s="25" t="n">
        <f aca="false">datos_base!$F$6*parametros_recargas!$F$41+sobrestock_sustitutos!$F$179/12</f>
        <v>83.2469118894243</v>
      </c>
      <c r="E134" s="25" t="n">
        <f aca="false">datos_base!$F$6*parametros_recargas!$G$41+sobrestock_sustitutos!$F$179/12</f>
        <v>85.404704704579</v>
      </c>
      <c r="F134" s="25" t="n">
        <f aca="false">datos_base!$F$6*parametros_recargas!$H$41+sobrestock_sustitutos!$F$179/12</f>
        <v>87.6186532171986</v>
      </c>
      <c r="G134" s="25" t="n">
        <f aca="false">datos_base!$F$6*parametros_recargas!$I$41+sobrestock_sustitutos!$F$179/12</f>
        <v>89.8902188569143</v>
      </c>
      <c r="H134" s="25" t="n">
        <f aca="false">datos_base!$F$6*parametros_recargas!$J$41+sobrestock_sustitutos!$F$179/12</f>
        <v>92.2209010864803</v>
      </c>
      <c r="I134" s="25" t="n">
        <f aca="false">datos_base!$F$6*parametros_recargas!$K$41+sobrestock_sustitutos!$F$179/12</f>
        <v>94.6122383915714</v>
      </c>
      <c r="J134" s="25" t="n">
        <f aca="false">datos_base!$F$6*parametros_recargas!$L$41+sobrestock_sustitutos!$F$179/12</f>
        <v>97.0658092963382</v>
      </c>
      <c r="K134" s="25" t="n">
        <f aca="false">datos_base!$F$6*parametros_recargas!$M$41+sobrestock_sustitutos!$F$179/12</f>
        <v>99.5832334053927</v>
      </c>
      <c r="L134" s="25" t="n">
        <f aca="false">datos_base!$F$6*parametros_recargas!$N$41+sobrestock_sustitutos!$F$179/12</f>
        <v>102.166172472911</v>
      </c>
      <c r="M134" s="25" t="n">
        <f aca="false">datos_base!$F$6*parametros_recargas!$O$41+sobrestock_sustitutos!$F$179/12</f>
        <v>104.81633149956</v>
      </c>
      <c r="N134" s="25" t="n">
        <f aca="false">datos_base!$F$6*parametros_recargas!$P$41+sobrestock_sustitutos!$F$179/12</f>
        <v>107.535459857968</v>
      </c>
      <c r="O134" s="25" t="n">
        <f aca="false">datos_base!$F$6*parametros_recargas!$Q$41+sobrestock_sustitutos!$F$179/12</f>
        <v>110.325352447487</v>
      </c>
      <c r="P134" s="7" t="n">
        <f aca="false">SUM(D134:O134)</f>
        <v>1154.48598712583</v>
      </c>
      <c r="Q134" s="13" t="n">
        <f aca="false">sobrestock_sustitutos!$F$179</f>
        <v>4</v>
      </c>
    </row>
    <row r="135" customFormat="false" ht="15" hidden="false" customHeight="false" outlineLevel="0" collapsed="false">
      <c r="A135" s="12" t="str">
        <f aca="false">parametros_recargas!A56</f>
        <v>AFFF 10 l</v>
      </c>
      <c r="B135" s="12" t="str">
        <f aca="false">parametros_recargas!B56</f>
        <v>AFFF</v>
      </c>
      <c r="C135" s="24" t="n">
        <f aca="false">parametros_recargas!C56</f>
        <v>1</v>
      </c>
      <c r="D135" s="25" t="n">
        <f aca="false">datos_base!$F$7*parametros_recargas!$F$41+sobrestock_sustitutos!$F$180/12</f>
        <v>15.5338508222149</v>
      </c>
      <c r="E135" s="25" t="n">
        <f aca="false">datos_base!$F$7*parametros_recargas!$G$41+sobrestock_sustitutos!$F$180/12</f>
        <v>15.9359443780416</v>
      </c>
      <c r="F135" s="25" t="n">
        <f aca="false">datos_base!$F$7*parametros_recargas!$H$41+sobrestock_sustitutos!$F$180/12</f>
        <v>16.3485022582996</v>
      </c>
      <c r="G135" s="25" t="n">
        <f aca="false">datos_base!$F$7*parametros_recargas!$I$41+sobrestock_sustitutos!$F$180/12</f>
        <v>16.7717967928592</v>
      </c>
      <c r="H135" s="25" t="n">
        <f aca="false">datos_base!$F$7*parametros_recargas!$J$41+sobrestock_sustitutos!$F$180/12</f>
        <v>17.2061073988666</v>
      </c>
      <c r="I135" s="25" t="n">
        <f aca="false">datos_base!$F$7*parametros_recargas!$K$41+sobrestock_sustitutos!$F$180/12</f>
        <v>17.6517207651879</v>
      </c>
      <c r="J135" s="25" t="n">
        <f aca="false">datos_base!$F$7*parametros_recargas!$L$41+sobrestock_sustitutos!$F$180/12</f>
        <v>18.1089310416526</v>
      </c>
      <c r="K135" s="25" t="n">
        <f aca="false">datos_base!$F$7*parametros_recargas!$M$41+sobrestock_sustitutos!$F$180/12</f>
        <v>18.5780400332223</v>
      </c>
      <c r="L135" s="25" t="n">
        <f aca="false">datos_base!$F$7*parametros_recargas!$N$41+sobrestock_sustitutos!$F$180/12</f>
        <v>19.0593573992122</v>
      </c>
      <c r="M135" s="25" t="n">
        <f aca="false">datos_base!$F$7*parametros_recargas!$O$41+sobrestock_sustitutos!$F$180/12</f>
        <v>19.5532008576977</v>
      </c>
      <c r="N135" s="25" t="n">
        <f aca="false">datos_base!$F$7*parametros_recargas!$P$41+sobrestock_sustitutos!$F$180/12</f>
        <v>20.0598963952407</v>
      </c>
      <c r="O135" s="25" t="n">
        <f aca="false">datos_base!$F$7*parametros_recargas!$Q$41+sobrestock_sustitutos!$F$180/12</f>
        <v>20.5797784820729</v>
      </c>
      <c r="P135" s="7" t="n">
        <f aca="false">SUM(D135:O135)</f>
        <v>215.387126624568</v>
      </c>
      <c r="Q135" s="13" t="n">
        <f aca="false">sobrestock_sustitutos!$F$180</f>
        <v>1</v>
      </c>
    </row>
    <row r="136" customFormat="false" ht="15" hidden="false" customHeight="false" outlineLevel="0" collapsed="false">
      <c r="A136" s="12" t="str">
        <f aca="false">parametros_recargas!A57</f>
        <v>AFFF 50 l s/ruedas</v>
      </c>
      <c r="B136" s="12" t="str">
        <f aca="false">parametros_recargas!B57</f>
        <v>AFFF</v>
      </c>
      <c r="C136" s="24" t="n">
        <f aca="false">parametros_recargas!C57</f>
        <v>3</v>
      </c>
      <c r="D136" s="25" t="n">
        <f aca="false">datos_base!$F$8*parametros_recargas!$F$41+sobrestock_sustitutos!$F$181/12</f>
        <v>8.36962237380429</v>
      </c>
      <c r="E136" s="25" t="n">
        <f aca="false">datos_base!$F$8*parametros_recargas!$G$41+sobrestock_sustitutos!$F$181/12</f>
        <v>8.58526974142728</v>
      </c>
      <c r="F136" s="25" t="n">
        <f aca="false">datos_base!$F$8*parametros_recargas!$H$41+sobrestock_sustitutos!$F$181/12</f>
        <v>8.80652924579033</v>
      </c>
      <c r="G136" s="25" t="n">
        <f aca="false">datos_base!$F$8*parametros_recargas!$I$41+sobrestock_sustitutos!$F$181/12</f>
        <v>9.03354694051391</v>
      </c>
      <c r="H136" s="25" t="n">
        <f aca="false">datos_base!$F$8*parametros_recargas!$J$41+sobrestock_sustitutos!$F$181/12</f>
        <v>9.26647268020573</v>
      </c>
      <c r="I136" s="25" t="n">
        <f aca="false">datos_base!$F$8*parametros_recargas!$K$41+sobrestock_sustitutos!$F$181/12</f>
        <v>9.50546021937992</v>
      </c>
      <c r="J136" s="25" t="n">
        <f aca="false">datos_base!$F$8*parametros_recargas!$L$41+sobrestock_sustitutos!$F$181/12</f>
        <v>9.75066731395048</v>
      </c>
      <c r="K136" s="25" t="n">
        <f aca="false">datos_base!$F$8*parametros_recargas!$M$41+sobrestock_sustitutos!$F$181/12</f>
        <v>10.0022558253662</v>
      </c>
      <c r="L136" s="25" t="n">
        <f aca="false">datos_base!$F$8*parametros_recargas!$N$41+sobrestock_sustitutos!$F$181/12</f>
        <v>10.2603918274555</v>
      </c>
      <c r="M136" s="25" t="n">
        <f aca="false">datos_base!$F$8*parametros_recargas!$O$41+sobrestock_sustitutos!$F$181/12</f>
        <v>10.5252457160519</v>
      </c>
      <c r="N136" s="25" t="n">
        <f aca="false">datos_base!$F$8*parametros_recargas!$P$41+sobrestock_sustitutos!$F$181/12</f>
        <v>10.7969923214726</v>
      </c>
      <c r="O136" s="25" t="n">
        <f aca="false">datos_base!$F$8*parametros_recargas!$Q$41+sobrestock_sustitutos!$F$181/12</f>
        <v>11.0758110239242</v>
      </c>
      <c r="P136" s="7" t="n">
        <f aca="false">SUM(D136:O136)</f>
        <v>115.978265229342</v>
      </c>
      <c r="Q136" s="13" t="n">
        <f aca="false">sobrestock_sustitutos!$F$181</f>
        <v>1</v>
      </c>
    </row>
    <row r="137" customFormat="false" ht="15" hidden="false" customHeight="false" outlineLevel="0" collapsed="false">
      <c r="A137" s="12" t="str">
        <f aca="false">parametros_recargas!A58</f>
        <v>BC 5 kg</v>
      </c>
      <c r="B137" s="12" t="str">
        <f aca="false">parametros_recargas!B58</f>
        <v>BC</v>
      </c>
      <c r="C137" s="24" t="n">
        <f aca="false">parametros_recargas!C58</f>
        <v>1</v>
      </c>
      <c r="D137" s="25" t="n">
        <f aca="false">datos_base!$F$9*parametros_recargas!$F$41+sobrestock_sustitutos!$F$182/12</f>
        <v>4.64909769599805</v>
      </c>
      <c r="E137" s="25" t="n">
        <f aca="false">datos_base!$F$9*parametros_recargas!$G$41+sobrestock_sustitutos!$F$182/12</f>
        <v>4.76791989266373</v>
      </c>
      <c r="F137" s="25" t="n">
        <f aca="false">datos_base!$F$9*parametros_recargas!$H$41+sobrestock_sustitutos!$F$182/12</f>
        <v>4.88983438961015</v>
      </c>
      <c r="G137" s="25" t="n">
        <f aca="false">datos_base!$F$9*parametros_recargas!$I$41+sobrestock_sustitutos!$F$182/12</f>
        <v>5.01492166271887</v>
      </c>
      <c r="H137" s="25" t="n">
        <f aca="false">datos_base!$F$9*parametros_recargas!$J$41+sobrestock_sustitutos!$F$182/12</f>
        <v>5.14326428222419</v>
      </c>
      <c r="I137" s="25" t="n">
        <f aca="false">datos_base!$F$9*parametros_recargas!$K$41+sobrestock_sustitutos!$F$182/12</f>
        <v>5.27494696721781</v>
      </c>
      <c r="J137" s="25" t="n">
        <f aca="false">datos_base!$F$9*parametros_recargas!$L$41+sobrestock_sustitutos!$F$182/12</f>
        <v>5.41005664157201</v>
      </c>
      <c r="K137" s="25" t="n">
        <f aca="false">datos_base!$F$9*parametros_recargas!$M$41+sobrestock_sustitutos!$F$182/12</f>
        <v>5.54868249131819</v>
      </c>
      <c r="L137" s="25" t="n">
        <f aca="false">datos_base!$F$9*parametros_recargas!$N$41+sobrestock_sustitutos!$F$182/12</f>
        <v>5.69091602351863</v>
      </c>
      <c r="M137" s="25" t="n">
        <f aca="false">datos_base!$F$9*parametros_recargas!$O$41+sobrestock_sustitutos!$F$182/12</f>
        <v>5.83685112667042</v>
      </c>
      <c r="N137" s="25" t="n">
        <f aca="false">datos_base!$F$9*parametros_recargas!$P$41+sobrestock_sustitutos!$F$182/12</f>
        <v>5.98658413268136</v>
      </c>
      <c r="O137" s="25" t="n">
        <f aca="false">datos_base!$F$9*parametros_recargas!$Q$41+sobrestock_sustitutos!$F$182/12</f>
        <v>6.1402138804587</v>
      </c>
      <c r="P137" s="7" t="n">
        <f aca="false">SUM(D137:O137)</f>
        <v>64.3532891866521</v>
      </c>
      <c r="Q137" s="13" t="n">
        <f aca="false">sobrestock_sustitutos!$F$182</f>
        <v>1</v>
      </c>
    </row>
    <row r="138" customFormat="false" ht="15" hidden="false" customHeight="false" outlineLevel="0" collapsed="false">
      <c r="A138" s="12" t="str">
        <f aca="false">parametros_recargas!A59</f>
        <v>Sales K 6 l</v>
      </c>
      <c r="B138" s="12" t="str">
        <f aca="false">parametros_recargas!B59</f>
        <v>Sales K</v>
      </c>
      <c r="C138" s="24" t="n">
        <f aca="false">parametros_recargas!C59</f>
        <v>1</v>
      </c>
      <c r="D138" s="25" t="n">
        <f aca="false">datos_base!$F$10*parametros_recargas!$F$41+sobrestock_sustitutos!$F$183/12</f>
        <v>40.9045726795278</v>
      </c>
      <c r="E138" s="25" t="n">
        <f aca="false">datos_base!$F$10*parametros_recargas!$G$41+sobrestock_sustitutos!$F$183/12</f>
        <v>41.9647604368266</v>
      </c>
      <c r="F138" s="25" t="n">
        <f aca="false">datos_base!$F$10*parametros_recargas!$H$41+sobrestock_sustitutos!$F$183/12</f>
        <v>43.0525391576955</v>
      </c>
      <c r="G138" s="25" t="n">
        <f aca="false">datos_base!$F$10*parametros_recargas!$I$41+sobrestock_sustitutos!$F$183/12</f>
        <v>44.168626885958</v>
      </c>
      <c r="H138" s="25" t="n">
        <f aca="false">datos_base!$F$10*parametros_recargas!$J$41+sobrestock_sustitutos!$F$183/12</f>
        <v>45.3137603522415</v>
      </c>
      <c r="I138" s="25" t="n">
        <f aca="false">datos_base!$F$10*parametros_recargas!$K$41+sobrestock_sustitutos!$F$183/12</f>
        <v>46.4886954602944</v>
      </c>
      <c r="J138" s="25" t="n">
        <f aca="false">datos_base!$F$10*parametros_recargas!$L$41+sobrestock_sustitutos!$F$183/12</f>
        <v>47.6942077859584</v>
      </c>
      <c r="K138" s="25" t="n">
        <f aca="false">datos_base!$F$10*parametros_recargas!$M$41+sobrestock_sustitutos!$F$183/12</f>
        <v>48.9310930891274</v>
      </c>
      <c r="L138" s="25" t="n">
        <f aca="false">datos_base!$F$10*parametros_recargas!$N$41+sobrestock_sustitutos!$F$183/12</f>
        <v>50.2001678390291</v>
      </c>
      <c r="M138" s="25" t="n">
        <f aca="false">datos_base!$F$10*parametros_recargas!$O$41+sobrestock_sustitutos!$F$183/12</f>
        <v>51.5022697531772</v>
      </c>
      <c r="N138" s="25" t="n">
        <f aca="false">datos_base!$F$10*parametros_recargas!$P$41+sobrestock_sustitutos!$F$183/12</f>
        <v>52.8382583503497</v>
      </c>
      <c r="O138" s="25" t="n">
        <f aca="false">datos_base!$F$10*parametros_recargas!$Q$41+sobrestock_sustitutos!$F$183/12</f>
        <v>54.2090155179579</v>
      </c>
      <c r="P138" s="7" t="n">
        <f aca="false">SUM(D138:O138)</f>
        <v>567.267967308143</v>
      </c>
      <c r="Q138" s="13" t="n">
        <f aca="false">sobrestock_sustitutos!$F$183</f>
        <v>2</v>
      </c>
    </row>
    <row r="139" customFormat="false" ht="15" hidden="false" customHeight="false" outlineLevel="0" collapsed="false">
      <c r="A139" s="12" t="str">
        <f aca="false">parametros_recargas!A60</f>
        <v>CO₂ 2 kg</v>
      </c>
      <c r="B139" s="12" t="str">
        <f aca="false">parametros_recargas!B60</f>
        <v>CO₂</v>
      </c>
      <c r="C139" s="24" t="n">
        <f aca="false">parametros_recargas!C60</f>
        <v>1</v>
      </c>
      <c r="D139" s="25" t="n">
        <f aca="false">datos_base!$F$11*parametros_recargas!$F$41+sobrestock_sustitutos!$F$184/12</f>
        <v>226.841080760058</v>
      </c>
      <c r="E139" s="25" t="n">
        <f aca="false">datos_base!$F$11*parametros_recargas!$G$41+sobrestock_sustitutos!$F$184/12</f>
        <v>232.744529420338</v>
      </c>
      <c r="F139" s="25" t="n">
        <f aca="false">datos_base!$F$11*parametros_recargas!$H$41+sobrestock_sustitutos!$F$184/12</f>
        <v>238.801612977647</v>
      </c>
      <c r="G139" s="25" t="n">
        <f aca="false">datos_base!$F$11*parametros_recargas!$I$41+sobrestock_sustitutos!$F$184/12</f>
        <v>245.01632971891</v>
      </c>
      <c r="H139" s="25" t="n">
        <f aca="false">datos_base!$F$11*parametros_recargas!$J$41+sobrestock_sustitutos!$F$184/12</f>
        <v>251.392781984872</v>
      </c>
      <c r="I139" s="25" t="n">
        <f aca="false">datos_base!$F$11*parametros_recargas!$K$41+sobrestock_sustitutos!$F$184/12</f>
        <v>257.935178878063</v>
      </c>
      <c r="J139" s="25" t="n">
        <f aca="false">datos_base!$F$11*parametros_recargas!$L$41+sobrestock_sustitutos!$F$184/12</f>
        <v>264.647839041225</v>
      </c>
      <c r="K139" s="25" t="n">
        <f aca="false">datos_base!$F$11*parametros_recargas!$M$41+sobrestock_sustitutos!$F$184/12</f>
        <v>271.535193508058</v>
      </c>
      <c r="L139" s="25" t="n">
        <f aca="false">datos_base!$F$11*parametros_recargas!$N$41+sobrestock_sustitutos!$F$184/12</f>
        <v>278.601788628144</v>
      </c>
      <c r="M139" s="25" t="n">
        <f aca="false">datos_base!$F$11*parametros_recargas!$O$41+sobrestock_sustitutos!$F$184/12</f>
        <v>285.852289068001</v>
      </c>
      <c r="N139" s="25" t="n">
        <f aca="false">datos_base!$F$11*parametros_recargas!$P$41+sobrestock_sustitutos!$F$184/12</f>
        <v>293.291480890233</v>
      </c>
      <c r="O139" s="25" t="n">
        <f aca="false">datos_base!$F$11*parametros_recargas!$Q$41+sobrestock_sustitutos!$F$184/12</f>
        <v>300.924274712814</v>
      </c>
      <c r="P139" s="7" t="n">
        <f aca="false">SUM(D139:O139)</f>
        <v>3147.58437958836</v>
      </c>
      <c r="Q139" s="13" t="n">
        <f aca="false">sobrestock_sustitutos!$F$184</f>
        <v>0</v>
      </c>
    </row>
    <row r="140" customFormat="false" ht="15" hidden="false" customHeight="false" outlineLevel="0" collapsed="false">
      <c r="A140" s="12" t="str">
        <f aca="false">parametros_recargas!A61</f>
        <v>CO₂ 5 kg</v>
      </c>
      <c r="B140" s="12" t="str">
        <f aca="false">parametros_recargas!B61</f>
        <v>CO₂</v>
      </c>
      <c r="C140" s="24" t="n">
        <f aca="false">parametros_recargas!C61</f>
        <v>1</v>
      </c>
      <c r="D140" s="25" t="n">
        <f aca="false">datos_base!$F$12*parametros_recargas!$F$41+sobrestock_sustitutos!$F$185/12</f>
        <v>74.8946355224313</v>
      </c>
      <c r="E140" s="25" t="n">
        <f aca="false">datos_base!$F$12*parametros_recargas!$G$41+sobrestock_sustitutos!$F$185/12</f>
        <v>76.8112077916825</v>
      </c>
      <c r="F140" s="25" t="n">
        <f aca="false">datos_base!$F$12*parametros_recargas!$H$41+sobrestock_sustitutos!$F$185/12</f>
        <v>78.7776580898927</v>
      </c>
      <c r="G140" s="25" t="n">
        <f aca="false">datos_base!$F$12*parametros_recargas!$I$41+sobrestock_sustitutos!$F$185/12</f>
        <v>80.7952844728737</v>
      </c>
      <c r="H140" s="25" t="n">
        <f aca="false">datos_base!$F$12*parametros_recargas!$J$41+sobrestock_sustitutos!$F$185/12</f>
        <v>82.8654187778222</v>
      </c>
      <c r="I140" s="25" t="n">
        <f aca="false">datos_base!$F$12*parametros_recargas!$K$41+sobrestock_sustitutos!$F$185/12</f>
        <v>84.9894275024666</v>
      </c>
      <c r="J140" s="25" t="n">
        <f aca="false">datos_base!$F$12*parametros_recargas!$L$41+sobrestock_sustitutos!$F$185/12</f>
        <v>87.1687127070938</v>
      </c>
      <c r="K140" s="25" t="n">
        <f aca="false">datos_base!$F$12*parametros_recargas!$M$41+sobrestock_sustitutos!$F$185/12</f>
        <v>89.4047129400507</v>
      </c>
      <c r="L140" s="25" t="n">
        <f aca="false">datos_base!$F$12*parametros_recargas!$N$41+sobrestock_sustitutos!$F$185/12</f>
        <v>91.6989041873309</v>
      </c>
      <c r="M140" s="25" t="n">
        <f aca="false">datos_base!$F$12*parametros_recargas!$O$41+sobrestock_sustitutos!$F$185/12</f>
        <v>94.0528008468751</v>
      </c>
      <c r="N140" s="25" t="n">
        <f aca="false">datos_base!$F$12*parametros_recargas!$P$41+sobrestock_sustitutos!$F$185/12</f>
        <v>96.4679567282262</v>
      </c>
      <c r="O140" s="25" t="n">
        <f aca="false">datos_base!$F$12*parametros_recargas!$Q$41+sobrestock_sustitutos!$F$185/12</f>
        <v>98.9459660782012</v>
      </c>
      <c r="P140" s="7" t="n">
        <f aca="false">SUM(D140:O140)</f>
        <v>1036.87268564495</v>
      </c>
      <c r="Q140" s="13" t="n">
        <f aca="false">sobrestock_sustitutos!$F$185</f>
        <v>15</v>
      </c>
    </row>
    <row r="141" customFormat="false" ht="15" hidden="false" customHeight="false" outlineLevel="0" collapsed="false">
      <c r="A141" s="12" t="str">
        <f aca="false">parametros_recargas!A62</f>
        <v>HCFC/HFC 5 kg</v>
      </c>
      <c r="B141" s="12" t="str">
        <f aca="false">parametros_recargas!B62</f>
        <v>Halogenado</v>
      </c>
      <c r="C141" s="24" t="n">
        <f aca="false">parametros_recargas!C62</f>
        <v>1</v>
      </c>
      <c r="D141" s="25" t="n">
        <f aca="false">datos_base!$F$13*parametros_recargas!$F$41+sobrestock_sustitutos!$F$186/12</f>
        <v>12.017421207561</v>
      </c>
      <c r="E141" s="25" t="n">
        <f aca="false">datos_base!$F$13*parametros_recargas!$G$41+sobrestock_sustitutos!$F$186/12</f>
        <v>12.3280010850537</v>
      </c>
      <c r="F141" s="25" t="n">
        <f aca="false">datos_base!$F$13*parametros_recargas!$H$41+sobrestock_sustitutos!$F$186/12</f>
        <v>12.6466636799958</v>
      </c>
      <c r="G141" s="25" t="n">
        <f aca="false">datos_base!$F$13*parametros_recargas!$I$41+sobrestock_sustitutos!$F$186/12</f>
        <v>12.9736193418854</v>
      </c>
      <c r="H141" s="25" t="n">
        <f aca="false">datos_base!$F$13*parametros_recargas!$J$41+sobrestock_sustitutos!$F$186/12</f>
        <v>13.3090838944825</v>
      </c>
      <c r="I141" s="25" t="n">
        <f aca="false">datos_base!$F$13*parametros_recargas!$K$41+sobrestock_sustitutos!$F$186/12</f>
        <v>13.6532787782743</v>
      </c>
      <c r="J141" s="25" t="n">
        <f aca="false">datos_base!$F$13*parametros_recargas!$L$41+sobrestock_sustitutos!$F$186/12</f>
        <v>14.0064311966484</v>
      </c>
      <c r="K141" s="25" t="n">
        <f aca="false">datos_base!$F$13*parametros_recargas!$M$41+sobrestock_sustitutos!$F$186/12</f>
        <v>14.36877426587</v>
      </c>
      <c r="L141" s="25" t="n">
        <f aca="false">datos_base!$F$13*parametros_recargas!$N$41+sobrestock_sustitutos!$F$186/12</f>
        <v>14.740547168962</v>
      </c>
      <c r="M141" s="25" t="n">
        <f aca="false">datos_base!$F$13*parametros_recargas!$O$41+sobrestock_sustitutos!$F$186/12</f>
        <v>15.1219953135902</v>
      </c>
      <c r="N141" s="25" t="n">
        <f aca="false">datos_base!$F$13*parametros_recargas!$P$41+sobrestock_sustitutos!$F$186/12</f>
        <v>15.513370494057</v>
      </c>
      <c r="O141" s="25" t="n">
        <f aca="false">datos_base!$F$13*parametros_recargas!$Q$41+sobrestock_sustitutos!$F$186/12</f>
        <v>15.9149310575111</v>
      </c>
      <c r="P141" s="7" t="n">
        <f aca="false">SUM(D141:O141)</f>
        <v>166.594117483891</v>
      </c>
      <c r="Q141" s="13" t="n">
        <f aca="false">sobrestock_sustitutos!$F$186</f>
        <v>1</v>
      </c>
    </row>
    <row r="142" customFormat="false" ht="15" hidden="false" customHeight="false" outlineLevel="0" collapsed="false">
      <c r="A142" s="12" t="str">
        <f aca="false">parametros_recargas!A63</f>
        <v>Clase D 9 l</v>
      </c>
      <c r="B142" s="12" t="str">
        <f aca="false">parametros_recargas!B63</f>
        <v>Clase D</v>
      </c>
      <c r="C142" s="24" t="n">
        <f aca="false">parametros_recargas!C63</f>
        <v>1</v>
      </c>
      <c r="D142" s="25" t="n">
        <f aca="false">datos_base!$F$14*parametros_recargas!$F$41+sobrestock_sustitutos!$F$187/12</f>
        <v>4.34643611013991</v>
      </c>
      <c r="E142" s="25" t="n">
        <f aca="false">datos_base!$F$14*parametros_recargas!$G$41+sobrestock_sustitutos!$F$187/12</f>
        <v>4.45738165973812</v>
      </c>
      <c r="F142" s="25" t="n">
        <f aca="false">datos_base!$F$14*parametros_recargas!$H$41+sobrestock_sustitutos!$F$187/12</f>
        <v>4.57121452301841</v>
      </c>
      <c r="G142" s="25" t="n">
        <f aca="false">datos_base!$F$14*parametros_recargas!$I$41+sobrestock_sustitutos!$F$187/12</f>
        <v>4.68800984116789</v>
      </c>
      <c r="H142" s="25" t="n">
        <f aca="false">datos_base!$F$14*parametros_recargas!$J$41+sobrestock_sustitutos!$F$187/12</f>
        <v>4.80784471089306</v>
      </c>
      <c r="I142" s="25" t="n">
        <f aca="false">datos_base!$F$14*parametros_recargas!$K$41+sobrestock_sustitutos!$F$187/12</f>
        <v>4.93079823531148</v>
      </c>
      <c r="J142" s="25" t="n">
        <f aca="false">datos_base!$F$14*parametros_recargas!$L$41+sobrestock_sustitutos!$F$187/12</f>
        <v>5.05695157616779</v>
      </c>
      <c r="K142" s="25" t="n">
        <f aca="false">datos_base!$F$14*parametros_recargas!$M$41+sobrestock_sustitutos!$F$187/12</f>
        <v>5.18638800740866</v>
      </c>
      <c r="L142" s="25" t="n">
        <f aca="false">datos_base!$F$14*parametros_recargas!$N$41+sobrestock_sustitutos!$F$187/12</f>
        <v>5.31919297015203</v>
      </c>
      <c r="M142" s="25" t="n">
        <f aca="false">datos_base!$F$14*parametros_recargas!$O$41+sobrestock_sustitutos!$F$187/12</f>
        <v>5.45545412908685</v>
      </c>
      <c r="N142" s="25" t="n">
        <f aca="false">datos_base!$F$14*parametros_recargas!$P$41+sobrestock_sustitutos!$F$187/12</f>
        <v>5.59526143034062</v>
      </c>
      <c r="O142" s="25" t="n">
        <f aca="false">datos_base!$F$14*parametros_recargas!$Q$41+sobrestock_sustitutos!$F$187/12</f>
        <v>5.73870716085297</v>
      </c>
      <c r="P142" s="7" t="n">
        <f aca="false">SUM(D142:O142)</f>
        <v>60.1536403542778</v>
      </c>
      <c r="Q142" s="13" t="n">
        <f aca="false">sobrestock_sustitutos!$F$187</f>
        <v>1</v>
      </c>
    </row>
    <row r="143" customFormat="false" ht="15" hidden="false" customHeight="false" outlineLevel="0" collapsed="false">
      <c r="A143" s="12" t="str">
        <f aca="false">parametros_recargas!A64</f>
        <v>ABC 25 kg s/ruedas</v>
      </c>
      <c r="B143" s="12" t="str">
        <f aca="false">parametros_recargas!B64</f>
        <v>ABC</v>
      </c>
      <c r="C143" s="24" t="n">
        <f aca="false">parametros_recargas!C64</f>
        <v>3</v>
      </c>
      <c r="D143" s="25" t="n">
        <f aca="false">datos_base!$F$15*parametros_recargas!$F$41+sobrestock_sustitutos!$F$188/12</f>
        <v>10.0567495827461</v>
      </c>
      <c r="E143" s="25" t="n">
        <f aca="false">datos_base!$F$15*parametros_recargas!$G$41+sobrestock_sustitutos!$F$188/12</f>
        <v>10.3184724799044</v>
      </c>
      <c r="F143" s="25" t="n">
        <f aca="false">datos_base!$F$15*parametros_recargas!$H$41+sobrestock_sustitutos!$F$188/12</f>
        <v>10.5870066110835</v>
      </c>
      <c r="G143" s="25" t="n">
        <f aca="false">datos_base!$F$15*parametros_recargas!$I$41+sobrestock_sustitutos!$F$188/12</f>
        <v>10.8625292359324</v>
      </c>
      <c r="H143" s="25" t="n">
        <f aca="false">datos_base!$F$15*parametros_recargas!$J$41+sobrestock_sustitutos!$F$188/12</f>
        <v>11.1452222272118</v>
      </c>
      <c r="I143" s="25" t="n">
        <f aca="false">datos_base!$F$15*parametros_recargas!$K$41+sobrestock_sustitutos!$F$188/12</f>
        <v>11.4352721908485</v>
      </c>
      <c r="J143" s="25" t="n">
        <f aca="false">datos_base!$F$15*parametros_recargas!$L$41+sobrestock_sustitutos!$F$188/12</f>
        <v>11.7328705891139</v>
      </c>
      <c r="K143" s="25" t="n">
        <f aca="false">datos_base!$F$15*parametros_recargas!$M$41+sobrestock_sustitutos!$F$188/12</f>
        <v>12.038213867009</v>
      </c>
      <c r="L143" s="25" t="n">
        <f aca="false">datos_base!$F$15*parametros_recargas!$N$41+sobrestock_sustitutos!$F$188/12</f>
        <v>12.3515035819374</v>
      </c>
      <c r="M143" s="25" t="n">
        <f aca="false">datos_base!$F$15*parametros_recargas!$O$41+sobrestock_sustitutos!$F$188/12</f>
        <v>12.6729465367537</v>
      </c>
      <c r="N143" s="25" t="n">
        <f aca="false">datos_base!$F$15*parametros_recargas!$P$41+sobrestock_sustitutos!$F$188/12</f>
        <v>13.0027549162744</v>
      </c>
      <c r="O143" s="25" t="n">
        <f aca="false">datos_base!$F$15*parametros_recargas!$Q$41+sobrestock_sustitutos!$F$188/12</f>
        <v>13.3411464273412</v>
      </c>
      <c r="P143" s="7" t="n">
        <f aca="false">SUM(D143:O143)</f>
        <v>139.544688246156</v>
      </c>
      <c r="Q143" s="13" t="n">
        <f aca="false">sobrestock_sustitutos!$F$188</f>
        <v>0</v>
      </c>
    </row>
    <row r="144" customFormat="false" ht="15" hidden="false" customHeight="false" outlineLevel="0" collapsed="false">
      <c r="A144" s="12" t="str">
        <f aca="false">parametros_recargas!A65</f>
        <v>ABC 50 kg s/ruedas</v>
      </c>
      <c r="B144" s="12" t="str">
        <f aca="false">parametros_recargas!B65</f>
        <v>ABC</v>
      </c>
      <c r="C144" s="24" t="n">
        <f aca="false">parametros_recargas!C65</f>
        <v>3</v>
      </c>
      <c r="D144" s="25" t="n">
        <f aca="false">datos_base!$F$16*parametros_recargas!$F$41+sobrestock_sustitutos!$F$189/12</f>
        <v>22.2915157362445</v>
      </c>
      <c r="E144" s="25" t="n">
        <f aca="false">datos_base!$F$16*parametros_recargas!$G$41+sobrestock_sustitutos!$F$189/12</f>
        <v>22.8673061096683</v>
      </c>
      <c r="F144" s="25" t="n">
        <f aca="false">datos_base!$F$16*parametros_recargas!$H$41+sobrestock_sustitutos!$F$189/12</f>
        <v>23.4580811979295</v>
      </c>
      <c r="G144" s="25" t="n">
        <f aca="false">datos_base!$F$16*parametros_recargas!$I$41+sobrestock_sustitutos!$F$189/12</f>
        <v>24.0642309722557</v>
      </c>
      <c r="H144" s="25" t="n">
        <f aca="false">datos_base!$F$16*parametros_recargas!$J$41+sobrestock_sustitutos!$F$189/12</f>
        <v>24.68615555272</v>
      </c>
      <c r="I144" s="25" t="n">
        <f aca="false">datos_base!$F$16*parametros_recargas!$K$41+sobrestock_sustitutos!$F$189/12</f>
        <v>25.3242654723612</v>
      </c>
      <c r="J144" s="25" t="n">
        <f aca="false">datos_base!$F$16*parametros_recargas!$L$41+sobrestock_sustitutos!$F$189/12</f>
        <v>25.9789819481764</v>
      </c>
      <c r="K144" s="25" t="n">
        <f aca="false">datos_base!$F$16*parametros_recargas!$M$41+sobrestock_sustitutos!$F$189/12</f>
        <v>26.6507371591672</v>
      </c>
      <c r="L144" s="25" t="n">
        <f aca="false">datos_base!$F$16*parametros_recargas!$N$41+sobrestock_sustitutos!$F$189/12</f>
        <v>27.3399745316214</v>
      </c>
      <c r="M144" s="25" t="n">
        <f aca="false">datos_base!$F$16*parametros_recargas!$O$41+sobrestock_sustitutos!$F$189/12</f>
        <v>28.0471490318188</v>
      </c>
      <c r="N144" s="25" t="n">
        <f aca="false">datos_base!$F$16*parametros_recargas!$P$41+sobrestock_sustitutos!$F$189/12</f>
        <v>28.7727274663556</v>
      </c>
      <c r="O144" s="25" t="n">
        <f aca="false">datos_base!$F$16*parametros_recargas!$Q$41+sobrestock_sustitutos!$F$189/12</f>
        <v>29.5171887902832</v>
      </c>
      <c r="P144" s="7" t="n">
        <f aca="false">SUM(D144:O144)</f>
        <v>308.998313968602</v>
      </c>
      <c r="Q144" s="13" t="n">
        <f aca="false">sobrestock_sustitutos!$F$189</f>
        <v>2</v>
      </c>
    </row>
    <row r="145" customFormat="false" ht="15" hidden="false" customHeight="false" outlineLevel="0" collapsed="false">
      <c r="A145" s="12" t="str">
        <f aca="false">parametros_recargas!A66</f>
        <v>ABC 70 kg s/ruedas</v>
      </c>
      <c r="B145" s="12" t="str">
        <f aca="false">parametros_recargas!B66</f>
        <v>ABC</v>
      </c>
      <c r="C145" s="24" t="n">
        <f aca="false">parametros_recargas!C66</f>
        <v>3</v>
      </c>
      <c r="D145" s="25" t="n">
        <f aca="false">datos_base!$F$17*parametros_recargas!$F$41+sobrestock_sustitutos!$F$190/12</f>
        <v>4.82723979888723</v>
      </c>
      <c r="E145" s="25" t="n">
        <f aca="false">datos_base!$F$17*parametros_recargas!$G$41+sobrestock_sustitutos!$F$190/12</f>
        <v>4.95286678950157</v>
      </c>
      <c r="F145" s="25" t="n">
        <f aca="false">datos_base!$F$17*parametros_recargas!$H$41+sobrestock_sustitutos!$F$190/12</f>
        <v>5.08176317244535</v>
      </c>
      <c r="G145" s="25" t="n">
        <f aca="false">datos_base!$F$17*parametros_recargas!$I$41+sobrestock_sustitutos!$F$190/12</f>
        <v>5.21401403235006</v>
      </c>
      <c r="H145" s="25" t="n">
        <f aca="false">datos_base!$F$17*parametros_recargas!$J$41+sobrestock_sustitutos!$F$190/12</f>
        <v>5.34970666814083</v>
      </c>
      <c r="I145" s="25" t="n">
        <f aca="false">datos_base!$F$17*parametros_recargas!$K$41+sobrestock_sustitutos!$F$190/12</f>
        <v>5.48893065066246</v>
      </c>
      <c r="J145" s="25" t="n">
        <f aca="false">datos_base!$F$17*parametros_recargas!$L$41+sobrestock_sustitutos!$F$190/12</f>
        <v>5.6317778818053</v>
      </c>
      <c r="K145" s="25" t="n">
        <f aca="false">datos_base!$F$17*parametros_recargas!$M$41+sobrestock_sustitutos!$F$190/12</f>
        <v>5.77834265516972</v>
      </c>
      <c r="L145" s="25" t="n">
        <f aca="false">datos_base!$F$17*parametros_recargas!$N$41+sobrestock_sustitutos!$F$190/12</f>
        <v>5.92872171830945</v>
      </c>
      <c r="M145" s="25" t="n">
        <f aca="false">datos_base!$F$17*parametros_recargas!$O$41+sobrestock_sustitutos!$F$190/12</f>
        <v>6.0830143365947</v>
      </c>
      <c r="N145" s="25" t="n">
        <f aca="false">datos_base!$F$17*parametros_recargas!$P$41+sobrestock_sustitutos!$F$190/12</f>
        <v>6.24132235873739</v>
      </c>
      <c r="O145" s="25" t="n">
        <f aca="false">datos_base!$F$17*parametros_recargas!$Q$41+sobrestock_sustitutos!$F$190/12</f>
        <v>6.40375028402151</v>
      </c>
      <c r="P145" s="7" t="n">
        <f aca="false">SUM(D145:O145)</f>
        <v>66.9814503466256</v>
      </c>
      <c r="Q145" s="13" t="n">
        <f aca="false">sobrestock_sustitutos!$F$190</f>
        <v>0</v>
      </c>
    </row>
    <row r="146" customFormat="false" ht="15" hidden="false" customHeight="false" outlineLevel="0" collapsed="false">
      <c r="A146" s="12" t="str">
        <f aca="false">parametros_recargas!A67</f>
        <v>ABC 100 kg s/ruedas</v>
      </c>
      <c r="B146" s="12" t="str">
        <f aca="false">parametros_recargas!B67</f>
        <v>ABC</v>
      </c>
      <c r="C146" s="24" t="n">
        <f aca="false">parametros_recargas!C67</f>
        <v>3</v>
      </c>
      <c r="D146" s="25" t="n">
        <f aca="false">datos_base!$F$18*parametros_recargas!$F$41+sobrestock_sustitutos!$F$191/12</f>
        <v>3.30149319233391</v>
      </c>
      <c r="E146" s="25" t="n">
        <f aca="false">datos_base!$F$18*parametros_recargas!$G$41+sobrestock_sustitutos!$F$191/12</f>
        <v>3.38524451922994</v>
      </c>
      <c r="F146" s="25" t="n">
        <f aca="false">datos_base!$F$18*parametros_recargas!$H$41+sobrestock_sustitutos!$F$191/12</f>
        <v>3.47117544100757</v>
      </c>
      <c r="G146" s="25" t="n">
        <f aca="false">datos_base!$F$18*parametros_recargas!$I$41+sobrestock_sustitutos!$F$191/12</f>
        <v>3.55934268075434</v>
      </c>
      <c r="H146" s="25" t="n">
        <f aca="false">datos_base!$F$18*parametros_recargas!$J$41+sobrestock_sustitutos!$F$191/12</f>
        <v>3.64980443775355</v>
      </c>
      <c r="I146" s="25" t="n">
        <f aca="false">datos_base!$F$18*parametros_recargas!$K$41+sobrestock_sustitutos!$F$191/12</f>
        <v>3.7426204259016</v>
      </c>
      <c r="J146" s="25" t="n">
        <f aca="false">datos_base!$F$18*parametros_recargas!$L$41+sobrestock_sustitutos!$F$191/12</f>
        <v>3.83785191312526</v>
      </c>
      <c r="K146" s="25" t="n">
        <f aca="false">datos_base!$F$18*parametros_recargas!$M$41+sobrestock_sustitutos!$F$191/12</f>
        <v>3.93556176182464</v>
      </c>
      <c r="L146" s="25" t="n">
        <f aca="false">datos_base!$F$18*parametros_recargas!$N$41+sobrestock_sustitutos!$F$191/12</f>
        <v>4.03581447036875</v>
      </c>
      <c r="M146" s="25" t="n">
        <f aca="false">datos_base!$F$18*parametros_recargas!$O$41+sobrestock_sustitutos!$F$191/12</f>
        <v>4.13867621567093</v>
      </c>
      <c r="N146" s="25" t="n">
        <f aca="false">datos_base!$F$18*parametros_recargas!$P$41+sobrestock_sustitutos!$F$191/12</f>
        <v>4.24421489687231</v>
      </c>
      <c r="O146" s="25" t="n">
        <f aca="false">datos_base!$F$18*parametros_recargas!$Q$41+sobrestock_sustitutos!$F$191/12</f>
        <v>4.35250018016207</v>
      </c>
      <c r="P146" s="7" t="n">
        <f aca="false">SUM(D146:O146)</f>
        <v>45.6543001350049</v>
      </c>
      <c r="Q146" s="13" t="n">
        <f aca="false">sobrestock_sustitutos!$F$191</f>
        <v>1</v>
      </c>
    </row>
    <row r="147" customFormat="false" ht="15" hidden="false" customHeight="false" outlineLevel="0" collapsed="false">
      <c r="A147" s="6" t="s">
        <v>273</v>
      </c>
      <c r="D147" s="7" t="n">
        <f aca="false">SUM(D130:D146)</f>
        <v>3494.45760439298</v>
      </c>
      <c r="E147" s="7" t="n">
        <f aca="false">SUM(E130:E146)</f>
        <v>3585.20862284714</v>
      </c>
      <c r="F147" s="7" t="n">
        <f aca="false">SUM(F130:F146)</f>
        <v>3678.32140036415</v>
      </c>
      <c r="G147" s="7" t="n">
        <f aca="false">SUM(G130:G146)</f>
        <v>3773.85740078172</v>
      </c>
      <c r="H147" s="7" t="n">
        <f aca="false">SUM(H130:H146)</f>
        <v>3871.87968750945</v>
      </c>
      <c r="I147" s="7" t="n">
        <f aca="false">SUM(I130:I146)</f>
        <v>3972.452965157</v>
      </c>
      <c r="J147" s="7" t="n">
        <f aca="false">SUM(J130:J146)</f>
        <v>4075.64362224569</v>
      </c>
      <c r="K147" s="7" t="n">
        <f aca="false">SUM(K130:K146)</f>
        <v>4181.51977503165</v>
      </c>
      <c r="L147" s="7" t="n">
        <f aca="false">SUM(L130:L146)</f>
        <v>4290.15131246938</v>
      </c>
      <c r="M147" s="7" t="n">
        <f aca="false">SUM(M130:M146)</f>
        <v>4401.60994234559</v>
      </c>
      <c r="N147" s="7" t="n">
        <f aca="false">SUM(N130:N146)</f>
        <v>4515.9692386135</v>
      </c>
      <c r="O147" s="7" t="n">
        <f aca="false">SUM(O130:O146)</f>
        <v>4633.30468995915</v>
      </c>
      <c r="P147" s="7" t="n">
        <f aca="false">SUM(P130:P146)</f>
        <v>48474.3762617174</v>
      </c>
    </row>
    <row r="148" customFormat="false" ht="15" hidden="false" customHeight="false" outlineLevel="0" collapsed="false">
      <c r="A148" s="6" t="s">
        <v>274</v>
      </c>
    </row>
    <row r="149" customFormat="false" ht="15" hidden="false" customHeight="false" outlineLevel="0" collapsed="false">
      <c r="A149" s="4" t="s">
        <v>143</v>
      </c>
      <c r="D149" s="25" t="n">
        <f aca="false">SUMPRODUCT(($B$130:$B$146=$A149)*D$130:D$146*$C$130:$C$146)</f>
        <v>3104.60797195224</v>
      </c>
      <c r="E149" s="25" t="n">
        <f aca="false">SUMPRODUCT(($B$130:$B$146=$A149)*E$130:E$146*$C$130:$C$146)</f>
        <v>3185.25668353339</v>
      </c>
      <c r="F149" s="25" t="n">
        <f aca="false">SUMPRODUCT(($B$130:$B$146=$A149)*F$130:F$146*$C$130:$C$146)</f>
        <v>3268.00424566993</v>
      </c>
      <c r="G149" s="25" t="n">
        <f aca="false">SUMPRODUCT(($B$130:$B$146=$A149)*G$130:G$146*$C$130:$C$146)</f>
        <v>3352.90528011051</v>
      </c>
      <c r="H149" s="25" t="n">
        <f aca="false">SUMPRODUCT(($B$130:$B$146=$A149)*H$130:H$146*$C$130:$C$146)</f>
        <v>3440.01583011302</v>
      </c>
      <c r="I149" s="25" t="n">
        <f aca="false">SUMPRODUCT(($B$130:$B$146=$A149)*I$130:I$146*$C$130:$C$146)</f>
        <v>3529.39339743878</v>
      </c>
      <c r="J149" s="25" t="n">
        <f aca="false">SUMPRODUCT(($B$130:$B$146=$A149)*J$130:J$146*$C$130:$C$146)</f>
        <v>3621.09698030953</v>
      </c>
      <c r="K149" s="25" t="n">
        <f aca="false">SUMPRODUCT(($B$130:$B$146=$A149)*K$130:K$146*$C$130:$C$146)</f>
        <v>3715.18711235217</v>
      </c>
      <c r="L149" s="25" t="n">
        <f aca="false">SUMPRODUCT(($B$130:$B$146=$A149)*L$130:L$146*$C$130:$C$146)</f>
        <v>3811.72590255714</v>
      </c>
      <c r="M149" s="25" t="n">
        <f aca="false">SUMPRODUCT(($B$130:$B$146=$A149)*M$130:M$146*$C$130:$C$146)</f>
        <v>3910.77707627656</v>
      </c>
      <c r="N149" s="25" t="n">
        <f aca="false">SUMPRODUCT(($B$130:$B$146=$A149)*N$130:N$146*$C$130:$C$146)</f>
        <v>4012.40601728941</v>
      </c>
      <c r="O149" s="25" t="n">
        <f aca="false">SUMPRODUCT(($B$130:$B$146=$A149)*O$130:O$146*$C$130:$C$146)</f>
        <v>4116.67981096149</v>
      </c>
      <c r="P149" s="25" t="n">
        <f aca="false">SUMPRODUCT(($B$130:$B$146=$A149)*P$130:P$146*$C$130:$C$146)</f>
        <v>43068.0563085642</v>
      </c>
    </row>
    <row r="150" customFormat="false" ht="15" hidden="false" customHeight="false" outlineLevel="0" collapsed="false">
      <c r="A150" s="4" t="s">
        <v>149</v>
      </c>
      <c r="D150" s="25" t="n">
        <f aca="false">SUMPRODUCT(($B$130:$B$146=$A150)*D$130:D$146*$C$130:$C$146)</f>
        <v>4.64909769599805</v>
      </c>
      <c r="E150" s="25" t="n">
        <f aca="false">SUMPRODUCT(($B$130:$B$146=$A150)*E$130:E$146*$C$130:$C$146)</f>
        <v>4.76791989266373</v>
      </c>
      <c r="F150" s="25" t="n">
        <f aca="false">SUMPRODUCT(($B$130:$B$146=$A150)*F$130:F$146*$C$130:$C$146)</f>
        <v>4.88983438961015</v>
      </c>
      <c r="G150" s="25" t="n">
        <f aca="false">SUMPRODUCT(($B$130:$B$146=$A150)*G$130:G$146*$C$130:$C$146)</f>
        <v>5.01492166271887</v>
      </c>
      <c r="H150" s="25" t="n">
        <f aca="false">SUMPRODUCT(($B$130:$B$146=$A150)*H$130:H$146*$C$130:$C$146)</f>
        <v>5.14326428222419</v>
      </c>
      <c r="I150" s="25" t="n">
        <f aca="false">SUMPRODUCT(($B$130:$B$146=$A150)*I$130:I$146*$C$130:$C$146)</f>
        <v>5.27494696721781</v>
      </c>
      <c r="J150" s="25" t="n">
        <f aca="false">SUMPRODUCT(($B$130:$B$146=$A150)*J$130:J$146*$C$130:$C$146)</f>
        <v>5.41005664157201</v>
      </c>
      <c r="K150" s="25" t="n">
        <f aca="false">SUMPRODUCT(($B$130:$B$146=$A150)*K$130:K$146*$C$130:$C$146)</f>
        <v>5.54868249131819</v>
      </c>
      <c r="L150" s="25" t="n">
        <f aca="false">SUMPRODUCT(($B$130:$B$146=$A150)*L$130:L$146*$C$130:$C$146)</f>
        <v>5.69091602351863</v>
      </c>
      <c r="M150" s="25" t="n">
        <f aca="false">SUMPRODUCT(($B$130:$B$146=$A150)*M$130:M$146*$C$130:$C$146)</f>
        <v>5.83685112667042</v>
      </c>
      <c r="N150" s="25" t="n">
        <f aca="false">SUMPRODUCT(($B$130:$B$146=$A150)*N$130:N$146*$C$130:$C$146)</f>
        <v>5.98658413268136</v>
      </c>
      <c r="O150" s="25" t="n">
        <f aca="false">SUMPRODUCT(($B$130:$B$146=$A150)*O$130:O$146*$C$130:$C$146)</f>
        <v>6.1402138804587</v>
      </c>
      <c r="P150" s="25" t="n">
        <f aca="false">SUMPRODUCT(($B$130:$B$146=$A150)*P$130:P$146*$C$130:$C$146)</f>
        <v>64.3532891866521</v>
      </c>
    </row>
    <row r="151" customFormat="false" ht="15" hidden="false" customHeight="false" outlineLevel="0" collapsed="false">
      <c r="A151" s="4" t="s">
        <v>155</v>
      </c>
      <c r="D151" s="25" t="n">
        <f aca="false">SUMPRODUCT(($B$130:$B$146=$A151)*D$130:D$146*$C$130:$C$146)</f>
        <v>4.34643611013991</v>
      </c>
      <c r="E151" s="25" t="n">
        <f aca="false">SUMPRODUCT(($B$130:$B$146=$A151)*E$130:E$146*$C$130:$C$146)</f>
        <v>4.45738165973812</v>
      </c>
      <c r="F151" s="25" t="n">
        <f aca="false">SUMPRODUCT(($B$130:$B$146=$A151)*F$130:F$146*$C$130:$C$146)</f>
        <v>4.57121452301841</v>
      </c>
      <c r="G151" s="25" t="n">
        <f aca="false">SUMPRODUCT(($B$130:$B$146=$A151)*G$130:G$146*$C$130:$C$146)</f>
        <v>4.68800984116789</v>
      </c>
      <c r="H151" s="25" t="n">
        <f aca="false">SUMPRODUCT(($B$130:$B$146=$A151)*H$130:H$146*$C$130:$C$146)</f>
        <v>4.80784471089306</v>
      </c>
      <c r="I151" s="25" t="n">
        <f aca="false">SUMPRODUCT(($B$130:$B$146=$A151)*I$130:I$146*$C$130:$C$146)</f>
        <v>4.93079823531148</v>
      </c>
      <c r="J151" s="25" t="n">
        <f aca="false">SUMPRODUCT(($B$130:$B$146=$A151)*J$130:J$146*$C$130:$C$146)</f>
        <v>5.05695157616779</v>
      </c>
      <c r="K151" s="25" t="n">
        <f aca="false">SUMPRODUCT(($B$130:$B$146=$A151)*K$130:K$146*$C$130:$C$146)</f>
        <v>5.18638800740866</v>
      </c>
      <c r="L151" s="25" t="n">
        <f aca="false">SUMPRODUCT(($B$130:$B$146=$A151)*L$130:L$146*$C$130:$C$146)</f>
        <v>5.31919297015203</v>
      </c>
      <c r="M151" s="25" t="n">
        <f aca="false">SUMPRODUCT(($B$130:$B$146=$A151)*M$130:M$146*$C$130:$C$146)</f>
        <v>5.45545412908685</v>
      </c>
      <c r="N151" s="25" t="n">
        <f aca="false">SUMPRODUCT(($B$130:$B$146=$A151)*N$130:N$146*$C$130:$C$146)</f>
        <v>5.59526143034062</v>
      </c>
      <c r="O151" s="25" t="n">
        <f aca="false">SUMPRODUCT(($B$130:$B$146=$A151)*O$130:O$146*$C$130:$C$146)</f>
        <v>5.73870716085297</v>
      </c>
      <c r="P151" s="25" t="n">
        <f aca="false">SUMPRODUCT(($B$130:$B$146=$A151)*P$130:P$146*$C$130:$C$146)</f>
        <v>60.1536403542778</v>
      </c>
    </row>
    <row r="152" customFormat="false" ht="15" hidden="false" customHeight="false" outlineLevel="0" collapsed="false">
      <c r="A152" s="4" t="s">
        <v>146</v>
      </c>
      <c r="D152" s="25" t="n">
        <f aca="false">SUMPRODUCT(($B$130:$B$146=$A152)*D$130:D$146*$C$130:$C$146)</f>
        <v>83.2469118894243</v>
      </c>
      <c r="E152" s="25" t="n">
        <f aca="false">SUMPRODUCT(($B$130:$B$146=$A152)*E$130:E$146*$C$130:$C$146)</f>
        <v>85.404704704579</v>
      </c>
      <c r="F152" s="25" t="n">
        <f aca="false">SUMPRODUCT(($B$130:$B$146=$A152)*F$130:F$146*$C$130:$C$146)</f>
        <v>87.6186532171986</v>
      </c>
      <c r="G152" s="25" t="n">
        <f aca="false">SUMPRODUCT(($B$130:$B$146=$A152)*G$130:G$146*$C$130:$C$146)</f>
        <v>89.8902188569143</v>
      </c>
      <c r="H152" s="25" t="n">
        <f aca="false">SUMPRODUCT(($B$130:$B$146=$A152)*H$130:H$146*$C$130:$C$146)</f>
        <v>92.2209010864803</v>
      </c>
      <c r="I152" s="25" t="n">
        <f aca="false">SUMPRODUCT(($B$130:$B$146=$A152)*I$130:I$146*$C$130:$C$146)</f>
        <v>94.6122383915714</v>
      </c>
      <c r="J152" s="25" t="n">
        <f aca="false">SUMPRODUCT(($B$130:$B$146=$A152)*J$130:J$146*$C$130:$C$146)</f>
        <v>97.0658092963382</v>
      </c>
      <c r="K152" s="25" t="n">
        <f aca="false">SUMPRODUCT(($B$130:$B$146=$A152)*K$130:K$146*$C$130:$C$146)</f>
        <v>99.5832334053927</v>
      </c>
      <c r="L152" s="25" t="n">
        <f aca="false">SUMPRODUCT(($B$130:$B$146=$A152)*L$130:L$146*$C$130:$C$146)</f>
        <v>102.166172472911</v>
      </c>
      <c r="M152" s="25" t="n">
        <f aca="false">SUMPRODUCT(($B$130:$B$146=$A152)*M$130:M$146*$C$130:$C$146)</f>
        <v>104.81633149956</v>
      </c>
      <c r="N152" s="25" t="n">
        <f aca="false">SUMPRODUCT(($B$130:$B$146=$A152)*N$130:N$146*$C$130:$C$146)</f>
        <v>107.535459857968</v>
      </c>
      <c r="O152" s="25" t="n">
        <f aca="false">SUMPRODUCT(($B$130:$B$146=$A152)*O$130:O$146*$C$130:$C$146)</f>
        <v>110.325352447487</v>
      </c>
      <c r="P152" s="25" t="n">
        <f aca="false">SUMPRODUCT(($B$130:$B$146=$A152)*P$130:P$146*$C$130:$C$146)</f>
        <v>1154.48598712583</v>
      </c>
    </row>
    <row r="153" customFormat="false" ht="15" hidden="false" customHeight="false" outlineLevel="0" collapsed="false">
      <c r="A153" s="4" t="s">
        <v>147</v>
      </c>
      <c r="D153" s="25" t="n">
        <f aca="false">SUMPRODUCT(($B$130:$B$146=$A153)*D$130:D$146*$C$130:$C$146)</f>
        <v>40.6427179436278</v>
      </c>
      <c r="E153" s="25" t="n">
        <f aca="false">SUMPRODUCT(($B$130:$B$146=$A153)*E$130:E$146*$C$130:$C$146)</f>
        <v>41.6917536023234</v>
      </c>
      <c r="F153" s="25" t="n">
        <f aca="false">SUMPRODUCT(($B$130:$B$146=$A153)*F$130:F$146*$C$130:$C$146)</f>
        <v>42.7680899956706</v>
      </c>
      <c r="G153" s="25" t="n">
        <f aca="false">SUMPRODUCT(($B$130:$B$146=$A153)*G$130:G$146*$C$130:$C$146)</f>
        <v>43.872437614401</v>
      </c>
      <c r="H153" s="25" t="n">
        <f aca="false">SUMPRODUCT(($B$130:$B$146=$A153)*H$130:H$146*$C$130:$C$146)</f>
        <v>45.0055254394838</v>
      </c>
      <c r="I153" s="25" t="n">
        <f aca="false">SUMPRODUCT(($B$130:$B$146=$A153)*I$130:I$146*$C$130:$C$146)</f>
        <v>46.1681014233277</v>
      </c>
      <c r="J153" s="25" t="n">
        <f aca="false">SUMPRODUCT(($B$130:$B$146=$A153)*J$130:J$146*$C$130:$C$146)</f>
        <v>47.3609329835041</v>
      </c>
      <c r="K153" s="25" t="n">
        <f aca="false">SUMPRODUCT(($B$130:$B$146=$A153)*K$130:K$146*$C$130:$C$146)</f>
        <v>48.5848075093208</v>
      </c>
      <c r="L153" s="25" t="n">
        <f aca="false">SUMPRODUCT(($B$130:$B$146=$A153)*L$130:L$146*$C$130:$C$146)</f>
        <v>49.8405328815786</v>
      </c>
      <c r="M153" s="25" t="n">
        <f aca="false">SUMPRODUCT(($B$130:$B$146=$A153)*M$130:M$146*$C$130:$C$146)</f>
        <v>51.1289380058534</v>
      </c>
      <c r="N153" s="25" t="n">
        <f aca="false">SUMPRODUCT(($B$130:$B$146=$A153)*N$130:N$146*$C$130:$C$146)</f>
        <v>52.4508733596586</v>
      </c>
      <c r="O153" s="25" t="n">
        <f aca="false">SUMPRODUCT(($B$130:$B$146=$A153)*O$130:O$146*$C$130:$C$146)</f>
        <v>53.8072115538455</v>
      </c>
      <c r="P153" s="25" t="n">
        <f aca="false">SUMPRODUCT(($B$130:$B$146=$A153)*P$130:P$146*$C$130:$C$146)</f>
        <v>563.321922312595</v>
      </c>
    </row>
    <row r="154" customFormat="false" ht="15" hidden="false" customHeight="false" outlineLevel="0" collapsed="false">
      <c r="A154" s="4" t="s">
        <v>150</v>
      </c>
      <c r="D154" s="25" t="n">
        <f aca="false">SUMPRODUCT(($B$130:$B$146=$A154)*D$130:D$146*$C$130:$C$146)</f>
        <v>40.9045726795278</v>
      </c>
      <c r="E154" s="25" t="n">
        <f aca="false">SUMPRODUCT(($B$130:$B$146=$A154)*E$130:E$146*$C$130:$C$146)</f>
        <v>41.9647604368266</v>
      </c>
      <c r="F154" s="25" t="n">
        <f aca="false">SUMPRODUCT(($B$130:$B$146=$A154)*F$130:F$146*$C$130:$C$146)</f>
        <v>43.0525391576955</v>
      </c>
      <c r="G154" s="25" t="n">
        <f aca="false">SUMPRODUCT(($B$130:$B$146=$A154)*G$130:G$146*$C$130:$C$146)</f>
        <v>44.168626885958</v>
      </c>
      <c r="H154" s="25" t="n">
        <f aca="false">SUMPRODUCT(($B$130:$B$146=$A154)*H$130:H$146*$C$130:$C$146)</f>
        <v>45.3137603522415</v>
      </c>
      <c r="I154" s="25" t="n">
        <f aca="false">SUMPRODUCT(($B$130:$B$146=$A154)*I$130:I$146*$C$130:$C$146)</f>
        <v>46.4886954602944</v>
      </c>
      <c r="J154" s="25" t="n">
        <f aca="false">SUMPRODUCT(($B$130:$B$146=$A154)*J$130:J$146*$C$130:$C$146)</f>
        <v>47.6942077859584</v>
      </c>
      <c r="K154" s="25" t="n">
        <f aca="false">SUMPRODUCT(($B$130:$B$146=$A154)*K$130:K$146*$C$130:$C$146)</f>
        <v>48.9310930891274</v>
      </c>
      <c r="L154" s="25" t="n">
        <f aca="false">SUMPRODUCT(($B$130:$B$146=$A154)*L$130:L$146*$C$130:$C$146)</f>
        <v>50.2001678390291</v>
      </c>
      <c r="M154" s="25" t="n">
        <f aca="false">SUMPRODUCT(($B$130:$B$146=$A154)*M$130:M$146*$C$130:$C$146)</f>
        <v>51.5022697531772</v>
      </c>
      <c r="N154" s="25" t="n">
        <f aca="false">SUMPRODUCT(($B$130:$B$146=$A154)*N$130:N$146*$C$130:$C$146)</f>
        <v>52.8382583503497</v>
      </c>
      <c r="O154" s="25" t="n">
        <f aca="false">SUMPRODUCT(($B$130:$B$146=$A154)*O$130:O$146*$C$130:$C$146)</f>
        <v>54.2090155179579</v>
      </c>
      <c r="P154" s="25" t="n">
        <f aca="false">SUMPRODUCT(($B$130:$B$146=$A154)*P$130:P$146*$C$130:$C$146)</f>
        <v>567.267967308143</v>
      </c>
    </row>
    <row r="155" customFormat="false" ht="15" hidden="false" customHeight="false" outlineLevel="0" collapsed="false">
      <c r="A155" s="4" t="s">
        <v>151</v>
      </c>
      <c r="D155" s="25" t="n">
        <f aca="false">SUMPRODUCT(($B$130:$B$146=$A155)*D$130:D$146*$C$130:$C$146)</f>
        <v>301.735716282489</v>
      </c>
      <c r="E155" s="25" t="n">
        <f aca="false">SUMPRODUCT(($B$130:$B$146=$A155)*E$130:E$146*$C$130:$C$146)</f>
        <v>309.555737212021</v>
      </c>
      <c r="F155" s="25" t="n">
        <f aca="false">SUMPRODUCT(($B$130:$B$146=$A155)*F$130:F$146*$C$130:$C$146)</f>
        <v>317.57927106754</v>
      </c>
      <c r="G155" s="25" t="n">
        <f aca="false">SUMPRODUCT(($B$130:$B$146=$A155)*G$130:G$146*$C$130:$C$146)</f>
        <v>325.811614191783</v>
      </c>
      <c r="H155" s="25" t="n">
        <f aca="false">SUMPRODUCT(($B$130:$B$146=$A155)*H$130:H$146*$C$130:$C$146)</f>
        <v>334.258200762694</v>
      </c>
      <c r="I155" s="25" t="n">
        <f aca="false">SUMPRODUCT(($B$130:$B$146=$A155)*I$130:I$146*$C$130:$C$146)</f>
        <v>342.924606380529</v>
      </c>
      <c r="J155" s="25" t="n">
        <f aca="false">SUMPRODUCT(($B$130:$B$146=$A155)*J$130:J$146*$C$130:$C$146)</f>
        <v>351.816551748319</v>
      </c>
      <c r="K155" s="25" t="n">
        <f aca="false">SUMPRODUCT(($B$130:$B$146=$A155)*K$130:K$146*$C$130:$C$146)</f>
        <v>360.939906448109</v>
      </c>
      <c r="L155" s="25" t="n">
        <f aca="false">SUMPRODUCT(($B$130:$B$146=$A155)*L$130:L$146*$C$130:$C$146)</f>
        <v>370.300692815475</v>
      </c>
      <c r="M155" s="25" t="n">
        <f aca="false">SUMPRODUCT(($B$130:$B$146=$A155)*M$130:M$146*$C$130:$C$146)</f>
        <v>379.905089914876</v>
      </c>
      <c r="N155" s="25" t="n">
        <f aca="false">SUMPRODUCT(($B$130:$B$146=$A155)*N$130:N$146*$C$130:$C$146)</f>
        <v>389.759437618459</v>
      </c>
      <c r="O155" s="25" t="n">
        <f aca="false">SUMPRODUCT(($B$130:$B$146=$A155)*O$130:O$146*$C$130:$C$146)</f>
        <v>399.870240791015</v>
      </c>
      <c r="P155" s="25" t="n">
        <f aca="false">SUMPRODUCT(($B$130:$B$146=$A155)*P$130:P$146*$C$130:$C$146)</f>
        <v>4184.45706523331</v>
      </c>
    </row>
    <row r="156" customFormat="false" ht="15" hidden="false" customHeight="false" outlineLevel="0" collapsed="false">
      <c r="A156" s="4" t="s">
        <v>154</v>
      </c>
      <c r="D156" s="25" t="n">
        <f aca="false">SUMPRODUCT(($B$130:$B$146=$A156)*D$130:D$146*$C$130:$C$146)</f>
        <v>12.017421207561</v>
      </c>
      <c r="E156" s="25" t="n">
        <f aca="false">SUMPRODUCT(($B$130:$B$146=$A156)*E$130:E$146*$C$130:$C$146)</f>
        <v>12.3280010850537</v>
      </c>
      <c r="F156" s="25" t="n">
        <f aca="false">SUMPRODUCT(($B$130:$B$146=$A156)*F$130:F$146*$C$130:$C$146)</f>
        <v>12.6466636799958</v>
      </c>
      <c r="G156" s="25" t="n">
        <f aca="false">SUMPRODUCT(($B$130:$B$146=$A156)*G$130:G$146*$C$130:$C$146)</f>
        <v>12.9736193418854</v>
      </c>
      <c r="H156" s="25" t="n">
        <f aca="false">SUMPRODUCT(($B$130:$B$146=$A156)*H$130:H$146*$C$130:$C$146)</f>
        <v>13.3090838944825</v>
      </c>
      <c r="I156" s="25" t="n">
        <f aca="false">SUMPRODUCT(($B$130:$B$146=$A156)*I$130:I$146*$C$130:$C$146)</f>
        <v>13.6532787782743</v>
      </c>
      <c r="J156" s="25" t="n">
        <f aca="false">SUMPRODUCT(($B$130:$B$146=$A156)*J$130:J$146*$C$130:$C$146)</f>
        <v>14.0064311966484</v>
      </c>
      <c r="K156" s="25" t="n">
        <f aca="false">SUMPRODUCT(($B$130:$B$146=$A156)*K$130:K$146*$C$130:$C$146)</f>
        <v>14.36877426587</v>
      </c>
      <c r="L156" s="25" t="n">
        <f aca="false">SUMPRODUCT(($B$130:$B$146=$A156)*L$130:L$146*$C$130:$C$146)</f>
        <v>14.740547168962</v>
      </c>
      <c r="M156" s="25" t="n">
        <f aca="false">SUMPRODUCT(($B$130:$B$146=$A156)*M$130:M$146*$C$130:$C$146)</f>
        <v>15.1219953135902</v>
      </c>
      <c r="N156" s="25" t="n">
        <f aca="false">SUMPRODUCT(($B$130:$B$146=$A156)*N$130:N$146*$C$130:$C$146)</f>
        <v>15.513370494057</v>
      </c>
      <c r="O156" s="25" t="n">
        <f aca="false">SUMPRODUCT(($B$130:$B$146=$A156)*O$130:O$146*$C$130:$C$146)</f>
        <v>15.9149310575111</v>
      </c>
      <c r="P156" s="25" t="n">
        <f aca="false">SUMPRODUCT(($B$130:$B$146=$A156)*P$130:P$146*$C$130:$C$146)</f>
        <v>166.594117483891</v>
      </c>
    </row>
    <row r="157" customFormat="false" ht="15" hidden="false" customHeight="false" outlineLevel="0" collapsed="false">
      <c r="A157" s="6" t="s">
        <v>275</v>
      </c>
      <c r="D157" s="26" t="n">
        <f aca="false">SUMPRODUCT(D$130:D$146*parametros_recargas!$D$51:$D$67)</f>
        <v>123.741256206447</v>
      </c>
      <c r="E157" s="26" t="n">
        <f aca="false">SUMPRODUCT(E$130:E$146*parametros_recargas!$D$51:$D$67)</f>
        <v>126.920367431414</v>
      </c>
      <c r="F157" s="26" t="n">
        <f aca="false">SUMPRODUCT(F$130:F$146*parametros_recargas!$D$51:$D$67)</f>
        <v>130.182213758149</v>
      </c>
      <c r="G157" s="26" t="n">
        <f aca="false">SUMPRODUCT(G$130:G$146*parametros_recargas!$D$51:$D$67)</f>
        <v>133.52894833468</v>
      </c>
      <c r="H157" s="26" t="n">
        <f aca="false">SUMPRODUCT(H$130:H$146*parametros_recargas!$D$51:$D$67)</f>
        <v>136.962780343854</v>
      </c>
      <c r="I157" s="26" t="n">
        <f aca="false">SUMPRODUCT(I$130:I$146*parametros_recargas!$D$51:$D$67)</f>
        <v>140.48597646162</v>
      </c>
      <c r="J157" s="26" t="n">
        <f aca="false">SUMPRODUCT(J$130:J$146*parametros_recargas!$D$51:$D$67)</f>
        <v>144.100862353265</v>
      </c>
      <c r="K157" s="26" t="n">
        <f aca="false">SUMPRODUCT(K$130:K$146*parametros_recargas!$D$51:$D$67)</f>
        <v>147.809824208588</v>
      </c>
      <c r="L157" s="26" t="n">
        <f aca="false">SUMPRODUCT(L$130:L$146*parametros_recargas!$D$51:$D$67)</f>
        <v>151.615310317023</v>
      </c>
      <c r="M157" s="26" t="n">
        <f aca="false">SUMPRODUCT(M$130:M$146*parametros_recargas!$D$51:$D$67)</f>
        <v>155.519832683765</v>
      </c>
      <c r="N157" s="26" t="n">
        <f aca="false">SUMPRODUCT(N$130:N$146*parametros_recargas!$D$51:$D$67)</f>
        <v>159.525968687939</v>
      </c>
      <c r="O157" s="26" t="n">
        <f aca="false">SUMPRODUCT(O$130:O$146*parametros_recargas!$D$51:$D$67)</f>
        <v>163.636362783933</v>
      </c>
      <c r="P157" s="26" t="n">
        <f aca="false">SUMPRODUCT(P$130:P$146*parametros_recargas!$D$51:$D$67)</f>
        <v>1714.02970357068</v>
      </c>
    </row>
    <row r="161" customFormat="false" ht="23.85" hidden="false" customHeight="false" outlineLevel="0" collapsed="false">
      <c r="A161" s="23" t="n">
        <v>2031</v>
      </c>
      <c r="B161" s="3" t="s">
        <v>270</v>
      </c>
      <c r="C161" s="3" t="s">
        <v>271</v>
      </c>
      <c r="D161" s="3" t="s">
        <v>124</v>
      </c>
      <c r="E161" s="3" t="s">
        <v>125</v>
      </c>
      <c r="F161" s="3" t="s">
        <v>126</v>
      </c>
      <c r="G161" s="3" t="s">
        <v>127</v>
      </c>
      <c r="H161" s="3" t="s">
        <v>128</v>
      </c>
      <c r="I161" s="3" t="s">
        <v>129</v>
      </c>
      <c r="J161" s="3" t="s">
        <v>130</v>
      </c>
      <c r="K161" s="3" t="s">
        <v>131</v>
      </c>
      <c r="L161" s="3" t="s">
        <v>132</v>
      </c>
      <c r="M161" s="3" t="s">
        <v>133</v>
      </c>
      <c r="N161" s="3" t="s">
        <v>134</v>
      </c>
      <c r="O161" s="3" t="s">
        <v>135</v>
      </c>
      <c r="P161" s="3" t="s">
        <v>136</v>
      </c>
      <c r="Q161" s="3" t="s">
        <v>272</v>
      </c>
    </row>
    <row r="162" customFormat="false" ht="15" hidden="false" customHeight="false" outlineLevel="0" collapsed="false">
      <c r="A162" s="12" t="str">
        <f aca="false">parametros_recargas!A51</f>
        <v>ABC 1 kg</v>
      </c>
      <c r="B162" s="12" t="str">
        <f aca="false">parametros_recargas!B51</f>
        <v>ABC</v>
      </c>
      <c r="C162" s="24" t="n">
        <f aca="false">parametros_recargas!C51</f>
        <v>1</v>
      </c>
      <c r="D162" s="25" t="n">
        <f aca="false">datos_base!$G$2*parametros_recargas!$F$42+sobrestock_sustitutos!$G$175/12</f>
        <v>2548.51424970404</v>
      </c>
      <c r="E162" s="25" t="n">
        <f aca="false">datos_base!$G$2*parametros_recargas!$G$42+sobrestock_sustitutos!$G$175/12</f>
        <v>2594.95390948452</v>
      </c>
      <c r="F162" s="25" t="n">
        <f aca="false">datos_base!$G$2*parametros_recargas!$H$42+sobrestock_sustitutos!$G$175/12</f>
        <v>2642.23980428244</v>
      </c>
      <c r="G162" s="25" t="n">
        <f aca="false">datos_base!$G$2*parametros_recargas!$I$42+sobrestock_sustitutos!$G$175/12</f>
        <v>2690.38735440251</v>
      </c>
      <c r="H162" s="25" t="n">
        <f aca="false">datos_base!$G$2*parametros_recargas!$J$42+sobrestock_sustitutos!$G$175/12</f>
        <v>2739.41226114206</v>
      </c>
      <c r="I162" s="25" t="n">
        <f aca="false">datos_base!$G$2*parametros_recargas!$K$42+sobrestock_sustitutos!$G$175/12</f>
        <v>2789.33051191139</v>
      </c>
      <c r="J162" s="25" t="n">
        <f aca="false">datos_base!$G$2*parametros_recargas!$L$42+sobrestock_sustitutos!$G$175/12</f>
        <v>2840.15838544732</v>
      </c>
      <c r="K162" s="25" t="n">
        <f aca="false">datos_base!$G$2*parametros_recargas!$M$42+sobrestock_sustitutos!$G$175/12</f>
        <v>2891.9124571219</v>
      </c>
      <c r="L162" s="25" t="n">
        <f aca="false">datos_base!$G$2*parametros_recargas!$N$42+sobrestock_sustitutos!$G$175/12</f>
        <v>2944.60960434769</v>
      </c>
      <c r="M162" s="25" t="n">
        <f aca="false">datos_base!$G$2*parametros_recargas!$O$42+sobrestock_sustitutos!$G$175/12</f>
        <v>2998.26701208168</v>
      </c>
      <c r="N162" s="25" t="n">
        <f aca="false">datos_base!$G$2*parametros_recargas!$P$42+sobrestock_sustitutos!$G$175/12</f>
        <v>3052.9021784294</v>
      </c>
      <c r="O162" s="25" t="n">
        <f aca="false">datos_base!$G$2*parametros_recargas!$Q$42+sobrestock_sustitutos!$G$175/12</f>
        <v>3108.53292035122</v>
      </c>
      <c r="P162" s="7" t="n">
        <f aca="false">SUM(D162:O162)</f>
        <v>33841.2206487062</v>
      </c>
      <c r="Q162" s="13" t="n">
        <f aca="false">sobrestock_sustitutos!$G$175</f>
        <v>0</v>
      </c>
    </row>
    <row r="163" customFormat="false" ht="15" hidden="false" customHeight="false" outlineLevel="0" collapsed="false">
      <c r="A163" s="12" t="str">
        <f aca="false">parametros_recargas!A52</f>
        <v>ABC 2,5 kg</v>
      </c>
      <c r="B163" s="12" t="str">
        <f aca="false">parametros_recargas!B52</f>
        <v>ABC</v>
      </c>
      <c r="C163" s="24" t="n">
        <f aca="false">parametros_recargas!C52</f>
        <v>1</v>
      </c>
      <c r="D163" s="25" t="n">
        <f aca="false">datos_base!$G$3*parametros_recargas!$F$42+sobrestock_sustitutos!$G$176/12</f>
        <v>226.267451594858</v>
      </c>
      <c r="E163" s="25" t="n">
        <f aca="false">datos_base!$G$3*parametros_recargas!$G$42+sobrestock_sustitutos!$G$176/12</f>
        <v>230.390553308997</v>
      </c>
      <c r="F163" s="25" t="n">
        <f aca="false">datos_base!$G$3*parametros_recargas!$H$42+sobrestock_sustitutos!$G$176/12</f>
        <v>234.588787206865</v>
      </c>
      <c r="G163" s="25" t="n">
        <f aca="false">datos_base!$G$3*parametros_recargas!$I$42+sobrestock_sustitutos!$G$176/12</f>
        <v>238.863522365779</v>
      </c>
      <c r="H163" s="25" t="n">
        <f aca="false">datos_base!$G$3*parametros_recargas!$J$42+sobrestock_sustitutos!$G$176/12</f>
        <v>243.216152810723</v>
      </c>
      <c r="I163" s="25" t="n">
        <f aca="false">datos_base!$G$3*parametros_recargas!$K$42+sobrestock_sustitutos!$G$176/12</f>
        <v>247.64809796895</v>
      </c>
      <c r="J163" s="25" t="n">
        <f aca="false">datos_base!$G$3*parametros_recargas!$L$42+sobrestock_sustitutos!$G$176/12</f>
        <v>252.160803132869</v>
      </c>
      <c r="K163" s="25" t="n">
        <f aca="false">datos_base!$G$3*parametros_recargas!$M$42+sobrestock_sustitutos!$G$176/12</f>
        <v>256.755739931368</v>
      </c>
      <c r="L163" s="25" t="n">
        <f aca="false">datos_base!$G$3*parametros_recargas!$N$42+sobrestock_sustitutos!$G$176/12</f>
        <v>261.434406809721</v>
      </c>
      <c r="M163" s="25" t="n">
        <f aca="false">datos_base!$G$3*parametros_recargas!$O$42+sobrestock_sustitutos!$G$176/12</f>
        <v>266.198329518242</v>
      </c>
      <c r="N163" s="25" t="n">
        <f aca="false">datos_base!$G$3*parametros_recargas!$P$42+sobrestock_sustitutos!$G$176/12</f>
        <v>271.04906160985</v>
      </c>
      <c r="O163" s="25" t="n">
        <f aca="false">datos_base!$G$3*parametros_recargas!$Q$42+sobrestock_sustitutos!$G$176/12</f>
        <v>275.98818494669</v>
      </c>
      <c r="P163" s="7" t="n">
        <f aca="false">SUM(D163:O163)</f>
        <v>3004.56109120491</v>
      </c>
      <c r="Q163" s="13" t="n">
        <f aca="false">sobrestock_sustitutos!$G$176</f>
        <v>0</v>
      </c>
    </row>
    <row r="164" customFormat="false" ht="15" hidden="false" customHeight="false" outlineLevel="0" collapsed="false">
      <c r="A164" s="12" t="str">
        <f aca="false">parametros_recargas!A53</f>
        <v>ABC 5 kg</v>
      </c>
      <c r="B164" s="12" t="str">
        <f aca="false">parametros_recargas!B53</f>
        <v>ABC</v>
      </c>
      <c r="C164" s="24" t="n">
        <f aca="false">parametros_recargas!C53</f>
        <v>1</v>
      </c>
      <c r="D164" s="25" t="n">
        <f aca="false">datos_base!$G$4*parametros_recargas!$F$42+sobrestock_sustitutos!$G$177/12</f>
        <v>1402.72886047857</v>
      </c>
      <c r="E164" s="25" t="n">
        <f aca="false">datos_base!$G$4*parametros_recargas!$G$42+sobrestock_sustitutos!$G$177/12</f>
        <v>1428.1712896366</v>
      </c>
      <c r="F164" s="25" t="n">
        <f aca="false">datos_base!$G$4*parametros_recargas!$H$42+sobrestock_sustitutos!$G$177/12</f>
        <v>1454.07733705935</v>
      </c>
      <c r="G164" s="25" t="n">
        <f aca="false">datos_base!$G$4*parametros_recargas!$I$42+sobrestock_sustitutos!$G$177/12</f>
        <v>1480.45545091403</v>
      </c>
      <c r="H164" s="25" t="n">
        <f aca="false">datos_base!$G$4*parametros_recargas!$J$42+sobrestock_sustitutos!$G$177/12</f>
        <v>1507.31423331244</v>
      </c>
      <c r="I164" s="25" t="n">
        <f aca="false">datos_base!$G$4*parametros_recargas!$K$42+sobrestock_sustitutos!$G$177/12</f>
        <v>1534.66244311618</v>
      </c>
      <c r="J164" s="25" t="n">
        <f aca="false">datos_base!$G$4*parametros_recargas!$L$42+sobrestock_sustitutos!$G$177/12</f>
        <v>1562.50899879303</v>
      </c>
      <c r="K164" s="25" t="n">
        <f aca="false">datos_base!$G$4*parametros_recargas!$M$42+sobrestock_sustitutos!$G$177/12</f>
        <v>1590.86298132529</v>
      </c>
      <c r="L164" s="25" t="n">
        <f aca="false">datos_base!$G$4*parametros_recargas!$N$42+sobrestock_sustitutos!$G$177/12</f>
        <v>1619.73363717118</v>
      </c>
      <c r="M164" s="25" t="n">
        <f aca="false">datos_base!$G$4*parametros_recargas!$O$42+sobrestock_sustitutos!$G$177/12</f>
        <v>1649.13038128017</v>
      </c>
      <c r="N164" s="25" t="n">
        <f aca="false">datos_base!$G$4*parametros_recargas!$P$42+sobrestock_sustitutos!$G$177/12</f>
        <v>1679.06280016328</v>
      </c>
      <c r="O164" s="25" t="n">
        <f aca="false">datos_base!$G$4*parametros_recargas!$Q$42+sobrestock_sustitutos!$G$177/12</f>
        <v>1709.54065501934</v>
      </c>
      <c r="P164" s="7" t="n">
        <f aca="false">SUM(D164:O164)</f>
        <v>18618.2490682695</v>
      </c>
      <c r="Q164" s="13" t="n">
        <f aca="false">sobrestock_sustitutos!$G$177</f>
        <v>78</v>
      </c>
    </row>
    <row r="165" customFormat="false" ht="15" hidden="false" customHeight="false" outlineLevel="0" collapsed="false">
      <c r="A165" s="12" t="str">
        <f aca="false">parametros_recargas!A54</f>
        <v>ABC 10 kg</v>
      </c>
      <c r="B165" s="12" t="str">
        <f aca="false">parametros_recargas!B54</f>
        <v>ABC</v>
      </c>
      <c r="C165" s="24" t="n">
        <f aca="false">parametros_recargas!C54</f>
        <v>1</v>
      </c>
      <c r="D165" s="25" t="n">
        <f aca="false">datos_base!$G$5*parametros_recargas!$F$42+sobrestock_sustitutos!$G$178/12</f>
        <v>83.043620780147</v>
      </c>
      <c r="E165" s="25" t="n">
        <f aca="false">datos_base!$G$5*parametros_recargas!$G$42+sobrestock_sustitutos!$G$178/12</f>
        <v>84.5507881855566</v>
      </c>
      <c r="F165" s="25" t="n">
        <f aca="false">datos_base!$G$5*parametros_recargas!$H$42+sobrestock_sustitutos!$G$178/12</f>
        <v>86.0854195698503</v>
      </c>
      <c r="G165" s="25" t="n">
        <f aca="false">datos_base!$G$5*parametros_recargas!$I$42+sobrestock_sustitutos!$G$178/12</f>
        <v>87.648015388474</v>
      </c>
      <c r="H165" s="25" t="n">
        <f aca="false">datos_base!$G$5*parametros_recargas!$J$42+sobrestock_sustitutos!$G$178/12</f>
        <v>89.2390852162973</v>
      </c>
      <c r="I165" s="25" t="n">
        <f aca="false">datos_base!$G$5*parametros_recargas!$K$42+sobrestock_sustitutos!$G$178/12</f>
        <v>90.8591479137896</v>
      </c>
      <c r="J165" s="25" t="n">
        <f aca="false">datos_base!$G$5*parametros_recargas!$L$42+sobrestock_sustitutos!$G$178/12</f>
        <v>92.5087317962245</v>
      </c>
      <c r="K165" s="25" t="n">
        <f aca="false">datos_base!$G$5*parametros_recargas!$M$42+sobrestock_sustitutos!$G$178/12</f>
        <v>94.188374805968</v>
      </c>
      <c r="L165" s="25" t="n">
        <f aca="false">datos_base!$G$5*parametros_recargas!$N$42+sobrestock_sustitutos!$G$178/12</f>
        <v>95.8986246879055</v>
      </c>
      <c r="M165" s="25" t="n">
        <f aca="false">datos_base!$G$5*parametros_recargas!$O$42+sobrestock_sustitutos!$G$178/12</f>
        <v>97.6400391680656</v>
      </c>
      <c r="N165" s="25" t="n">
        <f aca="false">datos_base!$G$5*parametros_recargas!$P$42+sobrestock_sustitutos!$G$178/12</f>
        <v>99.4131861354994</v>
      </c>
      <c r="O165" s="25" t="n">
        <f aca="false">datos_base!$G$5*parametros_recargas!$Q$42+sobrestock_sustitutos!$G$178/12</f>
        <v>101.218643827473</v>
      </c>
      <c r="P165" s="7" t="n">
        <f aca="false">SUM(D165:O165)</f>
        <v>1102.29367747525</v>
      </c>
      <c r="Q165" s="13" t="n">
        <f aca="false">sobrestock_sustitutos!$G$178</f>
        <v>4</v>
      </c>
    </row>
    <row r="166" customFormat="false" ht="15" hidden="false" customHeight="false" outlineLevel="0" collapsed="false">
      <c r="A166" s="12" t="str">
        <f aca="false">parametros_recargas!A55</f>
        <v>Agua 10 l</v>
      </c>
      <c r="B166" s="12" t="str">
        <f aca="false">parametros_recargas!B55</f>
        <v>Agua</v>
      </c>
      <c r="C166" s="24" t="n">
        <f aca="false">parametros_recargas!C55</f>
        <v>1</v>
      </c>
      <c r="D166" s="25" t="n">
        <f aca="false">datos_base!$G$6*parametros_recargas!$F$42+sobrestock_sustitutos!$G$179/12</f>
        <v>116.320643626862</v>
      </c>
      <c r="E166" s="25" t="n">
        <f aca="false">datos_base!$G$6*parametros_recargas!$G$42+sobrestock_sustitutos!$G$179/12</f>
        <v>118.431156168125</v>
      </c>
      <c r="F166" s="25" t="n">
        <f aca="false">datos_base!$G$6*parametros_recargas!$H$42+sobrestock_sustitutos!$G$179/12</f>
        <v>120.580126993225</v>
      </c>
      <c r="G166" s="25" t="n">
        <f aca="false">datos_base!$G$6*parametros_recargas!$I$42+sobrestock_sustitutos!$G$179/12</f>
        <v>122.768256898565</v>
      </c>
      <c r="H166" s="25" t="n">
        <f aca="false">datos_base!$G$6*parametros_recargas!$J$42+sobrestock_sustitutos!$G$179/12</f>
        <v>124.996259450633</v>
      </c>
      <c r="I166" s="25" t="n">
        <f aca="false">datos_base!$G$6*parametros_recargas!$K$42+sobrestock_sustitutos!$G$179/12</f>
        <v>127.264861218703</v>
      </c>
      <c r="J166" s="25" t="n">
        <f aca="false">datos_base!$G$6*parametros_recargas!$L$42+sobrestock_sustitutos!$G$179/12</f>
        <v>129.574802011775</v>
      </c>
      <c r="K166" s="25" t="n">
        <f aca="false">datos_base!$G$6*parametros_recargas!$M$42+sobrestock_sustitutos!$G$179/12</f>
        <v>131.926835119833</v>
      </c>
      <c r="L166" s="25" t="n">
        <f aca="false">datos_base!$G$6*parametros_recargas!$N$42+sobrestock_sustitutos!$G$179/12</f>
        <v>134.321727559496</v>
      </c>
      <c r="M166" s="25" t="n">
        <f aca="false">datos_base!$G$6*parametros_recargas!$O$42+sobrestock_sustitutos!$G$179/12</f>
        <v>136.760260324153</v>
      </c>
      <c r="N166" s="25" t="n">
        <f aca="false">datos_base!$G$6*parametros_recargas!$P$42+sobrestock_sustitutos!$G$179/12</f>
        <v>139.243228638648</v>
      </c>
      <c r="O166" s="25" t="n">
        <f aca="false">datos_base!$G$6*parametros_recargas!$Q$42+sobrestock_sustitutos!$G$179/12</f>
        <v>141.771442218609</v>
      </c>
      <c r="P166" s="7" t="n">
        <f aca="false">SUM(D166:O166)</f>
        <v>1543.95960022863</v>
      </c>
      <c r="Q166" s="13" t="n">
        <f aca="false">sobrestock_sustitutos!$G$179</f>
        <v>6</v>
      </c>
    </row>
    <row r="167" customFormat="false" ht="15" hidden="false" customHeight="false" outlineLevel="0" collapsed="false">
      <c r="A167" s="12" t="str">
        <f aca="false">parametros_recargas!A56</f>
        <v>AFFF 10 l</v>
      </c>
      <c r="B167" s="12" t="str">
        <f aca="false">parametros_recargas!B56</f>
        <v>AFFF</v>
      </c>
      <c r="C167" s="24" t="n">
        <f aca="false">parametros_recargas!C56</f>
        <v>1</v>
      </c>
      <c r="D167" s="25" t="n">
        <f aca="false">datos_base!$G$7*parametros_recargas!$F$42+sobrestock_sustitutos!$G$180/12</f>
        <v>21.0673093890152</v>
      </c>
      <c r="E167" s="25" t="n">
        <f aca="false">datos_base!$G$7*parametros_recargas!$G$42+sobrestock_sustitutos!$G$180/12</f>
        <v>21.4481660930074</v>
      </c>
      <c r="F167" s="25" t="n">
        <f aca="false">datos_base!$G$7*parametros_recargas!$H$42+sobrestock_sustitutos!$G$180/12</f>
        <v>21.8359628624752</v>
      </c>
      <c r="G167" s="25" t="n">
        <f aca="false">datos_base!$G$7*parametros_recargas!$I$42+sobrestock_sustitutos!$G$180/12</f>
        <v>22.2308261610158</v>
      </c>
      <c r="H167" s="25" t="n">
        <f aca="false">datos_base!$G$7*parametros_recargas!$J$42+sobrestock_sustitutos!$G$180/12</f>
        <v>22.6328847566775</v>
      </c>
      <c r="I167" s="25" t="n">
        <f aca="false">datos_base!$G$7*parametros_recargas!$K$42+sobrestock_sustitutos!$G$180/12</f>
        <v>23.042269763952</v>
      </c>
      <c r="J167" s="25" t="n">
        <f aca="false">datos_base!$G$7*parametros_recargas!$L$42+sobrestock_sustitutos!$G$180/12</f>
        <v>23.4591146865317</v>
      </c>
      <c r="K167" s="25" t="n">
        <f aca="false">datos_base!$G$7*parametros_recargas!$M$42+sobrestock_sustitutos!$G$180/12</f>
        <v>23.8835554608467</v>
      </c>
      <c r="L167" s="25" t="n">
        <f aca="false">datos_base!$G$7*parametros_recargas!$N$42+sobrestock_sustitutos!$G$180/12</f>
        <v>24.3157305003942</v>
      </c>
      <c r="M167" s="25" t="n">
        <f aca="false">datos_base!$G$7*parametros_recargas!$O$42+sobrestock_sustitutos!$G$180/12</f>
        <v>24.7557807408768</v>
      </c>
      <c r="N167" s="25" t="n">
        <f aca="false">datos_base!$G$7*parametros_recargas!$P$42+sobrestock_sustitutos!$G$180/12</f>
        <v>25.2038496861622</v>
      </c>
      <c r="O167" s="25" t="n">
        <f aca="false">datos_base!$G$7*parametros_recargas!$Q$42+sobrestock_sustitutos!$G$180/12</f>
        <v>25.6600834550816</v>
      </c>
      <c r="P167" s="7" t="n">
        <f aca="false">SUM(D167:O167)</f>
        <v>279.535533556036</v>
      </c>
      <c r="Q167" s="13" t="n">
        <f aca="false">sobrestock_sustitutos!$G$180</f>
        <v>2</v>
      </c>
    </row>
    <row r="168" customFormat="false" ht="15" hidden="false" customHeight="false" outlineLevel="0" collapsed="false">
      <c r="A168" s="12" t="str">
        <f aca="false">parametros_recargas!A57</f>
        <v>AFFF 50 l s/ruedas</v>
      </c>
      <c r="B168" s="12" t="str">
        <f aca="false">parametros_recargas!B57</f>
        <v>AFFF</v>
      </c>
      <c r="C168" s="24" t="n">
        <f aca="false">parametros_recargas!C57</f>
        <v>3</v>
      </c>
      <c r="D168" s="25" t="n">
        <f aca="false">datos_base!$G$8*parametros_recargas!$F$42+sobrestock_sustitutos!$G$181/12</f>
        <v>11.2519256852983</v>
      </c>
      <c r="E168" s="25" t="n">
        <f aca="false">datos_base!$G$8*parametros_recargas!$G$42+sobrestock_sustitutos!$G$181/12</f>
        <v>11.4554425497272</v>
      </c>
      <c r="F168" s="25" t="n">
        <f aca="false">datos_base!$G$8*parametros_recargas!$H$42+sobrestock_sustitutos!$G$181/12</f>
        <v>11.6626679490191</v>
      </c>
      <c r="G168" s="25" t="n">
        <f aca="false">datos_base!$G$8*parametros_recargas!$I$42+sobrestock_sustitutos!$G$181/12</f>
        <v>11.8736694610174</v>
      </c>
      <c r="H168" s="25" t="n">
        <f aca="false">datos_base!$G$8*parametros_recargas!$J$42+sobrestock_sustitutos!$G$181/12</f>
        <v>12.088515894986</v>
      </c>
      <c r="I168" s="25" t="n">
        <f aca="false">datos_base!$G$8*parametros_recargas!$K$42+sobrestock_sustitutos!$G$181/12</f>
        <v>12.3072773140483</v>
      </c>
      <c r="J168" s="25" t="n">
        <f aca="false">datos_base!$G$8*parametros_recargas!$L$42+sobrestock_sustitutos!$G$181/12</f>
        <v>12.5300250580352</v>
      </c>
      <c r="K168" s="25" t="n">
        <f aca="false">datos_base!$G$8*parametros_recargas!$M$42+sobrestock_sustitutos!$G$181/12</f>
        <v>12.7568317667499</v>
      </c>
      <c r="L168" s="25" t="n">
        <f aca="false">datos_base!$G$8*parametros_recargas!$N$42+sobrestock_sustitutos!$G$181/12</f>
        <v>12.9877714036558</v>
      </c>
      <c r="M168" s="25" t="n">
        <f aca="false">datos_base!$G$8*parametros_recargas!$O$42+sobrestock_sustitutos!$G$181/12</f>
        <v>13.2229192799974</v>
      </c>
      <c r="N168" s="25" t="n">
        <f aca="false">datos_base!$G$8*parametros_recargas!$P$42+sobrestock_sustitutos!$G$181/12</f>
        <v>13.462352079359</v>
      </c>
      <c r="O168" s="25" t="n">
        <f aca="false">datos_base!$G$8*parametros_recargas!$Q$42+sobrestock_sustitutos!$G$181/12</f>
        <v>13.7061478826723</v>
      </c>
      <c r="P168" s="7" t="n">
        <f aca="false">SUM(D168:O168)</f>
        <v>149.305546324566</v>
      </c>
      <c r="Q168" s="13" t="n">
        <f aca="false">sobrestock_sustitutos!$G$181</f>
        <v>1</v>
      </c>
    </row>
    <row r="169" customFormat="false" ht="15" hidden="false" customHeight="false" outlineLevel="0" collapsed="false">
      <c r="A169" s="12" t="str">
        <f aca="false">parametros_recargas!A58</f>
        <v>BC 5 kg</v>
      </c>
      <c r="B169" s="12" t="str">
        <f aca="false">parametros_recargas!B58</f>
        <v>BC</v>
      </c>
      <c r="C169" s="24" t="n">
        <f aca="false">parametros_recargas!C58</f>
        <v>1</v>
      </c>
      <c r="D169" s="25" t="n">
        <f aca="false">datos_base!$G$9*parametros_recargas!$F$42+sobrestock_sustitutos!$G$182/12</f>
        <v>6.41880962264308</v>
      </c>
      <c r="E169" s="25" t="n">
        <f aca="false">datos_base!$G$9*parametros_recargas!$G$42+sobrestock_sustitutos!$G$182/12</f>
        <v>6.53425624549678</v>
      </c>
      <c r="F169" s="25" t="n">
        <f aca="false">datos_base!$G$9*parametros_recargas!$H$42+sobrestock_sustitutos!$G$182/12</f>
        <v>6.6518065653923</v>
      </c>
      <c r="G169" s="25" t="n">
        <f aca="false">datos_base!$G$9*parametros_recargas!$I$42+sobrestock_sustitutos!$G$182/12</f>
        <v>6.77149891641975</v>
      </c>
      <c r="H169" s="25" t="n">
        <f aca="false">datos_base!$G$9*parametros_recargas!$J$42+sobrestock_sustitutos!$G$182/12</f>
        <v>6.89337233120256</v>
      </c>
      <c r="I169" s="25" t="n">
        <f aca="false">datos_base!$G$9*parametros_recargas!$K$42+sobrestock_sustitutos!$G$182/12</f>
        <v>7.01746655362631</v>
      </c>
      <c r="J169" s="25" t="n">
        <f aca="false">datos_base!$G$9*parametros_recargas!$L$42+sobrestock_sustitutos!$G$182/12</f>
        <v>7.14382205179955</v>
      </c>
      <c r="K169" s="25" t="n">
        <f aca="false">datos_base!$G$9*parametros_recargas!$M$42+sobrestock_sustitutos!$G$182/12</f>
        <v>7.27248003125075</v>
      </c>
      <c r="L169" s="25" t="n">
        <f aca="false">datos_base!$G$9*parametros_recargas!$N$42+sobrestock_sustitutos!$G$182/12</f>
        <v>7.40348244836576</v>
      </c>
      <c r="M169" s="25" t="n">
        <f aca="false">datos_base!$G$9*parametros_recargas!$O$42+sobrestock_sustitutos!$G$182/12</f>
        <v>7.53687202407011</v>
      </c>
      <c r="N169" s="25" t="n">
        <f aca="false">datos_base!$G$9*parametros_recargas!$P$42+sobrestock_sustitutos!$G$182/12</f>
        <v>7.67269225776065</v>
      </c>
      <c r="O169" s="25" t="n">
        <f aca="false">datos_base!$G$9*parametros_recargas!$Q$42+sobrestock_sustitutos!$G$182/12</f>
        <v>7.81098744149106</v>
      </c>
      <c r="P169" s="7" t="n">
        <f aca="false">SUM(D169:O169)</f>
        <v>85.1275464895187</v>
      </c>
      <c r="Q169" s="13" t="n">
        <f aca="false">sobrestock_sustitutos!$G$182</f>
        <v>1</v>
      </c>
    </row>
    <row r="170" customFormat="false" ht="15" hidden="false" customHeight="false" outlineLevel="0" collapsed="false">
      <c r="A170" s="12" t="str">
        <f aca="false">parametros_recargas!A59</f>
        <v>Sales K 6 l</v>
      </c>
      <c r="B170" s="12" t="str">
        <f aca="false">parametros_recargas!B59</f>
        <v>Sales K</v>
      </c>
      <c r="C170" s="24" t="n">
        <f aca="false">parametros_recargas!C59</f>
        <v>1</v>
      </c>
      <c r="D170" s="25" t="n">
        <f aca="false">datos_base!$G$10*parametros_recargas!$F$42+sobrestock_sustitutos!$G$183/12</f>
        <v>56.6552687637989</v>
      </c>
      <c r="E170" s="25" t="n">
        <f aca="false">datos_base!$G$10*parametros_recargas!$G$42+sobrestock_sustitutos!$G$183/12</f>
        <v>57.6830995838627</v>
      </c>
      <c r="F170" s="25" t="n">
        <f aca="false">datos_base!$G$10*parametros_recargas!$H$42+sobrestock_sustitutos!$G$183/12</f>
        <v>58.7296597924717</v>
      </c>
      <c r="G170" s="25" t="n">
        <f aca="false">datos_base!$G$10*parametros_recargas!$I$42+sobrestock_sustitutos!$G$183/12</f>
        <v>59.7952906811968</v>
      </c>
      <c r="H170" s="25" t="n">
        <f aca="false">datos_base!$G$10*parametros_recargas!$J$42+sobrestock_sustitutos!$G$183/12</f>
        <v>60.8803397607089</v>
      </c>
      <c r="I170" s="25" t="n">
        <f aca="false">datos_base!$G$10*parametros_recargas!$K$42+sobrestock_sustitutos!$G$183/12</f>
        <v>61.9851608741044</v>
      </c>
      <c r="J170" s="25" t="n">
        <f aca="false">datos_base!$G$10*parametros_recargas!$L$42+sobrestock_sustitutos!$G$183/12</f>
        <v>63.1101143122968</v>
      </c>
      <c r="K170" s="25" t="n">
        <f aca="false">datos_base!$G$10*parametros_recargas!$M$42+sobrestock_sustitutos!$G$183/12</f>
        <v>64.2555669315099</v>
      </c>
      <c r="L170" s="25" t="n">
        <f aca="false">datos_base!$G$10*parametros_recargas!$N$42+sobrestock_sustitutos!$G$183/12</f>
        <v>65.4218922729128</v>
      </c>
      <c r="M170" s="25" t="n">
        <f aca="false">datos_base!$G$10*parametros_recargas!$O$42+sobrestock_sustitutos!$G$183/12</f>
        <v>66.6094706844347</v>
      </c>
      <c r="N170" s="25" t="n">
        <f aca="false">datos_base!$G$10*parametros_recargas!$P$42+sobrestock_sustitutos!$G$183/12</f>
        <v>67.8186894447991</v>
      </c>
      <c r="O170" s="25" t="n">
        <f aca="false">datos_base!$G$10*parametros_recargas!$Q$42+sobrestock_sustitutos!$G$183/12</f>
        <v>69.0499428898187</v>
      </c>
      <c r="P170" s="7" t="n">
        <f aca="false">SUM(D170:O170)</f>
        <v>751.994495991916</v>
      </c>
      <c r="Q170" s="13" t="n">
        <f aca="false">sobrestock_sustitutos!$G$183</f>
        <v>3</v>
      </c>
    </row>
    <row r="171" customFormat="false" ht="15" hidden="false" customHeight="false" outlineLevel="0" collapsed="false">
      <c r="A171" s="12" t="str">
        <f aca="false">parametros_recargas!A60</f>
        <v>CO₂ 2 kg</v>
      </c>
      <c r="B171" s="12" t="str">
        <f aca="false">parametros_recargas!B60</f>
        <v>CO₂</v>
      </c>
      <c r="C171" s="24" t="n">
        <f aca="false">parametros_recargas!C60</f>
        <v>1</v>
      </c>
      <c r="D171" s="25" t="n">
        <f aca="false">datos_base!$G$11*parametros_recargas!$F$42+sobrestock_sustitutos!$G$184/12</f>
        <v>315.067521390647</v>
      </c>
      <c r="E171" s="25" t="n">
        <f aca="false">datos_base!$G$11*parametros_recargas!$G$42+sobrestock_sustitutos!$G$184/12</f>
        <v>320.808760037031</v>
      </c>
      <c r="F171" s="25" t="n">
        <f aca="false">datos_base!$G$11*parametros_recargas!$H$42+sobrestock_sustitutos!$G$184/12</f>
        <v>326.654616960315</v>
      </c>
      <c r="G171" s="25" t="n">
        <f aca="false">datos_base!$G$11*parametros_recargas!$I$42+sobrestock_sustitutos!$G$184/12</f>
        <v>332.606998540729</v>
      </c>
      <c r="H171" s="25" t="n">
        <f aca="false">datos_base!$G$11*parametros_recargas!$J$42+sobrestock_sustitutos!$G$184/12</f>
        <v>338.66784589704</v>
      </c>
      <c r="I171" s="25" t="n">
        <f aca="false">datos_base!$G$11*parametros_recargas!$K$42+sobrestock_sustitutos!$G$184/12</f>
        <v>344.839135519562</v>
      </c>
      <c r="J171" s="25" t="n">
        <f aca="false">datos_base!$G$11*parametros_recargas!$L$42+sobrestock_sustitutos!$G$184/12</f>
        <v>351.122879914706</v>
      </c>
      <c r="K171" s="25" t="n">
        <f aca="false">datos_base!$G$11*parametros_recargas!$M$42+sobrestock_sustitutos!$G$184/12</f>
        <v>357.521128261278</v>
      </c>
      <c r="L171" s="25" t="n">
        <f aca="false">datos_base!$G$11*parametros_recargas!$N$42+sobrestock_sustitutos!$G$184/12</f>
        <v>364.035967078725</v>
      </c>
      <c r="M171" s="25" t="n">
        <f aca="false">datos_base!$G$11*parametros_recargas!$O$42+sobrestock_sustitutos!$G$184/12</f>
        <v>370.669520907572</v>
      </c>
      <c r="N171" s="25" t="n">
        <f aca="false">datos_base!$G$11*parametros_recargas!$P$42+sobrestock_sustitutos!$G$184/12</f>
        <v>377.423953002249</v>
      </c>
      <c r="O171" s="25" t="n">
        <f aca="false">datos_base!$G$11*parametros_recargas!$Q$42+sobrestock_sustitutos!$G$184/12</f>
        <v>384.301466036545</v>
      </c>
      <c r="P171" s="7" t="n">
        <f aca="false">SUM(D171:O171)</f>
        <v>4183.7197935464</v>
      </c>
      <c r="Q171" s="13" t="n">
        <f aca="false">sobrestock_sustitutos!$G$184</f>
        <v>0</v>
      </c>
    </row>
    <row r="172" customFormat="false" ht="15" hidden="false" customHeight="false" outlineLevel="0" collapsed="false">
      <c r="A172" s="12" t="str">
        <f aca="false">parametros_recargas!A61</f>
        <v>CO₂ 5 kg</v>
      </c>
      <c r="B172" s="12" t="str">
        <f aca="false">parametros_recargas!B61</f>
        <v>CO₂</v>
      </c>
      <c r="C172" s="24" t="n">
        <f aca="false">parametros_recargas!C61</f>
        <v>1</v>
      </c>
      <c r="D172" s="25" t="n">
        <f aca="false">datos_base!$G$12*parametros_recargas!$F$42+sobrestock_sustitutos!$G$185/12</f>
        <v>104.196543693715</v>
      </c>
      <c r="E172" s="25" t="n">
        <f aca="false">datos_base!$G$12*parametros_recargas!$G$42+sobrestock_sustitutos!$G$185/12</f>
        <v>106.064868584198</v>
      </c>
      <c r="F172" s="25" t="n">
        <f aca="false">datos_base!$G$12*parametros_recargas!$H$42+sobrestock_sustitutos!$G$185/12</f>
        <v>107.967238554979</v>
      </c>
      <c r="G172" s="25" t="n">
        <f aca="false">datos_base!$G$12*parametros_recargas!$I$42+sobrestock_sustitutos!$G$185/12</f>
        <v>109.904273983969</v>
      </c>
      <c r="H172" s="25" t="n">
        <f aca="false">datos_base!$G$12*parametros_recargas!$J$42+sobrestock_sustitutos!$G$185/12</f>
        <v>111.876606553761</v>
      </c>
      <c r="I172" s="25" t="n">
        <f aca="false">datos_base!$G$12*parametros_recargas!$K$42+sobrestock_sustitutos!$G$185/12</f>
        <v>113.884879457622</v>
      </c>
      <c r="J172" s="25" t="n">
        <f aca="false">datos_base!$G$12*parametros_recargas!$L$42+sobrestock_sustitutos!$G$185/12</f>
        <v>115.929747609248</v>
      </c>
      <c r="K172" s="25" t="n">
        <f aca="false">datos_base!$G$12*parametros_recargas!$M$42+sobrestock_sustitutos!$G$185/12</f>
        <v>118.011877856336</v>
      </c>
      <c r="L172" s="25" t="n">
        <f aca="false">datos_base!$G$12*parametros_recargas!$N$42+sobrestock_sustitutos!$G$185/12</f>
        <v>120.131949198046</v>
      </c>
      <c r="M172" s="25" t="n">
        <f aca="false">datos_base!$G$12*parametros_recargas!$O$42+sobrestock_sustitutos!$G$185/12</f>
        <v>122.290653006429</v>
      </c>
      <c r="N172" s="25" t="n">
        <f aca="false">datos_base!$G$12*parametros_recargas!$P$42+sobrestock_sustitutos!$G$185/12</f>
        <v>124.488693251892</v>
      </c>
      <c r="O172" s="25" t="n">
        <f aca="false">datos_base!$G$12*parametros_recargas!$Q$42+sobrestock_sustitutos!$G$185/12</f>
        <v>126.726786732762</v>
      </c>
      <c r="P172" s="7" t="n">
        <f aca="false">SUM(D172:O172)</f>
        <v>1381.47411848296</v>
      </c>
      <c r="Q172" s="13" t="n">
        <f aca="false">sobrestock_sustitutos!$G$185</f>
        <v>20</v>
      </c>
    </row>
    <row r="173" customFormat="false" ht="15" hidden="false" customHeight="false" outlineLevel="0" collapsed="false">
      <c r="A173" s="12" t="str">
        <f aca="false">parametros_recargas!A62</f>
        <v>HCFC/HFC 5 kg</v>
      </c>
      <c r="B173" s="12" t="str">
        <f aca="false">parametros_recargas!B62</f>
        <v>Halogenado</v>
      </c>
      <c r="C173" s="24" t="n">
        <f aca="false">parametros_recargas!C62</f>
        <v>1</v>
      </c>
      <c r="D173" s="25" t="n">
        <f aca="false">datos_base!$G$13*parametros_recargas!$F$42+sobrestock_sustitutos!$G$186/12</f>
        <v>16.4575451929634</v>
      </c>
      <c r="E173" s="25" t="n">
        <f aca="false">datos_base!$G$13*parametros_recargas!$G$42+sobrestock_sustitutos!$G$186/12</f>
        <v>16.7559201492828</v>
      </c>
      <c r="F173" s="25" t="n">
        <f aca="false">datos_base!$G$13*parametros_recargas!$H$42+sobrestock_sustitutos!$G$186/12</f>
        <v>17.059732168181</v>
      </c>
      <c r="G173" s="25" t="n">
        <f aca="false">datos_base!$G$13*parametros_recargas!$I$42+sobrestock_sustitutos!$G$186/12</f>
        <v>17.3690803251629</v>
      </c>
      <c r="H173" s="25" t="n">
        <f aca="false">datos_base!$G$13*parametros_recargas!$J$42+sobrestock_sustitutos!$G$186/12</f>
        <v>17.6840655011121</v>
      </c>
      <c r="I173" s="25" t="n">
        <f aca="false">datos_base!$G$13*parametros_recargas!$K$42+sobrestock_sustitutos!$G$186/12</f>
        <v>18.0047904151886</v>
      </c>
      <c r="J173" s="25" t="n">
        <f aca="false">datos_base!$G$13*parametros_recargas!$L$42+sobrestock_sustitutos!$G$186/12</f>
        <v>18.3313596583264</v>
      </c>
      <c r="K173" s="25" t="n">
        <f aca="false">datos_base!$G$13*parametros_recargas!$M$42+sobrestock_sustitutos!$G$186/12</f>
        <v>18.6638797273417</v>
      </c>
      <c r="L173" s="25" t="n">
        <f aca="false">datos_base!$G$13*parametros_recargas!$N$42+sobrestock_sustitutos!$G$186/12</f>
        <v>19.0024590596619</v>
      </c>
      <c r="M173" s="25" t="n">
        <f aca="false">datos_base!$G$13*parametros_recargas!$O$42+sobrestock_sustitutos!$G$186/12</f>
        <v>19.3472080686882</v>
      </c>
      <c r="N173" s="25" t="n">
        <f aca="false">datos_base!$G$13*parametros_recargas!$P$42+sobrestock_sustitutos!$G$186/12</f>
        <v>19.6982391798023</v>
      </c>
      <c r="O173" s="25" t="n">
        <f aca="false">datos_base!$G$13*parametros_recargas!$Q$42+sobrestock_sustitutos!$G$186/12</f>
        <v>20.0556668670291</v>
      </c>
      <c r="P173" s="7" t="n">
        <f aca="false">SUM(D173:O173)</f>
        <v>218.42994631274</v>
      </c>
      <c r="Q173" s="13" t="n">
        <f aca="false">sobrestock_sustitutos!$G$186</f>
        <v>1</v>
      </c>
    </row>
    <row r="174" customFormat="false" ht="15" hidden="false" customHeight="false" outlineLevel="0" collapsed="false">
      <c r="A174" s="12" t="str">
        <f aca="false">parametros_recargas!A63</f>
        <v>Clase D 9 l</v>
      </c>
      <c r="B174" s="12" t="str">
        <f aca="false">parametros_recargas!B63</f>
        <v>Clase D</v>
      </c>
      <c r="C174" s="24" t="n">
        <f aca="false">parametros_recargas!C63</f>
        <v>1</v>
      </c>
      <c r="D174" s="25" t="n">
        <f aca="false">datos_base!$G$14*parametros_recargas!$F$42+sobrestock_sustitutos!$G$187/12</f>
        <v>5.6351023671135</v>
      </c>
      <c r="E174" s="25" t="n">
        <f aca="false">datos_base!$G$14*parametros_recargas!$G$42+sobrestock_sustitutos!$G$187/12</f>
        <v>5.73626808166209</v>
      </c>
      <c r="F174" s="25" t="n">
        <f aca="false">datos_base!$G$14*parametros_recargas!$H$42+sobrestock_sustitutos!$G$187/12</f>
        <v>5.83927726299359</v>
      </c>
      <c r="G174" s="25" t="n">
        <f aca="false">datos_base!$G$14*parametros_recargas!$I$42+sobrestock_sustitutos!$G$187/12</f>
        <v>5.94416350321767</v>
      </c>
      <c r="H174" s="25" t="n">
        <f aca="false">datos_base!$G$14*parametros_recargas!$J$42+sobrestock_sustitutos!$G$187/12</f>
        <v>6.0509610065678</v>
      </c>
      <c r="I174" s="25" t="n">
        <f aca="false">datos_base!$G$14*parametros_recargas!$K$42+sobrestock_sustitutos!$G$187/12</f>
        <v>6.15970460055547</v>
      </c>
      <c r="J174" s="25" t="n">
        <f aca="false">datos_base!$G$14*parametros_recargas!$L$42+sobrestock_sustitutos!$G$187/12</f>
        <v>6.27042974732774</v>
      </c>
      <c r="K174" s="25" t="n">
        <f aca="false">datos_base!$G$14*parametros_recargas!$M$42+sobrestock_sustitutos!$G$187/12</f>
        <v>6.38317255523173</v>
      </c>
      <c r="L174" s="25" t="n">
        <f aca="false">datos_base!$G$14*parametros_recargas!$N$42+sobrestock_sustitutos!$G$187/12</f>
        <v>6.49796979058981</v>
      </c>
      <c r="M174" s="25" t="n">
        <f aca="false">datos_base!$G$14*parametros_recargas!$O$42+sobrestock_sustitutos!$G$187/12</f>
        <v>6.61485888968944</v>
      </c>
      <c r="N174" s="25" t="n">
        <f aca="false">datos_base!$G$14*parametros_recargas!$P$42+sobrestock_sustitutos!$G$187/12</f>
        <v>6.73387797099139</v>
      </c>
      <c r="O174" s="25" t="n">
        <f aca="false">datos_base!$G$14*parametros_recargas!$Q$42+sobrestock_sustitutos!$G$187/12</f>
        <v>6.85506584756051</v>
      </c>
      <c r="P174" s="7" t="n">
        <f aca="false">SUM(D174:O174)</f>
        <v>74.7208516235008</v>
      </c>
      <c r="Q174" s="13" t="n">
        <f aca="false">sobrestock_sustitutos!$G$187</f>
        <v>1</v>
      </c>
    </row>
    <row r="175" customFormat="false" ht="15" hidden="false" customHeight="false" outlineLevel="0" collapsed="false">
      <c r="A175" s="12" t="str">
        <f aca="false">parametros_recargas!A64</f>
        <v>ABC 25 kg s/ruedas</v>
      </c>
      <c r="B175" s="12" t="str">
        <f aca="false">parametros_recargas!B64</f>
        <v>ABC</v>
      </c>
      <c r="C175" s="24" t="n">
        <f aca="false">parametros_recargas!C64</f>
        <v>3</v>
      </c>
      <c r="D175" s="25" t="n">
        <f aca="false">datos_base!$G$15*parametros_recargas!$F$42+sobrestock_sustitutos!$G$188/12</f>
        <v>13.9620706149744</v>
      </c>
      <c r="E175" s="25" t="n">
        <f aca="false">datos_base!$G$15*parametros_recargas!$G$42+sobrestock_sustitutos!$G$188/12</f>
        <v>14.2164909342901</v>
      </c>
      <c r="F175" s="25" t="n">
        <f aca="false">datos_base!$G$15*parametros_recargas!$H$42+sobrestock_sustitutos!$G$188/12</f>
        <v>14.4755473638696</v>
      </c>
      <c r="G175" s="25" t="n">
        <f aca="false">datos_base!$G$15*parametros_recargas!$I$42+sobrestock_sustitutos!$G$188/12</f>
        <v>14.7393243840658</v>
      </c>
      <c r="H175" s="25" t="n">
        <f aca="false">datos_base!$G$15*parametros_recargas!$J$42+sobrestock_sustitutos!$G$188/12</f>
        <v>15.0079080146536</v>
      </c>
      <c r="I175" s="25" t="n">
        <f aca="false">datos_base!$G$15*parametros_recargas!$K$42+sobrestock_sustitutos!$G$188/12</f>
        <v>15.2813858428816</v>
      </c>
      <c r="J175" s="25" t="n">
        <f aca="false">datos_base!$G$15*parametros_recargas!$L$42+sobrestock_sustitutos!$G$188/12</f>
        <v>15.5598470520352</v>
      </c>
      <c r="K175" s="25" t="n">
        <f aca="false">datos_base!$G$15*parametros_recargas!$M$42+sobrestock_sustitutos!$G$188/12</f>
        <v>15.8433824505195</v>
      </c>
      <c r="L175" s="25" t="n">
        <f aca="false">datos_base!$G$15*parametros_recargas!$N$42+sobrestock_sustitutos!$G$188/12</f>
        <v>16.1320845014732</v>
      </c>
      <c r="M175" s="25" t="n">
        <f aca="false">datos_base!$G$15*parametros_recargas!$O$42+sobrestock_sustitutos!$G$188/12</f>
        <v>16.426047352921</v>
      </c>
      <c r="N175" s="25" t="n">
        <f aca="false">datos_base!$G$15*parametros_recargas!$P$42+sobrestock_sustitutos!$G$188/12</f>
        <v>16.7253668684766</v>
      </c>
      <c r="O175" s="25" t="n">
        <f aca="false">datos_base!$G$15*parametros_recargas!$Q$42+sobrestock_sustitutos!$G$188/12</f>
        <v>17.0301406586039</v>
      </c>
      <c r="P175" s="7" t="n">
        <f aca="false">SUM(D175:O175)</f>
        <v>185.399596038765</v>
      </c>
      <c r="Q175" s="13" t="n">
        <f aca="false">sobrestock_sustitutos!$G$188</f>
        <v>0</v>
      </c>
    </row>
    <row r="176" customFormat="false" ht="15" hidden="false" customHeight="false" outlineLevel="0" collapsed="false">
      <c r="A176" s="12" t="str">
        <f aca="false">parametros_recargas!A65</f>
        <v>ABC 50 kg s/ruedas</v>
      </c>
      <c r="B176" s="12" t="str">
        <f aca="false">parametros_recargas!B65</f>
        <v>ABC</v>
      </c>
      <c r="C176" s="24" t="n">
        <f aca="false">parametros_recargas!C65</f>
        <v>3</v>
      </c>
      <c r="D176" s="25" t="n">
        <f aca="false">datos_base!$G$16*parametros_recargas!$F$42+sobrestock_sustitutos!$G$189/12</f>
        <v>30.9665553746501</v>
      </c>
      <c r="E176" s="25" t="n">
        <f aca="false">datos_base!$G$16*parametros_recargas!$G$42+sobrestock_sustitutos!$G$189/12</f>
        <v>31.5262800775404</v>
      </c>
      <c r="F176" s="25" t="n">
        <f aca="false">datos_base!$G$16*parametros_recargas!$H$42+sobrestock_sustitutos!$G$189/12</f>
        <v>32.096204223018</v>
      </c>
      <c r="G176" s="25" t="n">
        <f aca="false">datos_base!$G$16*parametros_recargas!$I$42+sobrestock_sustitutos!$G$189/12</f>
        <v>32.6765136678596</v>
      </c>
      <c r="H176" s="25" t="n">
        <f aca="false">datos_base!$G$16*parametros_recargas!$J$42+sobrestock_sustitutos!$G$189/12</f>
        <v>33.2673976555703</v>
      </c>
      <c r="I176" s="25" t="n">
        <f aca="false">datos_base!$G$16*parametros_recargas!$K$42+sobrestock_sustitutos!$G$189/12</f>
        <v>33.8690488780972</v>
      </c>
      <c r="J176" s="25" t="n">
        <f aca="false">datos_base!$G$16*parametros_recargas!$L$42+sobrestock_sustitutos!$G$189/12</f>
        <v>34.481663538668</v>
      </c>
      <c r="K176" s="25" t="n">
        <f aca="false">datos_base!$G$16*parametros_recargas!$M$42+sobrestock_sustitutos!$G$189/12</f>
        <v>35.1054414157743</v>
      </c>
      <c r="L176" s="25" t="n">
        <f aca="false">datos_base!$G$16*parametros_recargas!$N$42+sobrestock_sustitutos!$G$189/12</f>
        <v>35.7405859283212</v>
      </c>
      <c r="M176" s="25" t="n">
        <f aca="false">datos_base!$G$16*parametros_recargas!$O$42+sobrestock_sustitutos!$G$189/12</f>
        <v>36.3873042019635</v>
      </c>
      <c r="N176" s="25" t="n">
        <f aca="false">datos_base!$G$16*parametros_recargas!$P$42+sobrestock_sustitutos!$G$189/12</f>
        <v>37.045807136651</v>
      </c>
      <c r="O176" s="25" t="n">
        <f aca="false">datos_base!$G$16*parametros_recargas!$Q$42+sobrestock_sustitutos!$G$189/12</f>
        <v>37.716309475405</v>
      </c>
      <c r="P176" s="7" t="n">
        <f aca="false">SUM(D176:O176)</f>
        <v>410.879111573519</v>
      </c>
      <c r="Q176" s="13" t="n">
        <f aca="false">sobrestock_sustitutos!$G$189</f>
        <v>3</v>
      </c>
    </row>
    <row r="177" customFormat="false" ht="15" hidden="false" customHeight="false" outlineLevel="0" collapsed="false">
      <c r="A177" s="12" t="str">
        <f aca="false">parametros_recargas!A66</f>
        <v>ABC 70 kg s/ruedas</v>
      </c>
      <c r="B177" s="12" t="str">
        <f aca="false">parametros_recargas!B66</f>
        <v>ABC</v>
      </c>
      <c r="C177" s="24" t="n">
        <f aca="false">parametros_recargas!C66</f>
        <v>3</v>
      </c>
      <c r="D177" s="25" t="n">
        <f aca="false">datos_base!$G$17*parametros_recargas!$F$42+sobrestock_sustitutos!$G$190/12</f>
        <v>6.701793899529</v>
      </c>
      <c r="E177" s="25" t="n">
        <f aca="false">datos_base!$G$17*parametros_recargas!$G$42+sobrestock_sustitutos!$G$190/12</f>
        <v>6.82391565287968</v>
      </c>
      <c r="F177" s="25" t="n">
        <f aca="false">datos_base!$G$17*parametros_recargas!$H$42+sobrestock_sustitutos!$G$190/12</f>
        <v>6.94826273915838</v>
      </c>
      <c r="G177" s="25" t="n">
        <f aca="false">datos_base!$G$17*parametros_recargas!$I$42+sobrestock_sustitutos!$G$190/12</f>
        <v>7.07487570893455</v>
      </c>
      <c r="H177" s="25" t="n">
        <f aca="false">datos_base!$G$17*parametros_recargas!$J$42+sobrestock_sustitutos!$G$190/12</f>
        <v>7.2037958517002</v>
      </c>
      <c r="I177" s="25" t="n">
        <f aca="false">datos_base!$G$17*parametros_recargas!$K$42+sobrestock_sustitutos!$G$190/12</f>
        <v>7.3350652093347</v>
      </c>
      <c r="J177" s="25" t="n">
        <f aca="false">datos_base!$G$17*parametros_recargas!$L$42+sobrestock_sustitutos!$G$190/12</f>
        <v>7.468726589815</v>
      </c>
      <c r="K177" s="25" t="n">
        <f aca="false">datos_base!$G$17*parametros_recargas!$M$42+sobrestock_sustitutos!$G$190/12</f>
        <v>7.60482358117565</v>
      </c>
      <c r="L177" s="25" t="n">
        <f aca="false">datos_base!$G$17*parametros_recargas!$N$42+sobrestock_sustitutos!$G$190/12</f>
        <v>7.74340056572318</v>
      </c>
      <c r="M177" s="25" t="n">
        <f aca="false">datos_base!$G$17*parametros_recargas!$O$42+sobrestock_sustitutos!$G$190/12</f>
        <v>7.88450273450954</v>
      </c>
      <c r="N177" s="25" t="n">
        <f aca="false">datos_base!$G$17*parametros_recargas!$P$42+sobrestock_sustitutos!$G$190/12</f>
        <v>8.02817610206926</v>
      </c>
      <c r="O177" s="25" t="n">
        <f aca="false">datos_base!$G$17*parametros_recargas!$Q$42+sobrestock_sustitutos!$G$190/12</f>
        <v>8.17446752142515</v>
      </c>
      <c r="P177" s="7" t="n">
        <f aca="false">SUM(D177:O177)</f>
        <v>88.9918061562543</v>
      </c>
      <c r="Q177" s="13" t="n">
        <f aca="false">sobrestock_sustitutos!$G$190</f>
        <v>0</v>
      </c>
    </row>
    <row r="178" customFormat="false" ht="15" hidden="false" customHeight="false" outlineLevel="0" collapsed="false">
      <c r="A178" s="12" t="str">
        <f aca="false">parametros_recargas!A67</f>
        <v>ABC 100 kg s/ruedas</v>
      </c>
      <c r="B178" s="12" t="str">
        <f aca="false">parametros_recargas!B67</f>
        <v>ABC</v>
      </c>
      <c r="C178" s="24" t="n">
        <f aca="false">parametros_recargas!C67</f>
        <v>3</v>
      </c>
      <c r="D178" s="25" t="n">
        <f aca="false">datos_base!$G$18*parametros_recargas!$F$42+sobrestock_sustitutos!$G$191/12</f>
        <v>4.55119592578383</v>
      </c>
      <c r="E178" s="25" t="n">
        <f aca="false">datos_base!$G$18*parametros_recargas!$G$42+sobrestock_sustitutos!$G$191/12</f>
        <v>4.63261042788577</v>
      </c>
      <c r="F178" s="25" t="n">
        <f aca="false">datos_base!$G$18*parametros_recargas!$H$42+sobrestock_sustitutos!$G$191/12</f>
        <v>4.71550848527065</v>
      </c>
      <c r="G178" s="25" t="n">
        <f aca="false">datos_base!$G$18*parametros_recargas!$I$42+sobrestock_sustitutos!$G$191/12</f>
        <v>4.79991713165141</v>
      </c>
      <c r="H178" s="25" t="n">
        <f aca="false">datos_base!$G$18*parametros_recargas!$J$42+sobrestock_sustitutos!$G$191/12</f>
        <v>4.88586389335598</v>
      </c>
      <c r="I178" s="25" t="n">
        <f aca="false">datos_base!$G$18*parametros_recargas!$K$42+sobrestock_sustitutos!$G$191/12</f>
        <v>4.97337679830392</v>
      </c>
      <c r="J178" s="25" t="n">
        <f aca="false">datos_base!$G$18*parametros_recargas!$L$42+sobrestock_sustitutos!$G$191/12</f>
        <v>5.06248438514649</v>
      </c>
      <c r="K178" s="25" t="n">
        <f aca="false">datos_base!$G$18*parametros_recargas!$M$42+sobrestock_sustitutos!$G$191/12</f>
        <v>5.15321571257332</v>
      </c>
      <c r="L178" s="25" t="n">
        <f aca="false">datos_base!$G$18*parametros_recargas!$N$42+sobrestock_sustitutos!$G$191/12</f>
        <v>5.24560036878872</v>
      </c>
      <c r="M178" s="25" t="n">
        <f aca="false">datos_base!$G$18*parametros_recargas!$O$42+sobrestock_sustitutos!$G$191/12</f>
        <v>5.33966848116063</v>
      </c>
      <c r="N178" s="25" t="n">
        <f aca="false">datos_base!$G$18*parametros_recargas!$P$42+sobrestock_sustitutos!$G$191/12</f>
        <v>5.43545072604533</v>
      </c>
      <c r="O178" s="25" t="n">
        <f aca="false">datos_base!$G$18*parametros_recargas!$Q$42+sobrestock_sustitutos!$G$191/12</f>
        <v>5.53297833879131</v>
      </c>
      <c r="P178" s="7" t="n">
        <f aca="false">SUM(D178:O178)</f>
        <v>60.3278706747574</v>
      </c>
      <c r="Q178" s="13" t="n">
        <f aca="false">sobrestock_sustitutos!$G$191</f>
        <v>1</v>
      </c>
    </row>
    <row r="179" customFormat="false" ht="15" hidden="false" customHeight="false" outlineLevel="0" collapsed="false">
      <c r="A179" s="6" t="s">
        <v>273</v>
      </c>
      <c r="D179" s="7" t="n">
        <f aca="false">SUM(D162:D178)</f>
        <v>4969.80646810461</v>
      </c>
      <c r="E179" s="7" t="n">
        <f aca="false">SUM(E162:E178)</f>
        <v>5060.18377520066</v>
      </c>
      <c r="F179" s="7" t="n">
        <f aca="false">SUM(F162:F178)</f>
        <v>5152.20796003888</v>
      </c>
      <c r="G179" s="7" t="n">
        <f aca="false">SUM(G162:G178)</f>
        <v>5245.9090324346</v>
      </c>
      <c r="H179" s="7" t="n">
        <f aca="false">SUM(H162:H178)</f>
        <v>5341.31754904949</v>
      </c>
      <c r="I179" s="7" t="n">
        <f aca="false">SUM(I162:I178)</f>
        <v>5438.46462335629</v>
      </c>
      <c r="J179" s="7" t="n">
        <f aca="false">SUM(J162:J178)</f>
        <v>5537.38193578516</v>
      </c>
      <c r="K179" s="7" t="n">
        <f aca="false">SUM(K162:K178)</f>
        <v>5638.10174405494</v>
      </c>
      <c r="L179" s="7" t="n">
        <f aca="false">SUM(L162:L178)</f>
        <v>5740.65689369264</v>
      </c>
      <c r="M179" s="7" t="n">
        <f aca="false">SUM(M162:M178)</f>
        <v>5845.08082874462</v>
      </c>
      <c r="N179" s="7" t="n">
        <f aca="false">SUM(N162:N178)</f>
        <v>5951.40760268294</v>
      </c>
      <c r="O179" s="7" t="n">
        <f aca="false">SUM(O162:O178)</f>
        <v>6059.67188951052</v>
      </c>
      <c r="P179" s="7" t="n">
        <f aca="false">SUM(P162:P178)</f>
        <v>65980.1903026554</v>
      </c>
    </row>
    <row r="180" customFormat="false" ht="15" hidden="false" customHeight="false" outlineLevel="0" collapsed="false">
      <c r="A180" s="6" t="s">
        <v>274</v>
      </c>
    </row>
    <row r="181" customFormat="false" ht="15" hidden="false" customHeight="false" outlineLevel="0" collapsed="false">
      <c r="A181" s="4" t="s">
        <v>143</v>
      </c>
      <c r="D181" s="25" t="n">
        <f aca="false">SUMPRODUCT(($B$162:$B$178=$A181)*D$162:D$178*$C$162:$C$178)</f>
        <v>4429.09903000243</v>
      </c>
      <c r="E181" s="25" t="n">
        <f aca="false">SUMPRODUCT(($B$162:$B$178=$A181)*E$162:E$178*$C$162:$C$178)</f>
        <v>4509.66443189346</v>
      </c>
      <c r="F181" s="25" t="n">
        <f aca="false">SUMPRODUCT(($B$162:$B$178=$A181)*F$162:F$178*$C$162:$C$178)</f>
        <v>4591.69791655246</v>
      </c>
      <c r="G181" s="25" t="n">
        <f aca="false">SUMPRODUCT(($B$162:$B$178=$A181)*G$162:G$178*$C$162:$C$178)</f>
        <v>4675.22623574833</v>
      </c>
      <c r="H181" s="25" t="n">
        <f aca="false">SUMPRODUCT(($B$162:$B$178=$A181)*H$162:H$178*$C$162:$C$178)</f>
        <v>4760.27662872736</v>
      </c>
      <c r="I181" s="25" t="n">
        <f aca="false">SUMPRODUCT(($B$162:$B$178=$A181)*I$162:I$178*$C$162:$C$178)</f>
        <v>4846.87683109616</v>
      </c>
      <c r="J181" s="25" t="n">
        <f aca="false">SUMPRODUCT(($B$162:$B$178=$A181)*J$162:J$178*$C$162:$C$178)</f>
        <v>4935.05508386644</v>
      </c>
      <c r="K181" s="25" t="n">
        <f aca="false">SUMPRODUCT(($B$162:$B$178=$A181)*K$162:K$178*$C$162:$C$178)</f>
        <v>5024.84014266465</v>
      </c>
      <c r="L181" s="25" t="n">
        <f aca="false">SUMPRODUCT(($B$162:$B$178=$A181)*L$162:L$178*$C$162:$C$178)</f>
        <v>5116.26128710941</v>
      </c>
      <c r="M181" s="25" t="n">
        <f aca="false">SUMPRODUCT(($B$162:$B$178=$A181)*M$162:M$178*$C$162:$C$178)</f>
        <v>5209.34833035982</v>
      </c>
      <c r="N181" s="25" t="n">
        <f aca="false">SUMPRODUCT(($B$162:$B$178=$A181)*N$162:N$178*$C$162:$C$178)</f>
        <v>5304.13162883776</v>
      </c>
      <c r="O181" s="25" t="n">
        <f aca="false">SUMPRODUCT(($B$162:$B$178=$A181)*O$162:O$178*$C$162:$C$178)</f>
        <v>5400.6420921274</v>
      </c>
      <c r="P181" s="25" t="n">
        <f aca="false">SUMPRODUCT(($B$162:$B$178=$A181)*P$162:P$178*$C$162:$C$178)</f>
        <v>58803.1196389857</v>
      </c>
    </row>
    <row r="182" customFormat="false" ht="15" hidden="false" customHeight="false" outlineLevel="0" collapsed="false">
      <c r="A182" s="4" t="s">
        <v>149</v>
      </c>
      <c r="D182" s="25" t="n">
        <f aca="false">SUMPRODUCT(($B$162:$B$178=$A182)*D$162:D$178*$C$162:$C$178)</f>
        <v>6.41880962264308</v>
      </c>
      <c r="E182" s="25" t="n">
        <f aca="false">SUMPRODUCT(($B$162:$B$178=$A182)*E$162:E$178*$C$162:$C$178)</f>
        <v>6.53425624549678</v>
      </c>
      <c r="F182" s="25" t="n">
        <f aca="false">SUMPRODUCT(($B$162:$B$178=$A182)*F$162:F$178*$C$162:$C$178)</f>
        <v>6.6518065653923</v>
      </c>
      <c r="G182" s="25" t="n">
        <f aca="false">SUMPRODUCT(($B$162:$B$178=$A182)*G$162:G$178*$C$162:$C$178)</f>
        <v>6.77149891641975</v>
      </c>
      <c r="H182" s="25" t="n">
        <f aca="false">SUMPRODUCT(($B$162:$B$178=$A182)*H$162:H$178*$C$162:$C$178)</f>
        <v>6.89337233120256</v>
      </c>
      <c r="I182" s="25" t="n">
        <f aca="false">SUMPRODUCT(($B$162:$B$178=$A182)*I$162:I$178*$C$162:$C$178)</f>
        <v>7.01746655362631</v>
      </c>
      <c r="J182" s="25" t="n">
        <f aca="false">SUMPRODUCT(($B$162:$B$178=$A182)*J$162:J$178*$C$162:$C$178)</f>
        <v>7.14382205179955</v>
      </c>
      <c r="K182" s="25" t="n">
        <f aca="false">SUMPRODUCT(($B$162:$B$178=$A182)*K$162:K$178*$C$162:$C$178)</f>
        <v>7.27248003125075</v>
      </c>
      <c r="L182" s="25" t="n">
        <f aca="false">SUMPRODUCT(($B$162:$B$178=$A182)*L$162:L$178*$C$162:$C$178)</f>
        <v>7.40348244836576</v>
      </c>
      <c r="M182" s="25" t="n">
        <f aca="false">SUMPRODUCT(($B$162:$B$178=$A182)*M$162:M$178*$C$162:$C$178)</f>
        <v>7.53687202407011</v>
      </c>
      <c r="N182" s="25" t="n">
        <f aca="false">SUMPRODUCT(($B$162:$B$178=$A182)*N$162:N$178*$C$162:$C$178)</f>
        <v>7.67269225776065</v>
      </c>
      <c r="O182" s="25" t="n">
        <f aca="false">SUMPRODUCT(($B$162:$B$178=$A182)*O$162:O$178*$C$162:$C$178)</f>
        <v>7.81098744149106</v>
      </c>
      <c r="P182" s="25" t="n">
        <f aca="false">SUMPRODUCT(($B$162:$B$178=$A182)*P$162:P$178*$C$162:$C$178)</f>
        <v>85.1275464895187</v>
      </c>
    </row>
    <row r="183" customFormat="false" ht="15" hidden="false" customHeight="false" outlineLevel="0" collapsed="false">
      <c r="A183" s="4" t="s">
        <v>155</v>
      </c>
      <c r="D183" s="25" t="n">
        <f aca="false">SUMPRODUCT(($B$162:$B$178=$A183)*D$162:D$178*$C$162:$C$178)</f>
        <v>5.6351023671135</v>
      </c>
      <c r="E183" s="25" t="n">
        <f aca="false">SUMPRODUCT(($B$162:$B$178=$A183)*E$162:E$178*$C$162:$C$178)</f>
        <v>5.73626808166209</v>
      </c>
      <c r="F183" s="25" t="n">
        <f aca="false">SUMPRODUCT(($B$162:$B$178=$A183)*F$162:F$178*$C$162:$C$178)</f>
        <v>5.83927726299359</v>
      </c>
      <c r="G183" s="25" t="n">
        <f aca="false">SUMPRODUCT(($B$162:$B$178=$A183)*G$162:G$178*$C$162:$C$178)</f>
        <v>5.94416350321767</v>
      </c>
      <c r="H183" s="25" t="n">
        <f aca="false">SUMPRODUCT(($B$162:$B$178=$A183)*H$162:H$178*$C$162:$C$178)</f>
        <v>6.0509610065678</v>
      </c>
      <c r="I183" s="25" t="n">
        <f aca="false">SUMPRODUCT(($B$162:$B$178=$A183)*I$162:I$178*$C$162:$C$178)</f>
        <v>6.15970460055547</v>
      </c>
      <c r="J183" s="25" t="n">
        <f aca="false">SUMPRODUCT(($B$162:$B$178=$A183)*J$162:J$178*$C$162:$C$178)</f>
        <v>6.27042974732774</v>
      </c>
      <c r="K183" s="25" t="n">
        <f aca="false">SUMPRODUCT(($B$162:$B$178=$A183)*K$162:K$178*$C$162:$C$178)</f>
        <v>6.38317255523173</v>
      </c>
      <c r="L183" s="25" t="n">
        <f aca="false">SUMPRODUCT(($B$162:$B$178=$A183)*L$162:L$178*$C$162:$C$178)</f>
        <v>6.49796979058981</v>
      </c>
      <c r="M183" s="25" t="n">
        <f aca="false">SUMPRODUCT(($B$162:$B$178=$A183)*M$162:M$178*$C$162:$C$178)</f>
        <v>6.61485888968944</v>
      </c>
      <c r="N183" s="25" t="n">
        <f aca="false">SUMPRODUCT(($B$162:$B$178=$A183)*N$162:N$178*$C$162:$C$178)</f>
        <v>6.73387797099139</v>
      </c>
      <c r="O183" s="25" t="n">
        <f aca="false">SUMPRODUCT(($B$162:$B$178=$A183)*O$162:O$178*$C$162:$C$178)</f>
        <v>6.85506584756051</v>
      </c>
      <c r="P183" s="25" t="n">
        <f aca="false">SUMPRODUCT(($B$162:$B$178=$A183)*P$162:P$178*$C$162:$C$178)</f>
        <v>74.7208516235008</v>
      </c>
    </row>
    <row r="184" customFormat="false" ht="15" hidden="false" customHeight="false" outlineLevel="0" collapsed="false">
      <c r="A184" s="4" t="s">
        <v>146</v>
      </c>
      <c r="D184" s="25" t="n">
        <f aca="false">SUMPRODUCT(($B$162:$B$178=$A184)*D$162:D$178*$C$162:$C$178)</f>
        <v>116.320643626862</v>
      </c>
      <c r="E184" s="25" t="n">
        <f aca="false">SUMPRODUCT(($B$162:$B$178=$A184)*E$162:E$178*$C$162:$C$178)</f>
        <v>118.431156168125</v>
      </c>
      <c r="F184" s="25" t="n">
        <f aca="false">SUMPRODUCT(($B$162:$B$178=$A184)*F$162:F$178*$C$162:$C$178)</f>
        <v>120.580126993225</v>
      </c>
      <c r="G184" s="25" t="n">
        <f aca="false">SUMPRODUCT(($B$162:$B$178=$A184)*G$162:G$178*$C$162:$C$178)</f>
        <v>122.768256898565</v>
      </c>
      <c r="H184" s="25" t="n">
        <f aca="false">SUMPRODUCT(($B$162:$B$178=$A184)*H$162:H$178*$C$162:$C$178)</f>
        <v>124.996259450633</v>
      </c>
      <c r="I184" s="25" t="n">
        <f aca="false">SUMPRODUCT(($B$162:$B$178=$A184)*I$162:I$178*$C$162:$C$178)</f>
        <v>127.264861218703</v>
      </c>
      <c r="J184" s="25" t="n">
        <f aca="false">SUMPRODUCT(($B$162:$B$178=$A184)*J$162:J$178*$C$162:$C$178)</f>
        <v>129.574802011775</v>
      </c>
      <c r="K184" s="25" t="n">
        <f aca="false">SUMPRODUCT(($B$162:$B$178=$A184)*K$162:K$178*$C$162:$C$178)</f>
        <v>131.926835119833</v>
      </c>
      <c r="L184" s="25" t="n">
        <f aca="false">SUMPRODUCT(($B$162:$B$178=$A184)*L$162:L$178*$C$162:$C$178)</f>
        <v>134.321727559496</v>
      </c>
      <c r="M184" s="25" t="n">
        <f aca="false">SUMPRODUCT(($B$162:$B$178=$A184)*M$162:M$178*$C$162:$C$178)</f>
        <v>136.760260324153</v>
      </c>
      <c r="N184" s="25" t="n">
        <f aca="false">SUMPRODUCT(($B$162:$B$178=$A184)*N$162:N$178*$C$162:$C$178)</f>
        <v>139.243228638648</v>
      </c>
      <c r="O184" s="25" t="n">
        <f aca="false">SUMPRODUCT(($B$162:$B$178=$A184)*O$162:O$178*$C$162:$C$178)</f>
        <v>141.771442218609</v>
      </c>
      <c r="P184" s="25" t="n">
        <f aca="false">SUMPRODUCT(($B$162:$B$178=$A184)*P$162:P$178*$C$162:$C$178)</f>
        <v>1543.95960022863</v>
      </c>
    </row>
    <row r="185" customFormat="false" ht="15" hidden="false" customHeight="false" outlineLevel="0" collapsed="false">
      <c r="A185" s="4" t="s">
        <v>147</v>
      </c>
      <c r="D185" s="25" t="n">
        <f aca="false">SUMPRODUCT(($B$162:$B$178=$A185)*D$162:D$178*$C$162:$C$178)</f>
        <v>54.8230864449102</v>
      </c>
      <c r="E185" s="25" t="n">
        <f aca="false">SUMPRODUCT(($B$162:$B$178=$A185)*E$162:E$178*$C$162:$C$178)</f>
        <v>55.8144937421891</v>
      </c>
      <c r="F185" s="25" t="n">
        <f aca="false">SUMPRODUCT(($B$162:$B$178=$A185)*F$162:F$178*$C$162:$C$178)</f>
        <v>56.8239667095323</v>
      </c>
      <c r="G185" s="25" t="n">
        <f aca="false">SUMPRODUCT(($B$162:$B$178=$A185)*G$162:G$178*$C$162:$C$178)</f>
        <v>57.8518345440679</v>
      </c>
      <c r="H185" s="25" t="n">
        <f aca="false">SUMPRODUCT(($B$162:$B$178=$A185)*H$162:H$178*$C$162:$C$178)</f>
        <v>58.8984324416356</v>
      </c>
      <c r="I185" s="25" t="n">
        <f aca="false">SUMPRODUCT(($B$162:$B$178=$A185)*I$162:I$178*$C$162:$C$178)</f>
        <v>59.9641017060969</v>
      </c>
      <c r="J185" s="25" t="n">
        <f aca="false">SUMPRODUCT(($B$162:$B$178=$A185)*J$162:J$178*$C$162:$C$178)</f>
        <v>61.0491898606375</v>
      </c>
      <c r="K185" s="25" t="n">
        <f aca="false">SUMPRODUCT(($B$162:$B$178=$A185)*K$162:K$178*$C$162:$C$178)</f>
        <v>62.1540507610963</v>
      </c>
      <c r="L185" s="25" t="n">
        <f aca="false">SUMPRODUCT(($B$162:$B$178=$A185)*L$162:L$178*$C$162:$C$178)</f>
        <v>63.2790447113618</v>
      </c>
      <c r="M185" s="25" t="n">
        <f aca="false">SUMPRODUCT(($B$162:$B$178=$A185)*M$162:M$178*$C$162:$C$178)</f>
        <v>64.424538580869</v>
      </c>
      <c r="N185" s="25" t="n">
        <f aca="false">SUMPRODUCT(($B$162:$B$178=$A185)*N$162:N$178*$C$162:$C$178)</f>
        <v>65.5909059242392</v>
      </c>
      <c r="O185" s="25" t="n">
        <f aca="false">SUMPRODUCT(($B$162:$B$178=$A185)*O$162:O$178*$C$162:$C$178)</f>
        <v>66.7785271030986</v>
      </c>
      <c r="P185" s="25" t="n">
        <f aca="false">SUMPRODUCT(($B$162:$B$178=$A185)*P$162:P$178*$C$162:$C$178)</f>
        <v>727.452172529734</v>
      </c>
    </row>
    <row r="186" customFormat="false" ht="15" hidden="false" customHeight="false" outlineLevel="0" collapsed="false">
      <c r="A186" s="4" t="s">
        <v>150</v>
      </c>
      <c r="D186" s="25" t="n">
        <f aca="false">SUMPRODUCT(($B$162:$B$178=$A186)*D$162:D$178*$C$162:$C$178)</f>
        <v>56.6552687637989</v>
      </c>
      <c r="E186" s="25" t="n">
        <f aca="false">SUMPRODUCT(($B$162:$B$178=$A186)*E$162:E$178*$C$162:$C$178)</f>
        <v>57.6830995838627</v>
      </c>
      <c r="F186" s="25" t="n">
        <f aca="false">SUMPRODUCT(($B$162:$B$178=$A186)*F$162:F$178*$C$162:$C$178)</f>
        <v>58.7296597924717</v>
      </c>
      <c r="G186" s="25" t="n">
        <f aca="false">SUMPRODUCT(($B$162:$B$178=$A186)*G$162:G$178*$C$162:$C$178)</f>
        <v>59.7952906811968</v>
      </c>
      <c r="H186" s="25" t="n">
        <f aca="false">SUMPRODUCT(($B$162:$B$178=$A186)*H$162:H$178*$C$162:$C$178)</f>
        <v>60.8803397607089</v>
      </c>
      <c r="I186" s="25" t="n">
        <f aca="false">SUMPRODUCT(($B$162:$B$178=$A186)*I$162:I$178*$C$162:$C$178)</f>
        <v>61.9851608741044</v>
      </c>
      <c r="J186" s="25" t="n">
        <f aca="false">SUMPRODUCT(($B$162:$B$178=$A186)*J$162:J$178*$C$162:$C$178)</f>
        <v>63.1101143122968</v>
      </c>
      <c r="K186" s="25" t="n">
        <f aca="false">SUMPRODUCT(($B$162:$B$178=$A186)*K$162:K$178*$C$162:$C$178)</f>
        <v>64.2555669315099</v>
      </c>
      <c r="L186" s="25" t="n">
        <f aca="false">SUMPRODUCT(($B$162:$B$178=$A186)*L$162:L$178*$C$162:$C$178)</f>
        <v>65.4218922729128</v>
      </c>
      <c r="M186" s="25" t="n">
        <f aca="false">SUMPRODUCT(($B$162:$B$178=$A186)*M$162:M$178*$C$162:$C$178)</f>
        <v>66.6094706844347</v>
      </c>
      <c r="N186" s="25" t="n">
        <f aca="false">SUMPRODUCT(($B$162:$B$178=$A186)*N$162:N$178*$C$162:$C$178)</f>
        <v>67.8186894447991</v>
      </c>
      <c r="O186" s="25" t="n">
        <f aca="false">SUMPRODUCT(($B$162:$B$178=$A186)*O$162:O$178*$C$162:$C$178)</f>
        <v>69.0499428898187</v>
      </c>
      <c r="P186" s="25" t="n">
        <f aca="false">SUMPRODUCT(($B$162:$B$178=$A186)*P$162:P$178*$C$162:$C$178)</f>
        <v>751.994495991916</v>
      </c>
    </row>
    <row r="187" customFormat="false" ht="15" hidden="false" customHeight="false" outlineLevel="0" collapsed="false">
      <c r="A187" s="4" t="s">
        <v>151</v>
      </c>
      <c r="D187" s="25" t="n">
        <f aca="false">SUMPRODUCT(($B$162:$B$178=$A187)*D$162:D$178*$C$162:$C$178)</f>
        <v>419.264065084362</v>
      </c>
      <c r="E187" s="25" t="n">
        <f aca="false">SUMPRODUCT(($B$162:$B$178=$A187)*E$162:E$178*$C$162:$C$178)</f>
        <v>426.873628621229</v>
      </c>
      <c r="F187" s="25" t="n">
        <f aca="false">SUMPRODUCT(($B$162:$B$178=$A187)*F$162:F$178*$C$162:$C$178)</f>
        <v>434.621855515293</v>
      </c>
      <c r="G187" s="25" t="n">
        <f aca="false">SUMPRODUCT(($B$162:$B$178=$A187)*G$162:G$178*$C$162:$C$178)</f>
        <v>442.511272524698</v>
      </c>
      <c r="H187" s="25" t="n">
        <f aca="false">SUMPRODUCT(($B$162:$B$178=$A187)*H$162:H$178*$C$162:$C$178)</f>
        <v>450.5444524508</v>
      </c>
      <c r="I187" s="25" t="n">
        <f aca="false">SUMPRODUCT(($B$162:$B$178=$A187)*I$162:I$178*$C$162:$C$178)</f>
        <v>458.724014977183</v>
      </c>
      <c r="J187" s="25" t="n">
        <f aca="false">SUMPRODUCT(($B$162:$B$178=$A187)*J$162:J$178*$C$162:$C$178)</f>
        <v>467.052627523954</v>
      </c>
      <c r="K187" s="25" t="n">
        <f aca="false">SUMPRODUCT(($B$162:$B$178=$A187)*K$162:K$178*$C$162:$C$178)</f>
        <v>475.533006117614</v>
      </c>
      <c r="L187" s="25" t="n">
        <f aca="false">SUMPRODUCT(($B$162:$B$178=$A187)*L$162:L$178*$C$162:$C$178)</f>
        <v>484.16791627677</v>
      </c>
      <c r="M187" s="25" t="n">
        <f aca="false">SUMPRODUCT(($B$162:$B$178=$A187)*M$162:M$178*$C$162:$C$178)</f>
        <v>492.960173914001</v>
      </c>
      <c r="N187" s="25" t="n">
        <f aca="false">SUMPRODUCT(($B$162:$B$178=$A187)*N$162:N$178*$C$162:$C$178)</f>
        <v>501.91264625414</v>
      </c>
      <c r="O187" s="25" t="n">
        <f aca="false">SUMPRODUCT(($B$162:$B$178=$A187)*O$162:O$178*$C$162:$C$178)</f>
        <v>511.028252769307</v>
      </c>
      <c r="P187" s="25" t="n">
        <f aca="false">SUMPRODUCT(($B$162:$B$178=$A187)*P$162:P$178*$C$162:$C$178)</f>
        <v>5565.19391202935</v>
      </c>
    </row>
    <row r="188" customFormat="false" ht="15" hidden="false" customHeight="false" outlineLevel="0" collapsed="false">
      <c r="A188" s="4" t="s">
        <v>154</v>
      </c>
      <c r="D188" s="25" t="n">
        <f aca="false">SUMPRODUCT(($B$162:$B$178=$A188)*D$162:D$178*$C$162:$C$178)</f>
        <v>16.4575451929634</v>
      </c>
      <c r="E188" s="25" t="n">
        <f aca="false">SUMPRODUCT(($B$162:$B$178=$A188)*E$162:E$178*$C$162:$C$178)</f>
        <v>16.7559201492828</v>
      </c>
      <c r="F188" s="25" t="n">
        <f aca="false">SUMPRODUCT(($B$162:$B$178=$A188)*F$162:F$178*$C$162:$C$178)</f>
        <v>17.059732168181</v>
      </c>
      <c r="G188" s="25" t="n">
        <f aca="false">SUMPRODUCT(($B$162:$B$178=$A188)*G$162:G$178*$C$162:$C$178)</f>
        <v>17.3690803251629</v>
      </c>
      <c r="H188" s="25" t="n">
        <f aca="false">SUMPRODUCT(($B$162:$B$178=$A188)*H$162:H$178*$C$162:$C$178)</f>
        <v>17.6840655011121</v>
      </c>
      <c r="I188" s="25" t="n">
        <f aca="false">SUMPRODUCT(($B$162:$B$178=$A188)*I$162:I$178*$C$162:$C$178)</f>
        <v>18.0047904151886</v>
      </c>
      <c r="J188" s="25" t="n">
        <f aca="false">SUMPRODUCT(($B$162:$B$178=$A188)*J$162:J$178*$C$162:$C$178)</f>
        <v>18.3313596583264</v>
      </c>
      <c r="K188" s="25" t="n">
        <f aca="false">SUMPRODUCT(($B$162:$B$178=$A188)*K$162:K$178*$C$162:$C$178)</f>
        <v>18.6638797273417</v>
      </c>
      <c r="L188" s="25" t="n">
        <f aca="false">SUMPRODUCT(($B$162:$B$178=$A188)*L$162:L$178*$C$162:$C$178)</f>
        <v>19.0024590596619</v>
      </c>
      <c r="M188" s="25" t="n">
        <f aca="false">SUMPRODUCT(($B$162:$B$178=$A188)*M$162:M$178*$C$162:$C$178)</f>
        <v>19.3472080686882</v>
      </c>
      <c r="N188" s="25" t="n">
        <f aca="false">SUMPRODUCT(($B$162:$B$178=$A188)*N$162:N$178*$C$162:$C$178)</f>
        <v>19.6982391798023</v>
      </c>
      <c r="O188" s="25" t="n">
        <f aca="false">SUMPRODUCT(($B$162:$B$178=$A188)*O$162:O$178*$C$162:$C$178)</f>
        <v>20.0556668670291</v>
      </c>
      <c r="P188" s="25" t="n">
        <f aca="false">SUMPRODUCT(($B$162:$B$178=$A188)*P$162:P$178*$C$162:$C$178)</f>
        <v>218.42994631274</v>
      </c>
    </row>
    <row r="189" customFormat="false" ht="15" hidden="false" customHeight="false" outlineLevel="0" collapsed="false">
      <c r="A189" s="6" t="s">
        <v>275</v>
      </c>
      <c r="D189" s="26" t="n">
        <f aca="false">SUMPRODUCT(D$162:D$178*parametros_recargas!$D$51:$D$67)</f>
        <v>171.630085193951</v>
      </c>
      <c r="E189" s="26" t="n">
        <f aca="false">SUMPRODUCT(E$162:E$178*parametros_recargas!$D$51:$D$67)</f>
        <v>174.719608226521</v>
      </c>
      <c r="F189" s="26" t="n">
        <f aca="false">SUMPRODUCT(F$162:F$178*parametros_recargas!$D$51:$D$67)</f>
        <v>177.865429315314</v>
      </c>
      <c r="G189" s="26" t="n">
        <f aca="false">SUMPRODUCT(G$162:G$178*parametros_recargas!$D$51:$D$67)</f>
        <v>181.068574337498</v>
      </c>
      <c r="H189" s="26" t="n">
        <f aca="false">SUMPRODUCT(H$162:H$178*parametros_recargas!$D$51:$D$67)</f>
        <v>184.330087864027</v>
      </c>
      <c r="I189" s="26" t="n">
        <f aca="false">SUMPRODUCT(I$162:I$178*parametros_recargas!$D$51:$D$67)</f>
        <v>187.651033500287</v>
      </c>
      <c r="J189" s="26" t="n">
        <f aca="false">SUMPRODUCT(J$162:J$178*parametros_recargas!$D$51:$D$67)</f>
        <v>191.032494232948</v>
      </c>
      <c r="K189" s="26" t="n">
        <f aca="false">SUMPRODUCT(K$162:K$178*parametros_recargas!$D$51:$D$67)</f>
        <v>194.475572783129</v>
      </c>
      <c r="L189" s="26" t="n">
        <f aca="false">SUMPRODUCT(L$162:L$178*parametros_recargas!$D$51:$D$67)</f>
        <v>197.981391966008</v>
      </c>
      <c r="M189" s="26" t="n">
        <f aca="false">SUMPRODUCT(M$162:M$178*parametros_recargas!$D$51:$D$67)</f>
        <v>201.551095056981</v>
      </c>
      <c r="N189" s="26" t="n">
        <f aca="false">SUMPRODUCT(N$162:N$178*parametros_recargas!$D$51:$D$67)</f>
        <v>205.185846164493</v>
      </c>
      <c r="O189" s="26" t="n">
        <f aca="false">SUMPRODUCT(O$162:O$178*parametros_recargas!$D$51:$D$67)</f>
        <v>208.88683060966</v>
      </c>
      <c r="P189" s="26" t="n">
        <f aca="false">SUMPRODUCT(P$162:P$178*parametros_recargas!$D$51:$D$67)</f>
        <v>2276.37804925082</v>
      </c>
    </row>
    <row r="193" customFormat="false" ht="23.85" hidden="false" customHeight="false" outlineLevel="0" collapsed="false">
      <c r="A193" s="23" t="n">
        <v>2032</v>
      </c>
      <c r="B193" s="3" t="s">
        <v>270</v>
      </c>
      <c r="C193" s="3" t="s">
        <v>271</v>
      </c>
      <c r="D193" s="3" t="s">
        <v>124</v>
      </c>
      <c r="E193" s="3" t="s">
        <v>125</v>
      </c>
      <c r="F193" s="3" t="s">
        <v>126</v>
      </c>
      <c r="G193" s="3" t="s">
        <v>127</v>
      </c>
      <c r="H193" s="3" t="s">
        <v>128</v>
      </c>
      <c r="I193" s="3" t="s">
        <v>129</v>
      </c>
      <c r="J193" s="3" t="s">
        <v>130</v>
      </c>
      <c r="K193" s="3" t="s">
        <v>131</v>
      </c>
      <c r="L193" s="3" t="s">
        <v>132</v>
      </c>
      <c r="M193" s="3" t="s">
        <v>133</v>
      </c>
      <c r="N193" s="3" t="s">
        <v>134</v>
      </c>
      <c r="O193" s="3" t="s">
        <v>135</v>
      </c>
      <c r="P193" s="3" t="s">
        <v>136</v>
      </c>
      <c r="Q193" s="3" t="s">
        <v>272</v>
      </c>
    </row>
    <row r="194" customFormat="false" ht="15" hidden="false" customHeight="false" outlineLevel="0" collapsed="false">
      <c r="A194" s="12" t="str">
        <f aca="false">parametros_recargas!A51</f>
        <v>ABC 1 kg</v>
      </c>
      <c r="B194" s="12" t="str">
        <f aca="false">parametros_recargas!B51</f>
        <v>ABC</v>
      </c>
      <c r="C194" s="24" t="n">
        <f aca="false">parametros_recargas!C51</f>
        <v>1</v>
      </c>
      <c r="D194" s="25" t="n">
        <f aca="false">datos_base!$H$2*parametros_recargas!$F$43+sobrestock_sustitutos!$H$175/12</f>
        <v>3340.86960367717</v>
      </c>
      <c r="E194" s="25" t="n">
        <f aca="false">datos_base!$H$2*parametros_recargas!$G$43+sobrestock_sustitutos!$H$175/12</f>
        <v>3376.76933947291</v>
      </c>
      <c r="F194" s="25" t="n">
        <f aca="false">datos_base!$H$2*parametros_recargas!$H$43+sobrestock_sustitutos!$H$175/12</f>
        <v>3413.05484040859</v>
      </c>
      <c r="G194" s="25" t="n">
        <f aca="false">datos_base!$H$2*parametros_recargas!$I$43+sobrestock_sustitutos!$H$175/12</f>
        <v>3449.7302517722</v>
      </c>
      <c r="H194" s="25" t="n">
        <f aca="false">datos_base!$H$2*parametros_recargas!$J$43+sobrestock_sustitutos!$H$175/12</f>
        <v>3486.79976339543</v>
      </c>
      <c r="I194" s="25" t="n">
        <f aca="false">datos_base!$H$2*parametros_recargas!$K$43+sobrestock_sustitutos!$H$175/12</f>
        <v>3524.26761013233</v>
      </c>
      <c r="J194" s="25" t="n">
        <f aca="false">datos_base!$H$2*parametros_recargas!$L$43+sobrestock_sustitutos!$H$175/12</f>
        <v>3562.13807234312</v>
      </c>
      <c r="K194" s="25" t="n">
        <f aca="false">datos_base!$H$2*parametros_recargas!$M$43+sobrestock_sustitutos!$H$175/12</f>
        <v>3600.41547638317</v>
      </c>
      <c r="L194" s="25" t="n">
        <f aca="false">datos_base!$H$2*parametros_recargas!$N$43+sobrestock_sustitutos!$H$175/12</f>
        <v>3639.10419509724</v>
      </c>
      <c r="M194" s="25" t="n">
        <f aca="false">datos_base!$H$2*parametros_recargas!$O$43+sobrestock_sustitutos!$H$175/12</f>
        <v>3678.20864831904</v>
      </c>
      <c r="N194" s="25" t="n">
        <f aca="false">datos_base!$H$2*parametros_recargas!$P$43+sobrestock_sustitutos!$H$175/12</f>
        <v>3717.73330337619</v>
      </c>
      <c r="O194" s="25" t="n">
        <f aca="false">datos_base!$H$2*parametros_recargas!$Q$43+sobrestock_sustitutos!$H$175/12</f>
        <v>3757.68267560052</v>
      </c>
      <c r="P194" s="7" t="n">
        <f aca="false">SUM(D194:O194)</f>
        <v>42546.7737799779</v>
      </c>
      <c r="Q194" s="13" t="n">
        <f aca="false">sobrestock_sustitutos!$H$175</f>
        <v>0</v>
      </c>
    </row>
    <row r="195" customFormat="false" ht="15" hidden="false" customHeight="false" outlineLevel="0" collapsed="false">
      <c r="A195" s="12" t="str">
        <f aca="false">parametros_recargas!A52</f>
        <v>ABC 2,5 kg</v>
      </c>
      <c r="B195" s="12" t="str">
        <f aca="false">parametros_recargas!B52</f>
        <v>ABC</v>
      </c>
      <c r="C195" s="24" t="n">
        <f aca="false">parametros_recargas!C52</f>
        <v>1</v>
      </c>
      <c r="D195" s="25" t="n">
        <f aca="false">datos_base!$H$3*parametros_recargas!$F$43+sobrestock_sustitutos!$H$176/12</f>
        <v>289.926203690255</v>
      </c>
      <c r="E195" s="25" t="n">
        <f aca="false">datos_base!$H$3*parametros_recargas!$G$43+sobrestock_sustitutos!$H$176/12</f>
        <v>293.041642287824</v>
      </c>
      <c r="F195" s="25" t="n">
        <f aca="false">datos_base!$H$3*parametros_recargas!$H$43+sobrestock_sustitutos!$H$176/12</f>
        <v>296.190558223874</v>
      </c>
      <c r="G195" s="25" t="n">
        <f aca="false">datos_base!$H$3*parametros_recargas!$I$43+sobrestock_sustitutos!$H$176/12</f>
        <v>299.373311233367</v>
      </c>
      <c r="H195" s="25" t="n">
        <f aca="false">datos_base!$H$3*parametros_recargas!$J$43+sobrestock_sustitutos!$H$176/12</f>
        <v>302.590264916847</v>
      </c>
      <c r="I195" s="25" t="n">
        <f aca="false">datos_base!$H$3*parametros_recargas!$K$43+sobrestock_sustitutos!$H$176/12</f>
        <v>305.841786781969</v>
      </c>
      <c r="J195" s="25" t="n">
        <f aca="false">datos_base!$H$3*parametros_recargas!$L$43+sobrestock_sustitutos!$H$176/12</f>
        <v>309.12824828549</v>
      </c>
      <c r="K195" s="25" t="n">
        <f aca="false">datos_base!$H$3*parametros_recargas!$M$43+sobrestock_sustitutos!$H$176/12</f>
        <v>312.450024875703</v>
      </c>
      <c r="L195" s="25" t="n">
        <f aca="false">datos_base!$H$3*parametros_recargas!$N$43+sobrestock_sustitutos!$H$176/12</f>
        <v>315.807496035327</v>
      </c>
      <c r="M195" s="25" t="n">
        <f aca="false">datos_base!$H$3*parametros_recargas!$O$43+sobrestock_sustitutos!$H$176/12</f>
        <v>319.20104532486</v>
      </c>
      <c r="N195" s="25" t="n">
        <f aca="false">datos_base!$H$3*parametros_recargas!$P$43+sobrestock_sustitutos!$H$176/12</f>
        <v>322.6310604264</v>
      </c>
      <c r="O195" s="25" t="n">
        <f aca="false">datos_base!$H$3*parametros_recargas!$Q$43+sobrestock_sustitutos!$H$176/12</f>
        <v>326.097933187928</v>
      </c>
      <c r="P195" s="7" t="n">
        <f aca="false">SUM(D195:O195)</f>
        <v>3692.27957526984</v>
      </c>
      <c r="Q195" s="13" t="n">
        <f aca="false">sobrestock_sustitutos!$H$176</f>
        <v>0</v>
      </c>
    </row>
    <row r="196" customFormat="false" ht="15" hidden="false" customHeight="false" outlineLevel="0" collapsed="false">
      <c r="A196" s="12" t="str">
        <f aca="false">parametros_recargas!A53</f>
        <v>ABC 5 kg</v>
      </c>
      <c r="B196" s="12" t="str">
        <f aca="false">parametros_recargas!B53</f>
        <v>ABC</v>
      </c>
      <c r="C196" s="24" t="n">
        <f aca="false">parametros_recargas!C53</f>
        <v>1</v>
      </c>
      <c r="D196" s="25" t="n">
        <f aca="false">datos_base!$H$4*parametros_recargas!$F$43+sobrestock_sustitutos!$H$177/12</f>
        <v>1823.52697886202</v>
      </c>
      <c r="E196" s="25" t="n">
        <f aca="false">datos_base!$H$4*parametros_recargas!$G$43+sobrestock_sustitutos!$H$177/12</f>
        <v>1842.67239270069</v>
      </c>
      <c r="F196" s="25" t="n">
        <f aca="false">datos_base!$H$4*parametros_recargas!$H$43+sobrestock_sustitutos!$H$177/12</f>
        <v>1862.02353599906</v>
      </c>
      <c r="G196" s="25" t="n">
        <f aca="false">datos_base!$H$4*parametros_recargas!$I$43+sobrestock_sustitutos!$H$177/12</f>
        <v>1881.582619449</v>
      </c>
      <c r="H196" s="25" t="n">
        <f aca="false">datos_base!$H$4*parametros_recargas!$J$43+sobrestock_sustitutos!$H$177/12</f>
        <v>1901.35187749764</v>
      </c>
      <c r="I196" s="25" t="n">
        <f aca="false">datos_base!$H$4*parametros_recargas!$K$43+sobrestock_sustitutos!$H$177/12</f>
        <v>1921.33356860264</v>
      </c>
      <c r="J196" s="25" t="n">
        <f aca="false">datos_base!$H$4*parametros_recargas!$L$43+sobrestock_sustitutos!$H$177/12</f>
        <v>1941.52997549022</v>
      </c>
      <c r="K196" s="25" t="n">
        <f aca="false">datos_base!$H$4*parametros_recargas!$M$43+sobrestock_sustitutos!$H$177/12</f>
        <v>1961.9434054159</v>
      </c>
      <c r="L196" s="25" t="n">
        <f aca="false">datos_base!$H$4*parametros_recargas!$N$43+sobrestock_sustitutos!$H$177/12</f>
        <v>1982.57619042811</v>
      </c>
      <c r="M196" s="25" t="n">
        <f aca="false">datos_base!$H$4*parametros_recargas!$O$43+sobrestock_sustitutos!$H$177/12</f>
        <v>2003.43068763461</v>
      </c>
      <c r="N196" s="25" t="n">
        <f aca="false">datos_base!$H$4*parametros_recargas!$P$43+sobrestock_sustitutos!$H$177/12</f>
        <v>2024.50927947175</v>
      </c>
      <c r="O196" s="25" t="n">
        <f aca="false">datos_base!$H$4*parametros_recargas!$Q$43+sobrestock_sustitutos!$H$177/12</f>
        <v>2045.81437397667</v>
      </c>
      <c r="P196" s="7" t="n">
        <f aca="false">SUM(D196:O196)</f>
        <v>23192.2948855283</v>
      </c>
      <c r="Q196" s="13" t="n">
        <f aca="false">sobrestock_sustitutos!$H$177</f>
        <v>502</v>
      </c>
    </row>
    <row r="197" customFormat="false" ht="15" hidden="false" customHeight="false" outlineLevel="0" collapsed="false">
      <c r="A197" s="12" t="str">
        <f aca="false">parametros_recargas!A54</f>
        <v>ABC 10 kg</v>
      </c>
      <c r="B197" s="12" t="str">
        <f aca="false">parametros_recargas!B54</f>
        <v>ABC</v>
      </c>
      <c r="C197" s="24" t="n">
        <f aca="false">parametros_recargas!C54</f>
        <v>1</v>
      </c>
      <c r="D197" s="25" t="n">
        <f aca="false">datos_base!$H$5*parametros_recargas!$F$43+sobrestock_sustitutos!$H$178/12</f>
        <v>107.719632020871</v>
      </c>
      <c r="E197" s="25" t="n">
        <f aca="false">datos_base!$H$5*parametros_recargas!$G$43+sobrestock_sustitutos!$H$178/12</f>
        <v>108.853864726182</v>
      </c>
      <c r="F197" s="25" t="n">
        <f aca="false">datos_base!$H$5*parametros_recargas!$H$43+sobrestock_sustitutos!$H$178/12</f>
        <v>110.000285472119</v>
      </c>
      <c r="G197" s="25" t="n">
        <f aca="false">datos_base!$H$5*parametros_recargas!$I$43+sobrestock_sustitutos!$H$178/12</f>
        <v>111.159025226808</v>
      </c>
      <c r="H197" s="25" t="n">
        <f aca="false">datos_base!$H$5*parametros_recargas!$J$43+sobrestock_sustitutos!$H$178/12</f>
        <v>112.330216365713</v>
      </c>
      <c r="I197" s="25" t="n">
        <f aca="false">datos_base!$H$5*parametros_recargas!$K$43+sobrestock_sustitutos!$H$178/12</f>
        <v>113.513992686754</v>
      </c>
      <c r="J197" s="25" t="n">
        <f aca="false">datos_base!$H$5*parametros_recargas!$L$43+sobrestock_sustitutos!$H$178/12</f>
        <v>114.710489425592</v>
      </c>
      <c r="K197" s="25" t="n">
        <f aca="false">datos_base!$H$5*parametros_recargas!$M$43+sobrestock_sustitutos!$H$178/12</f>
        <v>115.919843271082</v>
      </c>
      <c r="L197" s="25" t="n">
        <f aca="false">datos_base!$H$5*parametros_recargas!$N$43+sobrestock_sustitutos!$H$178/12</f>
        <v>117.142192380885</v>
      </c>
      <c r="M197" s="25" t="n">
        <f aca="false">datos_base!$H$5*parametros_recargas!$O$43+sobrestock_sustitutos!$H$178/12</f>
        <v>118.377676397255</v>
      </c>
      <c r="N197" s="25" t="n">
        <f aca="false">datos_base!$H$5*parametros_recargas!$P$43+sobrestock_sustitutos!$H$178/12</f>
        <v>119.626436462985</v>
      </c>
      <c r="O197" s="25" t="n">
        <f aca="false">datos_base!$H$5*parametros_recargas!$Q$43+sobrestock_sustitutos!$H$178/12</f>
        <v>120.88861523754</v>
      </c>
      <c r="P197" s="7" t="n">
        <f aca="false">SUM(D197:O197)</f>
        <v>1370.24226967379</v>
      </c>
      <c r="Q197" s="13" t="n">
        <f aca="false">sobrestock_sustitutos!$H$178</f>
        <v>26</v>
      </c>
    </row>
    <row r="198" customFormat="false" ht="15" hidden="false" customHeight="false" outlineLevel="0" collapsed="false">
      <c r="A198" s="12" t="str">
        <f aca="false">parametros_recargas!A55</f>
        <v>Agua 10 l</v>
      </c>
      <c r="B198" s="12" t="str">
        <f aca="false">parametros_recargas!B55</f>
        <v>Agua</v>
      </c>
      <c r="C198" s="24" t="n">
        <f aca="false">parametros_recargas!C55</f>
        <v>1</v>
      </c>
      <c r="D198" s="25" t="n">
        <f aca="false">datos_base!$H$6*parametros_recargas!$F$43+sobrestock_sustitutos!$H$179/12</f>
        <v>149.079505130002</v>
      </c>
      <c r="E198" s="25" t="n">
        <f aca="false">datos_base!$H$6*parametros_recargas!$G$43+sobrestock_sustitutos!$H$179/12</f>
        <v>150.669816664589</v>
      </c>
      <c r="F198" s="25" t="n">
        <f aca="false">datos_base!$H$6*parametros_recargas!$H$43+sobrestock_sustitutos!$H$179/12</f>
        <v>152.277217092399</v>
      </c>
      <c r="G198" s="25" t="n">
        <f aca="false">datos_base!$H$6*parametros_recargas!$I$43+sobrestock_sustitutos!$H$179/12</f>
        <v>153.901890044288</v>
      </c>
      <c r="H198" s="25" t="n">
        <f aca="false">datos_base!$H$6*parametros_recargas!$J$43+sobrestock_sustitutos!$H$179/12</f>
        <v>155.544021124343</v>
      </c>
      <c r="I198" s="25" t="n">
        <f aca="false">datos_base!$H$6*parametros_recargas!$K$43+sobrestock_sustitutos!$H$179/12</f>
        <v>157.203797931082</v>
      </c>
      <c r="J198" s="25" t="n">
        <f aca="false">datos_base!$H$6*parametros_recargas!$L$43+sobrestock_sustitutos!$H$179/12</f>
        <v>158.881410078889</v>
      </c>
      <c r="K198" s="25" t="n">
        <f aca="false">datos_base!$H$6*parametros_recargas!$M$43+sobrestock_sustitutos!$H$179/12</f>
        <v>160.57704921967</v>
      </c>
      <c r="L198" s="25" t="n">
        <f aca="false">datos_base!$H$6*parametros_recargas!$N$43+sobrestock_sustitutos!$H$179/12</f>
        <v>162.290909064753</v>
      </c>
      <c r="M198" s="25" t="n">
        <f aca="false">datos_base!$H$6*parametros_recargas!$O$43+sobrestock_sustitutos!$H$179/12</f>
        <v>164.023185407015</v>
      </c>
      <c r="N198" s="25" t="n">
        <f aca="false">datos_base!$H$6*parametros_recargas!$P$43+sobrestock_sustitutos!$H$179/12</f>
        <v>165.774076143248</v>
      </c>
      <c r="O198" s="25" t="n">
        <f aca="false">datos_base!$H$6*parametros_recargas!$Q$43+sobrestock_sustitutos!$H$179/12</f>
        <v>167.543781296772</v>
      </c>
      <c r="P198" s="7" t="n">
        <f aca="false">SUM(D198:O198)</f>
        <v>1897.76665919705</v>
      </c>
      <c r="Q198" s="13" t="n">
        <f aca="false">sobrestock_sustitutos!$H$179</f>
        <v>13</v>
      </c>
    </row>
    <row r="199" customFormat="false" ht="15" hidden="false" customHeight="false" outlineLevel="0" collapsed="false">
      <c r="A199" s="12" t="str">
        <f aca="false">parametros_recargas!A56</f>
        <v>AFFF 10 l</v>
      </c>
      <c r="B199" s="12" t="str">
        <f aca="false">parametros_recargas!B56</f>
        <v>AFFF</v>
      </c>
      <c r="C199" s="24" t="n">
        <f aca="false">parametros_recargas!C56</f>
        <v>1</v>
      </c>
      <c r="D199" s="25" t="n">
        <f aca="false">datos_base!$H$7*parametros_recargas!$F$43+sobrestock_sustitutos!$H$180/12</f>
        <v>27.2951114941017</v>
      </c>
      <c r="E199" s="25" t="n">
        <f aca="false">datos_base!$H$7*parametros_recargas!$G$43+sobrestock_sustitutos!$H$180/12</f>
        <v>27.5857281515539</v>
      </c>
      <c r="F199" s="25" t="n">
        <f aca="false">datos_base!$H$7*parametros_recargas!$H$43+sobrestock_sustitutos!$H$180/12</f>
        <v>27.8794676669618</v>
      </c>
      <c r="G199" s="25" t="n">
        <f aca="false">datos_base!$H$7*parametros_recargas!$I$43+sobrestock_sustitutos!$H$180/12</f>
        <v>28.1763635973893</v>
      </c>
      <c r="H199" s="25" t="n">
        <f aca="false">datos_base!$H$7*parametros_recargas!$J$43+sobrestock_sustitutos!$H$180/12</f>
        <v>28.4764498604924</v>
      </c>
      <c r="I199" s="25" t="n">
        <f aca="false">datos_base!$H$7*parametros_recargas!$K$43+sobrestock_sustitutos!$H$180/12</f>
        <v>28.7797607383932</v>
      </c>
      <c r="J199" s="25" t="n">
        <f aca="false">datos_base!$H$7*parametros_recargas!$L$43+sobrestock_sustitutos!$H$180/12</f>
        <v>29.0863308815968</v>
      </c>
      <c r="K199" s="25" t="n">
        <f aca="false">datos_base!$H$7*parametros_recargas!$M$43+sobrestock_sustitutos!$H$180/12</f>
        <v>29.3961953129498</v>
      </c>
      <c r="L199" s="25" t="n">
        <f aca="false">datos_base!$H$7*parametros_recargas!$N$43+sobrestock_sustitutos!$H$180/12</f>
        <v>29.709389431641</v>
      </c>
      <c r="M199" s="25" t="n">
        <f aca="false">datos_base!$H$7*parametros_recargas!$O$43+sobrestock_sustitutos!$H$180/12</f>
        <v>30.0259490172458</v>
      </c>
      <c r="N199" s="25" t="n">
        <f aca="false">datos_base!$H$7*parametros_recargas!$P$43+sobrestock_sustitutos!$H$180/12</f>
        <v>30.3459102338135</v>
      </c>
      <c r="O199" s="25" t="n">
        <f aca="false">datos_base!$H$7*parametros_recargas!$Q$43+sobrestock_sustitutos!$H$180/12</f>
        <v>30.6693096339987</v>
      </c>
      <c r="P199" s="7" t="n">
        <f aca="false">SUM(D199:O199)</f>
        <v>347.425966020138</v>
      </c>
      <c r="Q199" s="13" t="n">
        <f aca="false">sobrestock_sustitutos!$H$180</f>
        <v>3</v>
      </c>
    </row>
    <row r="200" customFormat="false" ht="15" hidden="false" customHeight="false" outlineLevel="0" collapsed="false">
      <c r="A200" s="12" t="str">
        <f aca="false">parametros_recargas!A57</f>
        <v>AFFF 50 l s/ruedas</v>
      </c>
      <c r="B200" s="12" t="str">
        <f aca="false">parametros_recargas!B57</f>
        <v>AFFF</v>
      </c>
      <c r="C200" s="24" t="n">
        <f aca="false">parametros_recargas!C57</f>
        <v>3</v>
      </c>
      <c r="D200" s="25" t="n">
        <f aca="false">datos_base!$H$8*parametros_recargas!$F$43+sobrestock_sustitutos!$H$181/12</f>
        <v>14.4042980936553</v>
      </c>
      <c r="E200" s="25" t="n">
        <f aca="false">datos_base!$H$8*parametros_recargas!$G$43+sobrestock_sustitutos!$H$181/12</f>
        <v>14.557290358311</v>
      </c>
      <c r="F200" s="25" t="n">
        <f aca="false">datos_base!$H$8*parametros_recargas!$H$43+sobrestock_sustitutos!$H$181/12</f>
        <v>14.7119266206474</v>
      </c>
      <c r="G200" s="25" t="n">
        <f aca="false">datos_base!$H$8*parametros_recargas!$I$43+sobrestock_sustitutos!$H$181/12</f>
        <v>14.868224546449</v>
      </c>
      <c r="H200" s="25" t="n">
        <f aca="false">datos_base!$H$8*parametros_recargas!$J$43+sobrestock_sustitutos!$H$181/12</f>
        <v>15.0262019913301</v>
      </c>
      <c r="I200" s="25" t="n">
        <f aca="false">datos_base!$H$8*parametros_recargas!$K$43+sobrestock_sustitutos!$H$181/12</f>
        <v>15.185877002775</v>
      </c>
      <c r="J200" s="25" t="n">
        <f aca="false">datos_base!$H$8*parametros_recargas!$L$43+sobrestock_sustitutos!$H$181/12</f>
        <v>15.3472678221992</v>
      </c>
      <c r="K200" s="25" t="n">
        <f aca="false">datos_base!$H$8*parametros_recargas!$M$43+sobrestock_sustitutos!$H$181/12</f>
        <v>15.5103928870339</v>
      </c>
      <c r="L200" s="25" t="n">
        <f aca="false">datos_base!$H$8*parametros_recargas!$N$43+sobrestock_sustitutos!$H$181/12</f>
        <v>15.6752708328319</v>
      </c>
      <c r="M200" s="25" t="n">
        <f aca="false">datos_base!$H$8*parametros_recargas!$O$43+sobrestock_sustitutos!$H$181/12</f>
        <v>15.8419204953968</v>
      </c>
      <c r="N200" s="25" t="n">
        <f aca="false">datos_base!$H$8*parametros_recargas!$P$43+sobrestock_sustitutos!$H$181/12</f>
        <v>16.0103609129345</v>
      </c>
      <c r="O200" s="25" t="n">
        <f aca="false">datos_base!$H$8*parametros_recargas!$Q$43+sobrestock_sustitutos!$H$181/12</f>
        <v>16.1806113282287</v>
      </c>
      <c r="P200" s="7" t="n">
        <f aca="false">SUM(D200:O200)</f>
        <v>183.319642891793</v>
      </c>
      <c r="Q200" s="13" t="n">
        <f aca="false">sobrestock_sustitutos!$H$181</f>
        <v>2</v>
      </c>
    </row>
    <row r="201" customFormat="false" ht="15" hidden="false" customHeight="false" outlineLevel="0" collapsed="false">
      <c r="A201" s="12" t="str">
        <f aca="false">parametros_recargas!A58</f>
        <v>BC 5 kg</v>
      </c>
      <c r="B201" s="12" t="str">
        <f aca="false">parametros_recargas!B58</f>
        <v>BC</v>
      </c>
      <c r="C201" s="24" t="n">
        <f aca="false">parametros_recargas!C58</f>
        <v>1</v>
      </c>
      <c r="D201" s="25" t="n">
        <f aca="false">datos_base!$H$9*parametros_recargas!$F$43+sobrestock_sustitutos!$H$182/12</f>
        <v>8.5147119663623</v>
      </c>
      <c r="E201" s="25" t="n">
        <f aca="false">datos_base!$H$9*parametros_recargas!$G$43+sobrestock_sustitutos!$H$182/12</f>
        <v>8.60441694028289</v>
      </c>
      <c r="F201" s="25" t="n">
        <f aca="false">datos_base!$H$9*parametros_recargas!$H$43+sobrestock_sustitutos!$H$182/12</f>
        <v>8.69508585031752</v>
      </c>
      <c r="G201" s="25" t="n">
        <f aca="false">datos_base!$H$9*parametros_recargas!$I$43+sobrestock_sustitutos!$H$182/12</f>
        <v>8.78672905456332</v>
      </c>
      <c r="H201" s="25" t="n">
        <f aca="false">datos_base!$H$9*parametros_recargas!$J$43+sobrestock_sustitutos!$H$182/12</f>
        <v>8.87935702242165</v>
      </c>
      <c r="I201" s="25" t="n">
        <f aca="false">datos_base!$H$9*parametros_recargas!$K$43+sobrestock_sustitutos!$H$182/12</f>
        <v>8.97298033579414</v>
      </c>
      <c r="J201" s="25" t="n">
        <f aca="false">datos_base!$H$9*parametros_recargas!$L$43+sobrestock_sustitutos!$H$182/12</f>
        <v>9.06760969029159</v>
      </c>
      <c r="K201" s="25" t="n">
        <f aca="false">datos_base!$H$9*parametros_recargas!$M$43+sobrestock_sustitutos!$H$182/12</f>
        <v>9.1632558964558</v>
      </c>
      <c r="L201" s="25" t="n">
        <f aca="false">datos_base!$H$9*parametros_recargas!$N$43+sobrestock_sustitutos!$H$182/12</f>
        <v>9.25992988099466</v>
      </c>
      <c r="M201" s="25" t="n">
        <f aca="false">datos_base!$H$9*parametros_recargas!$O$43+sobrestock_sustitutos!$H$182/12</f>
        <v>9.35764268803034</v>
      </c>
      <c r="N201" s="25" t="n">
        <f aca="false">datos_base!$H$9*parametros_recargas!$P$43+sobrestock_sustitutos!$H$182/12</f>
        <v>9.45640548036105</v>
      </c>
      <c r="O201" s="25" t="n">
        <f aca="false">datos_base!$H$9*parametros_recargas!$Q$43+sobrestock_sustitutos!$H$182/12</f>
        <v>9.55622954073622</v>
      </c>
      <c r="P201" s="7" t="n">
        <f aca="false">SUM(D201:O201)</f>
        <v>108.314354346611</v>
      </c>
      <c r="Q201" s="13" t="n">
        <f aca="false">sobrestock_sustitutos!$H$182</f>
        <v>2</v>
      </c>
    </row>
    <row r="202" customFormat="false" ht="15" hidden="false" customHeight="false" outlineLevel="0" collapsed="false">
      <c r="A202" s="12" t="str">
        <f aca="false">parametros_recargas!A59</f>
        <v>Sales K 6 l</v>
      </c>
      <c r="B202" s="12" t="str">
        <f aca="false">parametros_recargas!B59</f>
        <v>Sales K</v>
      </c>
      <c r="C202" s="24" t="n">
        <f aca="false">parametros_recargas!C59</f>
        <v>1</v>
      </c>
      <c r="D202" s="25" t="n">
        <f aca="false">datos_base!$H$10*parametros_recargas!$F$43+sobrestock_sustitutos!$H$183/12</f>
        <v>72.9469561972164</v>
      </c>
      <c r="E202" s="25" t="n">
        <f aca="false">datos_base!$H$10*parametros_recargas!$G$43+sobrestock_sustitutos!$H$183/12</f>
        <v>73.7245486357769</v>
      </c>
      <c r="F202" s="25" t="n">
        <f aca="false">datos_base!$H$10*parametros_recargas!$H$43+sobrestock_sustitutos!$H$183/12</f>
        <v>74.5104967919836</v>
      </c>
      <c r="G202" s="25" t="n">
        <f aca="false">datos_base!$H$10*parametros_recargas!$I$43+sobrestock_sustitutos!$H$183/12</f>
        <v>75.3048904532546</v>
      </c>
      <c r="H202" s="25" t="n">
        <f aca="false">datos_base!$H$10*parametros_recargas!$J$43+sobrestock_sustitutos!$H$183/12</f>
        <v>76.1078203718299</v>
      </c>
      <c r="I202" s="25" t="n">
        <f aca="false">datos_base!$H$10*parametros_recargas!$K$43+sobrestock_sustitutos!$H$183/12</f>
        <v>76.9193782751395</v>
      </c>
      <c r="J202" s="25" t="n">
        <f aca="false">datos_base!$H$10*parametros_recargas!$L$43+sobrestock_sustitutos!$H$183/12</f>
        <v>77.7396568762816</v>
      </c>
      <c r="K202" s="25" t="n">
        <f aca="false">datos_base!$H$10*parametros_recargas!$M$43+sobrestock_sustitutos!$H$183/12</f>
        <v>78.568749884615</v>
      </c>
      <c r="L202" s="25" t="n">
        <f aca="false">datos_base!$H$10*parametros_recargas!$N$43+sobrestock_sustitutos!$H$183/12</f>
        <v>79.4067520164643</v>
      </c>
      <c r="M202" s="25" t="n">
        <f aca="false">datos_base!$H$10*parametros_recargas!$O$43+sobrestock_sustitutos!$H$183/12</f>
        <v>80.2537590059399</v>
      </c>
      <c r="N202" s="25" t="n">
        <f aca="false">datos_base!$H$10*parametros_recargas!$P$43+sobrestock_sustitutos!$H$183/12</f>
        <v>81.1098676158757</v>
      </c>
      <c r="O202" s="25" t="n">
        <f aca="false">datos_base!$H$10*parametros_recargas!$Q$43+sobrestock_sustitutos!$H$183/12</f>
        <v>81.9751756488824</v>
      </c>
      <c r="P202" s="7" t="n">
        <f aca="false">SUM(D202:O202)</f>
        <v>928.56805177326</v>
      </c>
      <c r="Q202" s="13" t="n">
        <f aca="false">sobrestock_sustitutos!$H$183</f>
        <v>7</v>
      </c>
    </row>
    <row r="203" customFormat="false" ht="15" hidden="false" customHeight="false" outlineLevel="0" collapsed="false">
      <c r="A203" s="12" t="str">
        <f aca="false">parametros_recargas!A60</f>
        <v>CO₂ 2 kg</v>
      </c>
      <c r="B203" s="12" t="str">
        <f aca="false">parametros_recargas!B60</f>
        <v>CO₂</v>
      </c>
      <c r="C203" s="24" t="n">
        <f aca="false">parametros_recargas!C60</f>
        <v>1</v>
      </c>
      <c r="D203" s="25" t="n">
        <f aca="false">datos_base!$H$11*parametros_recargas!$F$43+sobrestock_sustitutos!$H$184/12</f>
        <v>401.656288124689</v>
      </c>
      <c r="E203" s="25" t="n">
        <f aca="false">datos_base!$H$11*parametros_recargas!$G$43+sobrestock_sustitutos!$H$184/12</f>
        <v>405.972336439925</v>
      </c>
      <c r="F203" s="25" t="n">
        <f aca="false">datos_base!$H$11*parametros_recargas!$H$43+sobrestock_sustitutos!$H$184/12</f>
        <v>410.334763396826</v>
      </c>
      <c r="G203" s="25" t="n">
        <f aca="false">datos_base!$H$11*parametros_recargas!$I$43+sobrestock_sustitutos!$H$184/12</f>
        <v>414.744067362937</v>
      </c>
      <c r="H203" s="25" t="n">
        <f aca="false">datos_base!$H$11*parametros_recargas!$J$43+sobrestock_sustitutos!$H$184/12</f>
        <v>419.200752061074</v>
      </c>
      <c r="I203" s="25" t="n">
        <f aca="false">datos_base!$H$11*parametros_recargas!$K$43+sobrestock_sustitutos!$H$184/12</f>
        <v>423.705326626871</v>
      </c>
      <c r="J203" s="25" t="n">
        <f aca="false">datos_base!$H$11*parametros_recargas!$L$43+sobrestock_sustitutos!$H$184/12</f>
        <v>428.258305666942</v>
      </c>
      <c r="K203" s="25" t="n">
        <f aca="false">datos_base!$H$11*parametros_recargas!$M$43+sobrestock_sustitutos!$H$184/12</f>
        <v>432.860209317672</v>
      </c>
      <c r="L203" s="25" t="n">
        <f aca="false">datos_base!$H$11*parametros_recargas!$N$43+sobrestock_sustitutos!$H$184/12</f>
        <v>437.511563304636</v>
      </c>
      <c r="M203" s="25" t="n">
        <f aca="false">datos_base!$H$11*parametros_recargas!$O$43+sobrestock_sustitutos!$H$184/12</f>
        <v>442.212899002662</v>
      </c>
      <c r="N203" s="25" t="n">
        <f aca="false">datos_base!$H$11*parametros_recargas!$P$43+sobrestock_sustitutos!$H$184/12</f>
        <v>446.964753496531</v>
      </c>
      <c r="O203" s="25" t="n">
        <f aca="false">datos_base!$H$11*parametros_recargas!$Q$43+sobrestock_sustitutos!$H$184/12</f>
        <v>451.767669642337</v>
      </c>
      <c r="P203" s="7" t="n">
        <f aca="false">SUM(D203:O203)</f>
        <v>5115.1889344431</v>
      </c>
      <c r="Q203" s="13" t="n">
        <f aca="false">sobrestock_sustitutos!$H$184</f>
        <v>0</v>
      </c>
    </row>
    <row r="204" customFormat="false" ht="15" hidden="false" customHeight="false" outlineLevel="0" collapsed="false">
      <c r="A204" s="12" t="str">
        <f aca="false">parametros_recargas!A61</f>
        <v>CO₂ 5 kg</v>
      </c>
      <c r="B204" s="12" t="str">
        <f aca="false">parametros_recargas!B61</f>
        <v>CO₂</v>
      </c>
      <c r="C204" s="24" t="n">
        <f aca="false">parametros_recargas!C61</f>
        <v>1</v>
      </c>
      <c r="D204" s="25" t="n">
        <f aca="false">datos_base!$H$12*parametros_recargas!$F$43+sobrestock_sustitutos!$H$185/12</f>
        <v>136.241360073709</v>
      </c>
      <c r="E204" s="25" t="n">
        <f aca="false">datos_base!$H$12*parametros_recargas!$G$43+sobrestock_sustitutos!$H$185/12</f>
        <v>137.665062697908</v>
      </c>
      <c r="F204" s="25" t="n">
        <f aca="false">datos_base!$H$12*parametros_recargas!$H$43+sobrestock_sustitutos!$H$185/12</f>
        <v>139.104063898264</v>
      </c>
      <c r="G204" s="25" t="n">
        <f aca="false">datos_base!$H$12*parametros_recargas!$I$43+sobrestock_sustitutos!$H$185/12</f>
        <v>140.558528067557</v>
      </c>
      <c r="H204" s="25" t="n">
        <f aca="false">datos_base!$H$12*parametros_recargas!$J$43+sobrestock_sustitutos!$H$185/12</f>
        <v>142.02862136507</v>
      </c>
      <c r="I204" s="25" t="n">
        <f aca="false">datos_base!$H$12*parametros_recargas!$K$43+sobrestock_sustitutos!$H$185/12</f>
        <v>143.514511735571</v>
      </c>
      <c r="J204" s="25" t="n">
        <f aca="false">datos_base!$H$12*parametros_recargas!$L$43+sobrestock_sustitutos!$H$185/12</f>
        <v>145.016368928502</v>
      </c>
      <c r="K204" s="25" t="n">
        <f aca="false">datos_base!$H$12*parametros_recargas!$M$43+sobrestock_sustitutos!$H$185/12</f>
        <v>146.534364517368</v>
      </c>
      <c r="L204" s="25" t="n">
        <f aca="false">datos_base!$H$12*parametros_recargas!$N$43+sobrestock_sustitutos!$H$185/12</f>
        <v>148.068671919337</v>
      </c>
      <c r="M204" s="25" t="n">
        <f aca="false">datos_base!$H$12*parametros_recargas!$O$43+sobrestock_sustitutos!$H$185/12</f>
        <v>149.619466415056</v>
      </c>
      <c r="N204" s="25" t="n">
        <f aca="false">datos_base!$H$12*parametros_recargas!$P$43+sobrestock_sustitutos!$H$185/12</f>
        <v>151.18692516867</v>
      </c>
      <c r="O204" s="25" t="n">
        <f aca="false">datos_base!$H$12*parametros_recargas!$Q$43+sobrestock_sustitutos!$H$185/12</f>
        <v>152.771227248064</v>
      </c>
      <c r="P204" s="7" t="n">
        <f aca="false">SUM(D204:O204)</f>
        <v>1732.30917203508</v>
      </c>
      <c r="Q204" s="13" t="n">
        <f aca="false">sobrestock_sustitutos!$H$185</f>
        <v>45</v>
      </c>
    </row>
    <row r="205" customFormat="false" ht="15" hidden="false" customHeight="false" outlineLevel="0" collapsed="false">
      <c r="A205" s="12" t="str">
        <f aca="false">parametros_recargas!A62</f>
        <v>HCFC/HFC 5 kg</v>
      </c>
      <c r="B205" s="12" t="str">
        <f aca="false">parametros_recargas!B62</f>
        <v>Halogenado</v>
      </c>
      <c r="C205" s="24" t="n">
        <f aca="false">parametros_recargas!C62</f>
        <v>1</v>
      </c>
      <c r="D205" s="25" t="n">
        <f aca="false">datos_base!$H$13*parametros_recargas!$F$43+sobrestock_sustitutos!$H$186/12</f>
        <v>21.5514182246746</v>
      </c>
      <c r="E205" s="25" t="n">
        <f aca="false">datos_base!$H$13*parametros_recargas!$G$43+sobrestock_sustitutos!$H$186/12</f>
        <v>21.7812107703474</v>
      </c>
      <c r="F205" s="25" t="n">
        <f aca="false">datos_base!$H$13*parametros_recargas!$H$43+sobrestock_sustitutos!$H$186/12</f>
        <v>22.0134725808094</v>
      </c>
      <c r="G205" s="25" t="n">
        <f aca="false">datos_base!$H$13*parametros_recargas!$I$43+sobrestock_sustitutos!$H$186/12</f>
        <v>22.2482301898568</v>
      </c>
      <c r="H205" s="25" t="n">
        <f aca="false">datos_base!$H$13*parametros_recargas!$J$43+sobrestock_sustitutos!$H$186/12</f>
        <v>22.4855104164083</v>
      </c>
      <c r="I205" s="25" t="n">
        <f aca="false">datos_base!$H$13*parametros_recargas!$K$43+sobrestock_sustitutos!$H$186/12</f>
        <v>22.7253403675684</v>
      </c>
      <c r="J205" s="25" t="n">
        <f aca="false">datos_base!$H$13*parametros_recargas!$L$43+sobrestock_sustitutos!$H$186/12</f>
        <v>22.9677474417245</v>
      </c>
      <c r="K205" s="25" t="n">
        <f aca="false">datos_base!$H$13*parametros_recargas!$M$43+sobrestock_sustitutos!$H$186/12</f>
        <v>23.2127593316771</v>
      </c>
      <c r="L205" s="25" t="n">
        <f aca="false">datos_base!$H$13*parametros_recargas!$N$43+sobrestock_sustitutos!$H$186/12</f>
        <v>23.4604040278027</v>
      </c>
      <c r="M205" s="25" t="n">
        <f aca="false">datos_base!$H$13*parametros_recargas!$O$43+sobrestock_sustitutos!$H$186/12</f>
        <v>23.7107098212523</v>
      </c>
      <c r="N205" s="25" t="n">
        <f aca="false">datos_base!$H$13*parametros_recargas!$P$43+sobrestock_sustitutos!$H$186/12</f>
        <v>23.9637053071829</v>
      </c>
      <c r="O205" s="25" t="n">
        <f aca="false">datos_base!$H$13*parametros_recargas!$Q$43+sobrestock_sustitutos!$H$186/12</f>
        <v>24.2194193880244</v>
      </c>
      <c r="P205" s="7" t="n">
        <f aca="false">SUM(D205:O205)</f>
        <v>274.339927867329</v>
      </c>
      <c r="Q205" s="13" t="n">
        <f aca="false">sobrestock_sustitutos!$H$186</f>
        <v>2</v>
      </c>
    </row>
    <row r="206" customFormat="false" ht="15" hidden="false" customHeight="false" outlineLevel="0" collapsed="false">
      <c r="A206" s="12" t="str">
        <f aca="false">parametros_recargas!A63</f>
        <v>Clase D 9 l</v>
      </c>
      <c r="B206" s="12" t="str">
        <f aca="false">parametros_recargas!B63</f>
        <v>Clase D</v>
      </c>
      <c r="C206" s="24" t="n">
        <f aca="false">parametros_recargas!C63</f>
        <v>1</v>
      </c>
      <c r="D206" s="25" t="n">
        <f aca="false">datos_base!$H$14*parametros_recargas!$F$43+sobrestock_sustitutos!$H$187/12</f>
        <v>7.59974478895359</v>
      </c>
      <c r="E206" s="25" t="n">
        <f aca="false">datos_base!$H$14*parametros_recargas!$G$43+sobrestock_sustitutos!$H$187/12</f>
        <v>7.6796178676411</v>
      </c>
      <c r="F206" s="25" t="n">
        <f aca="false">datos_base!$H$14*parametros_recargas!$H$43+sobrestock_sustitutos!$H$187/12</f>
        <v>7.76034923257207</v>
      </c>
      <c r="G206" s="25" t="n">
        <f aca="false">datos_base!$H$14*parametros_recargas!$I$43+sobrestock_sustitutos!$H$187/12</f>
        <v>7.84194810656963</v>
      </c>
      <c r="H206" s="25" t="n">
        <f aca="false">datos_base!$H$14*parametros_recargas!$J$43+sobrestock_sustitutos!$H$187/12</f>
        <v>7.92442381156188</v>
      </c>
      <c r="I206" s="25" t="n">
        <f aca="false">datos_base!$H$14*parametros_recargas!$K$43+sobrestock_sustitutos!$H$187/12</f>
        <v>8.0077857696469</v>
      </c>
      <c r="J206" s="25" t="n">
        <f aca="false">datos_base!$H$14*parametros_recargas!$L$43+sobrestock_sustitutos!$H$187/12</f>
        <v>8.0920435041691</v>
      </c>
      <c r="K206" s="25" t="n">
        <f aca="false">datos_base!$H$14*parametros_recargas!$M$43+sobrestock_sustitutos!$H$187/12</f>
        <v>8.17720664080719</v>
      </c>
      <c r="L206" s="25" t="n">
        <f aca="false">datos_base!$H$14*parametros_recargas!$N$43+sobrestock_sustitutos!$H$187/12</f>
        <v>8.26328490867384</v>
      </c>
      <c r="M206" s="25" t="n">
        <f aca="false">datos_base!$H$14*parametros_recargas!$O$43+sobrestock_sustitutos!$H$187/12</f>
        <v>8.3502881414271</v>
      </c>
      <c r="N206" s="25" t="n">
        <f aca="false">datos_base!$H$14*parametros_recargas!$P$43+sobrestock_sustitutos!$H$187/12</f>
        <v>8.43822627839385</v>
      </c>
      <c r="O206" s="25" t="n">
        <f aca="false">datos_base!$H$14*parametros_recargas!$Q$43+sobrestock_sustitutos!$H$187/12</f>
        <v>8.52710936570528</v>
      </c>
      <c r="P206" s="7" t="n">
        <f aca="false">SUM(D206:O206)</f>
        <v>96.6620284161215</v>
      </c>
      <c r="Q206" s="13" t="n">
        <f aca="false">sobrestock_sustitutos!$H$187</f>
        <v>2</v>
      </c>
    </row>
    <row r="207" customFormat="false" ht="15" hidden="false" customHeight="false" outlineLevel="0" collapsed="false">
      <c r="A207" s="12" t="str">
        <f aca="false">parametros_recargas!A64</f>
        <v>ABC 25 kg s/ruedas</v>
      </c>
      <c r="B207" s="12" t="str">
        <f aca="false">parametros_recargas!B64</f>
        <v>ABC</v>
      </c>
      <c r="C207" s="24" t="n">
        <f aca="false">parametros_recargas!C64</f>
        <v>3</v>
      </c>
      <c r="D207" s="25" t="n">
        <f aca="false">datos_base!$H$15*parametros_recargas!$F$43+sobrestock_sustitutos!$H$188/12</f>
        <v>17.935097353085</v>
      </c>
      <c r="E207" s="25" t="n">
        <f aca="false">datos_base!$H$15*parametros_recargas!$G$43+sobrestock_sustitutos!$H$188/12</f>
        <v>18.1278212043056</v>
      </c>
      <c r="F207" s="25" t="n">
        <f aca="false">datos_base!$H$15*parametros_recargas!$H$43+sobrestock_sustitutos!$H$188/12</f>
        <v>18.3226159939827</v>
      </c>
      <c r="G207" s="25" t="n">
        <f aca="false">datos_base!$H$15*parametros_recargas!$I$43+sobrestock_sustitutos!$H$188/12</f>
        <v>18.5195039756468</v>
      </c>
      <c r="H207" s="25" t="n">
        <f aca="false">datos_base!$H$15*parametros_recargas!$J$43+sobrestock_sustitutos!$H$188/12</f>
        <v>18.7185076419563</v>
      </c>
      <c r="I207" s="25" t="n">
        <f aca="false">datos_base!$H$15*parametros_recargas!$K$43+sobrestock_sustitutos!$H$188/12</f>
        <v>18.9196497272676</v>
      </c>
      <c r="J207" s="25" t="n">
        <f aca="false">datos_base!$H$15*parametros_recargas!$L$43+sobrestock_sustitutos!$H$188/12</f>
        <v>19.1229532102318</v>
      </c>
      <c r="K207" s="25" t="n">
        <f aca="false">datos_base!$H$15*parametros_recargas!$M$43+sobrestock_sustitutos!$H$188/12</f>
        <v>19.3284413164201</v>
      </c>
      <c r="L207" s="25" t="n">
        <f aca="false">datos_base!$H$15*parametros_recargas!$N$43+sobrestock_sustitutos!$H$188/12</f>
        <v>19.5361375209769</v>
      </c>
      <c r="M207" s="25" t="n">
        <f aca="false">datos_base!$H$15*parametros_recargas!$O$43+sobrestock_sustitutos!$H$188/12</f>
        <v>19.7460655513018</v>
      </c>
      <c r="N207" s="25" t="n">
        <f aca="false">datos_base!$H$15*parametros_recargas!$P$43+sobrestock_sustitutos!$H$188/12</f>
        <v>19.9582493897602</v>
      </c>
      <c r="O207" s="25" t="n">
        <f aca="false">datos_base!$H$15*parametros_recargas!$Q$43+sobrestock_sustitutos!$H$188/12</f>
        <v>20.1727132764229</v>
      </c>
      <c r="P207" s="7" t="n">
        <f aca="false">SUM(D207:O207)</f>
        <v>228.407756161358</v>
      </c>
      <c r="Q207" s="13" t="n">
        <f aca="false">sobrestock_sustitutos!$H$188</f>
        <v>0</v>
      </c>
    </row>
    <row r="208" customFormat="false" ht="15" hidden="false" customHeight="false" outlineLevel="0" collapsed="false">
      <c r="A208" s="12" t="str">
        <f aca="false">parametros_recargas!A65</f>
        <v>ABC 50 kg s/ruedas</v>
      </c>
      <c r="B208" s="12" t="str">
        <f aca="false">parametros_recargas!B65</f>
        <v>ABC</v>
      </c>
      <c r="C208" s="24" t="n">
        <f aca="false">parametros_recargas!C65</f>
        <v>3</v>
      </c>
      <c r="D208" s="25" t="n">
        <f aca="false">datos_base!$H$16*parametros_recargas!$F$43+sobrestock_sustitutos!$H$189/12</f>
        <v>40.6238808570334</v>
      </c>
      <c r="E208" s="25" t="n">
        <f aca="false">datos_base!$H$16*parametros_recargas!$G$43+sobrestock_sustitutos!$H$189/12</f>
        <v>41.0478733298647</v>
      </c>
      <c r="F208" s="25" t="n">
        <f aca="false">datos_base!$H$16*parametros_recargas!$H$43+sobrestock_sustitutos!$H$189/12</f>
        <v>41.4764218673018</v>
      </c>
      <c r="G208" s="25" t="n">
        <f aca="false">datos_base!$H$16*parametros_recargas!$I$43+sobrestock_sustitutos!$H$189/12</f>
        <v>41.9095754271118</v>
      </c>
      <c r="H208" s="25" t="n">
        <f aca="false">datos_base!$H$16*parametros_recargas!$J$43+sobrestock_sustitutos!$H$189/12</f>
        <v>42.3473834931435</v>
      </c>
      <c r="I208" s="25" t="n">
        <f aca="false">datos_base!$H$16*parametros_recargas!$K$43+sobrestock_sustitutos!$H$189/12</f>
        <v>42.7898960809807</v>
      </c>
      <c r="J208" s="25" t="n">
        <f aca="false">datos_base!$H$16*parametros_recargas!$L$43+sobrestock_sustitutos!$H$189/12</f>
        <v>43.2371637436559</v>
      </c>
      <c r="K208" s="25" t="n">
        <f aca="false">datos_base!$H$16*parametros_recargas!$M$43+sobrestock_sustitutos!$H$189/12</f>
        <v>43.6892375774257</v>
      </c>
      <c r="L208" s="25" t="n">
        <f aca="false">datos_base!$H$16*parametros_recargas!$N$43+sobrestock_sustitutos!$H$189/12</f>
        <v>44.1461692276079</v>
      </c>
      <c r="M208" s="25" t="n">
        <f aca="false">datos_base!$H$16*parametros_recargas!$O$43+sobrestock_sustitutos!$H$189/12</f>
        <v>44.6080108944817</v>
      </c>
      <c r="N208" s="25" t="n">
        <f aca="false">datos_base!$H$16*parametros_recargas!$P$43+sobrestock_sustitutos!$H$189/12</f>
        <v>45.0748153392507</v>
      </c>
      <c r="O208" s="25" t="n">
        <f aca="false">datos_base!$H$16*parametros_recargas!$Q$43+sobrestock_sustitutos!$H$189/12</f>
        <v>45.546635890071</v>
      </c>
      <c r="P208" s="7" t="n">
        <f aca="false">SUM(D208:O208)</f>
        <v>516.497063727929</v>
      </c>
      <c r="Q208" s="13" t="n">
        <f aca="false">sobrestock_sustitutos!$H$189</f>
        <v>14</v>
      </c>
    </row>
    <row r="209" customFormat="false" ht="15" hidden="false" customHeight="false" outlineLevel="0" collapsed="false">
      <c r="A209" s="12" t="str">
        <f aca="false">parametros_recargas!A66</f>
        <v>ABC 70 kg s/ruedas</v>
      </c>
      <c r="B209" s="12" t="str">
        <f aca="false">parametros_recargas!B66</f>
        <v>ABC</v>
      </c>
      <c r="C209" s="24" t="n">
        <f aca="false">parametros_recargas!C66</f>
        <v>3</v>
      </c>
      <c r="D209" s="25" t="n">
        <f aca="false">datos_base!$H$17*parametros_recargas!$F$43+sobrestock_sustitutos!$H$190/12</f>
        <v>8.6088467258595</v>
      </c>
      <c r="E209" s="25" t="n">
        <f aca="false">datos_base!$H$17*parametros_recargas!$G$43+sobrestock_sustitutos!$H$190/12</f>
        <v>8.7013541744065</v>
      </c>
      <c r="F209" s="25" t="n">
        <f aca="false">datos_base!$H$17*parametros_recargas!$H$43+sobrestock_sustitutos!$H$190/12</f>
        <v>8.79485567341218</v>
      </c>
      <c r="G209" s="25" t="n">
        <f aca="false">datos_base!$H$17*parametros_recargas!$I$43+sobrestock_sustitutos!$H$190/12</f>
        <v>8.88936190457117</v>
      </c>
      <c r="H209" s="25" t="n">
        <f aca="false">datos_base!$H$17*parametros_recargas!$J$43+sobrestock_sustitutos!$H$190/12</f>
        <v>8.98488366435957</v>
      </c>
      <c r="I209" s="25" t="n">
        <f aca="false">datos_base!$H$17*parametros_recargas!$K$43+sobrestock_sustitutos!$H$190/12</f>
        <v>9.08143186526839</v>
      </c>
      <c r="J209" s="25" t="n">
        <f aca="false">datos_base!$H$17*parametros_recargas!$L$43+sobrestock_sustitutos!$H$190/12</f>
        <v>9.17901753705016</v>
      </c>
      <c r="K209" s="25" t="n">
        <f aca="false">datos_base!$H$17*parametros_recargas!$M$43+sobrestock_sustitutos!$H$190/12</f>
        <v>9.27765182797904</v>
      </c>
      <c r="L209" s="25" t="n">
        <f aca="false">datos_base!$H$17*parametros_recargas!$N$43+sobrestock_sustitutos!$H$190/12</f>
        <v>9.37734600612437</v>
      </c>
      <c r="M209" s="25" t="n">
        <f aca="false">datos_base!$H$17*parametros_recargas!$O$43+sobrestock_sustitutos!$H$190/12</f>
        <v>9.47811146063794</v>
      </c>
      <c r="N209" s="25" t="n">
        <f aca="false">datos_base!$H$17*parametros_recargas!$P$43+sobrestock_sustitutos!$H$190/12</f>
        <v>9.57995970305511</v>
      </c>
      <c r="O209" s="25" t="n">
        <f aca="false">datos_base!$H$17*parametros_recargas!$Q$43+sobrestock_sustitutos!$H$190/12</f>
        <v>9.68290236860991</v>
      </c>
      <c r="P209" s="7" t="n">
        <f aca="false">SUM(D209:O209)</f>
        <v>109.635722911334</v>
      </c>
      <c r="Q209" s="13" t="n">
        <f aca="false">sobrestock_sustitutos!$H$190</f>
        <v>0</v>
      </c>
    </row>
    <row r="210" customFormat="false" ht="15" hidden="false" customHeight="false" outlineLevel="0" collapsed="false">
      <c r="A210" s="12" t="str">
        <f aca="false">parametros_recargas!A67</f>
        <v>ABC 100 kg s/ruedas</v>
      </c>
      <c r="B210" s="12" t="str">
        <f aca="false">parametros_recargas!B67</f>
        <v>ABC</v>
      </c>
      <c r="C210" s="24" t="n">
        <f aca="false">parametros_recargas!C67</f>
        <v>3</v>
      </c>
      <c r="D210" s="25" t="n">
        <f aca="false">datos_base!$H$18*parametros_recargas!$F$43+sobrestock_sustitutos!$H$191/12</f>
        <v>6.07256449899499</v>
      </c>
      <c r="E210" s="25" t="n">
        <f aca="false">datos_base!$H$18*parametros_recargas!$G$43+sobrestock_sustitutos!$H$191/12</f>
        <v>6.13423613152179</v>
      </c>
      <c r="F210" s="25" t="n">
        <f aca="false">datos_base!$H$18*parametros_recargas!$H$43+sobrestock_sustitutos!$H$191/12</f>
        <v>6.19657046435613</v>
      </c>
      <c r="G210" s="25" t="n">
        <f aca="false">datos_base!$H$18*parametros_recargas!$I$43+sobrestock_sustitutos!$H$191/12</f>
        <v>6.25957461862776</v>
      </c>
      <c r="H210" s="25" t="n">
        <f aca="false">datos_base!$H$18*parametros_recargas!$J$43+sobrestock_sustitutos!$H$191/12</f>
        <v>6.32325579198745</v>
      </c>
      <c r="I210" s="25" t="n">
        <f aca="false">datos_base!$H$18*parametros_recargas!$K$43+sobrestock_sustitutos!$H$191/12</f>
        <v>6.38762125942921</v>
      </c>
      <c r="J210" s="25" t="n">
        <f aca="false">datos_base!$H$18*parametros_recargas!$L$43+sobrestock_sustitutos!$H$191/12</f>
        <v>6.45267837412143</v>
      </c>
      <c r="K210" s="25" t="n">
        <f aca="false">datos_base!$H$18*parametros_recargas!$M$43+sobrestock_sustitutos!$H$191/12</f>
        <v>6.5184345682469</v>
      </c>
      <c r="L210" s="25" t="n">
        <f aca="false">datos_base!$H$18*parametros_recargas!$N$43+sobrestock_sustitutos!$H$191/12</f>
        <v>6.58489735385185</v>
      </c>
      <c r="M210" s="25" t="n">
        <f aca="false">datos_base!$H$18*parametros_recargas!$O$43+sobrestock_sustitutos!$H$191/12</f>
        <v>6.65207432370417</v>
      </c>
      <c r="N210" s="25" t="n">
        <f aca="false">datos_base!$H$18*parametros_recargas!$P$43+sobrestock_sustitutos!$H$191/12</f>
        <v>6.7199731521608</v>
      </c>
      <c r="O210" s="25" t="n">
        <f aca="false">datos_base!$H$18*parametros_recargas!$Q$43+sobrestock_sustitutos!$H$191/12</f>
        <v>6.78860159604442</v>
      </c>
      <c r="P210" s="7" t="n">
        <f aca="false">SUM(D210:O210)</f>
        <v>77.0904821330469</v>
      </c>
      <c r="Q210" s="13" t="n">
        <f aca="false">sobrestock_sustitutos!$H$191</f>
        <v>4</v>
      </c>
    </row>
    <row r="211" customFormat="false" ht="15" hidden="false" customHeight="false" outlineLevel="0" collapsed="false">
      <c r="A211" s="6" t="s">
        <v>273</v>
      </c>
      <c r="D211" s="7" t="n">
        <f aca="false">SUM(D194:D210)</f>
        <v>6474.57220177865</v>
      </c>
      <c r="E211" s="7" t="n">
        <f aca="false">SUM(E194:E210)</f>
        <v>6543.58855255404</v>
      </c>
      <c r="F211" s="7" t="n">
        <f aca="false">SUM(F194:F210)</f>
        <v>6613.34652723348</v>
      </c>
      <c r="G211" s="7" t="n">
        <f aca="false">SUM(G194:G210)</f>
        <v>6683.8540950302</v>
      </c>
      <c r="H211" s="7" t="n">
        <f aca="false">SUM(H194:H210)</f>
        <v>6755.11931079161</v>
      </c>
      <c r="I211" s="7" t="n">
        <f aca="false">SUM(I194:I210)</f>
        <v>6827.15031591948</v>
      </c>
      <c r="J211" s="7" t="n">
        <f aca="false">SUM(J194:J210)</f>
        <v>6899.95533930008</v>
      </c>
      <c r="K211" s="7" t="n">
        <f aca="false">SUM(K194:K210)</f>
        <v>6973.54269824417</v>
      </c>
      <c r="L211" s="7" t="n">
        <f aca="false">SUM(L194:L210)</f>
        <v>7047.92079943725</v>
      </c>
      <c r="M211" s="7" t="n">
        <f aca="false">SUM(M194:M210)</f>
        <v>7123.09813989992</v>
      </c>
      <c r="N211" s="7" t="n">
        <f aca="false">SUM(N194:N210)</f>
        <v>7199.08330795857</v>
      </c>
      <c r="O211" s="7" t="n">
        <f aca="false">SUM(O194:O210)</f>
        <v>7275.88498422655</v>
      </c>
      <c r="P211" s="7" t="n">
        <f aca="false">SUM(P194:P210)</f>
        <v>82417.116272374</v>
      </c>
    </row>
    <row r="212" customFormat="false" ht="15" hidden="false" customHeight="false" outlineLevel="0" collapsed="false">
      <c r="A212" s="6" t="s">
        <v>274</v>
      </c>
    </row>
    <row r="213" customFormat="false" ht="15" hidden="false" customHeight="false" outlineLevel="0" collapsed="false">
      <c r="A213" s="4" t="s">
        <v>143</v>
      </c>
      <c r="D213" s="25" t="n">
        <f aca="false">SUMPRODUCT(($B$194:$B$210=$A213)*D$194:D$210*$C$194:$C$210)</f>
        <v>5781.76358655523</v>
      </c>
      <c r="E213" s="25" t="n">
        <f aca="false">SUMPRODUCT(($B$194:$B$210=$A213)*E$194:E$210*$C$194:$C$210)</f>
        <v>5843.3710937079</v>
      </c>
      <c r="F213" s="25" t="n">
        <f aca="false">SUMPRODUCT(($B$194:$B$210=$A213)*F$194:F$210*$C$194:$C$210)</f>
        <v>5905.6406121008</v>
      </c>
      <c r="G213" s="25" t="n">
        <f aca="false">SUMPRODUCT(($B$194:$B$210=$A213)*G$194:G$210*$C$194:$C$210)</f>
        <v>5968.57925545925</v>
      </c>
      <c r="H213" s="25" t="n">
        <f aca="false">SUMPRODUCT(($B$194:$B$210=$A213)*H$194:H$210*$C$194:$C$210)</f>
        <v>6032.19421394997</v>
      </c>
      <c r="I213" s="25" t="n">
        <f aca="false">SUMPRODUCT(($B$194:$B$210=$A213)*I$194:I$210*$C$194:$C$210)</f>
        <v>6096.49275500253</v>
      </c>
      <c r="J213" s="25" t="n">
        <f aca="false">SUMPRODUCT(($B$194:$B$210=$A213)*J$194:J$210*$C$194:$C$210)</f>
        <v>6161.4822241396</v>
      </c>
      <c r="K213" s="25" t="n">
        <f aca="false">SUMPRODUCT(($B$194:$B$210=$A213)*K$194:K$210*$C$194:$C$210)</f>
        <v>6227.17004581606</v>
      </c>
      <c r="L213" s="25" t="n">
        <f aca="false">SUMPRODUCT(($B$194:$B$210=$A213)*L$194:L$210*$C$194:$C$210)</f>
        <v>6293.56372426724</v>
      </c>
      <c r="M213" s="25" t="n">
        <f aca="false">SUMPRODUCT(($B$194:$B$210=$A213)*M$194:M$210*$C$194:$C$210)</f>
        <v>6360.67084436615</v>
      </c>
      <c r="N213" s="25" t="n">
        <f aca="false">SUMPRODUCT(($B$194:$B$210=$A213)*N$194:N$210*$C$194:$C$210)</f>
        <v>6428.49907249001</v>
      </c>
      <c r="O213" s="25" t="n">
        <f aca="false">SUMPRODUCT(($B$194:$B$210=$A213)*O$194:O$210*$C$194:$C$210)</f>
        <v>6497.0561573961</v>
      </c>
      <c r="P213" s="25" t="n">
        <f aca="false">SUMPRODUCT(($B$194:$B$210=$A213)*P$194:P$210*$C$194:$C$210)</f>
        <v>73596.4835852508</v>
      </c>
    </row>
    <row r="214" customFormat="false" ht="15" hidden="false" customHeight="false" outlineLevel="0" collapsed="false">
      <c r="A214" s="4" t="s">
        <v>149</v>
      </c>
      <c r="D214" s="25" t="n">
        <f aca="false">SUMPRODUCT(($B$194:$B$210=$A214)*D$194:D$210*$C$194:$C$210)</f>
        <v>8.5147119663623</v>
      </c>
      <c r="E214" s="25" t="n">
        <f aca="false">SUMPRODUCT(($B$194:$B$210=$A214)*E$194:E$210*$C$194:$C$210)</f>
        <v>8.60441694028289</v>
      </c>
      <c r="F214" s="25" t="n">
        <f aca="false">SUMPRODUCT(($B$194:$B$210=$A214)*F$194:F$210*$C$194:$C$210)</f>
        <v>8.69508585031752</v>
      </c>
      <c r="G214" s="25" t="n">
        <f aca="false">SUMPRODUCT(($B$194:$B$210=$A214)*G$194:G$210*$C$194:$C$210)</f>
        <v>8.78672905456332</v>
      </c>
      <c r="H214" s="25" t="n">
        <f aca="false">SUMPRODUCT(($B$194:$B$210=$A214)*H$194:H$210*$C$194:$C$210)</f>
        <v>8.87935702242165</v>
      </c>
      <c r="I214" s="25" t="n">
        <f aca="false">SUMPRODUCT(($B$194:$B$210=$A214)*I$194:I$210*$C$194:$C$210)</f>
        <v>8.97298033579414</v>
      </c>
      <c r="J214" s="25" t="n">
        <f aca="false">SUMPRODUCT(($B$194:$B$210=$A214)*J$194:J$210*$C$194:$C$210)</f>
        <v>9.06760969029159</v>
      </c>
      <c r="K214" s="25" t="n">
        <f aca="false">SUMPRODUCT(($B$194:$B$210=$A214)*K$194:K$210*$C$194:$C$210)</f>
        <v>9.1632558964558</v>
      </c>
      <c r="L214" s="25" t="n">
        <f aca="false">SUMPRODUCT(($B$194:$B$210=$A214)*L$194:L$210*$C$194:$C$210)</f>
        <v>9.25992988099466</v>
      </c>
      <c r="M214" s="25" t="n">
        <f aca="false">SUMPRODUCT(($B$194:$B$210=$A214)*M$194:M$210*$C$194:$C$210)</f>
        <v>9.35764268803034</v>
      </c>
      <c r="N214" s="25" t="n">
        <f aca="false">SUMPRODUCT(($B$194:$B$210=$A214)*N$194:N$210*$C$194:$C$210)</f>
        <v>9.45640548036105</v>
      </c>
      <c r="O214" s="25" t="n">
        <f aca="false">SUMPRODUCT(($B$194:$B$210=$A214)*O$194:O$210*$C$194:$C$210)</f>
        <v>9.55622954073622</v>
      </c>
      <c r="P214" s="25" t="n">
        <f aca="false">SUMPRODUCT(($B$194:$B$210=$A214)*P$194:P$210*$C$194:$C$210)</f>
        <v>108.314354346611</v>
      </c>
    </row>
    <row r="215" customFormat="false" ht="15" hidden="false" customHeight="false" outlineLevel="0" collapsed="false">
      <c r="A215" s="4" t="s">
        <v>155</v>
      </c>
      <c r="D215" s="25" t="n">
        <f aca="false">SUMPRODUCT(($B$194:$B$210=$A215)*D$194:D$210*$C$194:$C$210)</f>
        <v>7.59974478895359</v>
      </c>
      <c r="E215" s="25" t="n">
        <f aca="false">SUMPRODUCT(($B$194:$B$210=$A215)*E$194:E$210*$C$194:$C$210)</f>
        <v>7.6796178676411</v>
      </c>
      <c r="F215" s="25" t="n">
        <f aca="false">SUMPRODUCT(($B$194:$B$210=$A215)*F$194:F$210*$C$194:$C$210)</f>
        <v>7.76034923257207</v>
      </c>
      <c r="G215" s="25" t="n">
        <f aca="false">SUMPRODUCT(($B$194:$B$210=$A215)*G$194:G$210*$C$194:$C$210)</f>
        <v>7.84194810656963</v>
      </c>
      <c r="H215" s="25" t="n">
        <f aca="false">SUMPRODUCT(($B$194:$B$210=$A215)*H$194:H$210*$C$194:$C$210)</f>
        <v>7.92442381156188</v>
      </c>
      <c r="I215" s="25" t="n">
        <f aca="false">SUMPRODUCT(($B$194:$B$210=$A215)*I$194:I$210*$C$194:$C$210)</f>
        <v>8.0077857696469</v>
      </c>
      <c r="J215" s="25" t="n">
        <f aca="false">SUMPRODUCT(($B$194:$B$210=$A215)*J$194:J$210*$C$194:$C$210)</f>
        <v>8.0920435041691</v>
      </c>
      <c r="K215" s="25" t="n">
        <f aca="false">SUMPRODUCT(($B$194:$B$210=$A215)*K$194:K$210*$C$194:$C$210)</f>
        <v>8.17720664080719</v>
      </c>
      <c r="L215" s="25" t="n">
        <f aca="false">SUMPRODUCT(($B$194:$B$210=$A215)*L$194:L$210*$C$194:$C$210)</f>
        <v>8.26328490867384</v>
      </c>
      <c r="M215" s="25" t="n">
        <f aca="false">SUMPRODUCT(($B$194:$B$210=$A215)*M$194:M$210*$C$194:$C$210)</f>
        <v>8.3502881414271</v>
      </c>
      <c r="N215" s="25" t="n">
        <f aca="false">SUMPRODUCT(($B$194:$B$210=$A215)*N$194:N$210*$C$194:$C$210)</f>
        <v>8.43822627839385</v>
      </c>
      <c r="O215" s="25" t="n">
        <f aca="false">SUMPRODUCT(($B$194:$B$210=$A215)*O$194:O$210*$C$194:$C$210)</f>
        <v>8.52710936570528</v>
      </c>
      <c r="P215" s="25" t="n">
        <f aca="false">SUMPRODUCT(($B$194:$B$210=$A215)*P$194:P$210*$C$194:$C$210)</f>
        <v>96.6620284161215</v>
      </c>
    </row>
    <row r="216" customFormat="false" ht="15" hidden="false" customHeight="false" outlineLevel="0" collapsed="false">
      <c r="A216" s="4" t="s">
        <v>146</v>
      </c>
      <c r="D216" s="25" t="n">
        <f aca="false">SUMPRODUCT(($B$194:$B$210=$A216)*D$194:D$210*$C$194:$C$210)</f>
        <v>149.079505130002</v>
      </c>
      <c r="E216" s="25" t="n">
        <f aca="false">SUMPRODUCT(($B$194:$B$210=$A216)*E$194:E$210*$C$194:$C$210)</f>
        <v>150.669816664589</v>
      </c>
      <c r="F216" s="25" t="n">
        <f aca="false">SUMPRODUCT(($B$194:$B$210=$A216)*F$194:F$210*$C$194:$C$210)</f>
        <v>152.277217092399</v>
      </c>
      <c r="G216" s="25" t="n">
        <f aca="false">SUMPRODUCT(($B$194:$B$210=$A216)*G$194:G$210*$C$194:$C$210)</f>
        <v>153.901890044288</v>
      </c>
      <c r="H216" s="25" t="n">
        <f aca="false">SUMPRODUCT(($B$194:$B$210=$A216)*H$194:H$210*$C$194:$C$210)</f>
        <v>155.544021124343</v>
      </c>
      <c r="I216" s="25" t="n">
        <f aca="false">SUMPRODUCT(($B$194:$B$210=$A216)*I$194:I$210*$C$194:$C$210)</f>
        <v>157.203797931082</v>
      </c>
      <c r="J216" s="25" t="n">
        <f aca="false">SUMPRODUCT(($B$194:$B$210=$A216)*J$194:J$210*$C$194:$C$210)</f>
        <v>158.881410078889</v>
      </c>
      <c r="K216" s="25" t="n">
        <f aca="false">SUMPRODUCT(($B$194:$B$210=$A216)*K$194:K$210*$C$194:$C$210)</f>
        <v>160.57704921967</v>
      </c>
      <c r="L216" s="25" t="n">
        <f aca="false">SUMPRODUCT(($B$194:$B$210=$A216)*L$194:L$210*$C$194:$C$210)</f>
        <v>162.290909064753</v>
      </c>
      <c r="M216" s="25" t="n">
        <f aca="false">SUMPRODUCT(($B$194:$B$210=$A216)*M$194:M$210*$C$194:$C$210)</f>
        <v>164.023185407015</v>
      </c>
      <c r="N216" s="25" t="n">
        <f aca="false">SUMPRODUCT(($B$194:$B$210=$A216)*N$194:N$210*$C$194:$C$210)</f>
        <v>165.774076143248</v>
      </c>
      <c r="O216" s="25" t="n">
        <f aca="false">SUMPRODUCT(($B$194:$B$210=$A216)*O$194:O$210*$C$194:$C$210)</f>
        <v>167.543781296772</v>
      </c>
      <c r="P216" s="25" t="n">
        <f aca="false">SUMPRODUCT(($B$194:$B$210=$A216)*P$194:P$210*$C$194:$C$210)</f>
        <v>1897.76665919705</v>
      </c>
    </row>
    <row r="217" customFormat="false" ht="15" hidden="false" customHeight="false" outlineLevel="0" collapsed="false">
      <c r="A217" s="4" t="s">
        <v>147</v>
      </c>
      <c r="D217" s="25" t="n">
        <f aca="false">SUMPRODUCT(($B$194:$B$210=$A217)*D$194:D$210*$C$194:$C$210)</f>
        <v>70.5080057750676</v>
      </c>
      <c r="E217" s="25" t="n">
        <f aca="false">SUMPRODUCT(($B$194:$B$210=$A217)*E$194:E$210*$C$194:$C$210)</f>
        <v>71.257599226487</v>
      </c>
      <c r="F217" s="25" t="n">
        <f aca="false">SUMPRODUCT(($B$194:$B$210=$A217)*F$194:F$210*$C$194:$C$210)</f>
        <v>72.0152475289041</v>
      </c>
      <c r="G217" s="25" t="n">
        <f aca="false">SUMPRODUCT(($B$194:$B$210=$A217)*G$194:G$210*$C$194:$C$210)</f>
        <v>72.7810372367363</v>
      </c>
      <c r="H217" s="25" t="n">
        <f aca="false">SUMPRODUCT(($B$194:$B$210=$A217)*H$194:H$210*$C$194:$C$210)</f>
        <v>73.5550558344828</v>
      </c>
      <c r="I217" s="25" t="n">
        <f aca="false">SUMPRODUCT(($B$194:$B$210=$A217)*I$194:I$210*$C$194:$C$210)</f>
        <v>74.3373917467181</v>
      </c>
      <c r="J217" s="25" t="n">
        <f aca="false">SUMPRODUCT(($B$194:$B$210=$A217)*J$194:J$210*$C$194:$C$210)</f>
        <v>75.1281343481944</v>
      </c>
      <c r="K217" s="25" t="n">
        <f aca="false">SUMPRODUCT(($B$194:$B$210=$A217)*K$194:K$210*$C$194:$C$210)</f>
        <v>75.9273739740515</v>
      </c>
      <c r="L217" s="25" t="n">
        <f aca="false">SUMPRODUCT(($B$194:$B$210=$A217)*L$194:L$210*$C$194:$C$210)</f>
        <v>76.7352019301368</v>
      </c>
      <c r="M217" s="25" t="n">
        <f aca="false">SUMPRODUCT(($B$194:$B$210=$A217)*M$194:M$210*$C$194:$C$210)</f>
        <v>77.5517105034362</v>
      </c>
      <c r="N217" s="25" t="n">
        <f aca="false">SUMPRODUCT(($B$194:$B$210=$A217)*N$194:N$210*$C$194:$C$210)</f>
        <v>78.3769929726171</v>
      </c>
      <c r="O217" s="25" t="n">
        <f aca="false">SUMPRODUCT(($B$194:$B$210=$A217)*O$194:O$210*$C$194:$C$210)</f>
        <v>79.2111436186846</v>
      </c>
      <c r="P217" s="25" t="n">
        <f aca="false">SUMPRODUCT(($B$194:$B$210=$A217)*P$194:P$210*$C$194:$C$210)</f>
        <v>897.384894695516</v>
      </c>
    </row>
    <row r="218" customFormat="false" ht="15" hidden="false" customHeight="false" outlineLevel="0" collapsed="false">
      <c r="A218" s="4" t="s">
        <v>150</v>
      </c>
      <c r="D218" s="25" t="n">
        <f aca="false">SUMPRODUCT(($B$194:$B$210=$A218)*D$194:D$210*$C$194:$C$210)</f>
        <v>72.9469561972164</v>
      </c>
      <c r="E218" s="25" t="n">
        <f aca="false">SUMPRODUCT(($B$194:$B$210=$A218)*E$194:E$210*$C$194:$C$210)</f>
        <v>73.7245486357769</v>
      </c>
      <c r="F218" s="25" t="n">
        <f aca="false">SUMPRODUCT(($B$194:$B$210=$A218)*F$194:F$210*$C$194:$C$210)</f>
        <v>74.5104967919836</v>
      </c>
      <c r="G218" s="25" t="n">
        <f aca="false">SUMPRODUCT(($B$194:$B$210=$A218)*G$194:G$210*$C$194:$C$210)</f>
        <v>75.3048904532546</v>
      </c>
      <c r="H218" s="25" t="n">
        <f aca="false">SUMPRODUCT(($B$194:$B$210=$A218)*H$194:H$210*$C$194:$C$210)</f>
        <v>76.1078203718299</v>
      </c>
      <c r="I218" s="25" t="n">
        <f aca="false">SUMPRODUCT(($B$194:$B$210=$A218)*I$194:I$210*$C$194:$C$210)</f>
        <v>76.9193782751395</v>
      </c>
      <c r="J218" s="25" t="n">
        <f aca="false">SUMPRODUCT(($B$194:$B$210=$A218)*J$194:J$210*$C$194:$C$210)</f>
        <v>77.7396568762816</v>
      </c>
      <c r="K218" s="25" t="n">
        <f aca="false">SUMPRODUCT(($B$194:$B$210=$A218)*K$194:K$210*$C$194:$C$210)</f>
        <v>78.568749884615</v>
      </c>
      <c r="L218" s="25" t="n">
        <f aca="false">SUMPRODUCT(($B$194:$B$210=$A218)*L$194:L$210*$C$194:$C$210)</f>
        <v>79.4067520164643</v>
      </c>
      <c r="M218" s="25" t="n">
        <f aca="false">SUMPRODUCT(($B$194:$B$210=$A218)*M$194:M$210*$C$194:$C$210)</f>
        <v>80.2537590059399</v>
      </c>
      <c r="N218" s="25" t="n">
        <f aca="false">SUMPRODUCT(($B$194:$B$210=$A218)*N$194:N$210*$C$194:$C$210)</f>
        <v>81.1098676158757</v>
      </c>
      <c r="O218" s="25" t="n">
        <f aca="false">SUMPRODUCT(($B$194:$B$210=$A218)*O$194:O$210*$C$194:$C$210)</f>
        <v>81.9751756488824</v>
      </c>
      <c r="P218" s="25" t="n">
        <f aca="false">SUMPRODUCT(($B$194:$B$210=$A218)*P$194:P$210*$C$194:$C$210)</f>
        <v>928.56805177326</v>
      </c>
    </row>
    <row r="219" customFormat="false" ht="15" hidden="false" customHeight="false" outlineLevel="0" collapsed="false">
      <c r="A219" s="4" t="s">
        <v>151</v>
      </c>
      <c r="D219" s="25" t="n">
        <f aca="false">SUMPRODUCT(($B$194:$B$210=$A219)*D$194:D$210*$C$194:$C$210)</f>
        <v>537.897648198398</v>
      </c>
      <c r="E219" s="25" t="n">
        <f aca="false">SUMPRODUCT(($B$194:$B$210=$A219)*E$194:E$210*$C$194:$C$210)</f>
        <v>543.637399137833</v>
      </c>
      <c r="F219" s="25" t="n">
        <f aca="false">SUMPRODUCT(($B$194:$B$210=$A219)*F$194:F$210*$C$194:$C$210)</f>
        <v>549.43882729509</v>
      </c>
      <c r="G219" s="25" t="n">
        <f aca="false">SUMPRODUCT(($B$194:$B$210=$A219)*G$194:G$210*$C$194:$C$210)</f>
        <v>555.302595430494</v>
      </c>
      <c r="H219" s="25" t="n">
        <f aca="false">SUMPRODUCT(($B$194:$B$210=$A219)*H$194:H$210*$C$194:$C$210)</f>
        <v>561.229373426144</v>
      </c>
      <c r="I219" s="25" t="n">
        <f aca="false">SUMPRODUCT(($B$194:$B$210=$A219)*I$194:I$210*$C$194:$C$210)</f>
        <v>567.219838362442</v>
      </c>
      <c r="J219" s="25" t="n">
        <f aca="false">SUMPRODUCT(($B$194:$B$210=$A219)*J$194:J$210*$C$194:$C$210)</f>
        <v>573.274674595444</v>
      </c>
      <c r="K219" s="25" t="n">
        <f aca="false">SUMPRODUCT(($B$194:$B$210=$A219)*K$194:K$210*$C$194:$C$210)</f>
        <v>579.39457383504</v>
      </c>
      <c r="L219" s="25" t="n">
        <f aca="false">SUMPRODUCT(($B$194:$B$210=$A219)*L$194:L$210*$C$194:$C$210)</f>
        <v>585.580235223974</v>
      </c>
      <c r="M219" s="25" t="n">
        <f aca="false">SUMPRODUCT(($B$194:$B$210=$A219)*M$194:M$210*$C$194:$C$210)</f>
        <v>591.832365417718</v>
      </c>
      <c r="N219" s="25" t="n">
        <f aca="false">SUMPRODUCT(($B$194:$B$210=$A219)*N$194:N$210*$C$194:$C$210)</f>
        <v>598.151678665201</v>
      </c>
      <c r="O219" s="25" t="n">
        <f aca="false">SUMPRODUCT(($B$194:$B$210=$A219)*O$194:O$210*$C$194:$C$210)</f>
        <v>604.538896890402</v>
      </c>
      <c r="P219" s="25" t="n">
        <f aca="false">SUMPRODUCT(($B$194:$B$210=$A219)*P$194:P$210*$C$194:$C$210)</f>
        <v>6847.49810647818</v>
      </c>
    </row>
    <row r="220" customFormat="false" ht="15" hidden="false" customHeight="false" outlineLevel="0" collapsed="false">
      <c r="A220" s="4" t="s">
        <v>154</v>
      </c>
      <c r="D220" s="25" t="n">
        <f aca="false">SUMPRODUCT(($B$194:$B$210=$A220)*D$194:D$210*$C$194:$C$210)</f>
        <v>21.5514182246746</v>
      </c>
      <c r="E220" s="25" t="n">
        <f aca="false">SUMPRODUCT(($B$194:$B$210=$A220)*E$194:E$210*$C$194:$C$210)</f>
        <v>21.7812107703474</v>
      </c>
      <c r="F220" s="25" t="n">
        <f aca="false">SUMPRODUCT(($B$194:$B$210=$A220)*F$194:F$210*$C$194:$C$210)</f>
        <v>22.0134725808094</v>
      </c>
      <c r="G220" s="25" t="n">
        <f aca="false">SUMPRODUCT(($B$194:$B$210=$A220)*G$194:G$210*$C$194:$C$210)</f>
        <v>22.2482301898568</v>
      </c>
      <c r="H220" s="25" t="n">
        <f aca="false">SUMPRODUCT(($B$194:$B$210=$A220)*H$194:H$210*$C$194:$C$210)</f>
        <v>22.4855104164083</v>
      </c>
      <c r="I220" s="25" t="n">
        <f aca="false">SUMPRODUCT(($B$194:$B$210=$A220)*I$194:I$210*$C$194:$C$210)</f>
        <v>22.7253403675684</v>
      </c>
      <c r="J220" s="25" t="n">
        <f aca="false">SUMPRODUCT(($B$194:$B$210=$A220)*J$194:J$210*$C$194:$C$210)</f>
        <v>22.9677474417245</v>
      </c>
      <c r="K220" s="25" t="n">
        <f aca="false">SUMPRODUCT(($B$194:$B$210=$A220)*K$194:K$210*$C$194:$C$210)</f>
        <v>23.2127593316771</v>
      </c>
      <c r="L220" s="25" t="n">
        <f aca="false">SUMPRODUCT(($B$194:$B$210=$A220)*L$194:L$210*$C$194:$C$210)</f>
        <v>23.4604040278027</v>
      </c>
      <c r="M220" s="25" t="n">
        <f aca="false">SUMPRODUCT(($B$194:$B$210=$A220)*M$194:M$210*$C$194:$C$210)</f>
        <v>23.7107098212523</v>
      </c>
      <c r="N220" s="25" t="n">
        <f aca="false">SUMPRODUCT(($B$194:$B$210=$A220)*N$194:N$210*$C$194:$C$210)</f>
        <v>23.9637053071829</v>
      </c>
      <c r="O220" s="25" t="n">
        <f aca="false">SUMPRODUCT(($B$194:$B$210=$A220)*O$194:O$210*$C$194:$C$210)</f>
        <v>24.2194193880244</v>
      </c>
      <c r="P220" s="25" t="n">
        <f aca="false">SUMPRODUCT(($B$194:$B$210=$A220)*P$194:P$210*$C$194:$C$210)</f>
        <v>274.339927867329</v>
      </c>
    </row>
    <row r="221" customFormat="false" ht="15" hidden="false" customHeight="false" outlineLevel="0" collapsed="false">
      <c r="A221" s="6" t="s">
        <v>275</v>
      </c>
      <c r="D221" s="26" t="n">
        <f aca="false">SUMPRODUCT(D$194:D$210*parametros_recargas!$D$51:$D$67)</f>
        <v>223.886047602337</v>
      </c>
      <c r="E221" s="26" t="n">
        <f aca="false">SUMPRODUCT(E$194:E$210*parametros_recargas!$D$51:$D$67)</f>
        <v>226.233637896318</v>
      </c>
      <c r="F221" s="26" t="n">
        <f aca="false">SUMPRODUCT(F$194:F$210*parametros_recargas!$D$51:$D$67)</f>
        <v>228.606454517965</v>
      </c>
      <c r="G221" s="26" t="n">
        <f aca="false">SUMPRODUCT(G$194:G$210*parametros_recargas!$D$51:$D$67)</f>
        <v>231.004768539964</v>
      </c>
      <c r="H221" s="26" t="n">
        <f aca="false">SUMPRODUCT(H$194:H$210*parametros_recargas!$D$51:$D$67)</f>
        <v>233.428853947847</v>
      </c>
      <c r="I221" s="26" t="n">
        <f aca="false">SUMPRODUCT(I$194:I$210*parametros_recargas!$D$51:$D$67)</f>
        <v>235.878987671292</v>
      </c>
      <c r="J221" s="26" t="n">
        <f aca="false">SUMPRODUCT(J$194:J$210*parametros_recargas!$D$51:$D$67)</f>
        <v>238.355449615761</v>
      </c>
      <c r="K221" s="26" t="n">
        <f aca="false">SUMPRODUCT(K$194:K$210*parametros_recargas!$D$51:$D$67)</f>
        <v>240.858522694473</v>
      </c>
      <c r="L221" s="26" t="n">
        <f aca="false">SUMPRODUCT(L$194:L$210*parametros_recargas!$D$51:$D$67)</f>
        <v>243.38849286073</v>
      </c>
      <c r="M221" s="26" t="n">
        <f aca="false">SUMPRODUCT(M$194:M$210*parametros_recargas!$D$51:$D$67)</f>
        <v>245.945649140578</v>
      </c>
      <c r="N221" s="26" t="n">
        <f aca="false">SUMPRODUCT(N$194:N$210*parametros_recargas!$D$51:$D$67)</f>
        <v>248.530283665831</v>
      </c>
      <c r="O221" s="26" t="n">
        <f aca="false">SUMPRODUCT(O$194:O$210*parametros_recargas!$D$51:$D$67)</f>
        <v>251.142691707441</v>
      </c>
      <c r="P221" s="26" t="n">
        <f aca="false">SUMPRODUCT(P$194:P$210*parametros_recargas!$D$51:$D$67)</f>
        <v>2847.25983986054</v>
      </c>
    </row>
    <row r="225" customFormat="false" ht="23.85" hidden="false" customHeight="false" outlineLevel="0" collapsed="false">
      <c r="A225" s="23" t="n">
        <v>2033</v>
      </c>
      <c r="B225" s="3" t="s">
        <v>270</v>
      </c>
      <c r="C225" s="3" t="s">
        <v>271</v>
      </c>
      <c r="D225" s="3" t="s">
        <v>124</v>
      </c>
      <c r="E225" s="3" t="s">
        <v>125</v>
      </c>
      <c r="F225" s="3" t="s">
        <v>126</v>
      </c>
      <c r="G225" s="3" t="s">
        <v>127</v>
      </c>
      <c r="H225" s="3" t="s">
        <v>128</v>
      </c>
      <c r="I225" s="3" t="s">
        <v>129</v>
      </c>
      <c r="J225" s="3" t="s">
        <v>130</v>
      </c>
      <c r="K225" s="3" t="s">
        <v>131</v>
      </c>
      <c r="L225" s="3" t="s">
        <v>132</v>
      </c>
      <c r="M225" s="3" t="s">
        <v>133</v>
      </c>
      <c r="N225" s="3" t="s">
        <v>134</v>
      </c>
      <c r="O225" s="3" t="s">
        <v>135</v>
      </c>
      <c r="P225" s="3" t="s">
        <v>136</v>
      </c>
      <c r="Q225" s="3" t="s">
        <v>272</v>
      </c>
    </row>
    <row r="226" customFormat="false" ht="15" hidden="false" customHeight="false" outlineLevel="0" collapsed="false">
      <c r="A226" s="12" t="str">
        <f aca="false">parametros_recargas!A51</f>
        <v>ABC 1 kg</v>
      </c>
      <c r="B226" s="12" t="str">
        <f aca="false">parametros_recargas!B51</f>
        <v>ABC</v>
      </c>
      <c r="C226" s="24" t="n">
        <f aca="false">parametros_recargas!C51</f>
        <v>1</v>
      </c>
      <c r="D226" s="25" t="n">
        <f aca="false">datos_base!$I$2*parametros_recargas!$F$44+sobrestock_sustitutos!$I$175/12</f>
        <v>3980.94698065345</v>
      </c>
      <c r="E226" s="25" t="n">
        <f aca="false">datos_base!$I$2*parametros_recargas!$G$44+sobrestock_sustitutos!$I$175/12</f>
        <v>4005.19963082432</v>
      </c>
      <c r="F226" s="25" t="n">
        <f aca="false">datos_base!$I$2*parametros_recargas!$H$44+sobrestock_sustitutos!$I$175/12</f>
        <v>4029.60003253349</v>
      </c>
      <c r="G226" s="25" t="n">
        <f aca="false">datos_base!$I$2*parametros_recargas!$I$44+sobrestock_sustitutos!$I$175/12</f>
        <v>4054.1490859101</v>
      </c>
      <c r="H226" s="25" t="n">
        <f aca="false">datos_base!$I$2*parametros_recargas!$J$44+sobrestock_sustitutos!$I$175/12</f>
        <v>4078.84769656705</v>
      </c>
      <c r="I226" s="25" t="n">
        <f aca="false">datos_base!$I$2*parametros_recargas!$K$44+sobrestock_sustitutos!$I$175/12</f>
        <v>4103.69677563438</v>
      </c>
      <c r="J226" s="25" t="n">
        <f aca="false">datos_base!$I$2*parametros_recargas!$L$44+sobrestock_sustitutos!$I$175/12</f>
        <v>4128.69723979289</v>
      </c>
      <c r="K226" s="25" t="n">
        <f aca="false">datos_base!$I$2*parametros_recargas!$M$44+sobrestock_sustitutos!$I$175/12</f>
        <v>4153.85001130799</v>
      </c>
      <c r="L226" s="25" t="n">
        <f aca="false">datos_base!$I$2*parametros_recargas!$N$44+sobrestock_sustitutos!$I$175/12</f>
        <v>4179.15601806369</v>
      </c>
      <c r="M226" s="25" t="n">
        <f aca="false">datos_base!$I$2*parametros_recargas!$O$44+sobrestock_sustitutos!$I$175/12</f>
        <v>4204.61619359683</v>
      </c>
      <c r="N226" s="25" t="n">
        <f aca="false">datos_base!$I$2*parametros_recargas!$P$44+sobrestock_sustitutos!$I$175/12</f>
        <v>4230.23147713153</v>
      </c>
      <c r="O226" s="25" t="n">
        <f aca="false">datos_base!$I$2*parametros_recargas!$Q$44+sobrestock_sustitutos!$I$175/12</f>
        <v>4256.00281361384</v>
      </c>
      <c r="P226" s="7" t="n">
        <f aca="false">SUM(D226:O226)</f>
        <v>49404.9939556296</v>
      </c>
      <c r="Q226" s="13" t="n">
        <f aca="false">sobrestock_sustitutos!$I$175</f>
        <v>0</v>
      </c>
    </row>
    <row r="227" customFormat="false" ht="15" hidden="false" customHeight="false" outlineLevel="0" collapsed="false">
      <c r="A227" s="12" t="str">
        <f aca="false">parametros_recargas!A52</f>
        <v>ABC 2,5 kg</v>
      </c>
      <c r="B227" s="12" t="str">
        <f aca="false">parametros_recargas!B52</f>
        <v>ABC</v>
      </c>
      <c r="C227" s="24" t="n">
        <f aca="false">parametros_recargas!C52</f>
        <v>1</v>
      </c>
      <c r="D227" s="25" t="n">
        <f aca="false">datos_base!$I$3*parametros_recargas!$F$44+sobrestock_sustitutos!$I$176/12</f>
        <v>331.266477070139</v>
      </c>
      <c r="E227" s="25" t="n">
        <f aca="false">datos_base!$I$3*parametros_recargas!$G$44+sobrestock_sustitutos!$I$176/12</f>
        <v>333.284612458719</v>
      </c>
      <c r="F227" s="25" t="n">
        <f aca="false">datos_base!$I$3*parametros_recargas!$H$44+sobrestock_sustitutos!$I$176/12</f>
        <v>335.31504269368</v>
      </c>
      <c r="G227" s="25" t="n">
        <f aca="false">datos_base!$I$3*parametros_recargas!$I$44+sobrestock_sustitutos!$I$176/12</f>
        <v>337.357842677452</v>
      </c>
      <c r="H227" s="25" t="n">
        <f aca="false">datos_base!$I$3*parametros_recargas!$J$44+sobrestock_sustitutos!$I$176/12</f>
        <v>339.413087768788</v>
      </c>
      <c r="I227" s="25" t="n">
        <f aca="false">datos_base!$I$3*parametros_recargas!$K$44+sobrestock_sustitutos!$I$176/12</f>
        <v>341.480853785535</v>
      </c>
      <c r="J227" s="25" t="n">
        <f aca="false">datos_base!$I$3*parametros_recargas!$L$44+sobrestock_sustitutos!$I$176/12</f>
        <v>343.561217007441</v>
      </c>
      <c r="K227" s="25" t="n">
        <f aca="false">datos_base!$I$3*parametros_recargas!$M$44+sobrestock_sustitutos!$I$176/12</f>
        <v>345.654254178961</v>
      </c>
      <c r="L227" s="25" t="n">
        <f aca="false">datos_base!$I$3*parametros_recargas!$N$44+sobrestock_sustitutos!$I$176/12</f>
        <v>347.760042512092</v>
      </c>
      <c r="M227" s="25" t="n">
        <f aca="false">datos_base!$I$3*parametros_recargas!$O$44+sobrestock_sustitutos!$I$176/12</f>
        <v>349.878659689221</v>
      </c>
      <c r="N227" s="25" t="n">
        <f aca="false">datos_base!$I$3*parametros_recargas!$P$44+sobrestock_sustitutos!$I$176/12</f>
        <v>352.010183865989</v>
      </c>
      <c r="O227" s="25" t="n">
        <f aca="false">datos_base!$I$3*parametros_recargas!$Q$44+sobrestock_sustitutos!$I$176/12</f>
        <v>354.154693674176</v>
      </c>
      <c r="P227" s="7" t="n">
        <f aca="false">SUM(D227:O227)</f>
        <v>4111.13696738219</v>
      </c>
      <c r="Q227" s="13" t="n">
        <f aca="false">sobrestock_sustitutos!$I$176</f>
        <v>0</v>
      </c>
    </row>
    <row r="228" customFormat="false" ht="15" hidden="false" customHeight="false" outlineLevel="0" collapsed="false">
      <c r="A228" s="12" t="str">
        <f aca="false">parametros_recargas!A53</f>
        <v>ABC 5 kg</v>
      </c>
      <c r="B228" s="12" t="str">
        <f aca="false">parametros_recargas!B53</f>
        <v>ABC</v>
      </c>
      <c r="C228" s="24" t="n">
        <f aca="false">parametros_recargas!C53</f>
        <v>1</v>
      </c>
      <c r="D228" s="25" t="n">
        <f aca="false">datos_base!$I$4*parametros_recargas!$F$44+sobrestock_sustitutos!$I$177/12</f>
        <v>2122.79199910346</v>
      </c>
      <c r="E228" s="25" t="n">
        <f aca="false">datos_base!$I$4*parametros_recargas!$G$44+sobrestock_sustitutos!$I$177/12</f>
        <v>2135.13552166951</v>
      </c>
      <c r="F228" s="25" t="n">
        <f aca="false">datos_base!$I$4*parametros_recargas!$H$44+sobrestock_sustitutos!$I$177/12</f>
        <v>2147.5542432111</v>
      </c>
      <c r="G228" s="25" t="n">
        <f aca="false">datos_base!$I$4*parametros_recargas!$I$44+sobrestock_sustitutos!$I$177/12</f>
        <v>2160.04862185403</v>
      </c>
      <c r="H228" s="25" t="n">
        <f aca="false">datos_base!$I$4*parametros_recargas!$J$44+sobrestock_sustitutos!$I$177/12</f>
        <v>2172.61911851506</v>
      </c>
      <c r="I228" s="25" t="n">
        <f aca="false">datos_base!$I$4*parametros_recargas!$K$44+sobrestock_sustitutos!$I$177/12</f>
        <v>2185.26619691894</v>
      </c>
      <c r="J228" s="25" t="n">
        <f aca="false">datos_base!$I$4*parametros_recargas!$L$44+sobrestock_sustitutos!$I$177/12</f>
        <v>2197.99032361553</v>
      </c>
      <c r="K228" s="25" t="n">
        <f aca="false">datos_base!$I$4*parametros_recargas!$M$44+sobrestock_sustitutos!$I$177/12</f>
        <v>2210.79196799698</v>
      </c>
      <c r="L228" s="25" t="n">
        <f aca="false">datos_base!$I$4*parametros_recargas!$N$44+sobrestock_sustitutos!$I$177/12</f>
        <v>2223.67160231508</v>
      </c>
      <c r="M228" s="25" t="n">
        <f aca="false">datos_base!$I$4*parametros_recargas!$O$44+sobrestock_sustitutos!$I$177/12</f>
        <v>2236.62970169863</v>
      </c>
      <c r="N228" s="25" t="n">
        <f aca="false">datos_base!$I$4*parametros_recargas!$P$44+sobrestock_sustitutos!$I$177/12</f>
        <v>2249.66674417105</v>
      </c>
      <c r="O228" s="25" t="n">
        <f aca="false">datos_base!$I$4*parametros_recargas!$Q$44+sobrestock_sustitutos!$I$177/12</f>
        <v>2262.78321066792</v>
      </c>
      <c r="P228" s="7" t="n">
        <f aca="false">SUM(D228:O228)</f>
        <v>26304.9492517373</v>
      </c>
      <c r="Q228" s="13" t="n">
        <f aca="false">sobrestock_sustitutos!$I$177</f>
        <v>1160</v>
      </c>
    </row>
    <row r="229" customFormat="false" ht="15" hidden="false" customHeight="false" outlineLevel="0" collapsed="false">
      <c r="A229" s="12" t="str">
        <f aca="false">parametros_recargas!A54</f>
        <v>ABC 10 kg</v>
      </c>
      <c r="B229" s="12" t="str">
        <f aca="false">parametros_recargas!B54</f>
        <v>ABC</v>
      </c>
      <c r="C229" s="24" t="n">
        <f aca="false">parametros_recargas!C54</f>
        <v>1</v>
      </c>
      <c r="D229" s="25" t="n">
        <f aca="false">datos_base!$I$5*parametros_recargas!$F$44+sobrestock_sustitutos!$I$178/12</f>
        <v>124.948282854367</v>
      </c>
      <c r="E229" s="25" t="n">
        <f aca="false">datos_base!$I$5*parametros_recargas!$G$44+sobrestock_sustitutos!$I$178/12</f>
        <v>125.679029522635</v>
      </c>
      <c r="F229" s="25" t="n">
        <f aca="false">datos_base!$I$5*parametros_recargas!$H$44+sobrestock_sustitutos!$I$178/12</f>
        <v>126.414228031983</v>
      </c>
      <c r="G229" s="25" t="n">
        <f aca="false">datos_base!$I$5*parametros_recargas!$I$44+sobrestock_sustitutos!$I$178/12</f>
        <v>127.153905503835</v>
      </c>
      <c r="H229" s="25" t="n">
        <f aca="false">datos_base!$I$5*parametros_recargas!$J$44+sobrestock_sustitutos!$I$178/12</f>
        <v>127.898089224841</v>
      </c>
      <c r="I229" s="25" t="n">
        <f aca="false">datos_base!$I$5*parametros_recargas!$K$44+sobrestock_sustitutos!$I$178/12</f>
        <v>128.646806647887</v>
      </c>
      <c r="J229" s="25" t="n">
        <f aca="false">datos_base!$I$5*parametros_recargas!$L$44+sobrestock_sustitutos!$I$178/12</f>
        <v>129.400085393107</v>
      </c>
      <c r="K229" s="25" t="n">
        <f aca="false">datos_base!$I$5*parametros_recargas!$M$44+sobrestock_sustitutos!$I$178/12</f>
        <v>130.157953248903</v>
      </c>
      <c r="L229" s="25" t="n">
        <f aca="false">datos_base!$I$5*parametros_recargas!$N$44+sobrestock_sustitutos!$I$178/12</f>
        <v>130.920438172967</v>
      </c>
      <c r="M229" s="25" t="n">
        <f aca="false">datos_base!$I$5*parametros_recargas!$O$44+sobrestock_sustitutos!$I$178/12</f>
        <v>131.687568293316</v>
      </c>
      <c r="N229" s="25" t="n">
        <f aca="false">datos_base!$I$5*parametros_recargas!$P$44+sobrestock_sustitutos!$I$178/12</f>
        <v>132.459371909327</v>
      </c>
      <c r="O229" s="25" t="n">
        <f aca="false">datos_base!$I$5*parametros_recargas!$Q$44+sobrestock_sustitutos!$I$178/12</f>
        <v>133.235877492781</v>
      </c>
      <c r="P229" s="7" t="n">
        <f aca="false">SUM(D229:O229)</f>
        <v>1548.60163629595</v>
      </c>
      <c r="Q229" s="13" t="n">
        <f aca="false">sobrestock_sustitutos!$I$178</f>
        <v>60</v>
      </c>
    </row>
    <row r="230" customFormat="false" ht="15" hidden="false" customHeight="false" outlineLevel="0" collapsed="false">
      <c r="A230" s="12" t="str">
        <f aca="false">parametros_recargas!A55</f>
        <v>Agua 10 l</v>
      </c>
      <c r="B230" s="12" t="str">
        <f aca="false">parametros_recargas!B55</f>
        <v>Agua</v>
      </c>
      <c r="C230" s="24" t="n">
        <f aca="false">parametros_recargas!C55</f>
        <v>1</v>
      </c>
      <c r="D230" s="25" t="n">
        <f aca="false">datos_base!$I$6*parametros_recargas!$F$44+sobrestock_sustitutos!$I$179/12</f>
        <v>173.011651652933</v>
      </c>
      <c r="E230" s="25" t="n">
        <f aca="false">datos_base!$I$6*parametros_recargas!$G$44+sobrestock_sustitutos!$I$179/12</f>
        <v>174.040285888424</v>
      </c>
      <c r="F230" s="25" t="n">
        <f aca="false">datos_base!$I$6*parametros_recargas!$H$44+sobrestock_sustitutos!$I$179/12</f>
        <v>175.075186750019</v>
      </c>
      <c r="G230" s="25" t="n">
        <f aca="false">datos_base!$I$6*parametros_recargas!$I$44+sobrestock_sustitutos!$I$179/12</f>
        <v>176.11639241514</v>
      </c>
      <c r="H230" s="25" t="n">
        <f aca="false">datos_base!$I$6*parametros_recargas!$J$44+sobrestock_sustitutos!$I$179/12</f>
        <v>177.163941293792</v>
      </c>
      <c r="I230" s="25" t="n">
        <f aca="false">datos_base!$I$6*parametros_recargas!$K$44+sobrestock_sustitutos!$I$179/12</f>
        <v>178.217872029979</v>
      </c>
      <c r="J230" s="25" t="n">
        <f aca="false">datos_base!$I$6*parametros_recargas!$L$44+sobrestock_sustitutos!$I$179/12</f>
        <v>179.278223503136</v>
      </c>
      <c r="K230" s="25" t="n">
        <f aca="false">datos_base!$I$6*parametros_recargas!$M$44+sobrestock_sustitutos!$I$179/12</f>
        <v>180.345034829554</v>
      </c>
      <c r="L230" s="25" t="n">
        <f aca="false">datos_base!$I$6*parametros_recargas!$N$44+sobrestock_sustitutos!$I$179/12</f>
        <v>181.418345363829</v>
      </c>
      <c r="M230" s="25" t="n">
        <f aca="false">datos_base!$I$6*parametros_recargas!$O$44+sobrestock_sustitutos!$I$179/12</f>
        <v>182.498194700314</v>
      </c>
      <c r="N230" s="25" t="n">
        <f aca="false">datos_base!$I$6*parametros_recargas!$P$44+sobrestock_sustitutos!$I$179/12</f>
        <v>183.584622674577</v>
      </c>
      <c r="O230" s="25" t="n">
        <f aca="false">datos_base!$I$6*parametros_recargas!$Q$44+sobrestock_sustitutos!$I$179/12</f>
        <v>184.677669364869</v>
      </c>
      <c r="P230" s="7" t="n">
        <f aca="false">SUM(D230:O230)</f>
        <v>2145.42742046657</v>
      </c>
      <c r="Q230" s="13" t="n">
        <f aca="false">sobrestock_sustitutos!$I$179</f>
        <v>50</v>
      </c>
    </row>
    <row r="231" customFormat="false" ht="15" hidden="false" customHeight="false" outlineLevel="0" collapsed="false">
      <c r="A231" s="12" t="str">
        <f aca="false">parametros_recargas!A56</f>
        <v>AFFF 10 l</v>
      </c>
      <c r="B231" s="12" t="str">
        <f aca="false">parametros_recargas!B56</f>
        <v>AFFF</v>
      </c>
      <c r="C231" s="24" t="n">
        <f aca="false">parametros_recargas!C56</f>
        <v>1</v>
      </c>
      <c r="D231" s="25" t="n">
        <f aca="false">datos_base!$I$7*parametros_recargas!$F$44+sobrestock_sustitutos!$I$180/12</f>
        <v>32.141945465616</v>
      </c>
      <c r="E231" s="25" t="n">
        <f aca="false">datos_base!$I$7*parametros_recargas!$G$44+sobrestock_sustitutos!$I$180/12</f>
        <v>32.333190884171</v>
      </c>
      <c r="F231" s="25" t="n">
        <f aca="false">datos_base!$I$7*parametros_recargas!$H$44+sobrestock_sustitutos!$I$180/12</f>
        <v>32.5256014044608</v>
      </c>
      <c r="G231" s="25" t="n">
        <f aca="false">datos_base!$I$7*parametros_recargas!$I$44+sobrestock_sustitutos!$I$180/12</f>
        <v>32.7191841244961</v>
      </c>
      <c r="H231" s="25" t="n">
        <f aca="false">datos_base!$I$7*parametros_recargas!$J$44+sobrestock_sustitutos!$I$180/12</f>
        <v>32.9139461855301</v>
      </c>
      <c r="I231" s="25" t="n">
        <f aca="false">datos_base!$I$7*parametros_recargas!$K$44+sobrestock_sustitutos!$I$180/12</f>
        <v>33.109894772322</v>
      </c>
      <c r="J231" s="25" t="n">
        <f aca="false">datos_base!$I$7*parametros_recargas!$L$44+sobrestock_sustitutos!$I$180/12</f>
        <v>33.3070371134014</v>
      </c>
      <c r="K231" s="25" t="n">
        <f aca="false">datos_base!$I$7*parametros_recargas!$M$44+sobrestock_sustitutos!$I$180/12</f>
        <v>33.5053804813358</v>
      </c>
      <c r="L231" s="25" t="n">
        <f aca="false">datos_base!$I$7*parametros_recargas!$N$44+sobrestock_sustitutos!$I$180/12</f>
        <v>33.7049321929984</v>
      </c>
      <c r="M231" s="25" t="n">
        <f aca="false">datos_base!$I$7*parametros_recargas!$O$44+sobrestock_sustitutos!$I$180/12</f>
        <v>33.905699609838</v>
      </c>
      <c r="N231" s="25" t="n">
        <f aca="false">datos_base!$I$7*parametros_recargas!$P$44+sobrestock_sustitutos!$I$180/12</f>
        <v>34.1076901381509</v>
      </c>
      <c r="O231" s="25" t="n">
        <f aca="false">datos_base!$I$7*parametros_recargas!$Q$44+sobrestock_sustitutos!$I$180/12</f>
        <v>34.3109112293537</v>
      </c>
      <c r="P231" s="7" t="n">
        <f aca="false">SUM(D231:O231)</f>
        <v>398.585413601674</v>
      </c>
      <c r="Q231" s="13" t="n">
        <f aca="false">sobrestock_sustitutos!$I$180</f>
        <v>9</v>
      </c>
    </row>
    <row r="232" customFormat="false" ht="15" hidden="false" customHeight="false" outlineLevel="0" collapsed="false">
      <c r="A232" s="12" t="str">
        <f aca="false">parametros_recargas!A57</f>
        <v>AFFF 50 l s/ruedas</v>
      </c>
      <c r="B232" s="12" t="str">
        <f aca="false">parametros_recargas!B57</f>
        <v>AFFF</v>
      </c>
      <c r="C232" s="24" t="n">
        <f aca="false">parametros_recargas!C57</f>
        <v>3</v>
      </c>
      <c r="D232" s="25" t="n">
        <f aca="false">datos_base!$I$8*parametros_recargas!$F$44+sobrestock_sustitutos!$I$181/12</f>
        <v>16.9341111225001</v>
      </c>
      <c r="E232" s="25" t="n">
        <f aca="false">datos_base!$I$8*parametros_recargas!$G$44+sobrestock_sustitutos!$I$181/12</f>
        <v>17.0347383863272</v>
      </c>
      <c r="F232" s="25" t="n">
        <f aca="false">datos_base!$I$8*parametros_recargas!$H$44+sobrestock_sustitutos!$I$181/12</f>
        <v>17.1359786896746</v>
      </c>
      <c r="G232" s="25" t="n">
        <f aca="false">datos_base!$I$8*parametros_recargas!$I$44+sobrestock_sustitutos!$I$181/12</f>
        <v>17.2378357672901</v>
      </c>
      <c r="H232" s="25" t="n">
        <f aca="false">datos_base!$I$8*parametros_recargas!$J$44+sobrestock_sustitutos!$I$181/12</f>
        <v>17.3403133766743</v>
      </c>
      <c r="I232" s="25" t="n">
        <f aca="false">datos_base!$I$8*parametros_recargas!$K$44+sobrestock_sustitutos!$I$181/12</f>
        <v>17.443415298219</v>
      </c>
      <c r="J232" s="25" t="n">
        <f aca="false">datos_base!$I$8*parametros_recargas!$L$44+sobrestock_sustitutos!$I$181/12</f>
        <v>17.5471453353471</v>
      </c>
      <c r="K232" s="25" t="n">
        <f aca="false">datos_base!$I$8*parametros_recargas!$M$44+sobrestock_sustitutos!$I$181/12</f>
        <v>17.6515073146526</v>
      </c>
      <c r="L232" s="25" t="n">
        <f aca="false">datos_base!$I$8*parametros_recargas!$N$44+sobrestock_sustitutos!$I$181/12</f>
        <v>17.7565050860415</v>
      </c>
      <c r="M232" s="25" t="n">
        <f aca="false">datos_base!$I$8*parametros_recargas!$O$44+sobrestock_sustitutos!$I$181/12</f>
        <v>17.8621425228745</v>
      </c>
      <c r="N232" s="25" t="n">
        <f aca="false">datos_base!$I$8*parametros_recargas!$P$44+sobrestock_sustitutos!$I$181/12</f>
        <v>17.9684235221094</v>
      </c>
      <c r="O232" s="25" t="n">
        <f aca="false">datos_base!$I$8*parametros_recargas!$Q$44+sobrestock_sustitutos!$I$181/12</f>
        <v>18.0753520044448</v>
      </c>
      <c r="P232" s="7" t="n">
        <f aca="false">SUM(D232:O232)</f>
        <v>209.987468426155</v>
      </c>
      <c r="Q232" s="13" t="n">
        <f aca="false">sobrestock_sustitutos!$I$181</f>
        <v>5</v>
      </c>
    </row>
    <row r="233" customFormat="false" ht="15" hidden="false" customHeight="false" outlineLevel="0" collapsed="false">
      <c r="A233" s="12" t="str">
        <f aca="false">parametros_recargas!A58</f>
        <v>BC 5 kg</v>
      </c>
      <c r="B233" s="12" t="str">
        <f aca="false">parametros_recargas!B58</f>
        <v>BC</v>
      </c>
      <c r="C233" s="24" t="n">
        <f aca="false">parametros_recargas!C58</f>
        <v>1</v>
      </c>
      <c r="D233" s="25" t="n">
        <f aca="false">datos_base!$I$9*parametros_recargas!$F$44+sobrestock_sustitutos!$I$182/12</f>
        <v>9.90215689385426</v>
      </c>
      <c r="E233" s="25" t="n">
        <f aca="false">datos_base!$I$9*parametros_recargas!$G$44+sobrestock_sustitutos!$I$182/12</f>
        <v>9.95994421865339</v>
      </c>
      <c r="F233" s="25" t="n">
        <f aca="false">datos_base!$I$9*parametros_recargas!$H$44+sobrestock_sustitutos!$I$182/12</f>
        <v>10.0180835943036</v>
      </c>
      <c r="G233" s="25" t="n">
        <f aca="false">datos_base!$I$9*parametros_recargas!$I$44+sobrestock_sustitutos!$I$182/12</f>
        <v>10.0765771655625</v>
      </c>
      <c r="H233" s="25" t="n">
        <f aca="false">datos_base!$I$9*parametros_recargas!$J$44+sobrestock_sustitutos!$I$182/12</f>
        <v>10.1354270902538</v>
      </c>
      <c r="I233" s="25" t="n">
        <f aca="false">datos_base!$I$9*parametros_recargas!$K$44+sobrestock_sustitutos!$I$182/12</f>
        <v>10.1946355393472</v>
      </c>
      <c r="J233" s="25" t="n">
        <f aca="false">datos_base!$I$9*parametros_recargas!$L$44+sobrestock_sustitutos!$I$182/12</f>
        <v>10.2542046970384</v>
      </c>
      <c r="K233" s="25" t="n">
        <f aca="false">datos_base!$I$9*parametros_recargas!$M$44+sobrestock_sustitutos!$I$182/12</f>
        <v>10.3141367608294</v>
      </c>
      <c r="L233" s="25" t="n">
        <f aca="false">datos_base!$I$9*parametros_recargas!$N$44+sobrestock_sustitutos!$I$182/12</f>
        <v>10.37443394161</v>
      </c>
      <c r="M233" s="25" t="n">
        <f aca="false">datos_base!$I$9*parametros_recargas!$O$44+sobrestock_sustitutos!$I$182/12</f>
        <v>10.4350984637389</v>
      </c>
      <c r="N233" s="25" t="n">
        <f aca="false">datos_base!$I$9*parametros_recargas!$P$44+sobrestock_sustitutos!$I$182/12</f>
        <v>10.4961325651263</v>
      </c>
      <c r="O233" s="25" t="n">
        <f aca="false">datos_base!$I$9*parametros_recargas!$Q$44+sobrestock_sustitutos!$I$182/12</f>
        <v>10.557538497316</v>
      </c>
      <c r="P233" s="7" t="n">
        <f aca="false">SUM(D233:O233)</f>
        <v>122.718369427634</v>
      </c>
      <c r="Q233" s="13" t="n">
        <f aca="false">sobrestock_sustitutos!$I$182</f>
        <v>5</v>
      </c>
    </row>
    <row r="234" customFormat="false" ht="15" hidden="false" customHeight="false" outlineLevel="0" collapsed="false">
      <c r="A234" s="12" t="str">
        <f aca="false">parametros_recargas!A59</f>
        <v>Sales K 6 l</v>
      </c>
      <c r="B234" s="12" t="str">
        <f aca="false">parametros_recargas!B59</f>
        <v>Sales K</v>
      </c>
      <c r="C234" s="24" t="n">
        <f aca="false">parametros_recargas!C59</f>
        <v>1</v>
      </c>
      <c r="D234" s="25" t="n">
        <f aca="false">datos_base!$I$10*parametros_recargas!$F$44+sobrestock_sustitutos!$I$183/12</f>
        <v>85.1965970123283</v>
      </c>
      <c r="E234" s="25" t="n">
        <f aca="false">datos_base!$I$10*parametros_recargas!$G$44+sobrestock_sustitutos!$I$183/12</f>
        <v>85.7029380709662</v>
      </c>
      <c r="F234" s="25" t="n">
        <f aca="false">datos_base!$I$10*parametros_recargas!$H$44+sobrestock_sustitutos!$I$183/12</f>
        <v>86.2123638510591</v>
      </c>
      <c r="G234" s="25" t="n">
        <f aca="false">datos_base!$I$10*parametros_recargas!$I$44+sobrestock_sustitutos!$I$183/12</f>
        <v>86.7248931452889</v>
      </c>
      <c r="H234" s="25" t="n">
        <f aca="false">datos_base!$I$10*parametros_recargas!$J$44+sobrestock_sustitutos!$I$183/12</f>
        <v>87.2405448608258</v>
      </c>
      <c r="I234" s="25" t="n">
        <f aca="false">datos_base!$I$10*parametros_recargas!$K$44+sobrestock_sustitutos!$I$183/12</f>
        <v>87.7593380200263</v>
      </c>
      <c r="J234" s="25" t="n">
        <f aca="false">datos_base!$I$10*parametros_recargas!$L$44+sobrestock_sustitutos!$I$183/12</f>
        <v>88.281291761134</v>
      </c>
      <c r="K234" s="25" t="n">
        <f aca="false">datos_base!$I$10*parametros_recargas!$M$44+sobrestock_sustitutos!$I$183/12</f>
        <v>88.8064253389867</v>
      </c>
      <c r="L234" s="25" t="n">
        <f aca="false">datos_base!$I$10*parametros_recargas!$N$44+sobrestock_sustitutos!$I$183/12</f>
        <v>89.3347581257256</v>
      </c>
      <c r="M234" s="25" t="n">
        <f aca="false">datos_base!$I$10*parametros_recargas!$O$44+sobrestock_sustitutos!$I$183/12</f>
        <v>89.8663096115111</v>
      </c>
      <c r="N234" s="25" t="n">
        <f aca="false">datos_base!$I$10*parametros_recargas!$P$44+sobrestock_sustitutos!$I$183/12</f>
        <v>90.4010994052406</v>
      </c>
      <c r="O234" s="25" t="n">
        <f aca="false">datos_base!$I$10*parametros_recargas!$Q$44+sobrestock_sustitutos!$I$183/12</f>
        <v>90.939147235273</v>
      </c>
      <c r="P234" s="7" t="n">
        <f aca="false">SUM(D234:O234)</f>
        <v>1056.46570643837</v>
      </c>
      <c r="Q234" s="13" t="n">
        <f aca="false">sobrestock_sustitutos!$I$183</f>
        <v>25</v>
      </c>
    </row>
    <row r="235" customFormat="false" ht="15" hidden="false" customHeight="false" outlineLevel="0" collapsed="false">
      <c r="A235" s="12" t="str">
        <f aca="false">parametros_recargas!A60</f>
        <v>CO₂ 2 kg</v>
      </c>
      <c r="B235" s="12" t="str">
        <f aca="false">parametros_recargas!B60</f>
        <v>CO₂</v>
      </c>
      <c r="C235" s="24" t="n">
        <f aca="false">parametros_recargas!C60</f>
        <v>1</v>
      </c>
      <c r="D235" s="25" t="n">
        <f aca="false">datos_base!$I$11*parametros_recargas!$F$44+sobrestock_sustitutos!$I$184/12</f>
        <v>455.618833301045</v>
      </c>
      <c r="E235" s="25" t="n">
        <f aca="false">datos_base!$I$11*parametros_recargas!$G$44+sobrestock_sustitutos!$I$184/12</f>
        <v>458.394545770718</v>
      </c>
      <c r="F235" s="25" t="n">
        <f aca="false">datos_base!$I$11*parametros_recargas!$H$44+sobrestock_sustitutos!$I$184/12</f>
        <v>461.187168383588</v>
      </c>
      <c r="G235" s="25" t="n">
        <f aca="false">datos_base!$I$11*parametros_recargas!$I$44+sobrestock_sustitutos!$I$184/12</f>
        <v>463.996804159311</v>
      </c>
      <c r="H235" s="25" t="n">
        <f aca="false">datos_base!$I$11*parametros_recargas!$J$44+sobrestock_sustitutos!$I$184/12</f>
        <v>466.823556745156</v>
      </c>
      <c r="I235" s="25" t="n">
        <f aca="false">datos_base!$I$11*parametros_recargas!$K$44+sobrestock_sustitutos!$I$184/12</f>
        <v>469.667530419832</v>
      </c>
      <c r="J235" s="25" t="n">
        <f aca="false">datos_base!$I$11*parametros_recargas!$L$44+sobrestock_sustitutos!$I$184/12</f>
        <v>472.528830097331</v>
      </c>
      <c r="K235" s="25" t="n">
        <f aca="false">datos_base!$I$11*parametros_recargas!$M$44+sobrestock_sustitutos!$I$184/12</f>
        <v>475.407561330802</v>
      </c>
      <c r="L235" s="25" t="n">
        <f aca="false">datos_base!$I$11*parametros_recargas!$N$44+sobrestock_sustitutos!$I$184/12</f>
        <v>478.303830316441</v>
      </c>
      <c r="M235" s="25" t="n">
        <f aca="false">datos_base!$I$11*parametros_recargas!$O$44+sobrestock_sustitutos!$I$184/12</f>
        <v>481.217743897411</v>
      </c>
      <c r="N235" s="25" t="n">
        <f aca="false">datos_base!$I$11*parametros_recargas!$P$44+sobrestock_sustitutos!$I$184/12</f>
        <v>484.149409567784</v>
      </c>
      <c r="O235" s="25" t="n">
        <f aca="false">datos_base!$I$11*parametros_recargas!$Q$44+sobrestock_sustitutos!$I$184/12</f>
        <v>487.098935476505</v>
      </c>
      <c r="P235" s="7" t="n">
        <f aca="false">SUM(D235:O235)</f>
        <v>5654.39474946592</v>
      </c>
      <c r="Q235" s="13" t="n">
        <f aca="false">sobrestock_sustitutos!$I$184</f>
        <v>0</v>
      </c>
    </row>
    <row r="236" customFormat="false" ht="15" hidden="false" customHeight="false" outlineLevel="0" collapsed="false">
      <c r="A236" s="12" t="str">
        <f aca="false">parametros_recargas!A61</f>
        <v>CO₂ 5 kg</v>
      </c>
      <c r="B236" s="12" t="str">
        <f aca="false">parametros_recargas!B61</f>
        <v>CO₂</v>
      </c>
      <c r="C236" s="24" t="n">
        <f aca="false">parametros_recargas!C61</f>
        <v>1</v>
      </c>
      <c r="D236" s="25" t="n">
        <f aca="false">datos_base!$I$12*parametros_recargas!$F$44+sobrestock_sustitutos!$I$185/12</f>
        <v>168.317926222707</v>
      </c>
      <c r="E236" s="25" t="n">
        <f aca="false">datos_base!$I$12*parametros_recargas!$G$44+sobrestock_sustitutos!$I$185/12</f>
        <v>169.252982166947</v>
      </c>
      <c r="F236" s="25" t="n">
        <f aca="false">datos_base!$I$12*parametros_recargas!$H$44+sobrestock_sustitutos!$I$185/12</f>
        <v>170.193734641389</v>
      </c>
      <c r="G236" s="25" t="n">
        <f aca="false">datos_base!$I$12*parametros_recargas!$I$44+sobrestock_sustitutos!$I$185/12</f>
        <v>171.140218350325</v>
      </c>
      <c r="H236" s="25" t="n">
        <f aca="false">datos_base!$I$12*parametros_recargas!$J$44+sobrestock_sustitutos!$I$185/12</f>
        <v>172.092468209476</v>
      </c>
      <c r="I236" s="25" t="n">
        <f aca="false">datos_base!$I$12*parametros_recargas!$K$44+sobrestock_sustitutos!$I$185/12</f>
        <v>173.050519347273</v>
      </c>
      <c r="J236" s="25" t="n">
        <f aca="false">datos_base!$I$12*parametros_recargas!$L$44+sobrestock_sustitutos!$I$185/12</f>
        <v>174.014407106156</v>
      </c>
      <c r="K236" s="25" t="n">
        <f aca="false">datos_base!$I$12*parametros_recargas!$M$44+sobrestock_sustitutos!$I$185/12</f>
        <v>174.984167043879</v>
      </c>
      <c r="L236" s="25" t="n">
        <f aca="false">datos_base!$I$12*parametros_recargas!$N$44+sobrestock_sustitutos!$I$185/12</f>
        <v>175.959834934818</v>
      </c>
      <c r="M236" s="25" t="n">
        <f aca="false">datos_base!$I$12*parametros_recargas!$O$44+sobrestock_sustitutos!$I$185/12</f>
        <v>176.941446771295</v>
      </c>
      <c r="N236" s="25" t="n">
        <f aca="false">datos_base!$I$12*parametros_recargas!$P$44+sobrestock_sustitutos!$I$185/12</f>
        <v>177.929038764902</v>
      </c>
      <c r="O236" s="25" t="n">
        <f aca="false">datos_base!$I$12*parametros_recargas!$Q$44+sobrestock_sustitutos!$I$185/12</f>
        <v>178.922647347841</v>
      </c>
      <c r="P236" s="7" t="n">
        <f aca="false">SUM(D236:O236)</f>
        <v>2082.79939090701</v>
      </c>
      <c r="Q236" s="13" t="n">
        <f aca="false">sobrestock_sustitutos!$I$185</f>
        <v>178</v>
      </c>
    </row>
    <row r="237" customFormat="false" ht="15" hidden="false" customHeight="false" outlineLevel="0" collapsed="false">
      <c r="A237" s="12" t="str">
        <f aca="false">parametros_recargas!A62</f>
        <v>HCFC/HFC 5 kg</v>
      </c>
      <c r="B237" s="12" t="str">
        <f aca="false">parametros_recargas!B62</f>
        <v>Halogenado</v>
      </c>
      <c r="C237" s="24" t="n">
        <f aca="false">parametros_recargas!C62</f>
        <v>1</v>
      </c>
      <c r="D237" s="25" t="n">
        <f aca="false">datos_base!$I$13*parametros_recargas!$F$44+sobrestock_sustitutos!$I$186/12</f>
        <v>25.5698217476529</v>
      </c>
      <c r="E237" s="25" t="n">
        <f aca="false">datos_base!$I$13*parametros_recargas!$G$44+sobrestock_sustitutos!$I$186/12</f>
        <v>25.721536279714</v>
      </c>
      <c r="F237" s="25" t="n">
        <f aca="false">datos_base!$I$13*parametros_recargas!$H$44+sobrestock_sustitutos!$I$186/12</f>
        <v>25.8741750841881</v>
      </c>
      <c r="G237" s="25" t="n">
        <f aca="false">datos_base!$I$13*parametros_recargas!$I$44+sobrestock_sustitutos!$I$186/12</f>
        <v>26.0277437919103</v>
      </c>
      <c r="H237" s="25" t="n">
        <f aca="false">datos_base!$I$13*parametros_recargas!$J$44+sobrestock_sustitutos!$I$186/12</f>
        <v>26.1822480680194</v>
      </c>
      <c r="I237" s="25" t="n">
        <f aca="false">datos_base!$I$13*parametros_recargas!$K$44+sobrestock_sustitutos!$I$186/12</f>
        <v>26.3376936121677</v>
      </c>
      <c r="J237" s="25" t="n">
        <f aca="false">datos_base!$I$13*parametros_recargas!$L$44+sobrestock_sustitutos!$I$186/12</f>
        <v>26.4940861587306</v>
      </c>
      <c r="K237" s="25" t="n">
        <f aca="false">datos_base!$I$13*parametros_recargas!$M$44+sobrestock_sustitutos!$I$186/12</f>
        <v>26.6514314770182</v>
      </c>
      <c r="L237" s="25" t="n">
        <f aca="false">datos_base!$I$13*parametros_recargas!$N$44+sobrestock_sustitutos!$I$186/12</f>
        <v>26.8097353714887</v>
      </c>
      <c r="M237" s="25" t="n">
        <f aca="false">datos_base!$I$13*parametros_recargas!$O$44+sobrestock_sustitutos!$I$186/12</f>
        <v>26.9690036819616</v>
      </c>
      <c r="N237" s="25" t="n">
        <f aca="false">datos_base!$I$13*parametros_recargas!$P$44+sobrestock_sustitutos!$I$186/12</f>
        <v>27.129242283834</v>
      </c>
      <c r="O237" s="25" t="n">
        <f aca="false">datos_base!$I$13*parametros_recargas!$Q$44+sobrestock_sustitutos!$I$186/12</f>
        <v>27.2904570882969</v>
      </c>
      <c r="P237" s="7" t="n">
        <f aca="false">SUM(D237:O237)</f>
        <v>317.057174644982</v>
      </c>
      <c r="Q237" s="13" t="n">
        <f aca="false">sobrestock_sustitutos!$I$186</f>
        <v>8</v>
      </c>
    </row>
    <row r="238" customFormat="false" ht="15" hidden="false" customHeight="false" outlineLevel="0" collapsed="false">
      <c r="A238" s="12" t="str">
        <f aca="false">parametros_recargas!A63</f>
        <v>Clase D 9 l</v>
      </c>
      <c r="B238" s="12" t="str">
        <f aca="false">parametros_recargas!B63</f>
        <v>Clase D</v>
      </c>
      <c r="C238" s="24" t="n">
        <f aca="false">parametros_recargas!C63</f>
        <v>1</v>
      </c>
      <c r="D238" s="25" t="n">
        <f aca="false">datos_base!$I$14*parametros_recargas!$F$44+sobrestock_sustitutos!$I$187/12</f>
        <v>8.9382793692823</v>
      </c>
      <c r="E238" s="25" t="n">
        <f aca="false">datos_base!$I$14*parametros_recargas!$G$44+sobrestock_sustitutos!$I$187/12</f>
        <v>8.99019457759141</v>
      </c>
      <c r="F238" s="25" t="n">
        <f aca="false">datos_base!$I$14*parametros_recargas!$H$44+sobrestock_sustitutos!$I$187/12</f>
        <v>9.04242606275419</v>
      </c>
      <c r="G238" s="25" t="n">
        <f aca="false">datos_base!$I$14*parametros_recargas!$I$44+sobrestock_sustitutos!$I$187/12</f>
        <v>9.09497575158652</v>
      </c>
      <c r="H238" s="25" t="n">
        <f aca="false">datos_base!$I$14*parametros_recargas!$J$44+sobrestock_sustitutos!$I$187/12</f>
        <v>9.14784558264281</v>
      </c>
      <c r="I238" s="25" t="n">
        <f aca="false">datos_base!$I$14*parametros_recargas!$K$44+sobrestock_sustitutos!$I$187/12</f>
        <v>9.20103750628748</v>
      </c>
      <c r="J238" s="25" t="n">
        <f aca="false">datos_base!$I$14*parametros_recargas!$L$44+sobrestock_sustitutos!$I$187/12</f>
        <v>9.25455348476693</v>
      </c>
      <c r="K238" s="25" t="n">
        <f aca="false">datos_base!$I$14*parametros_recargas!$M$44+sobrestock_sustitutos!$I$187/12</f>
        <v>9.30839549228191</v>
      </c>
      <c r="L238" s="25" t="n">
        <f aca="false">datos_base!$I$14*parametros_recargas!$N$44+sobrestock_sustitutos!$I$187/12</f>
        <v>9.36256551506037</v>
      </c>
      <c r="M238" s="25" t="n">
        <f aca="false">datos_base!$I$14*parametros_recargas!$O$44+sobrestock_sustitutos!$I$187/12</f>
        <v>9.41706555143072</v>
      </c>
      <c r="N238" s="25" t="n">
        <f aca="false">datos_base!$I$14*parametros_recargas!$P$44+sobrestock_sustitutos!$I$187/12</f>
        <v>9.47189761189554</v>
      </c>
      <c r="O238" s="25" t="n">
        <f aca="false">datos_base!$I$14*parametros_recargas!$Q$44+sobrestock_sustitutos!$I$187/12</f>
        <v>9.52706371920576</v>
      </c>
      <c r="P238" s="7" t="n">
        <f aca="false">SUM(D238:O238)</f>
        <v>110.756300224786</v>
      </c>
      <c r="Q238" s="13" t="n">
        <f aca="false">sobrestock_sustitutos!$I$187</f>
        <v>5</v>
      </c>
    </row>
    <row r="239" customFormat="false" ht="15" hidden="false" customHeight="false" outlineLevel="0" collapsed="false">
      <c r="A239" s="12" t="str">
        <f aca="false">parametros_recargas!A64</f>
        <v>ABC 25 kg s/ruedas</v>
      </c>
      <c r="B239" s="12" t="str">
        <f aca="false">parametros_recargas!B64</f>
        <v>ABC</v>
      </c>
      <c r="C239" s="24" t="n">
        <f aca="false">parametros_recargas!C64</f>
        <v>3</v>
      </c>
      <c r="D239" s="25" t="n">
        <f aca="false">datos_base!$I$15*parametros_recargas!$F$44+sobrestock_sustitutos!$I$188/12</f>
        <v>20.6631836376397</v>
      </c>
      <c r="E239" s="25" t="n">
        <f aca="false">datos_base!$I$15*parametros_recargas!$G$44+sobrestock_sustitutos!$I$188/12</f>
        <v>20.7890674955799</v>
      </c>
      <c r="F239" s="25" t="n">
        <f aca="false">datos_base!$I$15*parametros_recargas!$H$44+sobrestock_sustitutos!$I$188/12</f>
        <v>20.915718260787</v>
      </c>
      <c r="G239" s="25" t="n">
        <f aca="false">datos_base!$I$15*parametros_recargas!$I$44+sobrestock_sustitutos!$I$188/12</f>
        <v>21.0431406053991</v>
      </c>
      <c r="H239" s="25" t="n">
        <f aca="false">datos_base!$I$15*parametros_recargas!$J$44+sobrestock_sustitutos!$I$188/12</f>
        <v>21.1713392300177</v>
      </c>
      <c r="I239" s="25" t="n">
        <f aca="false">datos_base!$I$15*parametros_recargas!$K$44+sobrestock_sustitutos!$I$188/12</f>
        <v>21.3003188638811</v>
      </c>
      <c r="J239" s="25" t="n">
        <f aca="false">datos_base!$I$15*parametros_recargas!$L$44+sobrestock_sustitutos!$I$188/12</f>
        <v>21.4300842650392</v>
      </c>
      <c r="K239" s="25" t="n">
        <f aca="false">datos_base!$I$15*parametros_recargas!$M$44+sobrestock_sustitutos!$I$188/12</f>
        <v>21.5606402205286</v>
      </c>
      <c r="L239" s="25" t="n">
        <f aca="false">datos_base!$I$15*parametros_recargas!$N$44+sobrestock_sustitutos!$I$188/12</f>
        <v>21.6919915465497</v>
      </c>
      <c r="M239" s="25" t="n">
        <f aca="false">datos_base!$I$15*parametros_recargas!$O$44+sobrestock_sustitutos!$I$188/12</f>
        <v>21.8241430886437</v>
      </c>
      <c r="N239" s="25" t="n">
        <f aca="false">datos_base!$I$15*parametros_recargas!$P$44+sobrestock_sustitutos!$I$188/12</f>
        <v>21.9570997218719</v>
      </c>
      <c r="O239" s="25" t="n">
        <f aca="false">datos_base!$I$15*parametros_recargas!$Q$44+sobrestock_sustitutos!$I$188/12</f>
        <v>22.0908663509954</v>
      </c>
      <c r="P239" s="7" t="n">
        <f aca="false">SUM(D239:O239)</f>
        <v>256.437593286933</v>
      </c>
      <c r="Q239" s="13" t="n">
        <f aca="false">sobrestock_sustitutos!$I$188</f>
        <v>0</v>
      </c>
    </row>
    <row r="240" customFormat="false" ht="15" hidden="false" customHeight="false" outlineLevel="0" collapsed="false">
      <c r="A240" s="12" t="str">
        <f aca="false">parametros_recargas!A65</f>
        <v>ABC 50 kg s/ruedas</v>
      </c>
      <c r="B240" s="12" t="str">
        <f aca="false">parametros_recargas!B65</f>
        <v>ABC</v>
      </c>
      <c r="C240" s="24" t="n">
        <f aca="false">parametros_recargas!C65</f>
        <v>3</v>
      </c>
      <c r="D240" s="25" t="n">
        <f aca="false">datos_base!$I$16*parametros_recargas!$F$44+sobrestock_sustitutos!$I$189/12</f>
        <v>48.2090039935172</v>
      </c>
      <c r="E240" s="25" t="n">
        <f aca="false">datos_base!$I$16*parametros_recargas!$G$44+sobrestock_sustitutos!$I$189/12</f>
        <v>48.485948480929</v>
      </c>
      <c r="F240" s="25" t="n">
        <f aca="false">datos_base!$I$16*parametros_recargas!$H$44+sobrestock_sustitutos!$I$189/12</f>
        <v>48.7645801643278</v>
      </c>
      <c r="G240" s="25" t="n">
        <f aca="false">datos_base!$I$16*parametros_recargas!$I$44+sobrestock_sustitutos!$I$189/12</f>
        <v>49.0449093224171</v>
      </c>
      <c r="H240" s="25" t="n">
        <f aca="false">datos_base!$I$16*parametros_recargas!$J$44+sobrestock_sustitutos!$I$189/12</f>
        <v>49.3269462965202</v>
      </c>
      <c r="I240" s="25" t="n">
        <f aca="false">datos_base!$I$16*parametros_recargas!$K$44+sobrestock_sustitutos!$I$189/12</f>
        <v>49.6107014909617</v>
      </c>
      <c r="J240" s="25" t="n">
        <f aca="false">datos_base!$I$16*parametros_recargas!$L$44+sobrestock_sustitutos!$I$189/12</f>
        <v>49.8961853734512</v>
      </c>
      <c r="K240" s="25" t="n">
        <f aca="false">datos_base!$I$16*parametros_recargas!$M$44+sobrestock_sustitutos!$I$189/12</f>
        <v>50.1834084754693</v>
      </c>
      <c r="L240" s="25" t="n">
        <f aca="false">datos_base!$I$16*parametros_recargas!$N$44+sobrestock_sustitutos!$I$189/12</f>
        <v>50.4723813926566</v>
      </c>
      <c r="M240" s="25" t="n">
        <f aca="false">datos_base!$I$16*parametros_recargas!$O$44+sobrestock_sustitutos!$I$189/12</f>
        <v>50.763114785204</v>
      </c>
      <c r="N240" s="25" t="n">
        <f aca="false">datos_base!$I$16*parametros_recargas!$P$44+sobrestock_sustitutos!$I$189/12</f>
        <v>51.0556193782463</v>
      </c>
      <c r="O240" s="25" t="n">
        <f aca="false">datos_base!$I$16*parametros_recargas!$Q$44+sobrestock_sustitutos!$I$189/12</f>
        <v>51.3499059622578</v>
      </c>
      <c r="P240" s="7" t="n">
        <f aca="false">SUM(D240:O240)</f>
        <v>597.162705115958</v>
      </c>
      <c r="Q240" s="13" t="n">
        <f aca="false">sobrestock_sustitutos!$I$189</f>
        <v>33</v>
      </c>
    </row>
    <row r="241" customFormat="false" ht="15" hidden="false" customHeight="false" outlineLevel="0" collapsed="false">
      <c r="A241" s="12" t="str">
        <f aca="false">parametros_recargas!A66</f>
        <v>ABC 70 kg s/ruedas</v>
      </c>
      <c r="B241" s="12" t="str">
        <f aca="false">parametros_recargas!B66</f>
        <v>ABC</v>
      </c>
      <c r="C241" s="24" t="n">
        <f aca="false">parametros_recargas!C66</f>
        <v>3</v>
      </c>
      <c r="D241" s="25" t="n">
        <f aca="false">datos_base!$I$17*parametros_recargas!$F$44+sobrestock_sustitutos!$I$190/12</f>
        <v>9.9183281377059</v>
      </c>
      <c r="E241" s="25" t="n">
        <f aca="false">datos_base!$I$17*parametros_recargas!$G$44+sobrestock_sustitutos!$I$190/12</f>
        <v>9.97875238946625</v>
      </c>
      <c r="F241" s="25" t="n">
        <f aca="false">datos_base!$I$17*parametros_recargas!$H$44+sobrestock_sustitutos!$I$190/12</f>
        <v>10.0395447567144</v>
      </c>
      <c r="G241" s="25" t="n">
        <f aca="false">datos_base!$I$17*parametros_recargas!$I$44+sobrestock_sustitutos!$I$190/12</f>
        <v>10.1007074820767</v>
      </c>
      <c r="H241" s="25" t="n">
        <f aca="false">datos_base!$I$17*parametros_recargas!$J$44+sobrestock_sustitutos!$I$190/12</f>
        <v>10.1622428218417</v>
      </c>
      <c r="I241" s="25" t="n">
        <f aca="false">datos_base!$I$17*parametros_recargas!$K$44+sobrestock_sustitutos!$I$190/12</f>
        <v>10.2241530460439</v>
      </c>
      <c r="J241" s="25" t="n">
        <f aca="false">datos_base!$I$17*parametros_recargas!$L$44+sobrestock_sustitutos!$I$190/12</f>
        <v>10.2864404385473</v>
      </c>
      <c r="K241" s="25" t="n">
        <f aca="false">datos_base!$I$17*parametros_recargas!$M$44+sobrestock_sustitutos!$I$190/12</f>
        <v>10.3491072971294</v>
      </c>
      <c r="L241" s="25" t="n">
        <f aca="false">datos_base!$I$17*parametros_recargas!$N$44+sobrestock_sustitutos!$I$190/12</f>
        <v>10.4121559335664</v>
      </c>
      <c r="M241" s="25" t="n">
        <f aca="false">datos_base!$I$17*parametros_recargas!$O$44+sobrestock_sustitutos!$I$190/12</f>
        <v>10.475588673718</v>
      </c>
      <c r="N241" s="25" t="n">
        <f aca="false">datos_base!$I$17*parametros_recargas!$P$44+sobrestock_sustitutos!$I$190/12</f>
        <v>10.5394078576138</v>
      </c>
      <c r="O241" s="25" t="n">
        <f aca="false">datos_base!$I$17*parametros_recargas!$Q$44+sobrestock_sustitutos!$I$190/12</f>
        <v>10.6036158395389</v>
      </c>
      <c r="P241" s="7" t="n">
        <f aca="false">SUM(D241:O241)</f>
        <v>123.090044673963</v>
      </c>
      <c r="Q241" s="13" t="n">
        <f aca="false">sobrestock_sustitutos!$I$190</f>
        <v>0</v>
      </c>
    </row>
    <row r="242" customFormat="false" ht="15" hidden="false" customHeight="false" outlineLevel="0" collapsed="false">
      <c r="A242" s="12" t="str">
        <f aca="false">parametros_recargas!A67</f>
        <v>ABC 100 kg s/ruedas</v>
      </c>
      <c r="B242" s="12" t="str">
        <f aca="false">parametros_recargas!B67</f>
        <v>ABC</v>
      </c>
      <c r="C242" s="24" t="n">
        <f aca="false">parametros_recargas!C67</f>
        <v>3</v>
      </c>
      <c r="D242" s="25" t="n">
        <f aca="false">datos_base!$I$18*parametros_recargas!$F$44+sobrestock_sustitutos!$I$191/12</f>
        <v>7.3622187584706</v>
      </c>
      <c r="E242" s="25" t="n">
        <f aca="false">datos_base!$I$18*parametros_recargas!$G$44+sobrestock_sustitutos!$I$191/12</f>
        <v>7.4025015929775</v>
      </c>
      <c r="F242" s="25" t="n">
        <f aca="false">datos_base!$I$18*parametros_recargas!$H$44+sobrestock_sustitutos!$I$191/12</f>
        <v>7.44302983780962</v>
      </c>
      <c r="G242" s="25" t="n">
        <f aca="false">datos_base!$I$18*parametros_recargas!$I$44+sobrestock_sustitutos!$I$191/12</f>
        <v>7.48380498805111</v>
      </c>
      <c r="H242" s="25" t="n">
        <f aca="false">datos_base!$I$18*parametros_recargas!$J$44+sobrestock_sustitutos!$I$191/12</f>
        <v>7.52482854789446</v>
      </c>
      <c r="I242" s="25" t="n">
        <f aca="false">datos_base!$I$18*parametros_recargas!$K$44+sobrestock_sustitutos!$I$191/12</f>
        <v>7.56610203069595</v>
      </c>
      <c r="J242" s="25" t="n">
        <f aca="false">datos_base!$I$18*parametros_recargas!$L$44+sobrestock_sustitutos!$I$191/12</f>
        <v>7.60762695903154</v>
      </c>
      <c r="K242" s="25" t="n">
        <f aca="false">datos_base!$I$18*parametros_recargas!$M$44+sobrestock_sustitutos!$I$191/12</f>
        <v>7.64940486475295</v>
      </c>
      <c r="L242" s="25" t="n">
        <f aca="false">datos_base!$I$18*parametros_recargas!$N$44+sobrestock_sustitutos!$I$191/12</f>
        <v>7.69143728904426</v>
      </c>
      <c r="M242" s="25" t="n">
        <f aca="false">datos_base!$I$18*parametros_recargas!$O$44+sobrestock_sustitutos!$I$191/12</f>
        <v>7.73372578247869</v>
      </c>
      <c r="N242" s="25" t="n">
        <f aca="false">datos_base!$I$18*parametros_recargas!$P$44+sobrestock_sustitutos!$I$191/12</f>
        <v>7.77627190507585</v>
      </c>
      <c r="O242" s="25" t="n">
        <f aca="false">datos_base!$I$18*parametros_recargas!$Q$44+sobrestock_sustitutos!$I$191/12</f>
        <v>7.81907722635929</v>
      </c>
      <c r="P242" s="7" t="n">
        <f aca="false">SUM(D242:O242)</f>
        <v>91.0600297826418</v>
      </c>
      <c r="Q242" s="13" t="n">
        <f aca="false">sobrestock_sustitutos!$I$191</f>
        <v>9</v>
      </c>
    </row>
    <row r="243" customFormat="false" ht="15" hidden="false" customHeight="false" outlineLevel="0" collapsed="false">
      <c r="A243" s="6" t="s">
        <v>273</v>
      </c>
      <c r="D243" s="7" t="n">
        <f aca="false">SUM(D226:D242)</f>
        <v>7621.73779699667</v>
      </c>
      <c r="E243" s="7" t="n">
        <f aca="false">SUM(E226:E242)</f>
        <v>7667.38542067764</v>
      </c>
      <c r="F243" s="7" t="n">
        <f aca="false">SUM(F226:F242)</f>
        <v>7713.31113795133</v>
      </c>
      <c r="G243" s="7" t="n">
        <f aca="false">SUM(G226:G242)</f>
        <v>7759.51664301427</v>
      </c>
      <c r="H243" s="7" t="n">
        <f aca="false">SUM(H226:H242)</f>
        <v>7806.00364038438</v>
      </c>
      <c r="I243" s="7" t="n">
        <f aca="false">SUM(I226:I242)</f>
        <v>7852.77384496377</v>
      </c>
      <c r="J243" s="7" t="n">
        <f aca="false">SUM(J226:J242)</f>
        <v>7899.82898210208</v>
      </c>
      <c r="K243" s="7" t="n">
        <f aca="false">SUM(K226:K242)</f>
        <v>7947.17078766006</v>
      </c>
      <c r="L243" s="7" t="n">
        <f aca="false">SUM(L226:L242)</f>
        <v>7994.80100807365</v>
      </c>
      <c r="M243" s="7" t="n">
        <f aca="false">SUM(M226:M242)</f>
        <v>8042.72140041842</v>
      </c>
      <c r="N243" s="7" t="n">
        <f aca="false">SUM(N226:N242)</f>
        <v>8090.93373247432</v>
      </c>
      <c r="O243" s="7" t="n">
        <f aca="false">SUM(O226:O242)</f>
        <v>8139.43978279098</v>
      </c>
      <c r="P243" s="7" t="n">
        <f aca="false">SUM(P226:P242)</f>
        <v>94535.6241775076</v>
      </c>
    </row>
    <row r="244" customFormat="false" ht="15" hidden="false" customHeight="false" outlineLevel="0" collapsed="false">
      <c r="A244" s="6" t="s">
        <v>274</v>
      </c>
    </row>
    <row r="245" customFormat="false" ht="15" hidden="false" customHeight="false" outlineLevel="0" collapsed="false">
      <c r="A245" s="4" t="s">
        <v>143</v>
      </c>
      <c r="D245" s="25" t="n">
        <f aca="false">SUMPRODUCT(($B$226:$B$242=$A245)*D$226:D$242*$C$226:$C$242)</f>
        <v>6818.41194326342</v>
      </c>
      <c r="E245" s="25" t="n">
        <f aca="false">SUMPRODUCT(($B$226:$B$242=$A245)*E$226:E$242*$C$226:$C$242)</f>
        <v>6859.26760435203</v>
      </c>
      <c r="F245" s="25" t="n">
        <f aca="false">SUMPRODUCT(($B$226:$B$242=$A245)*F$226:F$242*$C$226:$C$242)</f>
        <v>6900.37216552917</v>
      </c>
      <c r="G245" s="25" t="n">
        <f aca="false">SUMPRODUCT(($B$226:$B$242=$A245)*G$226:G$242*$C$226:$C$242)</f>
        <v>6941.72714313925</v>
      </c>
      <c r="H245" s="25" t="n">
        <f aca="false">SUMPRODUCT(($B$226:$B$242=$A245)*H$226:H$242*$C$226:$C$242)</f>
        <v>6983.33406276456</v>
      </c>
      <c r="I245" s="25" t="n">
        <f aca="false">SUMPRODUCT(($B$226:$B$242=$A245)*I$226:I$242*$C$226:$C$242)</f>
        <v>7025.19445928149</v>
      </c>
      <c r="J245" s="25" t="n">
        <f aca="false">SUMPRODUCT(($B$226:$B$242=$A245)*J$226:J$242*$C$226:$C$242)</f>
        <v>7067.30987691717</v>
      </c>
      <c r="K245" s="25" t="n">
        <f aca="false">SUMPRODUCT(($B$226:$B$242=$A245)*K$226:K$242*$C$226:$C$242)</f>
        <v>7109.68186930648</v>
      </c>
      <c r="L245" s="25" t="n">
        <f aca="false">SUMPRODUCT(($B$226:$B$242=$A245)*L$226:L$242*$C$226:$C$242)</f>
        <v>7152.31199954928</v>
      </c>
      <c r="M245" s="25" t="n">
        <f aca="false">SUMPRODUCT(($B$226:$B$242=$A245)*M$226:M$242*$C$226:$C$242)</f>
        <v>7195.20184026813</v>
      </c>
      <c r="N245" s="25" t="n">
        <f aca="false">SUMPRODUCT(($B$226:$B$242=$A245)*N$226:N$242*$C$226:$C$242)</f>
        <v>7238.35297366632</v>
      </c>
      <c r="O245" s="25" t="n">
        <f aca="false">SUMPRODUCT(($B$226:$B$242=$A245)*O$226:O$242*$C$226:$C$242)</f>
        <v>7281.76699158617</v>
      </c>
      <c r="P245" s="25" t="n">
        <f aca="false">SUMPRODUCT(($B$226:$B$242=$A245)*P$226:P$242*$C$226:$C$242)</f>
        <v>84572.9329296235</v>
      </c>
    </row>
    <row r="246" customFormat="false" ht="15" hidden="false" customHeight="false" outlineLevel="0" collapsed="false">
      <c r="A246" s="4" t="s">
        <v>149</v>
      </c>
      <c r="D246" s="25" t="n">
        <f aca="false">SUMPRODUCT(($B$226:$B$242=$A246)*D$226:D$242*$C$226:$C$242)</f>
        <v>9.90215689385426</v>
      </c>
      <c r="E246" s="25" t="n">
        <f aca="false">SUMPRODUCT(($B$226:$B$242=$A246)*E$226:E$242*$C$226:$C$242)</f>
        <v>9.95994421865339</v>
      </c>
      <c r="F246" s="25" t="n">
        <f aca="false">SUMPRODUCT(($B$226:$B$242=$A246)*F$226:F$242*$C$226:$C$242)</f>
        <v>10.0180835943036</v>
      </c>
      <c r="G246" s="25" t="n">
        <f aca="false">SUMPRODUCT(($B$226:$B$242=$A246)*G$226:G$242*$C$226:$C$242)</f>
        <v>10.0765771655625</v>
      </c>
      <c r="H246" s="25" t="n">
        <f aca="false">SUMPRODUCT(($B$226:$B$242=$A246)*H$226:H$242*$C$226:$C$242)</f>
        <v>10.1354270902538</v>
      </c>
      <c r="I246" s="25" t="n">
        <f aca="false">SUMPRODUCT(($B$226:$B$242=$A246)*I$226:I$242*$C$226:$C$242)</f>
        <v>10.1946355393472</v>
      </c>
      <c r="J246" s="25" t="n">
        <f aca="false">SUMPRODUCT(($B$226:$B$242=$A246)*J$226:J$242*$C$226:$C$242)</f>
        <v>10.2542046970384</v>
      </c>
      <c r="K246" s="25" t="n">
        <f aca="false">SUMPRODUCT(($B$226:$B$242=$A246)*K$226:K$242*$C$226:$C$242)</f>
        <v>10.3141367608294</v>
      </c>
      <c r="L246" s="25" t="n">
        <f aca="false">SUMPRODUCT(($B$226:$B$242=$A246)*L$226:L$242*$C$226:$C$242)</f>
        <v>10.37443394161</v>
      </c>
      <c r="M246" s="25" t="n">
        <f aca="false">SUMPRODUCT(($B$226:$B$242=$A246)*M$226:M$242*$C$226:$C$242)</f>
        <v>10.4350984637389</v>
      </c>
      <c r="N246" s="25" t="n">
        <f aca="false">SUMPRODUCT(($B$226:$B$242=$A246)*N$226:N$242*$C$226:$C$242)</f>
        <v>10.4961325651263</v>
      </c>
      <c r="O246" s="25" t="n">
        <f aca="false">SUMPRODUCT(($B$226:$B$242=$A246)*O$226:O$242*$C$226:$C$242)</f>
        <v>10.557538497316</v>
      </c>
      <c r="P246" s="25" t="n">
        <f aca="false">SUMPRODUCT(($B$226:$B$242=$A246)*P$226:P$242*$C$226:$C$242)</f>
        <v>122.718369427634</v>
      </c>
    </row>
    <row r="247" customFormat="false" ht="15" hidden="false" customHeight="false" outlineLevel="0" collapsed="false">
      <c r="A247" s="4" t="s">
        <v>155</v>
      </c>
      <c r="D247" s="25" t="n">
        <f aca="false">SUMPRODUCT(($B$226:$B$242=$A247)*D$226:D$242*$C$226:$C$242)</f>
        <v>8.9382793692823</v>
      </c>
      <c r="E247" s="25" t="n">
        <f aca="false">SUMPRODUCT(($B$226:$B$242=$A247)*E$226:E$242*$C$226:$C$242)</f>
        <v>8.99019457759141</v>
      </c>
      <c r="F247" s="25" t="n">
        <f aca="false">SUMPRODUCT(($B$226:$B$242=$A247)*F$226:F$242*$C$226:$C$242)</f>
        <v>9.04242606275419</v>
      </c>
      <c r="G247" s="25" t="n">
        <f aca="false">SUMPRODUCT(($B$226:$B$242=$A247)*G$226:G$242*$C$226:$C$242)</f>
        <v>9.09497575158652</v>
      </c>
      <c r="H247" s="25" t="n">
        <f aca="false">SUMPRODUCT(($B$226:$B$242=$A247)*H$226:H$242*$C$226:$C$242)</f>
        <v>9.14784558264281</v>
      </c>
      <c r="I247" s="25" t="n">
        <f aca="false">SUMPRODUCT(($B$226:$B$242=$A247)*I$226:I$242*$C$226:$C$242)</f>
        <v>9.20103750628748</v>
      </c>
      <c r="J247" s="25" t="n">
        <f aca="false">SUMPRODUCT(($B$226:$B$242=$A247)*J$226:J$242*$C$226:$C$242)</f>
        <v>9.25455348476693</v>
      </c>
      <c r="K247" s="25" t="n">
        <f aca="false">SUMPRODUCT(($B$226:$B$242=$A247)*K$226:K$242*$C$226:$C$242)</f>
        <v>9.30839549228191</v>
      </c>
      <c r="L247" s="25" t="n">
        <f aca="false">SUMPRODUCT(($B$226:$B$242=$A247)*L$226:L$242*$C$226:$C$242)</f>
        <v>9.36256551506037</v>
      </c>
      <c r="M247" s="25" t="n">
        <f aca="false">SUMPRODUCT(($B$226:$B$242=$A247)*M$226:M$242*$C$226:$C$242)</f>
        <v>9.41706555143072</v>
      </c>
      <c r="N247" s="25" t="n">
        <f aca="false">SUMPRODUCT(($B$226:$B$242=$A247)*N$226:N$242*$C$226:$C$242)</f>
        <v>9.47189761189554</v>
      </c>
      <c r="O247" s="25" t="n">
        <f aca="false">SUMPRODUCT(($B$226:$B$242=$A247)*O$226:O$242*$C$226:$C$242)</f>
        <v>9.52706371920576</v>
      </c>
      <c r="P247" s="25" t="n">
        <f aca="false">SUMPRODUCT(($B$226:$B$242=$A247)*P$226:P$242*$C$226:$C$242)</f>
        <v>110.756300224786</v>
      </c>
    </row>
    <row r="248" customFormat="false" ht="15" hidden="false" customHeight="false" outlineLevel="0" collapsed="false">
      <c r="A248" s="4" t="s">
        <v>146</v>
      </c>
      <c r="D248" s="25" t="n">
        <f aca="false">SUMPRODUCT(($B$226:$B$242=$A248)*D$226:D$242*$C$226:$C$242)</f>
        <v>173.011651652933</v>
      </c>
      <c r="E248" s="25" t="n">
        <f aca="false">SUMPRODUCT(($B$226:$B$242=$A248)*E$226:E$242*$C$226:$C$242)</f>
        <v>174.040285888424</v>
      </c>
      <c r="F248" s="25" t="n">
        <f aca="false">SUMPRODUCT(($B$226:$B$242=$A248)*F$226:F$242*$C$226:$C$242)</f>
        <v>175.075186750019</v>
      </c>
      <c r="G248" s="25" t="n">
        <f aca="false">SUMPRODUCT(($B$226:$B$242=$A248)*G$226:G$242*$C$226:$C$242)</f>
        <v>176.11639241514</v>
      </c>
      <c r="H248" s="25" t="n">
        <f aca="false">SUMPRODUCT(($B$226:$B$242=$A248)*H$226:H$242*$C$226:$C$242)</f>
        <v>177.163941293792</v>
      </c>
      <c r="I248" s="25" t="n">
        <f aca="false">SUMPRODUCT(($B$226:$B$242=$A248)*I$226:I$242*$C$226:$C$242)</f>
        <v>178.217872029979</v>
      </c>
      <c r="J248" s="25" t="n">
        <f aca="false">SUMPRODUCT(($B$226:$B$242=$A248)*J$226:J$242*$C$226:$C$242)</f>
        <v>179.278223503136</v>
      </c>
      <c r="K248" s="25" t="n">
        <f aca="false">SUMPRODUCT(($B$226:$B$242=$A248)*K$226:K$242*$C$226:$C$242)</f>
        <v>180.345034829554</v>
      </c>
      <c r="L248" s="25" t="n">
        <f aca="false">SUMPRODUCT(($B$226:$B$242=$A248)*L$226:L$242*$C$226:$C$242)</f>
        <v>181.418345363829</v>
      </c>
      <c r="M248" s="25" t="n">
        <f aca="false">SUMPRODUCT(($B$226:$B$242=$A248)*M$226:M$242*$C$226:$C$242)</f>
        <v>182.498194700314</v>
      </c>
      <c r="N248" s="25" t="n">
        <f aca="false">SUMPRODUCT(($B$226:$B$242=$A248)*N$226:N$242*$C$226:$C$242)</f>
        <v>183.584622674577</v>
      </c>
      <c r="O248" s="25" t="n">
        <f aca="false">SUMPRODUCT(($B$226:$B$242=$A248)*O$226:O$242*$C$226:$C$242)</f>
        <v>184.677669364869</v>
      </c>
      <c r="P248" s="25" t="n">
        <f aca="false">SUMPRODUCT(($B$226:$B$242=$A248)*P$226:P$242*$C$226:$C$242)</f>
        <v>2145.42742046657</v>
      </c>
    </row>
    <row r="249" customFormat="false" ht="15" hidden="false" customHeight="false" outlineLevel="0" collapsed="false">
      <c r="A249" s="4" t="s">
        <v>147</v>
      </c>
      <c r="D249" s="25" t="n">
        <f aca="false">SUMPRODUCT(($B$226:$B$242=$A249)*D$226:D$242*$C$226:$C$242)</f>
        <v>82.9442788331163</v>
      </c>
      <c r="E249" s="25" t="n">
        <f aca="false">SUMPRODUCT(($B$226:$B$242=$A249)*E$226:E$242*$C$226:$C$242)</f>
        <v>83.4374060431527</v>
      </c>
      <c r="F249" s="25" t="n">
        <f aca="false">SUMPRODUCT(($B$226:$B$242=$A249)*F$226:F$242*$C$226:$C$242)</f>
        <v>83.9335374734847</v>
      </c>
      <c r="G249" s="25" t="n">
        <f aca="false">SUMPRODUCT(($B$226:$B$242=$A249)*G$226:G$242*$C$226:$C$242)</f>
        <v>84.4326914263664</v>
      </c>
      <c r="H249" s="25" t="n">
        <f aca="false">SUMPRODUCT(($B$226:$B$242=$A249)*H$226:H$242*$C$226:$C$242)</f>
        <v>84.9348863155529</v>
      </c>
      <c r="I249" s="25" t="n">
        <f aca="false">SUMPRODUCT(($B$226:$B$242=$A249)*I$226:I$242*$C$226:$C$242)</f>
        <v>85.440140666979</v>
      </c>
      <c r="J249" s="25" t="n">
        <f aca="false">SUMPRODUCT(($B$226:$B$242=$A249)*J$226:J$242*$C$226:$C$242)</f>
        <v>85.9484731194428</v>
      </c>
      <c r="K249" s="25" t="n">
        <f aca="false">SUMPRODUCT(($B$226:$B$242=$A249)*K$226:K$242*$C$226:$C$242)</f>
        <v>86.4599024252935</v>
      </c>
      <c r="L249" s="25" t="n">
        <f aca="false">SUMPRODUCT(($B$226:$B$242=$A249)*L$226:L$242*$C$226:$C$242)</f>
        <v>86.9744474511229</v>
      </c>
      <c r="M249" s="25" t="n">
        <f aca="false">SUMPRODUCT(($B$226:$B$242=$A249)*M$226:M$242*$C$226:$C$242)</f>
        <v>87.4921271784617</v>
      </c>
      <c r="N249" s="25" t="n">
        <f aca="false">SUMPRODUCT(($B$226:$B$242=$A249)*N$226:N$242*$C$226:$C$242)</f>
        <v>88.0129607044791</v>
      </c>
      <c r="O249" s="25" t="n">
        <f aca="false">SUMPRODUCT(($B$226:$B$242=$A249)*O$226:O$242*$C$226:$C$242)</f>
        <v>88.5369672426882</v>
      </c>
      <c r="P249" s="25" t="n">
        <f aca="false">SUMPRODUCT(($B$226:$B$242=$A249)*P$226:P$242*$C$226:$C$242)</f>
        <v>1028.54781888014</v>
      </c>
    </row>
    <row r="250" customFormat="false" ht="15" hidden="false" customHeight="false" outlineLevel="0" collapsed="false">
      <c r="A250" s="4" t="s">
        <v>150</v>
      </c>
      <c r="D250" s="25" t="n">
        <f aca="false">SUMPRODUCT(($B$226:$B$242=$A250)*D$226:D$242*$C$226:$C$242)</f>
        <v>85.1965970123283</v>
      </c>
      <c r="E250" s="25" t="n">
        <f aca="false">SUMPRODUCT(($B$226:$B$242=$A250)*E$226:E$242*$C$226:$C$242)</f>
        <v>85.7029380709662</v>
      </c>
      <c r="F250" s="25" t="n">
        <f aca="false">SUMPRODUCT(($B$226:$B$242=$A250)*F$226:F$242*$C$226:$C$242)</f>
        <v>86.2123638510591</v>
      </c>
      <c r="G250" s="25" t="n">
        <f aca="false">SUMPRODUCT(($B$226:$B$242=$A250)*G$226:G$242*$C$226:$C$242)</f>
        <v>86.7248931452889</v>
      </c>
      <c r="H250" s="25" t="n">
        <f aca="false">SUMPRODUCT(($B$226:$B$242=$A250)*H$226:H$242*$C$226:$C$242)</f>
        <v>87.2405448608258</v>
      </c>
      <c r="I250" s="25" t="n">
        <f aca="false">SUMPRODUCT(($B$226:$B$242=$A250)*I$226:I$242*$C$226:$C$242)</f>
        <v>87.7593380200263</v>
      </c>
      <c r="J250" s="25" t="n">
        <f aca="false">SUMPRODUCT(($B$226:$B$242=$A250)*J$226:J$242*$C$226:$C$242)</f>
        <v>88.281291761134</v>
      </c>
      <c r="K250" s="25" t="n">
        <f aca="false">SUMPRODUCT(($B$226:$B$242=$A250)*K$226:K$242*$C$226:$C$242)</f>
        <v>88.8064253389867</v>
      </c>
      <c r="L250" s="25" t="n">
        <f aca="false">SUMPRODUCT(($B$226:$B$242=$A250)*L$226:L$242*$C$226:$C$242)</f>
        <v>89.3347581257256</v>
      </c>
      <c r="M250" s="25" t="n">
        <f aca="false">SUMPRODUCT(($B$226:$B$242=$A250)*M$226:M$242*$C$226:$C$242)</f>
        <v>89.8663096115111</v>
      </c>
      <c r="N250" s="25" t="n">
        <f aca="false">SUMPRODUCT(($B$226:$B$242=$A250)*N$226:N$242*$C$226:$C$242)</f>
        <v>90.4010994052406</v>
      </c>
      <c r="O250" s="25" t="n">
        <f aca="false">SUMPRODUCT(($B$226:$B$242=$A250)*O$226:O$242*$C$226:$C$242)</f>
        <v>90.939147235273</v>
      </c>
      <c r="P250" s="25" t="n">
        <f aca="false">SUMPRODUCT(($B$226:$B$242=$A250)*P$226:P$242*$C$226:$C$242)</f>
        <v>1056.46570643837</v>
      </c>
    </row>
    <row r="251" customFormat="false" ht="15" hidden="false" customHeight="false" outlineLevel="0" collapsed="false">
      <c r="A251" s="4" t="s">
        <v>151</v>
      </c>
      <c r="D251" s="25" t="n">
        <f aca="false">SUMPRODUCT(($B$226:$B$242=$A251)*D$226:D$242*$C$226:$C$242)</f>
        <v>623.936759523752</v>
      </c>
      <c r="E251" s="25" t="n">
        <f aca="false">SUMPRODUCT(($B$226:$B$242=$A251)*E$226:E$242*$C$226:$C$242)</f>
        <v>627.647527937665</v>
      </c>
      <c r="F251" s="25" t="n">
        <f aca="false">SUMPRODUCT(($B$226:$B$242=$A251)*F$226:F$242*$C$226:$C$242)</f>
        <v>631.380903024977</v>
      </c>
      <c r="G251" s="25" t="n">
        <f aca="false">SUMPRODUCT(($B$226:$B$242=$A251)*G$226:G$242*$C$226:$C$242)</f>
        <v>635.137022509636</v>
      </c>
      <c r="H251" s="25" t="n">
        <f aca="false">SUMPRODUCT(($B$226:$B$242=$A251)*H$226:H$242*$C$226:$C$242)</f>
        <v>638.916024954632</v>
      </c>
      <c r="I251" s="25" t="n">
        <f aca="false">SUMPRODUCT(($B$226:$B$242=$A251)*I$226:I$242*$C$226:$C$242)</f>
        <v>642.718049767105</v>
      </c>
      <c r="J251" s="25" t="n">
        <f aca="false">SUMPRODUCT(($B$226:$B$242=$A251)*J$226:J$242*$C$226:$C$242)</f>
        <v>646.543237203488</v>
      </c>
      <c r="K251" s="25" t="n">
        <f aca="false">SUMPRODUCT(($B$226:$B$242=$A251)*K$226:K$242*$C$226:$C$242)</f>
        <v>650.391728374681</v>
      </c>
      <c r="L251" s="25" t="n">
        <f aca="false">SUMPRODUCT(($B$226:$B$242=$A251)*L$226:L$242*$C$226:$C$242)</f>
        <v>654.263665251259</v>
      </c>
      <c r="M251" s="25" t="n">
        <f aca="false">SUMPRODUCT(($B$226:$B$242=$A251)*M$226:M$242*$C$226:$C$242)</f>
        <v>658.159190668706</v>
      </c>
      <c r="N251" s="25" t="n">
        <f aca="false">SUMPRODUCT(($B$226:$B$242=$A251)*N$226:N$242*$C$226:$C$242)</f>
        <v>662.078448332687</v>
      </c>
      <c r="O251" s="25" t="n">
        <f aca="false">SUMPRODUCT(($B$226:$B$242=$A251)*O$226:O$242*$C$226:$C$242)</f>
        <v>666.021582824346</v>
      </c>
      <c r="P251" s="25" t="n">
        <f aca="false">SUMPRODUCT(($B$226:$B$242=$A251)*P$226:P$242*$C$226:$C$242)</f>
        <v>7737.19414037293</v>
      </c>
    </row>
    <row r="252" customFormat="false" ht="15" hidden="false" customHeight="false" outlineLevel="0" collapsed="false">
      <c r="A252" s="4" t="s">
        <v>154</v>
      </c>
      <c r="D252" s="25" t="n">
        <f aca="false">SUMPRODUCT(($B$226:$B$242=$A252)*D$226:D$242*$C$226:$C$242)</f>
        <v>25.5698217476529</v>
      </c>
      <c r="E252" s="25" t="n">
        <f aca="false">SUMPRODUCT(($B$226:$B$242=$A252)*E$226:E$242*$C$226:$C$242)</f>
        <v>25.721536279714</v>
      </c>
      <c r="F252" s="25" t="n">
        <f aca="false">SUMPRODUCT(($B$226:$B$242=$A252)*F$226:F$242*$C$226:$C$242)</f>
        <v>25.8741750841881</v>
      </c>
      <c r="G252" s="25" t="n">
        <f aca="false">SUMPRODUCT(($B$226:$B$242=$A252)*G$226:G$242*$C$226:$C$242)</f>
        <v>26.0277437919103</v>
      </c>
      <c r="H252" s="25" t="n">
        <f aca="false">SUMPRODUCT(($B$226:$B$242=$A252)*H$226:H$242*$C$226:$C$242)</f>
        <v>26.1822480680194</v>
      </c>
      <c r="I252" s="25" t="n">
        <f aca="false">SUMPRODUCT(($B$226:$B$242=$A252)*I$226:I$242*$C$226:$C$242)</f>
        <v>26.3376936121677</v>
      </c>
      <c r="J252" s="25" t="n">
        <f aca="false">SUMPRODUCT(($B$226:$B$242=$A252)*J$226:J$242*$C$226:$C$242)</f>
        <v>26.4940861587306</v>
      </c>
      <c r="K252" s="25" t="n">
        <f aca="false">SUMPRODUCT(($B$226:$B$242=$A252)*K$226:K$242*$C$226:$C$242)</f>
        <v>26.6514314770182</v>
      </c>
      <c r="L252" s="25" t="n">
        <f aca="false">SUMPRODUCT(($B$226:$B$242=$A252)*L$226:L$242*$C$226:$C$242)</f>
        <v>26.8097353714887</v>
      </c>
      <c r="M252" s="25" t="n">
        <f aca="false">SUMPRODUCT(($B$226:$B$242=$A252)*M$226:M$242*$C$226:$C$242)</f>
        <v>26.9690036819616</v>
      </c>
      <c r="N252" s="25" t="n">
        <f aca="false">SUMPRODUCT(($B$226:$B$242=$A252)*N$226:N$242*$C$226:$C$242)</f>
        <v>27.129242283834</v>
      </c>
      <c r="O252" s="25" t="n">
        <f aca="false">SUMPRODUCT(($B$226:$B$242=$A252)*O$226:O$242*$C$226:$C$242)</f>
        <v>27.2904570882969</v>
      </c>
      <c r="P252" s="25" t="n">
        <f aca="false">SUMPRODUCT(($B$226:$B$242=$A252)*P$226:P$242*$C$226:$C$242)</f>
        <v>317.057174644982</v>
      </c>
    </row>
    <row r="253" customFormat="false" ht="15" hidden="false" customHeight="false" outlineLevel="0" collapsed="false">
      <c r="A253" s="6" t="s">
        <v>275</v>
      </c>
      <c r="D253" s="26" t="n">
        <f aca="false">SUMPRODUCT(D$226:D$242*parametros_recargas!$D$51:$D$67)</f>
        <v>271.404771872541</v>
      </c>
      <c r="E253" s="26" t="n">
        <f aca="false">SUMPRODUCT(E$226:E$242*parametros_recargas!$D$51:$D$67)</f>
        <v>272.943990512227</v>
      </c>
      <c r="F253" s="26" t="n">
        <f aca="false">SUMPRODUCT(F$226:F$242*parametros_recargas!$D$51:$D$67)</f>
        <v>274.492586350702</v>
      </c>
      <c r="G253" s="26" t="n">
        <f aca="false">SUMPRODUCT(G$226:G$242*parametros_recargas!$D$51:$D$67)</f>
        <v>276.050616515559</v>
      </c>
      <c r="H253" s="26" t="n">
        <f aca="false">SUMPRODUCT(H$226:H$242*parametros_recargas!$D$51:$D$67)</f>
        <v>277.618138482425</v>
      </c>
      <c r="I253" s="26" t="n">
        <f aca="false">SUMPRODUCT(I$226:I$242*parametros_recargas!$D$51:$D$67)</f>
        <v>279.195210077075</v>
      </c>
      <c r="J253" s="26" t="n">
        <f aca="false">SUMPRODUCT(J$226:J$242*parametros_recargas!$D$51:$D$67)</f>
        <v>280.781889477573</v>
      </c>
      <c r="K253" s="26" t="n">
        <f aca="false">SUMPRODUCT(K$226:K$242*parametros_recargas!$D$51:$D$67)</f>
        <v>282.378235216412</v>
      </c>
      <c r="L253" s="26" t="n">
        <f aca="false">SUMPRODUCT(L$226:L$242*parametros_recargas!$D$51:$D$67)</f>
        <v>283.984306182676</v>
      </c>
      <c r="M253" s="26" t="n">
        <f aca="false">SUMPRODUCT(M$226:M$242*parametros_recargas!$D$51:$D$67)</f>
        <v>285.600161624213</v>
      </c>
      <c r="N253" s="26" t="n">
        <f aca="false">SUMPRODUCT(N$226:N$242*parametros_recargas!$D$51:$D$67)</f>
        <v>287.225861149819</v>
      </c>
      <c r="O253" s="26" t="n">
        <f aca="false">SUMPRODUCT(O$226:O$242*parametros_recargas!$D$51:$D$67)</f>
        <v>288.861464731438</v>
      </c>
      <c r="P253" s="26" t="n">
        <f aca="false">SUMPRODUCT(P$226:P$242*parametros_recargas!$D$51:$D$67)</f>
        <v>3360.53723219266</v>
      </c>
    </row>
    <row r="257" customFormat="false" ht="23.85" hidden="false" customHeight="false" outlineLevel="0" collapsed="false">
      <c r="A257" s="23" t="n">
        <v>2034</v>
      </c>
      <c r="B257" s="3" t="s">
        <v>270</v>
      </c>
      <c r="C257" s="3" t="s">
        <v>271</v>
      </c>
      <c r="D257" s="3" t="s">
        <v>124</v>
      </c>
      <c r="E257" s="3" t="s">
        <v>125</v>
      </c>
      <c r="F257" s="3" t="s">
        <v>126</v>
      </c>
      <c r="G257" s="3" t="s">
        <v>127</v>
      </c>
      <c r="H257" s="3" t="s">
        <v>128</v>
      </c>
      <c r="I257" s="3" t="s">
        <v>129</v>
      </c>
      <c r="J257" s="3" t="s">
        <v>130</v>
      </c>
      <c r="K257" s="3" t="s">
        <v>131</v>
      </c>
      <c r="L257" s="3" t="s">
        <v>132</v>
      </c>
      <c r="M257" s="3" t="s">
        <v>133</v>
      </c>
      <c r="N257" s="3" t="s">
        <v>134</v>
      </c>
      <c r="O257" s="3" t="s">
        <v>135</v>
      </c>
      <c r="P257" s="3" t="s">
        <v>136</v>
      </c>
      <c r="Q257" s="3" t="s">
        <v>272</v>
      </c>
    </row>
    <row r="258" customFormat="false" ht="15" hidden="false" customHeight="false" outlineLevel="0" collapsed="false">
      <c r="A258" s="12" t="str">
        <f aca="false">parametros_recargas!A51</f>
        <v>ABC 1 kg</v>
      </c>
      <c r="B258" s="12" t="str">
        <f aca="false">parametros_recargas!B51</f>
        <v>ABC</v>
      </c>
      <c r="C258" s="24" t="n">
        <f aca="false">parametros_recargas!C51</f>
        <v>1</v>
      </c>
      <c r="D258" s="25" t="n">
        <f aca="false">datos_base!$J$2*parametros_recargas!$F$45+sobrestock_sustitutos!$J$175/12</f>
        <v>4273.38440725571</v>
      </c>
      <c r="E258" s="25" t="n">
        <f aca="false">datos_base!$J$2*parametros_recargas!$G$45+sobrestock_sustitutos!$J$175/12</f>
        <v>4298.13824938435</v>
      </c>
      <c r="F258" s="25" t="n">
        <f aca="false">datos_base!$J$2*parametros_recargas!$H$45+sobrestock_sustitutos!$J$175/12</f>
        <v>4323.03547966667</v>
      </c>
      <c r="G258" s="25" t="n">
        <f aca="false">datos_base!$J$2*parametros_recargas!$I$45+sobrestock_sustitutos!$J$175/12</f>
        <v>4348.07692868738</v>
      </c>
      <c r="H258" s="25" t="n">
        <f aca="false">datos_base!$J$2*parametros_recargas!$J$45+sobrestock_sustitutos!$J$175/12</f>
        <v>4373.26343184239</v>
      </c>
      <c r="I258" s="25" t="n">
        <f aca="false">datos_base!$J$2*parametros_recargas!$K$45+sobrestock_sustitutos!$J$175/12</f>
        <v>4398.5958293667</v>
      </c>
      <c r="J258" s="25" t="n">
        <f aca="false">datos_base!$J$2*parametros_recargas!$L$45+sobrestock_sustitutos!$J$175/12</f>
        <v>4424.07496636242</v>
      </c>
      <c r="K258" s="25" t="n">
        <f aca="false">datos_base!$J$2*parametros_recargas!$M$45+sobrestock_sustitutos!$J$175/12</f>
        <v>4449.70169282697</v>
      </c>
      <c r="L258" s="25" t="n">
        <f aca="false">datos_base!$J$2*parametros_recargas!$N$45+sobrestock_sustitutos!$J$175/12</f>
        <v>4475.47686368142</v>
      </c>
      <c r="M258" s="25" t="n">
        <f aca="false">datos_base!$J$2*parametros_recargas!$O$45+sobrestock_sustitutos!$J$175/12</f>
        <v>4501.40133879905</v>
      </c>
      <c r="N258" s="25" t="n">
        <f aca="false">datos_base!$J$2*parametros_recargas!$P$45+sobrestock_sustitutos!$J$175/12</f>
        <v>4527.47598303398</v>
      </c>
      <c r="O258" s="25" t="n">
        <f aca="false">datos_base!$J$2*parametros_recargas!$Q$45+sobrestock_sustitutos!$J$175/12</f>
        <v>4553.70166625006</v>
      </c>
      <c r="P258" s="7" t="n">
        <f aca="false">SUM(D258:O258)</f>
        <v>52946.3268371571</v>
      </c>
      <c r="Q258" s="13" t="n">
        <f aca="false">sobrestock_sustitutos!$J$175</f>
        <v>0</v>
      </c>
    </row>
    <row r="259" customFormat="false" ht="15" hidden="false" customHeight="false" outlineLevel="0" collapsed="false">
      <c r="A259" s="12" t="str">
        <f aca="false">parametros_recargas!A52</f>
        <v>ABC 2,5 kg</v>
      </c>
      <c r="B259" s="12" t="str">
        <f aca="false">parametros_recargas!B52</f>
        <v>ABC</v>
      </c>
      <c r="C259" s="24" t="n">
        <f aca="false">parametros_recargas!C52</f>
        <v>1</v>
      </c>
      <c r="D259" s="25" t="n">
        <f aca="false">datos_base!$J$3*parametros_recargas!$F$45+sobrestock_sustitutos!$J$176/12</f>
        <v>359.030878541302</v>
      </c>
      <c r="E259" s="25" t="n">
        <f aca="false">datos_base!$J$3*parametros_recargas!$G$45+sobrestock_sustitutos!$J$176/12</f>
        <v>361.110586997118</v>
      </c>
      <c r="F259" s="25" t="n">
        <f aca="false">datos_base!$J$3*parametros_recargas!$H$45+sobrestock_sustitutos!$J$176/12</f>
        <v>363.202342292132</v>
      </c>
      <c r="G259" s="25" t="n">
        <f aca="false">datos_base!$J$3*parametros_recargas!$I$45+sobrestock_sustitutos!$J$176/12</f>
        <v>365.306214208402</v>
      </c>
      <c r="H259" s="25" t="n">
        <f aca="false">datos_base!$J$3*parametros_recargas!$J$45+sobrestock_sustitutos!$J$176/12</f>
        <v>367.422272932202</v>
      </c>
      <c r="I259" s="25" t="n">
        <f aca="false">datos_base!$J$3*parametros_recargas!$K$45+sobrestock_sustitutos!$J$176/12</f>
        <v>369.550589056365</v>
      </c>
      <c r="J259" s="25" t="n">
        <f aca="false">datos_base!$J$3*parametros_recargas!$L$45+sobrestock_sustitutos!$J$176/12</f>
        <v>371.691233582637</v>
      </c>
      <c r="K259" s="25" t="n">
        <f aca="false">datos_base!$J$3*parametros_recargas!$M$45+sobrestock_sustitutos!$J$176/12</f>
        <v>373.844277924046</v>
      </c>
      <c r="L259" s="25" t="n">
        <f aca="false">datos_base!$J$3*parametros_recargas!$N$45+sobrestock_sustitutos!$J$176/12</f>
        <v>376.009793907283</v>
      </c>
      <c r="M259" s="25" t="n">
        <f aca="false">datos_base!$J$3*parametros_recargas!$O$45+sobrestock_sustitutos!$J$176/12</f>
        <v>378.187853775101</v>
      </c>
      <c r="N259" s="25" t="n">
        <f aca="false">datos_base!$J$3*parametros_recargas!$P$45+sobrestock_sustitutos!$J$176/12</f>
        <v>380.378530188724</v>
      </c>
      <c r="O259" s="25" t="n">
        <f aca="false">datos_base!$J$3*parametros_recargas!$Q$45+sobrestock_sustitutos!$J$176/12</f>
        <v>382.581896230269</v>
      </c>
      <c r="P259" s="7" t="n">
        <f aca="false">SUM(D259:O259)</f>
        <v>4448.31646963558</v>
      </c>
      <c r="Q259" s="13" t="n">
        <f aca="false">sobrestock_sustitutos!$J$176</f>
        <v>0</v>
      </c>
    </row>
    <row r="260" customFormat="false" ht="15" hidden="false" customHeight="false" outlineLevel="0" collapsed="false">
      <c r="A260" s="12" t="str">
        <f aca="false">parametros_recargas!A53</f>
        <v>ABC 5 kg</v>
      </c>
      <c r="B260" s="12" t="str">
        <f aca="false">parametros_recargas!B53</f>
        <v>ABC</v>
      </c>
      <c r="C260" s="24" t="n">
        <f aca="false">parametros_recargas!C53</f>
        <v>1</v>
      </c>
      <c r="D260" s="25" t="n">
        <f aca="false">datos_base!$J$4*parametros_recargas!$F$45+sobrestock_sustitutos!$J$177/12</f>
        <v>2330.56468357126</v>
      </c>
      <c r="E260" s="25" t="n">
        <f aca="false">datos_base!$J$4*parametros_recargas!$G$45+sobrestock_sustitutos!$J$177/12</f>
        <v>2343.24594087515</v>
      </c>
      <c r="F260" s="25" t="n">
        <f aca="false">datos_base!$J$4*parametros_recargas!$H$45+sobrestock_sustitutos!$J$177/12</f>
        <v>2356.00065514228</v>
      </c>
      <c r="G260" s="25" t="n">
        <f aca="false">datos_base!$J$4*parametros_recargas!$I$45+sobrestock_sustitutos!$J$177/12</f>
        <v>2368.82925187662</v>
      </c>
      <c r="H260" s="25" t="n">
        <f aca="false">datos_base!$J$4*parametros_recargas!$J$45+sobrestock_sustitutos!$J$177/12</f>
        <v>2381.73215904692</v>
      </c>
      <c r="I260" s="25" t="n">
        <f aca="false">datos_base!$J$4*parametros_recargas!$K$45+sobrestock_sustitutos!$J$177/12</f>
        <v>2394.70980710094</v>
      </c>
      <c r="J260" s="25" t="n">
        <f aca="false">datos_base!$J$4*parametros_recargas!$L$45+sobrestock_sustitutos!$J$177/12</f>
        <v>2407.76262897986</v>
      </c>
      <c r="K260" s="25" t="n">
        <f aca="false">datos_base!$J$4*parametros_recargas!$M$45+sobrestock_sustitutos!$J$177/12</f>
        <v>2420.89106013267</v>
      </c>
      <c r="L260" s="25" t="n">
        <f aca="false">datos_base!$J$4*parametros_recargas!$N$45+sobrestock_sustitutos!$J$177/12</f>
        <v>2434.09553853075</v>
      </c>
      <c r="M260" s="25" t="n">
        <f aca="false">datos_base!$J$4*parametros_recargas!$O$45+sobrestock_sustitutos!$J$177/12</f>
        <v>2447.37650468245</v>
      </c>
      <c r="N260" s="25" t="n">
        <f aca="false">datos_base!$J$4*parametros_recargas!$P$45+sobrestock_sustitutos!$J$177/12</f>
        <v>2460.73440164779</v>
      </c>
      <c r="O260" s="25" t="n">
        <f aca="false">datos_base!$J$4*parametros_recargas!$Q$45+sobrestock_sustitutos!$J$177/12</f>
        <v>2474.16967505324</v>
      </c>
      <c r="P260" s="7" t="n">
        <f aca="false">SUM(D260:O260)</f>
        <v>28820.1123066399</v>
      </c>
      <c r="Q260" s="13" t="n">
        <f aca="false">sobrestock_sustitutos!$J$177</f>
        <v>1696</v>
      </c>
    </row>
    <row r="261" customFormat="false" ht="15" hidden="false" customHeight="false" outlineLevel="0" collapsed="false">
      <c r="A261" s="12" t="str">
        <f aca="false">parametros_recargas!A54</f>
        <v>ABC 10 kg</v>
      </c>
      <c r="B261" s="12" t="str">
        <f aca="false">parametros_recargas!B54</f>
        <v>ABC</v>
      </c>
      <c r="C261" s="24" t="n">
        <f aca="false">parametros_recargas!C54</f>
        <v>1</v>
      </c>
      <c r="D261" s="25" t="n">
        <f aca="false">datos_base!$J$5*parametros_recargas!$F$45+sobrestock_sustitutos!$J$178/12</f>
        <v>136.866621985961</v>
      </c>
      <c r="E261" s="25" t="n">
        <f aca="false">datos_base!$J$5*parametros_recargas!$G$45+sobrestock_sustitutos!$J$178/12</f>
        <v>137.617434244376</v>
      </c>
      <c r="F261" s="25" t="n">
        <f aca="false">datos_base!$J$5*parametros_recargas!$H$45+sobrestock_sustitutos!$J$178/12</f>
        <v>138.372595628997</v>
      </c>
      <c r="G261" s="25" t="n">
        <f aca="false">datos_base!$J$5*parametros_recargas!$I$45+sobrestock_sustitutos!$J$178/12</f>
        <v>139.132131332405</v>
      </c>
      <c r="H261" s="25" t="n">
        <f aca="false">datos_base!$J$5*parametros_recargas!$J$45+sobrestock_sustitutos!$J$178/12</f>
        <v>139.896066693111</v>
      </c>
      <c r="I261" s="25" t="n">
        <f aca="false">datos_base!$J$5*parametros_recargas!$K$45+sobrestock_sustitutos!$J$178/12</f>
        <v>140.6644271964</v>
      </c>
      <c r="J261" s="25" t="n">
        <f aca="false">datos_base!$J$5*parametros_recargas!$L$45+sobrestock_sustitutos!$J$178/12</f>
        <v>141.437238475183</v>
      </c>
      <c r="K261" s="25" t="n">
        <f aca="false">datos_base!$J$5*parametros_recargas!$M$45+sobrestock_sustitutos!$J$178/12</f>
        <v>142.214526310851</v>
      </c>
      <c r="L261" s="25" t="n">
        <f aca="false">datos_base!$J$5*parametros_recargas!$N$45+sobrestock_sustitutos!$J$178/12</f>
        <v>142.996316634135</v>
      </c>
      <c r="M261" s="25" t="n">
        <f aca="false">datos_base!$J$5*parametros_recargas!$O$45+sobrestock_sustitutos!$J$178/12</f>
        <v>143.782635525972</v>
      </c>
      <c r="N261" s="25" t="n">
        <f aca="false">datos_base!$J$5*parametros_recargas!$P$45+sobrestock_sustitutos!$J$178/12</f>
        <v>144.573509218373</v>
      </c>
      <c r="O261" s="25" t="n">
        <f aca="false">datos_base!$J$5*parametros_recargas!$Q$45+sobrestock_sustitutos!$J$178/12</f>
        <v>145.368964095302</v>
      </c>
      <c r="P261" s="7" t="n">
        <f aca="false">SUM(D261:O261)</f>
        <v>1692.92246734107</v>
      </c>
      <c r="Q261" s="13" t="n">
        <f aca="false">sobrestock_sustitutos!$J$178</f>
        <v>87</v>
      </c>
    </row>
    <row r="262" customFormat="false" ht="15" hidden="false" customHeight="false" outlineLevel="0" collapsed="false">
      <c r="A262" s="12" t="str">
        <f aca="false">parametros_recargas!A55</f>
        <v>Agua 10 l</v>
      </c>
      <c r="B262" s="12" t="str">
        <f aca="false">parametros_recargas!B55</f>
        <v>Agua</v>
      </c>
      <c r="C262" s="24" t="n">
        <f aca="false">parametros_recargas!C55</f>
        <v>1</v>
      </c>
      <c r="D262" s="25" t="n">
        <f aca="false">datos_base!$J$6*parametros_recargas!$F$45+sobrestock_sustitutos!$J$179/12</f>
        <v>189.499291262661</v>
      </c>
      <c r="E262" s="25" t="n">
        <f aca="false">datos_base!$J$6*parametros_recargas!$G$45+sobrestock_sustitutos!$J$179/12</f>
        <v>190.557877777218</v>
      </c>
      <c r="F262" s="25" t="n">
        <f aca="false">datos_base!$J$6*parametros_recargas!$H$45+sobrestock_sustitutos!$J$179/12</f>
        <v>191.622596219297</v>
      </c>
      <c r="G262" s="25" t="n">
        <f aca="false">datos_base!$J$6*parametros_recargas!$I$45+sobrestock_sustitutos!$J$179/12</f>
        <v>192.693482108466</v>
      </c>
      <c r="H262" s="25" t="n">
        <f aca="false">datos_base!$J$6*parametros_recargas!$J$45+sobrestock_sustitutos!$J$179/12</f>
        <v>193.770571170041</v>
      </c>
      <c r="I262" s="25" t="n">
        <f aca="false">datos_base!$J$6*parametros_recargas!$K$45+sobrestock_sustitutos!$J$179/12</f>
        <v>194.853899336281</v>
      </c>
      <c r="J262" s="25" t="n">
        <f aca="false">datos_base!$J$6*parametros_recargas!$L$45+sobrestock_sustitutos!$J$179/12</f>
        <v>195.943502747584</v>
      </c>
      <c r="K262" s="25" t="n">
        <f aca="false">datos_base!$J$6*parametros_recargas!$M$45+sobrestock_sustitutos!$J$179/12</f>
        <v>197.039417753691</v>
      </c>
      <c r="L262" s="25" t="n">
        <f aca="false">datos_base!$J$6*parametros_recargas!$N$45+sobrestock_sustitutos!$J$179/12</f>
        <v>198.141680914906</v>
      </c>
      <c r="M262" s="25" t="n">
        <f aca="false">datos_base!$J$6*parametros_recargas!$O$45+sobrestock_sustitutos!$J$179/12</f>
        <v>199.250329003306</v>
      </c>
      <c r="N262" s="25" t="n">
        <f aca="false">datos_base!$J$6*parametros_recargas!$P$45+sobrestock_sustitutos!$J$179/12</f>
        <v>200.365399003975</v>
      </c>
      <c r="O262" s="25" t="n">
        <f aca="false">datos_base!$J$6*parametros_recargas!$Q$45+sobrestock_sustitutos!$J$179/12</f>
        <v>201.486928116236</v>
      </c>
      <c r="P262" s="7" t="n">
        <f aca="false">SUM(D262:O262)</f>
        <v>2345.22497541366</v>
      </c>
      <c r="Q262" s="13" t="n">
        <f aca="false">sobrestock_sustitutos!$J$179</f>
        <v>81</v>
      </c>
    </row>
    <row r="263" customFormat="false" ht="15" hidden="false" customHeight="false" outlineLevel="0" collapsed="false">
      <c r="A263" s="12" t="str">
        <f aca="false">parametros_recargas!A56</f>
        <v>AFFF 10 l</v>
      </c>
      <c r="B263" s="12" t="str">
        <f aca="false">parametros_recargas!B56</f>
        <v>AFFF</v>
      </c>
      <c r="C263" s="24" t="n">
        <f aca="false">parametros_recargas!C56</f>
        <v>1</v>
      </c>
      <c r="D263" s="25" t="n">
        <f aca="false">datos_base!$J$7*parametros_recargas!$F$45+sobrestock_sustitutos!$J$180/12</f>
        <v>35.6237536269688</v>
      </c>
      <c r="E263" s="25" t="n">
        <f aca="false">datos_base!$J$7*parametros_recargas!$G$45+sobrestock_sustitutos!$J$180/12</f>
        <v>35.8228657099366</v>
      </c>
      <c r="F263" s="25" t="n">
        <f aca="false">datos_base!$J$7*parametros_recargas!$H$45+sobrestock_sustitutos!$J$180/12</f>
        <v>36.0231311618967</v>
      </c>
      <c r="G263" s="25" t="n">
        <f aca="false">datos_base!$J$7*parametros_recargas!$I$45+sobrestock_sustitutos!$J$180/12</f>
        <v>36.2245566638101</v>
      </c>
      <c r="H263" s="25" t="n">
        <f aca="false">datos_base!$J$7*parametros_recargas!$J$45+sobrestock_sustitutos!$J$180/12</f>
        <v>36.4271489353373</v>
      </c>
      <c r="I263" s="25" t="n">
        <f aca="false">datos_base!$J$7*parametros_recargas!$K$45+sobrestock_sustitutos!$J$180/12</f>
        <v>36.6309147350633</v>
      </c>
      <c r="J263" s="25" t="n">
        <f aca="false">datos_base!$J$7*parametros_recargas!$L$45+sobrestock_sustitutos!$J$180/12</f>
        <v>36.8358608607223</v>
      </c>
      <c r="K263" s="25" t="n">
        <f aca="false">datos_base!$J$7*parametros_recargas!$M$45+sobrestock_sustitutos!$J$180/12</f>
        <v>37.041994149425</v>
      </c>
      <c r="L263" s="25" t="n">
        <f aca="false">datos_base!$J$7*parametros_recargas!$N$45+sobrestock_sustitutos!$J$180/12</f>
        <v>37.2493214778862</v>
      </c>
      <c r="M263" s="25" t="n">
        <f aca="false">datos_base!$J$7*parametros_recargas!$O$45+sobrestock_sustitutos!$J$180/12</f>
        <v>37.4578497626547</v>
      </c>
      <c r="N263" s="25" t="n">
        <f aca="false">datos_base!$J$7*parametros_recargas!$P$45+sobrestock_sustitutos!$J$180/12</f>
        <v>37.667585960344</v>
      </c>
      <c r="O263" s="25" t="n">
        <f aca="false">datos_base!$J$7*parametros_recargas!$Q$45+sobrestock_sustitutos!$J$180/12</f>
        <v>37.8785370678638</v>
      </c>
      <c r="P263" s="7" t="n">
        <f aca="false">SUM(D263:O263)</f>
        <v>440.883520111909</v>
      </c>
      <c r="Q263" s="13" t="n">
        <f aca="false">sobrestock_sustitutos!$J$180</f>
        <v>15</v>
      </c>
    </row>
    <row r="264" customFormat="false" ht="15" hidden="false" customHeight="false" outlineLevel="0" collapsed="false">
      <c r="A264" s="12" t="str">
        <f aca="false">parametros_recargas!A57</f>
        <v>AFFF 50 l s/ruedas</v>
      </c>
      <c r="B264" s="12" t="str">
        <f aca="false">parametros_recargas!B57</f>
        <v>AFFF</v>
      </c>
      <c r="C264" s="24" t="n">
        <f aca="false">parametros_recargas!C57</f>
        <v>3</v>
      </c>
      <c r="D264" s="25" t="n">
        <f aca="false">datos_base!$J$8*parametros_recargas!$F$45+sobrestock_sustitutos!$J$181/12</f>
        <v>18.6593295143186</v>
      </c>
      <c r="E264" s="25" t="n">
        <f aca="false">datos_base!$J$8*parametros_recargas!$G$45+sobrestock_sustitutos!$J$181/12</f>
        <v>18.763553120987</v>
      </c>
      <c r="F264" s="25" t="n">
        <f aca="false">datos_base!$J$8*parametros_recargas!$H$45+sobrestock_sustitutos!$J$181/12</f>
        <v>18.8683804493101</v>
      </c>
      <c r="G264" s="25" t="n">
        <f aca="false">datos_base!$J$8*parametros_recargas!$I$45+sobrestock_sustitutos!$J$181/12</f>
        <v>18.9738149963827</v>
      </c>
      <c r="H264" s="25" t="n">
        <f aca="false">datos_base!$J$8*parametros_recargas!$J$45+sobrestock_sustitutos!$J$181/12</f>
        <v>19.0798602795569</v>
      </c>
      <c r="I264" s="25" t="n">
        <f aca="false">datos_base!$J$8*parametros_recargas!$K$45+sobrestock_sustitutos!$J$181/12</f>
        <v>19.186519836559</v>
      </c>
      <c r="J264" s="25" t="n">
        <f aca="false">datos_base!$J$8*parametros_recargas!$L$45+sobrestock_sustitutos!$J$181/12</f>
        <v>19.293797225608</v>
      </c>
      <c r="K264" s="25" t="n">
        <f aca="false">datos_base!$J$8*parametros_recargas!$M$45+sobrestock_sustitutos!$J$181/12</f>
        <v>19.401696025534</v>
      </c>
      <c r="L264" s="25" t="n">
        <f aca="false">datos_base!$J$8*parametros_recargas!$N$45+sobrestock_sustitutos!$J$181/12</f>
        <v>19.5102198358979</v>
      </c>
      <c r="M264" s="25" t="n">
        <f aca="false">datos_base!$J$8*parametros_recargas!$O$45+sobrestock_sustitutos!$J$181/12</f>
        <v>19.619372277111</v>
      </c>
      <c r="N264" s="25" t="n">
        <f aca="false">datos_base!$J$8*parametros_recargas!$P$45+sobrestock_sustitutos!$J$181/12</f>
        <v>19.7291569905561</v>
      </c>
      <c r="O264" s="25" t="n">
        <f aca="false">datos_base!$J$8*parametros_recargas!$Q$45+sobrestock_sustitutos!$J$181/12</f>
        <v>19.8395776387092</v>
      </c>
      <c r="P264" s="7" t="n">
        <f aca="false">SUM(D264:O264)</f>
        <v>230.92527819053</v>
      </c>
      <c r="Q264" s="13" t="n">
        <f aca="false">sobrestock_sustitutos!$J$181</f>
        <v>8</v>
      </c>
    </row>
    <row r="265" customFormat="false" ht="15" hidden="false" customHeight="false" outlineLevel="0" collapsed="false">
      <c r="A265" s="12" t="str">
        <f aca="false">parametros_recargas!A58</f>
        <v>BC 5 kg</v>
      </c>
      <c r="B265" s="12" t="str">
        <f aca="false">parametros_recargas!B58</f>
        <v>BC</v>
      </c>
      <c r="C265" s="24" t="n">
        <f aca="false">parametros_recargas!C58</f>
        <v>1</v>
      </c>
      <c r="D265" s="25" t="n">
        <f aca="false">datos_base!$J$9*parametros_recargas!$F$45+sobrestock_sustitutos!$J$182/12</f>
        <v>10.9540216599496</v>
      </c>
      <c r="E265" s="25" t="n">
        <f aca="false">datos_base!$J$9*parametros_recargas!$G$45+sobrestock_sustitutos!$J$182/12</f>
        <v>11.0140945102101</v>
      </c>
      <c r="F265" s="25" t="n">
        <f aca="false">datos_base!$J$9*parametros_recargas!$H$45+sobrestock_sustitutos!$J$182/12</f>
        <v>11.074515336152</v>
      </c>
      <c r="G265" s="25" t="n">
        <f aca="false">datos_base!$J$9*parametros_recargas!$I$45+sobrestock_sustitutos!$J$182/12</f>
        <v>11.1352861534461</v>
      </c>
      <c r="H265" s="25" t="n">
        <f aca="false">datos_base!$J$9*parametros_recargas!$J$45+sobrestock_sustitutos!$J$182/12</f>
        <v>11.1964089894387</v>
      </c>
      <c r="I265" s="25" t="n">
        <f aca="false">datos_base!$J$9*parametros_recargas!$K$45+sobrestock_sustitutos!$J$182/12</f>
        <v>11.2578858832198</v>
      </c>
      <c r="J265" s="25" t="n">
        <f aca="false">datos_base!$J$9*parametros_recargas!$L$45+sobrestock_sustitutos!$J$182/12</f>
        <v>11.3197188856908</v>
      </c>
      <c r="K265" s="25" t="n">
        <f aca="false">datos_base!$J$9*parametros_recargas!$M$45+sobrestock_sustitutos!$J$182/12</f>
        <v>11.3819100596335</v>
      </c>
      <c r="L265" s="25" t="n">
        <f aca="false">datos_base!$J$9*parametros_recargas!$N$45+sobrestock_sustitutos!$J$182/12</f>
        <v>11.4444614797779</v>
      </c>
      <c r="M265" s="25" t="n">
        <f aca="false">datos_base!$J$9*parametros_recargas!$O$45+sobrestock_sustitutos!$J$182/12</f>
        <v>11.5073752328724</v>
      </c>
      <c r="N265" s="25" t="n">
        <f aca="false">datos_base!$J$9*parametros_recargas!$P$45+sobrestock_sustitutos!$J$182/12</f>
        <v>11.5706534177529</v>
      </c>
      <c r="O265" s="25" t="n">
        <f aca="false">datos_base!$J$9*parametros_recargas!$Q$45+sobrestock_sustitutos!$J$182/12</f>
        <v>11.634298145413</v>
      </c>
      <c r="P265" s="7" t="n">
        <f aca="false">SUM(D265:O265)</f>
        <v>135.490629753557</v>
      </c>
      <c r="Q265" s="13" t="n">
        <f aca="false">sobrestock_sustitutos!$J$182</f>
        <v>7</v>
      </c>
    </row>
    <row r="266" customFormat="false" ht="15" hidden="false" customHeight="false" outlineLevel="0" collapsed="false">
      <c r="A266" s="12" t="str">
        <f aca="false">parametros_recargas!A59</f>
        <v>Sales K 6 l</v>
      </c>
      <c r="B266" s="12" t="str">
        <f aca="false">parametros_recargas!B59</f>
        <v>Sales K</v>
      </c>
      <c r="C266" s="24" t="n">
        <f aca="false">parametros_recargas!C59</f>
        <v>1</v>
      </c>
      <c r="D266" s="25" t="n">
        <f aca="false">datos_base!$J$10*parametros_recargas!$F$45+sobrestock_sustitutos!$J$183/12</f>
        <v>93.382563922541</v>
      </c>
      <c r="E266" s="25" t="n">
        <f aca="false">datos_base!$J$10*parametros_recargas!$G$45+sobrestock_sustitutos!$J$183/12</f>
        <v>93.9041796316324</v>
      </c>
      <c r="F266" s="25" t="n">
        <f aca="false">datos_base!$J$10*parametros_recargas!$H$45+sobrestock_sustitutos!$J$183/12</f>
        <v>94.4288168318147</v>
      </c>
      <c r="G266" s="25" t="n">
        <f aca="false">datos_base!$J$10*parametros_recargas!$I$45+sobrestock_sustitutos!$J$183/12</f>
        <v>94.9564930252611</v>
      </c>
      <c r="H266" s="25" t="n">
        <f aca="false">datos_base!$J$10*parametros_recargas!$J$45+sobrestock_sustitutos!$J$183/12</f>
        <v>95.4872258155269</v>
      </c>
      <c r="I266" s="25" t="n">
        <f aca="false">datos_base!$J$10*parametros_recargas!$K$45+sobrestock_sustitutos!$J$183/12</f>
        <v>96.0210329081374</v>
      </c>
      <c r="J266" s="25" t="n">
        <f aca="false">datos_base!$J$10*parametros_recargas!$L$45+sobrestock_sustitutos!$J$183/12</f>
        <v>96.5579321111779</v>
      </c>
      <c r="K266" s="25" t="n">
        <f aca="false">datos_base!$J$10*parametros_recargas!$M$45+sobrestock_sustitutos!$J$183/12</f>
        <v>97.0979413358886</v>
      </c>
      <c r="L266" s="25" t="n">
        <f aca="false">datos_base!$J$10*parametros_recargas!$N$45+sobrestock_sustitutos!$J$183/12</f>
        <v>97.6410785972611</v>
      </c>
      <c r="M266" s="25" t="n">
        <f aca="false">datos_base!$J$10*parametros_recargas!$O$45+sobrestock_sustitutos!$J$183/12</f>
        <v>98.1873620146405</v>
      </c>
      <c r="N266" s="25" t="n">
        <f aca="false">datos_base!$J$10*parametros_recargas!$P$45+sobrestock_sustitutos!$J$183/12</f>
        <v>98.7368098123289</v>
      </c>
      <c r="O266" s="25" t="n">
        <f aca="false">datos_base!$J$10*parametros_recargas!$Q$45+sobrestock_sustitutos!$J$183/12</f>
        <v>99.2894403201941</v>
      </c>
      <c r="P266" s="7" t="n">
        <f aca="false">SUM(D266:O266)</f>
        <v>1155.6908763264</v>
      </c>
      <c r="Q266" s="13" t="n">
        <f aca="false">sobrestock_sustitutos!$J$183</f>
        <v>40</v>
      </c>
    </row>
    <row r="267" customFormat="false" ht="15" hidden="false" customHeight="false" outlineLevel="0" collapsed="false">
      <c r="A267" s="12" t="str">
        <f aca="false">parametros_recargas!A60</f>
        <v>CO₂ 2 kg</v>
      </c>
      <c r="B267" s="12" t="str">
        <f aca="false">parametros_recargas!B60</f>
        <v>CO₂</v>
      </c>
      <c r="C267" s="24" t="n">
        <f aca="false">parametros_recargas!C60</f>
        <v>1</v>
      </c>
      <c r="D267" s="25" t="n">
        <f aca="false">datos_base!$J$11*parametros_recargas!$F$45+sobrestock_sustitutos!$J$184/12</f>
        <v>492.309076221783</v>
      </c>
      <c r="E267" s="25" t="n">
        <f aca="false">datos_base!$J$11*parametros_recargas!$G$45+sobrestock_sustitutos!$J$184/12</f>
        <v>495.160806838528</v>
      </c>
      <c r="F267" s="25" t="n">
        <f aca="false">datos_base!$J$11*parametros_recargas!$H$45+sobrestock_sustitutos!$J$184/12</f>
        <v>498.029056280342</v>
      </c>
      <c r="G267" s="25" t="n">
        <f aca="false">datos_base!$J$11*parametros_recargas!$I$45+sobrestock_sustitutos!$J$184/12</f>
        <v>500.913920233538</v>
      </c>
      <c r="H267" s="25" t="n">
        <f aca="false">datos_base!$J$11*parametros_recargas!$J$45+sobrestock_sustitutos!$J$184/12</f>
        <v>503.815494938694</v>
      </c>
      <c r="I267" s="25" t="n">
        <f aca="false">datos_base!$J$11*parametros_recargas!$K$45+sobrestock_sustitutos!$J$184/12</f>
        <v>506.733877193868</v>
      </c>
      <c r="J267" s="25" t="n">
        <f aca="false">datos_base!$J$11*parametros_recargas!$L$45+sobrestock_sustitutos!$J$184/12</f>
        <v>509.66916435783</v>
      </c>
      <c r="K267" s="25" t="n">
        <f aca="false">datos_base!$J$11*parametros_recargas!$M$45+sobrestock_sustitutos!$J$184/12</f>
        <v>512.621454353303</v>
      </c>
      <c r="L267" s="25" t="n">
        <f aca="false">datos_base!$J$11*parametros_recargas!$N$45+sobrestock_sustitutos!$J$184/12</f>
        <v>515.590845670234</v>
      </c>
      <c r="M267" s="25" t="n">
        <f aca="false">datos_base!$J$11*parametros_recargas!$O$45+sobrestock_sustitutos!$J$184/12</f>
        <v>518.577437369082</v>
      </c>
      <c r="N267" s="25" t="n">
        <f aca="false">datos_base!$J$11*parametros_recargas!$P$45+sobrestock_sustitutos!$J$184/12</f>
        <v>521.581329084115</v>
      </c>
      <c r="O267" s="25" t="n">
        <f aca="false">datos_base!$J$11*parametros_recargas!$Q$45+sobrestock_sustitutos!$J$184/12</f>
        <v>524.602621026744</v>
      </c>
      <c r="P267" s="7" t="n">
        <f aca="false">SUM(D267:O267)</f>
        <v>6099.60508356806</v>
      </c>
      <c r="Q267" s="13" t="n">
        <f aca="false">sobrestock_sustitutos!$J$184</f>
        <v>0</v>
      </c>
    </row>
    <row r="268" customFormat="false" ht="15" hidden="false" customHeight="false" outlineLevel="0" collapsed="false">
      <c r="A268" s="12" t="str">
        <f aca="false">parametros_recargas!A61</f>
        <v>CO₂ 5 kg</v>
      </c>
      <c r="B268" s="12" t="str">
        <f aca="false">parametros_recargas!B61</f>
        <v>CO₂</v>
      </c>
      <c r="C268" s="24" t="n">
        <f aca="false">parametros_recargas!C61</f>
        <v>1</v>
      </c>
      <c r="D268" s="25" t="n">
        <f aca="false">datos_base!$J$12*parametros_recargas!$F$45+sobrestock_sustitutos!$J$185/12</f>
        <v>191.251930433885</v>
      </c>
      <c r="E268" s="25" t="n">
        <f aca="false">datos_base!$J$12*parametros_recargas!$G$45+sobrestock_sustitutos!$J$185/12</f>
        <v>192.220264818797</v>
      </c>
      <c r="F268" s="25" t="n">
        <f aca="false">datos_base!$J$12*parametros_recargas!$H$45+sobrestock_sustitutos!$J$185/12</f>
        <v>193.194208340217</v>
      </c>
      <c r="G268" s="25" t="n">
        <f aca="false">datos_base!$J$12*parametros_recargas!$I$45+sobrestock_sustitutos!$J$185/12</f>
        <v>194.173793489414</v>
      </c>
      <c r="H268" s="25" t="n">
        <f aca="false">datos_base!$J$12*parametros_recargas!$J$45+sobrestock_sustitutos!$J$185/12</f>
        <v>195.159052945863</v>
      </c>
      <c r="I268" s="25" t="n">
        <f aca="false">datos_base!$J$12*parametros_recargas!$K$45+sobrestock_sustitutos!$J$185/12</f>
        <v>196.150019578339</v>
      </c>
      <c r="J268" s="25" t="n">
        <f aca="false">datos_base!$J$12*parametros_recargas!$L$45+sobrestock_sustitutos!$J$185/12</f>
        <v>197.146726446009</v>
      </c>
      <c r="K268" s="25" t="n">
        <f aca="false">datos_base!$J$12*parametros_recargas!$M$45+sobrestock_sustitutos!$J$185/12</f>
        <v>198.14920679954</v>
      </c>
      <c r="L268" s="25" t="n">
        <f aca="false">datos_base!$J$12*parametros_recargas!$N$45+sobrestock_sustitutos!$J$185/12</f>
        <v>199.157494082203</v>
      </c>
      <c r="M268" s="25" t="n">
        <f aca="false">datos_base!$J$12*parametros_recargas!$O$45+sobrestock_sustitutos!$J$185/12</f>
        <v>200.171621930993</v>
      </c>
      <c r="N268" s="25" t="n">
        <f aca="false">datos_base!$J$12*parametros_recargas!$P$45+sobrestock_sustitutos!$J$185/12</f>
        <v>201.191624177748</v>
      </c>
      <c r="O268" s="25" t="n">
        <f aca="false">datos_base!$J$12*parametros_recargas!$Q$45+sobrestock_sustitutos!$J$185/12</f>
        <v>202.21753485028</v>
      </c>
      <c r="P268" s="7" t="n">
        <f aca="false">SUM(D268:O268)</f>
        <v>2360.18347789329</v>
      </c>
      <c r="Q268" s="13" t="n">
        <f aca="false">sobrestock_sustitutos!$J$185</f>
        <v>289</v>
      </c>
    </row>
    <row r="269" customFormat="false" ht="15" hidden="false" customHeight="false" outlineLevel="0" collapsed="false">
      <c r="A269" s="12" t="str">
        <f aca="false">parametros_recargas!A62</f>
        <v>HCFC/HFC 5 kg</v>
      </c>
      <c r="B269" s="12" t="str">
        <f aca="false">parametros_recargas!B62</f>
        <v>Halogenado</v>
      </c>
      <c r="C269" s="24" t="n">
        <f aca="false">parametros_recargas!C62</f>
        <v>1</v>
      </c>
      <c r="D269" s="25" t="n">
        <f aca="false">datos_base!$J$13*parametros_recargas!$F$45+sobrestock_sustitutos!$J$186/12</f>
        <v>28.2583751574805</v>
      </c>
      <c r="E269" s="25" t="n">
        <f aca="false">datos_base!$J$13*parametros_recargas!$G$45+sobrestock_sustitutos!$J$186/12</f>
        <v>28.4162709728408</v>
      </c>
      <c r="F269" s="25" t="n">
        <f aca="false">datos_base!$J$13*parametros_recargas!$H$45+sobrestock_sustitutos!$J$186/12</f>
        <v>28.5750814094272</v>
      </c>
      <c r="G269" s="25" t="n">
        <f aca="false">datos_base!$J$13*parametros_recargas!$I$45+sobrestock_sustitutos!$J$186/12</f>
        <v>28.7348117652394</v>
      </c>
      <c r="H269" s="25" t="n">
        <f aca="false">datos_base!$J$13*parametros_recargas!$J$45+sobrestock_sustitutos!$J$186/12</f>
        <v>28.8954673689662</v>
      </c>
      <c r="I269" s="25" t="n">
        <f aca="false">datos_base!$J$13*parametros_recargas!$K$45+sobrestock_sustitutos!$J$186/12</f>
        <v>29.057053580163</v>
      </c>
      <c r="J269" s="25" t="n">
        <f aca="false">datos_base!$J$13*parametros_recargas!$L$45+sobrestock_sustitutos!$J$186/12</f>
        <v>29.2195757894309</v>
      </c>
      <c r="K269" s="25" t="n">
        <f aca="false">datos_base!$J$13*parametros_recargas!$M$45+sobrestock_sustitutos!$J$186/12</f>
        <v>29.3830394185963</v>
      </c>
      <c r="L269" s="25" t="n">
        <f aca="false">datos_base!$J$13*parametros_recargas!$N$45+sobrestock_sustitutos!$J$186/12</f>
        <v>29.5474499208919</v>
      </c>
      <c r="M269" s="25" t="n">
        <f aca="false">datos_base!$J$13*parametros_recargas!$O$45+sobrestock_sustitutos!$J$186/12</f>
        <v>29.7128127811385</v>
      </c>
      <c r="N269" s="25" t="n">
        <f aca="false">datos_base!$J$13*parametros_recargas!$P$45+sobrestock_sustitutos!$J$186/12</f>
        <v>29.8791335159282</v>
      </c>
      <c r="O269" s="25" t="n">
        <f aca="false">datos_base!$J$13*parametros_recargas!$Q$45+sobrestock_sustitutos!$J$186/12</f>
        <v>30.0464176738082</v>
      </c>
      <c r="P269" s="7" t="n">
        <f aca="false">SUM(D269:O269)</f>
        <v>349.725489353911</v>
      </c>
      <c r="Q269" s="13" t="n">
        <f aca="false">sobrestock_sustitutos!$J$186</f>
        <v>12</v>
      </c>
    </row>
    <row r="270" customFormat="false" ht="15" hidden="false" customHeight="false" outlineLevel="0" collapsed="false">
      <c r="A270" s="12" t="str">
        <f aca="false">parametros_recargas!A63</f>
        <v>Clase D 9 l</v>
      </c>
      <c r="B270" s="12" t="str">
        <f aca="false">parametros_recargas!B63</f>
        <v>Clase D</v>
      </c>
      <c r="C270" s="24" t="n">
        <f aca="false">parametros_recargas!C63</f>
        <v>1</v>
      </c>
      <c r="D270" s="25" t="n">
        <f aca="false">datos_base!$J$14*parametros_recargas!$F$45+sobrestock_sustitutos!$J$187/12</f>
        <v>9.9280720466631</v>
      </c>
      <c r="E270" s="25" t="n">
        <f aca="false">datos_base!$J$14*parametros_recargas!$G$45+sobrestock_sustitutos!$J$187/12</f>
        <v>9.98220202065992</v>
      </c>
      <c r="F270" s="25" t="n">
        <f aca="false">datos_base!$J$14*parametros_recargas!$H$45+sobrestock_sustitutos!$J$187/12</f>
        <v>10.0366455458618</v>
      </c>
      <c r="G270" s="25" t="n">
        <f aca="false">datos_base!$J$14*parametros_recargas!$I$45+sobrestock_sustitutos!$J$187/12</f>
        <v>10.0914044385335</v>
      </c>
      <c r="H270" s="25" t="n">
        <f aca="false">datos_base!$J$14*parametros_recargas!$J$45+sobrestock_sustitutos!$J$187/12</f>
        <v>10.1464805254604</v>
      </c>
      <c r="I270" s="25" t="n">
        <f aca="false">datos_base!$J$14*parametros_recargas!$K$45+sobrestock_sustitutos!$J$187/12</f>
        <v>10.2018756440097</v>
      </c>
      <c r="J270" s="25" t="n">
        <f aca="false">datos_base!$J$14*parametros_recargas!$L$45+sobrestock_sustitutos!$J$187/12</f>
        <v>10.2575916421919</v>
      </c>
      <c r="K270" s="25" t="n">
        <f aca="false">datos_base!$J$14*parametros_recargas!$M$45+sobrestock_sustitutos!$J$187/12</f>
        <v>10.3136303787218</v>
      </c>
      <c r="L270" s="25" t="n">
        <f aca="false">datos_base!$J$14*parametros_recargas!$N$45+sobrestock_sustitutos!$J$187/12</f>
        <v>10.3699937230812</v>
      </c>
      <c r="M270" s="25" t="n">
        <f aca="false">datos_base!$J$14*parametros_recargas!$O$45+sobrestock_sustitutos!$J$187/12</f>
        <v>10.4266835555809</v>
      </c>
      <c r="N270" s="25" t="n">
        <f aca="false">datos_base!$J$14*parametros_recargas!$P$45+sobrestock_sustitutos!$J$187/12</f>
        <v>10.4837017674237</v>
      </c>
      <c r="O270" s="25" t="n">
        <f aca="false">datos_base!$J$14*parametros_recargas!$Q$45+sobrestock_sustitutos!$J$187/12</f>
        <v>10.541050260767</v>
      </c>
      <c r="P270" s="7" t="n">
        <f aca="false">SUM(D270:O270)</f>
        <v>122.779331548955</v>
      </c>
      <c r="Q270" s="13" t="n">
        <f aca="false">sobrestock_sustitutos!$J$187</f>
        <v>7</v>
      </c>
    </row>
    <row r="271" customFormat="false" ht="15" hidden="false" customHeight="false" outlineLevel="0" collapsed="false">
      <c r="A271" s="12" t="str">
        <f aca="false">parametros_recargas!A64</f>
        <v>ABC 25 kg s/ruedas</v>
      </c>
      <c r="B271" s="12" t="str">
        <f aca="false">parametros_recargas!B64</f>
        <v>ABC</v>
      </c>
      <c r="C271" s="24" t="n">
        <f aca="false">parametros_recargas!C64</f>
        <v>3</v>
      </c>
      <c r="D271" s="25" t="n">
        <f aca="false">datos_base!$J$15*parametros_recargas!$F$45+sobrestock_sustitutos!$J$188/12</f>
        <v>22.457034868218</v>
      </c>
      <c r="E271" s="25" t="n">
        <f aca="false">datos_base!$J$15*parametros_recargas!$G$45+sobrestock_sustitutos!$J$188/12</f>
        <v>22.587118624517</v>
      </c>
      <c r="F271" s="25" t="n">
        <f aca="false">datos_base!$J$15*parametros_recargas!$H$45+sobrestock_sustitutos!$J$188/12</f>
        <v>22.7179558989786</v>
      </c>
      <c r="G271" s="25" t="n">
        <f aca="false">datos_base!$J$15*parametros_recargas!$I$45+sobrestock_sustitutos!$J$188/12</f>
        <v>22.8495510564032</v>
      </c>
      <c r="H271" s="25" t="n">
        <f aca="false">datos_base!$J$15*parametros_recargas!$J$45+sobrestock_sustitutos!$J$188/12</f>
        <v>22.9819084868745</v>
      </c>
      <c r="I271" s="25" t="n">
        <f aca="false">datos_base!$J$15*parametros_recargas!$K$45+sobrestock_sustitutos!$J$188/12</f>
        <v>23.1150326059061</v>
      </c>
      <c r="J271" s="25" t="n">
        <f aca="false">datos_base!$J$15*parametros_recargas!$L$45+sobrestock_sustitutos!$J$188/12</f>
        <v>23.2489278545885</v>
      </c>
      <c r="K271" s="25" t="n">
        <f aca="false">datos_base!$J$15*parametros_recargas!$M$45+sobrestock_sustitutos!$J$188/12</f>
        <v>23.3835986997377</v>
      </c>
      <c r="L271" s="25" t="n">
        <f aca="false">datos_base!$J$15*parametros_recargas!$N$45+sobrestock_sustitutos!$J$188/12</f>
        <v>23.519049634044</v>
      </c>
      <c r="M271" s="25" t="n">
        <f aca="false">datos_base!$J$15*parametros_recargas!$O$45+sobrestock_sustitutos!$J$188/12</f>
        <v>23.6552851762218</v>
      </c>
      <c r="N271" s="25" t="n">
        <f aca="false">datos_base!$J$15*parametros_recargas!$P$45+sobrestock_sustitutos!$J$188/12</f>
        <v>23.7923098711606</v>
      </c>
      <c r="O271" s="25" t="n">
        <f aca="false">datos_base!$J$15*parametros_recargas!$Q$45+sobrestock_sustitutos!$J$188/12</f>
        <v>23.9301282900761</v>
      </c>
      <c r="P271" s="7" t="n">
        <f aca="false">SUM(D271:O271)</f>
        <v>278.237901066726</v>
      </c>
      <c r="Q271" s="13" t="n">
        <f aca="false">sobrestock_sustitutos!$J$188</f>
        <v>0</v>
      </c>
    </row>
    <row r="272" customFormat="false" ht="15" hidden="false" customHeight="false" outlineLevel="0" collapsed="false">
      <c r="A272" s="12" t="str">
        <f aca="false">parametros_recargas!A65</f>
        <v>ABC 50 kg s/ruedas</v>
      </c>
      <c r="B272" s="12" t="str">
        <f aca="false">parametros_recargas!B65</f>
        <v>ABC</v>
      </c>
      <c r="C272" s="24" t="n">
        <f aca="false">parametros_recargas!C65</f>
        <v>3</v>
      </c>
      <c r="D272" s="25" t="n">
        <f aca="false">datos_base!$J$16*parametros_recargas!$F$45+sobrestock_sustitutos!$J$189/12</f>
        <v>53.4054766868156</v>
      </c>
      <c r="E272" s="25" t="n">
        <f aca="false">datos_base!$J$16*parametros_recargas!$G$45+sobrestock_sustitutos!$J$189/12</f>
        <v>53.6916609505385</v>
      </c>
      <c r="F272" s="25" t="n">
        <f aca="false">datos_base!$J$16*parametros_recargas!$H$45+sobrestock_sustitutos!$J$189/12</f>
        <v>53.9795029542186</v>
      </c>
      <c r="G272" s="25" t="n">
        <f aca="false">datos_base!$J$16*parametros_recargas!$I$45+sobrestock_sustitutos!$J$189/12</f>
        <v>54.2690123004164</v>
      </c>
      <c r="H272" s="25" t="n">
        <f aca="false">datos_base!$J$16*parametros_recargas!$J$45+sobrestock_sustitutos!$J$189/12</f>
        <v>54.5601986473162</v>
      </c>
      <c r="I272" s="25" t="n">
        <f aca="false">datos_base!$J$16*parametros_recargas!$K$45+sobrestock_sustitutos!$J$189/12</f>
        <v>54.8530717090477</v>
      </c>
      <c r="J272" s="25" t="n">
        <f aca="false">datos_base!$J$16*parametros_recargas!$L$45+sobrestock_sustitutos!$J$189/12</f>
        <v>55.1476412560102</v>
      </c>
      <c r="K272" s="25" t="n">
        <f aca="false">datos_base!$J$16*parametros_recargas!$M$45+sobrestock_sustitutos!$J$189/12</f>
        <v>55.443917115199</v>
      </c>
      <c r="L272" s="25" t="n">
        <f aca="false">datos_base!$J$16*parametros_recargas!$N$45+sobrestock_sustitutos!$J$189/12</f>
        <v>55.7419091705326</v>
      </c>
      <c r="M272" s="25" t="n">
        <f aca="false">datos_base!$J$16*parametros_recargas!$O$45+sobrestock_sustitutos!$J$189/12</f>
        <v>56.0416273631827</v>
      </c>
      <c r="N272" s="25" t="n">
        <f aca="false">datos_base!$J$16*parametros_recargas!$P$45+sobrestock_sustitutos!$J$189/12</f>
        <v>56.343081691906</v>
      </c>
      <c r="O272" s="25" t="n">
        <f aca="false">datos_base!$J$16*parametros_recargas!$Q$45+sobrestock_sustitutos!$J$189/12</f>
        <v>56.6462822133774</v>
      </c>
      <c r="P272" s="7" t="n">
        <f aca="false">SUM(D272:O272)</f>
        <v>660.123382058561</v>
      </c>
      <c r="Q272" s="13" t="n">
        <f aca="false">sobrestock_sustitutos!$J$189</f>
        <v>48</v>
      </c>
    </row>
    <row r="273" customFormat="false" ht="15" hidden="false" customHeight="false" outlineLevel="0" collapsed="false">
      <c r="A273" s="12" t="str">
        <f aca="false">parametros_recargas!A66</f>
        <v>ABC 70 kg s/ruedas</v>
      </c>
      <c r="B273" s="12" t="str">
        <f aca="false">parametros_recargas!B66</f>
        <v>ABC</v>
      </c>
      <c r="C273" s="24" t="n">
        <f aca="false">parametros_recargas!C66</f>
        <v>3</v>
      </c>
      <c r="D273" s="25" t="n">
        <f aca="false">datos_base!$J$17*parametros_recargas!$F$45+sobrestock_sustitutos!$J$190/12</f>
        <v>10.7793767413975</v>
      </c>
      <c r="E273" s="25" t="n">
        <f aca="false">datos_base!$J$17*parametros_recargas!$G$45+sobrestock_sustitutos!$J$190/12</f>
        <v>10.8418169444479</v>
      </c>
      <c r="F273" s="25" t="n">
        <f aca="false">datos_base!$J$17*parametros_recargas!$H$45+sobrestock_sustitutos!$J$190/12</f>
        <v>10.9046188362166</v>
      </c>
      <c r="G273" s="25" t="n">
        <f aca="false">datos_base!$J$17*parametros_recargas!$I$45+sobrestock_sustitutos!$J$190/12</f>
        <v>10.9677845118077</v>
      </c>
      <c r="H273" s="25" t="n">
        <f aca="false">datos_base!$J$17*parametros_recargas!$J$45+sobrestock_sustitutos!$J$190/12</f>
        <v>11.0313160784613</v>
      </c>
      <c r="I273" s="25" t="n">
        <f aca="false">datos_base!$J$17*parametros_recargas!$K$45+sobrestock_sustitutos!$J$190/12</f>
        <v>11.095215655624</v>
      </c>
      <c r="J273" s="25" t="n">
        <f aca="false">datos_base!$J$17*parametros_recargas!$L$45+sobrestock_sustitutos!$J$190/12</f>
        <v>11.1594853750193</v>
      </c>
      <c r="K273" s="25" t="n">
        <f aca="false">datos_base!$J$17*parametros_recargas!$M$45+sobrestock_sustitutos!$J$190/12</f>
        <v>11.2241273807189</v>
      </c>
      <c r="L273" s="25" t="n">
        <f aca="false">datos_base!$J$17*parametros_recargas!$N$45+sobrestock_sustitutos!$J$190/12</f>
        <v>11.289143829214</v>
      </c>
      <c r="M273" s="25" t="n">
        <f aca="false">datos_base!$J$17*parametros_recargas!$O$45+sobrestock_sustitutos!$J$190/12</f>
        <v>11.3545368894876</v>
      </c>
      <c r="N273" s="25" t="n">
        <f aca="false">datos_base!$J$17*parametros_recargas!$P$45+sobrestock_sustitutos!$J$190/12</f>
        <v>11.4203087430865</v>
      </c>
      <c r="O273" s="25" t="n">
        <f aca="false">datos_base!$J$17*parametros_recargas!$Q$45+sobrestock_sustitutos!$J$190/12</f>
        <v>11.4864615841946</v>
      </c>
      <c r="P273" s="7" t="n">
        <f aca="false">SUM(D273:O273)</f>
        <v>133.554192569676</v>
      </c>
      <c r="Q273" s="13" t="n">
        <f aca="false">sobrestock_sustitutos!$J$190</f>
        <v>0</v>
      </c>
    </row>
    <row r="274" customFormat="false" ht="15" hidden="false" customHeight="false" outlineLevel="0" collapsed="false">
      <c r="A274" s="12" t="str">
        <f aca="false">parametros_recargas!A67</f>
        <v>ABC 100 kg s/ruedas</v>
      </c>
      <c r="B274" s="12" t="str">
        <f aca="false">parametros_recargas!B67</f>
        <v>ABC</v>
      </c>
      <c r="C274" s="24" t="n">
        <f aca="false">parametros_recargas!C67</f>
        <v>3</v>
      </c>
      <c r="D274" s="25" t="n">
        <f aca="false">datos_base!$J$18*parametros_recargas!$F$45+sobrestock_sustitutos!$J$191/12</f>
        <v>8.18625115317696</v>
      </c>
      <c r="E274" s="25" t="n">
        <f aca="false">datos_base!$J$18*parametros_recargas!$G$45+sobrestock_sustitutos!$J$191/12</f>
        <v>8.22787795516567</v>
      </c>
      <c r="F274" s="25" t="n">
        <f aca="false">datos_base!$J$18*parametros_recargas!$H$45+sobrestock_sustitutos!$J$191/12</f>
        <v>8.26974588296629</v>
      </c>
      <c r="G274" s="25" t="n">
        <f aca="false">datos_base!$J$18*parametros_recargas!$I$45+sobrestock_sustitutos!$J$191/12</f>
        <v>8.3118563333149</v>
      </c>
      <c r="H274" s="25" t="n">
        <f aca="false">datos_base!$J$18*parametros_recargas!$J$45+sobrestock_sustitutos!$J$191/12</f>
        <v>8.3542107110383</v>
      </c>
      <c r="I274" s="25" t="n">
        <f aca="false">datos_base!$J$18*parametros_recargas!$K$45+sobrestock_sustitutos!$J$191/12</f>
        <v>8.39681042910081</v>
      </c>
      <c r="J274" s="25" t="n">
        <f aca="false">datos_base!$J$18*parametros_recargas!$L$45+sobrestock_sustitutos!$J$191/12</f>
        <v>8.43965690865143</v>
      </c>
      <c r="K274" s="25" t="n">
        <f aca="false">datos_base!$J$18*parametros_recargas!$M$45+sobrestock_sustitutos!$J$191/12</f>
        <v>8.48275157907128</v>
      </c>
      <c r="L274" s="25" t="n">
        <f aca="false">datos_base!$J$18*parametros_recargas!$N$45+sobrestock_sustitutos!$J$191/12</f>
        <v>8.52609587802124</v>
      </c>
      <c r="M274" s="25" t="n">
        <f aca="false">datos_base!$J$18*parametros_recargas!$O$45+sobrestock_sustitutos!$J$191/12</f>
        <v>8.56969125148992</v>
      </c>
      <c r="N274" s="25" t="n">
        <f aca="false">datos_base!$J$18*parametros_recargas!$P$45+sobrestock_sustitutos!$J$191/12</f>
        <v>8.61353915384193</v>
      </c>
      <c r="O274" s="25" t="n">
        <f aca="false">datos_base!$J$18*parametros_recargas!$Q$45+sobrestock_sustitutos!$J$191/12</f>
        <v>8.65764104786635</v>
      </c>
      <c r="P274" s="7" t="n">
        <f aca="false">SUM(D274:O274)</f>
        <v>101.036128283705</v>
      </c>
      <c r="Q274" s="13" t="n">
        <f aca="false">sobrestock_sustitutos!$J$191</f>
        <v>12</v>
      </c>
    </row>
    <row r="275" customFormat="false" ht="15" hidden="false" customHeight="false" outlineLevel="0" collapsed="false">
      <c r="A275" s="6" t="s">
        <v>273</v>
      </c>
      <c r="D275" s="7" t="n">
        <f aca="false">SUM(D258:D274)</f>
        <v>8264.54114465009</v>
      </c>
      <c r="E275" s="7" t="n">
        <f aca="false">SUM(E258:E274)</f>
        <v>8311.30280137647</v>
      </c>
      <c r="F275" s="7" t="n">
        <f aca="false">SUM(F258:F274)</f>
        <v>8358.33532787678</v>
      </c>
      <c r="G275" s="7" t="n">
        <f aca="false">SUM(G258:G274)</f>
        <v>8405.64029318085</v>
      </c>
      <c r="H275" s="7" t="n">
        <f aca="false">SUM(H258:H274)</f>
        <v>8453.2192754072</v>
      </c>
      <c r="I275" s="7" t="n">
        <f aca="false">SUM(I258:I274)</f>
        <v>8501.07386181573</v>
      </c>
      <c r="J275" s="7" t="n">
        <f aca="false">SUM(J258:J274)</f>
        <v>8549.20564886061</v>
      </c>
      <c r="K275" s="7" t="n">
        <f aca="false">SUM(K258:K274)</f>
        <v>8597.6162422436</v>
      </c>
      <c r="L275" s="7" t="n">
        <f aca="false">SUM(L258:L274)</f>
        <v>8646.30725696755</v>
      </c>
      <c r="M275" s="7" t="n">
        <f aca="false">SUM(M258:M274)</f>
        <v>8695.28031739034</v>
      </c>
      <c r="N275" s="7" t="n">
        <f aca="false">SUM(N258:N274)</f>
        <v>8744.53705727904</v>
      </c>
      <c r="O275" s="7" t="n">
        <f aca="false">SUM(O258:O274)</f>
        <v>8794.07911986441</v>
      </c>
      <c r="P275" s="7" t="n">
        <f aca="false">SUM(P258:P274)</f>
        <v>102321.138346913</v>
      </c>
    </row>
    <row r="276" customFormat="false" ht="15" hidden="false" customHeight="false" outlineLevel="0" collapsed="false">
      <c r="A276" s="6" t="s">
        <v>274</v>
      </c>
    </row>
    <row r="277" customFormat="false" ht="15" hidden="false" customHeight="false" outlineLevel="0" collapsed="false">
      <c r="A277" s="4" t="s">
        <v>143</v>
      </c>
      <c r="D277" s="25" t="n">
        <f aca="false">SUMPRODUCT(($B$258:$B$274=$A277)*D$258:D$274*$C$258:$C$274)</f>
        <v>7384.33100970305</v>
      </c>
      <c r="E277" s="25" t="n">
        <f aca="false">SUMPRODUCT(($B$258:$B$274=$A277)*E$258:E$274*$C$258:$C$274)</f>
        <v>7426.157634925</v>
      </c>
      <c r="F277" s="25" t="n">
        <f aca="false">SUMPRODUCT(($B$258:$B$274=$A277)*F$258:F$274*$C$258:$C$274)</f>
        <v>7468.22654344722</v>
      </c>
      <c r="G277" s="25" t="n">
        <f aca="false">SUMPRODUCT(($B$258:$B$274=$A277)*G$258:G$274*$C$258:$C$274)</f>
        <v>7510.53913871064</v>
      </c>
      <c r="H277" s="25" t="n">
        <f aca="false">SUMPRODUCT(($B$258:$B$274=$A277)*H$258:H$274*$C$258:$C$274)</f>
        <v>7553.0968322857</v>
      </c>
      <c r="I277" s="25" t="n">
        <f aca="false">SUMPRODUCT(($B$258:$B$274=$A277)*I$258:I$274*$C$258:$C$274)</f>
        <v>7595.90104391944</v>
      </c>
      <c r="J277" s="25" t="n">
        <f aca="false">SUMPRODUCT(($B$258:$B$274=$A277)*J$258:J$274*$C$258:$C$274)</f>
        <v>7638.95320158291</v>
      </c>
      <c r="K277" s="25" t="n">
        <f aca="false">SUMPRODUCT(($B$258:$B$274=$A277)*K$258:K$274*$C$258:$C$274)</f>
        <v>7682.25474151872</v>
      </c>
      <c r="L277" s="25" t="n">
        <f aca="false">SUMPRODUCT(($B$258:$B$274=$A277)*L$258:L$274*$C$258:$C$274)</f>
        <v>7725.80710828903</v>
      </c>
      <c r="M277" s="25" t="n">
        <f aca="false">SUMPRODUCT(($B$258:$B$274=$A277)*M$258:M$274*$C$258:$C$274)</f>
        <v>7769.61175482373</v>
      </c>
      <c r="N277" s="25" t="n">
        <f aca="false">SUMPRODUCT(($B$258:$B$274=$A277)*N$258:N$274*$C$258:$C$274)</f>
        <v>7813.67014246886</v>
      </c>
      <c r="O277" s="25" t="n">
        <f aca="false">SUMPRODUCT(($B$258:$B$274=$A277)*O$258:O$274*$C$258:$C$274)</f>
        <v>7857.98374103542</v>
      </c>
      <c r="P277" s="25" t="n">
        <f aca="false">SUMPRODUCT(($B$258:$B$274=$A277)*P$258:P$274*$C$258:$C$274)</f>
        <v>91426.5328927097</v>
      </c>
    </row>
    <row r="278" customFormat="false" ht="15" hidden="false" customHeight="false" outlineLevel="0" collapsed="false">
      <c r="A278" s="4" t="s">
        <v>149</v>
      </c>
      <c r="D278" s="25" t="n">
        <f aca="false">SUMPRODUCT(($B$258:$B$274=$A278)*D$258:D$274*$C$258:$C$274)</f>
        <v>10.9540216599496</v>
      </c>
      <c r="E278" s="25" t="n">
        <f aca="false">SUMPRODUCT(($B$258:$B$274=$A278)*E$258:E$274*$C$258:$C$274)</f>
        <v>11.0140945102101</v>
      </c>
      <c r="F278" s="25" t="n">
        <f aca="false">SUMPRODUCT(($B$258:$B$274=$A278)*F$258:F$274*$C$258:$C$274)</f>
        <v>11.074515336152</v>
      </c>
      <c r="G278" s="25" t="n">
        <f aca="false">SUMPRODUCT(($B$258:$B$274=$A278)*G$258:G$274*$C$258:$C$274)</f>
        <v>11.1352861534461</v>
      </c>
      <c r="H278" s="25" t="n">
        <f aca="false">SUMPRODUCT(($B$258:$B$274=$A278)*H$258:H$274*$C$258:$C$274)</f>
        <v>11.1964089894387</v>
      </c>
      <c r="I278" s="25" t="n">
        <f aca="false">SUMPRODUCT(($B$258:$B$274=$A278)*I$258:I$274*$C$258:$C$274)</f>
        <v>11.2578858832198</v>
      </c>
      <c r="J278" s="25" t="n">
        <f aca="false">SUMPRODUCT(($B$258:$B$274=$A278)*J$258:J$274*$C$258:$C$274)</f>
        <v>11.3197188856908</v>
      </c>
      <c r="K278" s="25" t="n">
        <f aca="false">SUMPRODUCT(($B$258:$B$274=$A278)*K$258:K$274*$C$258:$C$274)</f>
        <v>11.3819100596335</v>
      </c>
      <c r="L278" s="25" t="n">
        <f aca="false">SUMPRODUCT(($B$258:$B$274=$A278)*L$258:L$274*$C$258:$C$274)</f>
        <v>11.4444614797779</v>
      </c>
      <c r="M278" s="25" t="n">
        <f aca="false">SUMPRODUCT(($B$258:$B$274=$A278)*M$258:M$274*$C$258:$C$274)</f>
        <v>11.5073752328724</v>
      </c>
      <c r="N278" s="25" t="n">
        <f aca="false">SUMPRODUCT(($B$258:$B$274=$A278)*N$258:N$274*$C$258:$C$274)</f>
        <v>11.5706534177529</v>
      </c>
      <c r="O278" s="25" t="n">
        <f aca="false">SUMPRODUCT(($B$258:$B$274=$A278)*O$258:O$274*$C$258:$C$274)</f>
        <v>11.634298145413</v>
      </c>
      <c r="P278" s="25" t="n">
        <f aca="false">SUMPRODUCT(($B$258:$B$274=$A278)*P$258:P$274*$C$258:$C$274)</f>
        <v>135.490629753557</v>
      </c>
    </row>
    <row r="279" customFormat="false" ht="15" hidden="false" customHeight="false" outlineLevel="0" collapsed="false">
      <c r="A279" s="4" t="s">
        <v>155</v>
      </c>
      <c r="D279" s="25" t="n">
        <f aca="false">SUMPRODUCT(($B$258:$B$274=$A279)*D$258:D$274*$C$258:$C$274)</f>
        <v>9.9280720466631</v>
      </c>
      <c r="E279" s="25" t="n">
        <f aca="false">SUMPRODUCT(($B$258:$B$274=$A279)*E$258:E$274*$C$258:$C$274)</f>
        <v>9.98220202065992</v>
      </c>
      <c r="F279" s="25" t="n">
        <f aca="false">SUMPRODUCT(($B$258:$B$274=$A279)*F$258:F$274*$C$258:$C$274)</f>
        <v>10.0366455458618</v>
      </c>
      <c r="G279" s="25" t="n">
        <f aca="false">SUMPRODUCT(($B$258:$B$274=$A279)*G$258:G$274*$C$258:$C$274)</f>
        <v>10.0914044385335</v>
      </c>
      <c r="H279" s="25" t="n">
        <f aca="false">SUMPRODUCT(($B$258:$B$274=$A279)*H$258:H$274*$C$258:$C$274)</f>
        <v>10.1464805254604</v>
      </c>
      <c r="I279" s="25" t="n">
        <f aca="false">SUMPRODUCT(($B$258:$B$274=$A279)*I$258:I$274*$C$258:$C$274)</f>
        <v>10.2018756440097</v>
      </c>
      <c r="J279" s="25" t="n">
        <f aca="false">SUMPRODUCT(($B$258:$B$274=$A279)*J$258:J$274*$C$258:$C$274)</f>
        <v>10.2575916421919</v>
      </c>
      <c r="K279" s="25" t="n">
        <f aca="false">SUMPRODUCT(($B$258:$B$274=$A279)*K$258:K$274*$C$258:$C$274)</f>
        <v>10.3136303787218</v>
      </c>
      <c r="L279" s="25" t="n">
        <f aca="false">SUMPRODUCT(($B$258:$B$274=$A279)*L$258:L$274*$C$258:$C$274)</f>
        <v>10.3699937230812</v>
      </c>
      <c r="M279" s="25" t="n">
        <f aca="false">SUMPRODUCT(($B$258:$B$274=$A279)*M$258:M$274*$C$258:$C$274)</f>
        <v>10.4266835555809</v>
      </c>
      <c r="N279" s="25" t="n">
        <f aca="false">SUMPRODUCT(($B$258:$B$274=$A279)*N$258:N$274*$C$258:$C$274)</f>
        <v>10.4837017674237</v>
      </c>
      <c r="O279" s="25" t="n">
        <f aca="false">SUMPRODUCT(($B$258:$B$274=$A279)*O$258:O$274*$C$258:$C$274)</f>
        <v>10.541050260767</v>
      </c>
      <c r="P279" s="25" t="n">
        <f aca="false">SUMPRODUCT(($B$258:$B$274=$A279)*P$258:P$274*$C$258:$C$274)</f>
        <v>122.779331548955</v>
      </c>
    </row>
    <row r="280" customFormat="false" ht="15" hidden="false" customHeight="false" outlineLevel="0" collapsed="false">
      <c r="A280" s="4" t="s">
        <v>146</v>
      </c>
      <c r="D280" s="25" t="n">
        <f aca="false">SUMPRODUCT(($B$258:$B$274=$A280)*D$258:D$274*$C$258:$C$274)</f>
        <v>189.499291262661</v>
      </c>
      <c r="E280" s="25" t="n">
        <f aca="false">SUMPRODUCT(($B$258:$B$274=$A280)*E$258:E$274*$C$258:$C$274)</f>
        <v>190.557877777218</v>
      </c>
      <c r="F280" s="25" t="n">
        <f aca="false">SUMPRODUCT(($B$258:$B$274=$A280)*F$258:F$274*$C$258:$C$274)</f>
        <v>191.622596219297</v>
      </c>
      <c r="G280" s="25" t="n">
        <f aca="false">SUMPRODUCT(($B$258:$B$274=$A280)*G$258:G$274*$C$258:$C$274)</f>
        <v>192.693482108466</v>
      </c>
      <c r="H280" s="25" t="n">
        <f aca="false">SUMPRODUCT(($B$258:$B$274=$A280)*H$258:H$274*$C$258:$C$274)</f>
        <v>193.770571170041</v>
      </c>
      <c r="I280" s="25" t="n">
        <f aca="false">SUMPRODUCT(($B$258:$B$274=$A280)*I$258:I$274*$C$258:$C$274)</f>
        <v>194.853899336281</v>
      </c>
      <c r="J280" s="25" t="n">
        <f aca="false">SUMPRODUCT(($B$258:$B$274=$A280)*J$258:J$274*$C$258:$C$274)</f>
        <v>195.943502747584</v>
      </c>
      <c r="K280" s="25" t="n">
        <f aca="false">SUMPRODUCT(($B$258:$B$274=$A280)*K$258:K$274*$C$258:$C$274)</f>
        <v>197.039417753691</v>
      </c>
      <c r="L280" s="25" t="n">
        <f aca="false">SUMPRODUCT(($B$258:$B$274=$A280)*L$258:L$274*$C$258:$C$274)</f>
        <v>198.141680914906</v>
      </c>
      <c r="M280" s="25" t="n">
        <f aca="false">SUMPRODUCT(($B$258:$B$274=$A280)*M$258:M$274*$C$258:$C$274)</f>
        <v>199.250329003306</v>
      </c>
      <c r="N280" s="25" t="n">
        <f aca="false">SUMPRODUCT(($B$258:$B$274=$A280)*N$258:N$274*$C$258:$C$274)</f>
        <v>200.365399003975</v>
      </c>
      <c r="O280" s="25" t="n">
        <f aca="false">SUMPRODUCT(($B$258:$B$274=$A280)*O$258:O$274*$C$258:$C$274)</f>
        <v>201.486928116236</v>
      </c>
      <c r="P280" s="25" t="n">
        <f aca="false">SUMPRODUCT(($B$258:$B$274=$A280)*P$258:P$274*$C$258:$C$274)</f>
        <v>2345.22497541366</v>
      </c>
    </row>
    <row r="281" customFormat="false" ht="15" hidden="false" customHeight="false" outlineLevel="0" collapsed="false">
      <c r="A281" s="4" t="s">
        <v>147</v>
      </c>
      <c r="D281" s="25" t="n">
        <f aca="false">SUMPRODUCT(($B$258:$B$274=$A281)*D$258:D$274*$C$258:$C$274)</f>
        <v>91.6017421699246</v>
      </c>
      <c r="E281" s="25" t="n">
        <f aca="false">SUMPRODUCT(($B$258:$B$274=$A281)*E$258:E$274*$C$258:$C$274)</f>
        <v>92.1135250728976</v>
      </c>
      <c r="F281" s="25" t="n">
        <f aca="false">SUMPRODUCT(($B$258:$B$274=$A281)*F$258:F$274*$C$258:$C$274)</f>
        <v>92.628272509827</v>
      </c>
      <c r="G281" s="25" t="n">
        <f aca="false">SUMPRODUCT(($B$258:$B$274=$A281)*G$258:G$274*$C$258:$C$274)</f>
        <v>93.1460016529583</v>
      </c>
      <c r="H281" s="25" t="n">
        <f aca="false">SUMPRODUCT(($B$258:$B$274=$A281)*H$258:H$274*$C$258:$C$274)</f>
        <v>93.666729774008</v>
      </c>
      <c r="I281" s="25" t="n">
        <f aca="false">SUMPRODUCT(($B$258:$B$274=$A281)*I$258:I$274*$C$258:$C$274)</f>
        <v>94.1904742447403</v>
      </c>
      <c r="J281" s="25" t="n">
        <f aca="false">SUMPRODUCT(($B$258:$B$274=$A281)*J$258:J$274*$C$258:$C$274)</f>
        <v>94.7172525375463</v>
      </c>
      <c r="K281" s="25" t="n">
        <f aca="false">SUMPRODUCT(($B$258:$B$274=$A281)*K$258:K$274*$C$258:$C$274)</f>
        <v>95.2470822260271</v>
      </c>
      <c r="L281" s="25" t="n">
        <f aca="false">SUMPRODUCT(($B$258:$B$274=$A281)*L$258:L$274*$C$258:$C$274)</f>
        <v>95.7799809855798</v>
      </c>
      <c r="M281" s="25" t="n">
        <f aca="false">SUMPRODUCT(($B$258:$B$274=$A281)*M$258:M$274*$C$258:$C$274)</f>
        <v>96.3159665939876</v>
      </c>
      <c r="N281" s="25" t="n">
        <f aca="false">SUMPRODUCT(($B$258:$B$274=$A281)*N$258:N$274*$C$258:$C$274)</f>
        <v>96.8550569320123</v>
      </c>
      <c r="O281" s="25" t="n">
        <f aca="false">SUMPRODUCT(($B$258:$B$274=$A281)*O$258:O$274*$C$258:$C$274)</f>
        <v>97.3972699839913</v>
      </c>
      <c r="P281" s="25" t="n">
        <f aca="false">SUMPRODUCT(($B$258:$B$274=$A281)*P$258:P$274*$C$258:$C$274)</f>
        <v>1133.6593546835</v>
      </c>
    </row>
    <row r="282" customFormat="false" ht="15" hidden="false" customHeight="false" outlineLevel="0" collapsed="false">
      <c r="A282" s="4" t="s">
        <v>150</v>
      </c>
      <c r="D282" s="25" t="n">
        <f aca="false">SUMPRODUCT(($B$258:$B$274=$A282)*D$258:D$274*$C$258:$C$274)</f>
        <v>93.382563922541</v>
      </c>
      <c r="E282" s="25" t="n">
        <f aca="false">SUMPRODUCT(($B$258:$B$274=$A282)*E$258:E$274*$C$258:$C$274)</f>
        <v>93.9041796316324</v>
      </c>
      <c r="F282" s="25" t="n">
        <f aca="false">SUMPRODUCT(($B$258:$B$274=$A282)*F$258:F$274*$C$258:$C$274)</f>
        <v>94.4288168318147</v>
      </c>
      <c r="G282" s="25" t="n">
        <f aca="false">SUMPRODUCT(($B$258:$B$274=$A282)*G$258:G$274*$C$258:$C$274)</f>
        <v>94.9564930252611</v>
      </c>
      <c r="H282" s="25" t="n">
        <f aca="false">SUMPRODUCT(($B$258:$B$274=$A282)*H$258:H$274*$C$258:$C$274)</f>
        <v>95.4872258155269</v>
      </c>
      <c r="I282" s="25" t="n">
        <f aca="false">SUMPRODUCT(($B$258:$B$274=$A282)*I$258:I$274*$C$258:$C$274)</f>
        <v>96.0210329081374</v>
      </c>
      <c r="J282" s="25" t="n">
        <f aca="false">SUMPRODUCT(($B$258:$B$274=$A282)*J$258:J$274*$C$258:$C$274)</f>
        <v>96.5579321111779</v>
      </c>
      <c r="K282" s="25" t="n">
        <f aca="false">SUMPRODUCT(($B$258:$B$274=$A282)*K$258:K$274*$C$258:$C$274)</f>
        <v>97.0979413358886</v>
      </c>
      <c r="L282" s="25" t="n">
        <f aca="false">SUMPRODUCT(($B$258:$B$274=$A282)*L$258:L$274*$C$258:$C$274)</f>
        <v>97.6410785972611</v>
      </c>
      <c r="M282" s="25" t="n">
        <f aca="false">SUMPRODUCT(($B$258:$B$274=$A282)*M$258:M$274*$C$258:$C$274)</f>
        <v>98.1873620146405</v>
      </c>
      <c r="N282" s="25" t="n">
        <f aca="false">SUMPRODUCT(($B$258:$B$274=$A282)*N$258:N$274*$C$258:$C$274)</f>
        <v>98.7368098123289</v>
      </c>
      <c r="O282" s="25" t="n">
        <f aca="false">SUMPRODUCT(($B$258:$B$274=$A282)*O$258:O$274*$C$258:$C$274)</f>
        <v>99.2894403201941</v>
      </c>
      <c r="P282" s="25" t="n">
        <f aca="false">SUMPRODUCT(($B$258:$B$274=$A282)*P$258:P$274*$C$258:$C$274)</f>
        <v>1155.6908763264</v>
      </c>
    </row>
    <row r="283" customFormat="false" ht="15" hidden="false" customHeight="false" outlineLevel="0" collapsed="false">
      <c r="A283" s="4" t="s">
        <v>151</v>
      </c>
      <c r="D283" s="25" t="n">
        <f aca="false">SUMPRODUCT(($B$258:$B$274=$A283)*D$258:D$274*$C$258:$C$274)</f>
        <v>683.561006655668</v>
      </c>
      <c r="E283" s="25" t="n">
        <f aca="false">SUMPRODUCT(($B$258:$B$274=$A283)*E$258:E$274*$C$258:$C$274)</f>
        <v>687.381071657325</v>
      </c>
      <c r="F283" s="25" t="n">
        <f aca="false">SUMPRODUCT(($B$258:$B$274=$A283)*F$258:F$274*$C$258:$C$274)</f>
        <v>691.22326462056</v>
      </c>
      <c r="G283" s="25" t="n">
        <f aca="false">SUMPRODUCT(($B$258:$B$274=$A283)*G$258:G$274*$C$258:$C$274)</f>
        <v>695.087713722952</v>
      </c>
      <c r="H283" s="25" t="n">
        <f aca="false">SUMPRODUCT(($B$258:$B$274=$A283)*H$258:H$274*$C$258:$C$274)</f>
        <v>698.974547884557</v>
      </c>
      <c r="I283" s="25" t="n">
        <f aca="false">SUMPRODUCT(($B$258:$B$274=$A283)*I$258:I$274*$C$258:$C$274)</f>
        <v>702.883896772207</v>
      </c>
      <c r="J283" s="25" t="n">
        <f aca="false">SUMPRODUCT(($B$258:$B$274=$A283)*J$258:J$274*$C$258:$C$274)</f>
        <v>706.815890803839</v>
      </c>
      <c r="K283" s="25" t="n">
        <f aca="false">SUMPRODUCT(($B$258:$B$274=$A283)*K$258:K$274*$C$258:$C$274)</f>
        <v>710.770661152843</v>
      </c>
      <c r="L283" s="25" t="n">
        <f aca="false">SUMPRODUCT(($B$258:$B$274=$A283)*L$258:L$274*$C$258:$C$274)</f>
        <v>714.748339752437</v>
      </c>
      <c r="M283" s="25" t="n">
        <f aca="false">SUMPRODUCT(($B$258:$B$274=$A283)*M$258:M$274*$C$258:$C$274)</f>
        <v>718.749059300074</v>
      </c>
      <c r="N283" s="25" t="n">
        <f aca="false">SUMPRODUCT(($B$258:$B$274=$A283)*N$258:N$274*$C$258:$C$274)</f>
        <v>722.772953261863</v>
      </c>
      <c r="O283" s="25" t="n">
        <f aca="false">SUMPRODUCT(($B$258:$B$274=$A283)*O$258:O$274*$C$258:$C$274)</f>
        <v>726.820155877024</v>
      </c>
      <c r="P283" s="25" t="n">
        <f aca="false">SUMPRODUCT(($B$258:$B$274=$A283)*P$258:P$274*$C$258:$C$274)</f>
        <v>8459.78856146135</v>
      </c>
    </row>
    <row r="284" customFormat="false" ht="15" hidden="false" customHeight="false" outlineLevel="0" collapsed="false">
      <c r="A284" s="4" t="s">
        <v>154</v>
      </c>
      <c r="D284" s="25" t="n">
        <f aca="false">SUMPRODUCT(($B$258:$B$274=$A284)*D$258:D$274*$C$258:$C$274)</f>
        <v>28.2583751574805</v>
      </c>
      <c r="E284" s="25" t="n">
        <f aca="false">SUMPRODUCT(($B$258:$B$274=$A284)*E$258:E$274*$C$258:$C$274)</f>
        <v>28.4162709728408</v>
      </c>
      <c r="F284" s="25" t="n">
        <f aca="false">SUMPRODUCT(($B$258:$B$274=$A284)*F$258:F$274*$C$258:$C$274)</f>
        <v>28.5750814094272</v>
      </c>
      <c r="G284" s="25" t="n">
        <f aca="false">SUMPRODUCT(($B$258:$B$274=$A284)*G$258:G$274*$C$258:$C$274)</f>
        <v>28.7348117652394</v>
      </c>
      <c r="H284" s="25" t="n">
        <f aca="false">SUMPRODUCT(($B$258:$B$274=$A284)*H$258:H$274*$C$258:$C$274)</f>
        <v>28.8954673689662</v>
      </c>
      <c r="I284" s="25" t="n">
        <f aca="false">SUMPRODUCT(($B$258:$B$274=$A284)*I$258:I$274*$C$258:$C$274)</f>
        <v>29.057053580163</v>
      </c>
      <c r="J284" s="25" t="n">
        <f aca="false">SUMPRODUCT(($B$258:$B$274=$A284)*J$258:J$274*$C$258:$C$274)</f>
        <v>29.2195757894309</v>
      </c>
      <c r="K284" s="25" t="n">
        <f aca="false">SUMPRODUCT(($B$258:$B$274=$A284)*K$258:K$274*$C$258:$C$274)</f>
        <v>29.3830394185963</v>
      </c>
      <c r="L284" s="25" t="n">
        <f aca="false">SUMPRODUCT(($B$258:$B$274=$A284)*L$258:L$274*$C$258:$C$274)</f>
        <v>29.5474499208919</v>
      </c>
      <c r="M284" s="25" t="n">
        <f aca="false">SUMPRODUCT(($B$258:$B$274=$A284)*M$258:M$274*$C$258:$C$274)</f>
        <v>29.7128127811385</v>
      </c>
      <c r="N284" s="25" t="n">
        <f aca="false">SUMPRODUCT(($B$258:$B$274=$A284)*N$258:N$274*$C$258:$C$274)</f>
        <v>29.8791335159282</v>
      </c>
      <c r="O284" s="25" t="n">
        <f aca="false">SUMPRODUCT(($B$258:$B$274=$A284)*O$258:O$274*$C$258:$C$274)</f>
        <v>30.0464176738082</v>
      </c>
      <c r="P284" s="25" t="n">
        <f aca="false">SUMPRODUCT(($B$258:$B$274=$A284)*P$258:P$274*$C$258:$C$274)</f>
        <v>349.725489353911</v>
      </c>
    </row>
    <row r="285" customFormat="false" ht="15" hidden="false" customHeight="false" outlineLevel="0" collapsed="false">
      <c r="A285" s="6" t="s">
        <v>275</v>
      </c>
      <c r="D285" s="26" t="n">
        <f aca="false">SUMPRODUCT(D$258:D$274*parametros_recargas!$D$51:$D$67)</f>
        <v>304.739399397811</v>
      </c>
      <c r="E285" s="26" t="n">
        <f aca="false">SUMPRODUCT(E$258:E$274*parametros_recargas!$D$51:$D$67)</f>
        <v>306.332292414453</v>
      </c>
      <c r="F285" s="26" t="n">
        <f aca="false">SUMPRODUCT(F$258:F$274*parametros_recargas!$D$51:$D$67)</f>
        <v>307.934412361907</v>
      </c>
      <c r="G285" s="26" t="n">
        <f aca="false">SUMPRODUCT(G$258:G$274*parametros_recargas!$D$51:$D$67)</f>
        <v>309.545812687739</v>
      </c>
      <c r="H285" s="26" t="n">
        <f aca="false">SUMPRODUCT(H$258:H$274*parametros_recargas!$D$51:$D$67)</f>
        <v>311.16654714911</v>
      </c>
      <c r="I285" s="26" t="n">
        <f aca="false">SUMPRODUCT(I$258:I$274*parametros_recargas!$D$51:$D$67)</f>
        <v>312.796669814576</v>
      </c>
      <c r="J285" s="26" t="n">
        <f aca="false">SUMPRODUCT(J$258:J$274*parametros_recargas!$D$51:$D$67)</f>
        <v>314.436235065887</v>
      </c>
      <c r="K285" s="26" t="n">
        <f aca="false">SUMPRODUCT(K$258:K$274*parametros_recargas!$D$51:$D$67)</f>
        <v>316.085297599801</v>
      </c>
      <c r="L285" s="26" t="n">
        <f aca="false">SUMPRODUCT(L$258:L$274*parametros_recargas!$D$51:$D$67)</f>
        <v>317.743912429913</v>
      </c>
      <c r="M285" s="26" t="n">
        <f aca="false">SUMPRODUCT(M$258:M$274*parametros_recargas!$D$51:$D$67)</f>
        <v>319.412134888486</v>
      </c>
      <c r="N285" s="26" t="n">
        <f aca="false">SUMPRODUCT(N$258:N$274*parametros_recargas!$D$51:$D$67)</f>
        <v>321.090020628299</v>
      </c>
      <c r="O285" s="26" t="n">
        <f aca="false">SUMPRODUCT(O$258:O$274*parametros_recargas!$D$51:$D$67)</f>
        <v>322.777625624504</v>
      </c>
      <c r="P285" s="26" t="n">
        <f aca="false">SUMPRODUCT(P$258:P$274*parametros_recargas!$D$51:$D$67)</f>
        <v>3764.06036006249</v>
      </c>
    </row>
    <row r="289" customFormat="false" ht="23.85" hidden="false" customHeight="false" outlineLevel="0" collapsed="false">
      <c r="A289" s="23" t="n">
        <v>2035</v>
      </c>
      <c r="B289" s="3" t="s">
        <v>270</v>
      </c>
      <c r="C289" s="3" t="s">
        <v>271</v>
      </c>
      <c r="D289" s="3" t="s">
        <v>124</v>
      </c>
      <c r="E289" s="3" t="s">
        <v>125</v>
      </c>
      <c r="F289" s="3" t="s">
        <v>126</v>
      </c>
      <c r="G289" s="3" t="s">
        <v>127</v>
      </c>
      <c r="H289" s="3" t="s">
        <v>128</v>
      </c>
      <c r="I289" s="3" t="s">
        <v>129</v>
      </c>
      <c r="J289" s="3" t="s">
        <v>130</v>
      </c>
      <c r="K289" s="3" t="s">
        <v>131</v>
      </c>
      <c r="L289" s="3" t="s">
        <v>132</v>
      </c>
      <c r="M289" s="3" t="s">
        <v>133</v>
      </c>
      <c r="N289" s="3" t="s">
        <v>134</v>
      </c>
      <c r="O289" s="3" t="s">
        <v>135</v>
      </c>
      <c r="P289" s="3" t="s">
        <v>136</v>
      </c>
      <c r="Q289" s="3" t="s">
        <v>272</v>
      </c>
    </row>
    <row r="290" customFormat="false" ht="15" hidden="false" customHeight="false" outlineLevel="0" collapsed="false">
      <c r="A290" s="12" t="str">
        <f aca="false">parametros_recargas!A51</f>
        <v>ABC 1 kg</v>
      </c>
      <c r="B290" s="12" t="str">
        <f aca="false">parametros_recargas!B51</f>
        <v>ABC</v>
      </c>
      <c r="C290" s="24" t="n">
        <f aca="false">parametros_recargas!C51</f>
        <v>1</v>
      </c>
      <c r="D290" s="25" t="n">
        <f aca="false">datos_base!$K$2*parametros_recargas!$F$46+sobrestock_sustitutos!$K$175/12</f>
        <v>4566.32808160423</v>
      </c>
      <c r="E290" s="25" t="n">
        <f aca="false">datos_base!$K$2*parametros_recargas!$G$46+sobrestock_sustitutos!$K$175/12</f>
        <v>4592.77881799193</v>
      </c>
      <c r="F290" s="25" t="n">
        <f aca="false">datos_base!$K$2*parametros_recargas!$H$46+sobrestock_sustitutos!$K$175/12</f>
        <v>4619.38277189771</v>
      </c>
      <c r="G290" s="25" t="n">
        <f aca="false">datos_base!$K$2*parametros_recargas!$I$46+sobrestock_sustitutos!$K$175/12</f>
        <v>4646.14083084349</v>
      </c>
      <c r="H290" s="25" t="n">
        <f aca="false">datos_base!$K$2*parametros_recargas!$J$46+sobrestock_sustitutos!$K$175/12</f>
        <v>4673.05388749219</v>
      </c>
      <c r="I290" s="25" t="n">
        <f aca="false">datos_base!$K$2*parametros_recargas!$K$46+sobrestock_sustitutos!$K$175/12</f>
        <v>4700.12283967754</v>
      </c>
      <c r="J290" s="25" t="n">
        <f aca="false">datos_base!$K$2*parametros_recargas!$L$46+sobrestock_sustitutos!$K$175/12</f>
        <v>4727.34859043402</v>
      </c>
      <c r="K290" s="25" t="n">
        <f aca="false">datos_base!$K$2*parametros_recargas!$M$46+sobrestock_sustitutos!$K$175/12</f>
        <v>4754.73204802702</v>
      </c>
      <c r="L290" s="25" t="n">
        <f aca="false">datos_base!$K$2*parametros_recargas!$N$46+sobrestock_sustitutos!$K$175/12</f>
        <v>4782.27412598308</v>
      </c>
      <c r="M290" s="25" t="n">
        <f aca="false">datos_base!$K$2*parametros_recargas!$O$46+sobrestock_sustitutos!$K$175/12</f>
        <v>4809.97574312042</v>
      </c>
      <c r="N290" s="25" t="n">
        <f aca="false">datos_base!$K$2*parametros_recargas!$P$46+sobrestock_sustitutos!$K$175/12</f>
        <v>4837.83782357956</v>
      </c>
      <c r="O290" s="25" t="n">
        <f aca="false">datos_base!$K$2*parametros_recargas!$Q$46+sobrestock_sustitutos!$K$175/12</f>
        <v>4865.86129685417</v>
      </c>
      <c r="P290" s="7" t="n">
        <f aca="false">SUM(D290:O290)</f>
        <v>56575.8368575054</v>
      </c>
      <c r="Q290" s="13" t="n">
        <f aca="false">sobrestock_sustitutos!$K$175</f>
        <v>0</v>
      </c>
    </row>
    <row r="291" customFormat="false" ht="15" hidden="false" customHeight="false" outlineLevel="0" collapsed="false">
      <c r="A291" s="12" t="str">
        <f aca="false">parametros_recargas!A52</f>
        <v>ABC 2,5 kg</v>
      </c>
      <c r="B291" s="12" t="str">
        <f aca="false">parametros_recargas!B52</f>
        <v>ABC</v>
      </c>
      <c r="C291" s="24" t="n">
        <f aca="false">parametros_recargas!C52</f>
        <v>1</v>
      </c>
      <c r="D291" s="25" t="n">
        <f aca="false">datos_base!$K$3*parametros_recargas!$F$46+sobrestock_sustitutos!$K$176/12</f>
        <v>386.666028458964</v>
      </c>
      <c r="E291" s="25" t="n">
        <f aca="false">datos_base!$K$3*parametros_recargas!$G$46+sobrestock_sustitutos!$K$176/12</f>
        <v>388.905815221121</v>
      </c>
      <c r="F291" s="25" t="n">
        <f aca="false">datos_base!$K$3*parametros_recargas!$H$46+sobrestock_sustitutos!$K$176/12</f>
        <v>391.158576085917</v>
      </c>
      <c r="G291" s="25" t="n">
        <f aca="false">datos_base!$K$3*parametros_recargas!$I$46+sobrestock_sustitutos!$K$176/12</f>
        <v>393.424386206639</v>
      </c>
      <c r="H291" s="25" t="n">
        <f aca="false">datos_base!$K$3*parametros_recargas!$J$46+sobrestock_sustitutos!$K$176/12</f>
        <v>395.703321171905</v>
      </c>
      <c r="I291" s="25" t="n">
        <f aca="false">datos_base!$K$3*parametros_recargas!$K$46+sobrestock_sustitutos!$K$176/12</f>
        <v>397.995457008184</v>
      </c>
      <c r="J291" s="25" t="n">
        <f aca="false">datos_base!$K$3*parametros_recargas!$L$46+sobrestock_sustitutos!$K$176/12</f>
        <v>400.300870182335</v>
      </c>
      <c r="K291" s="25" t="n">
        <f aca="false">datos_base!$K$3*parametros_recargas!$M$46+sobrestock_sustitutos!$K$176/12</f>
        <v>402.619637604153</v>
      </c>
      <c r="L291" s="25" t="n">
        <f aca="false">datos_base!$K$3*parametros_recargas!$N$46+sobrestock_sustitutos!$K$176/12</f>
        <v>404.951836628941</v>
      </c>
      <c r="M291" s="25" t="n">
        <f aca="false">datos_base!$K$3*parametros_recargas!$O$46+sobrestock_sustitutos!$K$176/12</f>
        <v>407.297545060084</v>
      </c>
      <c r="N291" s="25" t="n">
        <f aca="false">datos_base!$K$3*parametros_recargas!$P$46+sobrestock_sustitutos!$K$176/12</f>
        <v>409.656841151651</v>
      </c>
      <c r="O291" s="25" t="n">
        <f aca="false">datos_base!$K$3*parametros_recargas!$Q$46+sobrestock_sustitutos!$K$176/12</f>
        <v>412.029803611</v>
      </c>
      <c r="P291" s="7" t="n">
        <f aca="false">SUM(D291:O291)</f>
        <v>4790.71011839089</v>
      </c>
      <c r="Q291" s="13" t="n">
        <f aca="false">sobrestock_sustitutos!$K$176</f>
        <v>0</v>
      </c>
    </row>
    <row r="292" customFormat="false" ht="15" hidden="false" customHeight="false" outlineLevel="0" collapsed="false">
      <c r="A292" s="12" t="str">
        <f aca="false">parametros_recargas!A53</f>
        <v>ABC 5 kg</v>
      </c>
      <c r="B292" s="12" t="str">
        <f aca="false">parametros_recargas!B53</f>
        <v>ABC</v>
      </c>
      <c r="C292" s="24" t="n">
        <f aca="false">parametros_recargas!C53</f>
        <v>1</v>
      </c>
      <c r="D292" s="25" t="n">
        <f aca="false">datos_base!$K$4*parametros_recargas!$F$46+sobrestock_sustitutos!$K$177/12</f>
        <v>2533.21540887688</v>
      </c>
      <c r="E292" s="25" t="n">
        <f aca="false">datos_base!$K$4*parametros_recargas!$G$46+sobrestock_sustitutos!$K$177/12</f>
        <v>2546.83883051532</v>
      </c>
      <c r="F292" s="25" t="n">
        <f aca="false">datos_base!$K$4*parametros_recargas!$H$46+sobrestock_sustitutos!$K$177/12</f>
        <v>2560.54116666188</v>
      </c>
      <c r="G292" s="25" t="n">
        <f aca="false">datos_base!$K$4*parametros_recargas!$I$46+sobrestock_sustitutos!$K$177/12</f>
        <v>2574.3228744337</v>
      </c>
      <c r="H292" s="25" t="n">
        <f aca="false">datos_base!$K$4*parametros_recargas!$J$46+sobrestock_sustitutos!$K$177/12</f>
        <v>2588.1844135958</v>
      </c>
      <c r="I292" s="25" t="n">
        <f aca="false">datos_base!$K$4*parametros_recargas!$K$46+sobrestock_sustitutos!$K$177/12</f>
        <v>2602.12624657642</v>
      </c>
      <c r="J292" s="25" t="n">
        <f aca="false">datos_base!$K$4*parametros_recargas!$L$46+sobrestock_sustitutos!$K$177/12</f>
        <v>2616.14883848245</v>
      </c>
      <c r="K292" s="25" t="n">
        <f aca="false">datos_base!$K$4*parametros_recargas!$M$46+sobrestock_sustitutos!$K$177/12</f>
        <v>2630.25265711494</v>
      </c>
      <c r="L292" s="25" t="n">
        <f aca="false">datos_base!$K$4*parametros_recargas!$N$46+sobrestock_sustitutos!$K$177/12</f>
        <v>2644.43817298469</v>
      </c>
      <c r="M292" s="25" t="n">
        <f aca="false">datos_base!$K$4*parametros_recargas!$O$46+sobrestock_sustitutos!$K$177/12</f>
        <v>2658.70585932798</v>
      </c>
      <c r="N292" s="25" t="n">
        <f aca="false">datos_base!$K$4*parametros_recargas!$P$46+sobrestock_sustitutos!$K$177/12</f>
        <v>2673.05619212233</v>
      </c>
      <c r="O292" s="25" t="n">
        <f aca="false">datos_base!$K$4*parametros_recargas!$Q$46+sobrestock_sustitutos!$K$177/12</f>
        <v>2687.48965010239</v>
      </c>
      <c r="P292" s="7" t="n">
        <f aca="false">SUM(D292:O292)</f>
        <v>31315.3203107948</v>
      </c>
      <c r="Q292" s="13" t="n">
        <f aca="false">sobrestock_sustitutos!$K$177</f>
        <v>2176</v>
      </c>
    </row>
    <row r="293" customFormat="false" ht="15" hidden="false" customHeight="false" outlineLevel="0" collapsed="false">
      <c r="A293" s="12" t="str">
        <f aca="false">parametros_recargas!A54</f>
        <v>ABC 10 kg</v>
      </c>
      <c r="B293" s="12" t="str">
        <f aca="false">parametros_recargas!B54</f>
        <v>ABC</v>
      </c>
      <c r="C293" s="24" t="n">
        <f aca="false">parametros_recargas!C54</f>
        <v>1</v>
      </c>
      <c r="D293" s="25" t="n">
        <f aca="false">datos_base!$K$5*parametros_recargas!$F$46+sobrestock_sustitutos!$K$178/12</f>
        <v>148.507391402213</v>
      </c>
      <c r="E293" s="25" t="n">
        <f aca="false">datos_base!$K$5*parametros_recargas!$G$46+sobrestock_sustitutos!$K$178/12</f>
        <v>149.314048410687</v>
      </c>
      <c r="F293" s="25" t="n">
        <f aca="false">datos_base!$K$5*parametros_recargas!$H$46+sobrestock_sustitutos!$K$178/12</f>
        <v>150.125378029518</v>
      </c>
      <c r="G293" s="25" t="n">
        <f aca="false">datos_base!$K$5*parametros_recargas!$I$46+sobrestock_sustitutos!$K$178/12</f>
        <v>150.941407325088</v>
      </c>
      <c r="H293" s="25" t="n">
        <f aca="false">datos_base!$K$5*parametros_recargas!$J$46+sobrestock_sustitutos!$K$178/12</f>
        <v>151.762163520565</v>
      </c>
      <c r="I293" s="25" t="n">
        <f aca="false">datos_base!$K$5*parametros_recargas!$K$46+sobrestock_sustitutos!$K$178/12</f>
        <v>152.587673996807</v>
      </c>
      <c r="J293" s="25" t="n">
        <f aca="false">datos_base!$K$5*parametros_recargas!$L$46+sobrestock_sustitutos!$K$178/12</f>
        <v>153.417966293278</v>
      </c>
      <c r="K293" s="25" t="n">
        <f aca="false">datos_base!$K$5*parametros_recargas!$M$46+sobrestock_sustitutos!$K$178/12</f>
        <v>154.253068108966</v>
      </c>
      <c r="L293" s="25" t="n">
        <f aca="false">datos_base!$K$5*parametros_recargas!$N$46+sobrestock_sustitutos!$K$178/12</f>
        <v>155.093007303307</v>
      </c>
      <c r="M293" s="25" t="n">
        <f aca="false">datos_base!$K$5*parametros_recargas!$O$46+sobrestock_sustitutos!$K$178/12</f>
        <v>155.937811897114</v>
      </c>
      <c r="N293" s="25" t="n">
        <f aca="false">datos_base!$K$5*parametros_recargas!$P$46+sobrestock_sustitutos!$K$178/12</f>
        <v>156.787510073513</v>
      </c>
      <c r="O293" s="25" t="n">
        <f aca="false">datos_base!$K$5*parametros_recargas!$Q$46+sobrestock_sustitutos!$K$178/12</f>
        <v>157.642130178882</v>
      </c>
      <c r="P293" s="7" t="n">
        <f aca="false">SUM(D293:O293)</f>
        <v>1836.36955653994</v>
      </c>
      <c r="Q293" s="13" t="n">
        <f aca="false">sobrestock_sustitutos!$K$178</f>
        <v>111</v>
      </c>
    </row>
    <row r="294" customFormat="false" ht="15" hidden="false" customHeight="false" outlineLevel="0" collapsed="false">
      <c r="A294" s="12" t="str">
        <f aca="false">parametros_recargas!A55</f>
        <v>Agua 10 l</v>
      </c>
      <c r="B294" s="12" t="str">
        <f aca="false">parametros_recargas!B55</f>
        <v>Agua</v>
      </c>
      <c r="C294" s="24" t="n">
        <f aca="false">parametros_recargas!C55</f>
        <v>1</v>
      </c>
      <c r="D294" s="25" t="n">
        <f aca="false">datos_base!$K$6*parametros_recargas!$F$46+sobrestock_sustitutos!$K$179/12</f>
        <v>205.68339782637</v>
      </c>
      <c r="E294" s="25" t="n">
        <f aca="false">datos_base!$K$6*parametros_recargas!$G$46+sobrestock_sustitutos!$K$179/12</f>
        <v>206.822215797128</v>
      </c>
      <c r="F294" s="25" t="n">
        <f aca="false">datos_base!$K$6*parametros_recargas!$H$46+sobrestock_sustitutos!$K$179/12</f>
        <v>207.967630441056</v>
      </c>
      <c r="G294" s="25" t="n">
        <f aca="false">datos_base!$K$6*parametros_recargas!$I$46+sobrestock_sustitutos!$K$179/12</f>
        <v>209.119679969788</v>
      </c>
      <c r="H294" s="25" t="n">
        <f aca="false">datos_base!$K$6*parametros_recargas!$J$46+sobrestock_sustitutos!$K$179/12</f>
        <v>210.278402816303</v>
      </c>
      <c r="I294" s="25" t="n">
        <f aca="false">datos_base!$K$6*parametros_recargas!$K$46+sobrestock_sustitutos!$K$179/12</f>
        <v>211.443837636205</v>
      </c>
      <c r="J294" s="25" t="n">
        <f aca="false">datos_base!$K$6*parametros_recargas!$L$46+sobrestock_sustitutos!$K$179/12</f>
        <v>212.616023309013</v>
      </c>
      <c r="K294" s="25" t="n">
        <f aca="false">datos_base!$K$6*parametros_recargas!$M$46+sobrestock_sustitutos!$K$179/12</f>
        <v>213.794998939458</v>
      </c>
      <c r="L294" s="25" t="n">
        <f aca="false">datos_base!$K$6*parametros_recargas!$N$46+sobrestock_sustitutos!$K$179/12</f>
        <v>214.980803858786</v>
      </c>
      <c r="M294" s="25" t="n">
        <f aca="false">datos_base!$K$6*parametros_recargas!$O$46+sobrestock_sustitutos!$K$179/12</f>
        <v>216.173477626074</v>
      </c>
      <c r="N294" s="25" t="n">
        <f aca="false">datos_base!$K$6*parametros_recargas!$P$46+sobrestock_sustitutos!$K$179/12</f>
        <v>217.373060029548</v>
      </c>
      <c r="O294" s="25" t="n">
        <f aca="false">datos_base!$K$6*parametros_recargas!$Q$46+sobrestock_sustitutos!$K$179/12</f>
        <v>218.579591087905</v>
      </c>
      <c r="P294" s="7" t="n">
        <f aca="false">SUM(D294:O294)</f>
        <v>2544.83311933763</v>
      </c>
      <c r="Q294" s="13" t="n">
        <f aca="false">sobrestock_sustitutos!$K$179</f>
        <v>109</v>
      </c>
    </row>
    <row r="295" customFormat="false" ht="15" hidden="false" customHeight="false" outlineLevel="0" collapsed="false">
      <c r="A295" s="12" t="str">
        <f aca="false">parametros_recargas!A56</f>
        <v>AFFF 10 l</v>
      </c>
      <c r="B295" s="12" t="str">
        <f aca="false">parametros_recargas!B56</f>
        <v>AFFF</v>
      </c>
      <c r="C295" s="24" t="n">
        <f aca="false">parametros_recargas!C56</f>
        <v>1</v>
      </c>
      <c r="D295" s="25" t="n">
        <f aca="false">datos_base!$K$7*parametros_recargas!$F$46+sobrestock_sustitutos!$K$180/12</f>
        <v>39.0757870800506</v>
      </c>
      <c r="E295" s="25" t="n">
        <f aca="false">datos_base!$K$7*parametros_recargas!$G$46+sobrestock_sustitutos!$K$180/12</f>
        <v>39.2919989984397</v>
      </c>
      <c r="F295" s="25" t="n">
        <f aca="false">datos_base!$K$7*parametros_recargas!$H$46+sobrestock_sustitutos!$K$180/12</f>
        <v>39.50946333767</v>
      </c>
      <c r="G295" s="25" t="n">
        <f aca="false">datos_base!$K$7*parametros_recargas!$I$46+sobrestock_sustitutos!$K$180/12</f>
        <v>39.7281873524663</v>
      </c>
      <c r="H295" s="25" t="n">
        <f aca="false">datos_base!$K$7*parametros_recargas!$J$46+sobrestock_sustitutos!$K$180/12</f>
        <v>39.9481783395768</v>
      </c>
      <c r="I295" s="25" t="n">
        <f aca="false">datos_base!$K$7*parametros_recargas!$K$46+sobrestock_sustitutos!$K$180/12</f>
        <v>40.1694436380167</v>
      </c>
      <c r="J295" s="25" t="n">
        <f aca="false">datos_base!$K$7*parametros_recargas!$L$46+sobrestock_sustitutos!$K$180/12</f>
        <v>40.3919906293126</v>
      </c>
      <c r="K295" s="25" t="n">
        <f aca="false">datos_base!$K$7*parametros_recargas!$M$46+sobrestock_sustitutos!$K$180/12</f>
        <v>40.6158267377493</v>
      </c>
      <c r="L295" s="25" t="n">
        <f aca="false">datos_base!$K$7*parametros_recargas!$N$46+sobrestock_sustitutos!$K$180/12</f>
        <v>40.8409594306173</v>
      </c>
      <c r="M295" s="25" t="n">
        <f aca="false">datos_base!$K$7*parametros_recargas!$O$46+sobrestock_sustitutos!$K$180/12</f>
        <v>41.0673962184615</v>
      </c>
      <c r="N295" s="25" t="n">
        <f aca="false">datos_base!$K$7*parametros_recargas!$P$46+sobrestock_sustitutos!$K$180/12</f>
        <v>41.2951446553324</v>
      </c>
      <c r="O295" s="25" t="n">
        <f aca="false">datos_base!$K$7*parametros_recargas!$Q$46+sobrestock_sustitutos!$K$180/12</f>
        <v>41.5242123390377</v>
      </c>
      <c r="P295" s="7" t="n">
        <f aca="false">SUM(D295:O295)</f>
        <v>483.458588756731</v>
      </c>
      <c r="Q295" s="13" t="n">
        <f aca="false">sobrestock_sustitutos!$K$180</f>
        <v>21</v>
      </c>
    </row>
    <row r="296" customFormat="false" ht="15" hidden="false" customHeight="false" outlineLevel="0" collapsed="false">
      <c r="A296" s="12" t="str">
        <f aca="false">parametros_recargas!A57</f>
        <v>AFFF 50 l s/ruedas</v>
      </c>
      <c r="B296" s="12" t="str">
        <f aca="false">parametros_recargas!B57</f>
        <v>AFFF</v>
      </c>
      <c r="C296" s="24" t="n">
        <f aca="false">parametros_recargas!C57</f>
        <v>3</v>
      </c>
      <c r="D296" s="25" t="n">
        <f aca="false">datos_base!$K$8*parametros_recargas!$F$46+sobrestock_sustitutos!$K$181/12</f>
        <v>20.3735640289556</v>
      </c>
      <c r="E296" s="25" t="n">
        <f aca="false">datos_base!$K$8*parametros_recargas!$G$46+sobrestock_sustitutos!$K$181/12</f>
        <v>20.4862693041472</v>
      </c>
      <c r="F296" s="25" t="n">
        <f aca="false">datos_base!$K$8*parametros_recargas!$H$46+sobrestock_sustitutos!$K$181/12</f>
        <v>20.5996274315803</v>
      </c>
      <c r="G296" s="25" t="n">
        <f aca="false">datos_base!$K$8*parametros_recargas!$I$46+sobrestock_sustitutos!$K$181/12</f>
        <v>20.7136421929418</v>
      </c>
      <c r="H296" s="25" t="n">
        <f aca="false">datos_base!$K$8*parametros_recargas!$J$46+sobrestock_sustitutos!$K$181/12</f>
        <v>20.8283173918239</v>
      </c>
      <c r="I296" s="25" t="n">
        <f aca="false">datos_base!$K$8*parametros_recargas!$K$46+sobrestock_sustitutos!$K$181/12</f>
        <v>20.9436568538518</v>
      </c>
      <c r="J296" s="25" t="n">
        <f aca="false">datos_base!$K$8*parametros_recargas!$L$46+sobrestock_sustitutos!$K$181/12</f>
        <v>21.0596644268105</v>
      </c>
      <c r="K296" s="25" t="n">
        <f aca="false">datos_base!$K$8*parametros_recargas!$M$46+sobrestock_sustitutos!$K$181/12</f>
        <v>21.1763439807738</v>
      </c>
      <c r="L296" s="25" t="n">
        <f aca="false">datos_base!$K$8*parametros_recargas!$N$46+sobrestock_sustitutos!$K$181/12</f>
        <v>21.2936994082329</v>
      </c>
      <c r="M296" s="25" t="n">
        <f aca="false">datos_base!$K$8*parametros_recargas!$O$46+sobrestock_sustitutos!$K$181/12</f>
        <v>21.4117346242267</v>
      </c>
      <c r="N296" s="25" t="n">
        <f aca="false">datos_base!$K$8*parametros_recargas!$P$46+sobrestock_sustitutos!$K$181/12</f>
        <v>21.5304535664721</v>
      </c>
      <c r="O296" s="25" t="n">
        <f aca="false">datos_base!$K$8*parametros_recargas!$Q$46+sobrestock_sustitutos!$K$181/12</f>
        <v>21.6498601954954</v>
      </c>
      <c r="P296" s="7" t="n">
        <f aca="false">SUM(D296:O296)</f>
        <v>252.066833405312</v>
      </c>
      <c r="Q296" s="13" t="n">
        <f aca="false">sobrestock_sustitutos!$K$181</f>
        <v>11</v>
      </c>
    </row>
    <row r="297" customFormat="false" ht="15" hidden="false" customHeight="false" outlineLevel="0" collapsed="false">
      <c r="A297" s="12" t="str">
        <f aca="false">parametros_recargas!A58</f>
        <v>BC 5 kg</v>
      </c>
      <c r="B297" s="12" t="str">
        <f aca="false">parametros_recargas!B58</f>
        <v>BC</v>
      </c>
      <c r="C297" s="24" t="n">
        <f aca="false">parametros_recargas!C58</f>
        <v>1</v>
      </c>
      <c r="D297" s="25" t="n">
        <f aca="false">datos_base!$K$9*parametros_recargas!$F$46+sobrestock_sustitutos!$K$182/12</f>
        <v>11.9976788129262</v>
      </c>
      <c r="E297" s="25" t="n">
        <f aca="false">datos_base!$K$9*parametros_recargas!$G$46+sobrestock_sustitutos!$K$182/12</f>
        <v>12.0628316845415</v>
      </c>
      <c r="F297" s="25" t="n">
        <f aca="false">datos_base!$K$9*parametros_recargas!$H$46+sobrestock_sustitutos!$K$182/12</f>
        <v>12.1283619581746</v>
      </c>
      <c r="G297" s="25" t="n">
        <f aca="false">datos_base!$K$9*parametros_recargas!$I$46+sobrestock_sustitutos!$K$182/12</f>
        <v>12.19427181995</v>
      </c>
      <c r="H297" s="25" t="n">
        <f aca="false">datos_base!$K$9*parametros_recargas!$J$46+sobrestock_sustitutos!$K$182/12</f>
        <v>12.2605634686552</v>
      </c>
      <c r="I297" s="25" t="n">
        <f aca="false">datos_base!$K$9*parametros_recargas!$K$46+sobrestock_sustitutos!$K$182/12</f>
        <v>12.3272391158147</v>
      </c>
      <c r="J297" s="25" t="n">
        <f aca="false">datos_base!$K$9*parametros_recargas!$L$46+sobrestock_sustitutos!$K$182/12</f>
        <v>12.394300985763</v>
      </c>
      <c r="K297" s="25" t="n">
        <f aca="false">datos_base!$K$9*parametros_recargas!$M$46+sobrestock_sustitutos!$K$182/12</f>
        <v>12.4617513157194</v>
      </c>
      <c r="L297" s="25" t="n">
        <f aca="false">datos_base!$K$9*parametros_recargas!$N$46+sobrestock_sustitutos!$K$182/12</f>
        <v>12.5295923558624</v>
      </c>
      <c r="M297" s="25" t="n">
        <f aca="false">datos_base!$K$9*parametros_recargas!$O$46+sobrestock_sustitutos!$K$182/12</f>
        <v>12.5978263694048</v>
      </c>
      <c r="N297" s="25" t="n">
        <f aca="false">datos_base!$K$9*parametros_recargas!$P$46+sobrestock_sustitutos!$K$182/12</f>
        <v>12.6664556326693</v>
      </c>
      <c r="O297" s="25" t="n">
        <f aca="false">datos_base!$K$9*parametros_recargas!$Q$46+sobrestock_sustitutos!$K$182/12</f>
        <v>12.7354824351641</v>
      </c>
      <c r="P297" s="7" t="n">
        <f aca="false">SUM(D297:O297)</f>
        <v>148.356355954645</v>
      </c>
      <c r="Q297" s="13" t="n">
        <f aca="false">sobrestock_sustitutos!$K$182</f>
        <v>9</v>
      </c>
    </row>
    <row r="298" customFormat="false" ht="15" hidden="false" customHeight="false" outlineLevel="0" collapsed="false">
      <c r="A298" s="12" t="str">
        <f aca="false">parametros_recargas!A59</f>
        <v>Sales K 6 l</v>
      </c>
      <c r="B298" s="12" t="str">
        <f aca="false">parametros_recargas!B59</f>
        <v>Sales K</v>
      </c>
      <c r="C298" s="24" t="n">
        <f aca="false">parametros_recargas!C59</f>
        <v>1</v>
      </c>
      <c r="D298" s="25" t="n">
        <f aca="false">datos_base!$K$10*parametros_recargas!$F$46+sobrestock_sustitutos!$K$183/12</f>
        <v>101.45426767297</v>
      </c>
      <c r="E298" s="25" t="n">
        <f aca="false">datos_base!$K$10*parametros_recargas!$G$46+sobrestock_sustitutos!$K$183/12</f>
        <v>102.015881234249</v>
      </c>
      <c r="F298" s="25" t="n">
        <f aca="false">datos_base!$K$10*parametros_recargas!$H$46+sobrestock_sustitutos!$K$183/12</f>
        <v>102.580747976639</v>
      </c>
      <c r="G298" s="25" t="n">
        <f aca="false">datos_base!$K$10*parametros_recargas!$I$46+sobrestock_sustitutos!$K$183/12</f>
        <v>103.148886744392</v>
      </c>
      <c r="H298" s="25" t="n">
        <f aca="false">datos_base!$K$10*parametros_recargas!$J$46+sobrestock_sustitutos!$K$183/12</f>
        <v>103.720316490916</v>
      </c>
      <c r="I298" s="25" t="n">
        <f aca="false">datos_base!$K$10*parametros_recargas!$K$46+sobrestock_sustitutos!$K$183/12</f>
        <v>104.295056279408</v>
      </c>
      <c r="J298" s="25" t="n">
        <f aca="false">datos_base!$K$10*parametros_recargas!$L$46+sobrestock_sustitutos!$K$183/12</f>
        <v>104.873125283489</v>
      </c>
      <c r="K298" s="25" t="n">
        <f aca="false">datos_base!$K$10*parametros_recargas!$M$46+sobrestock_sustitutos!$K$183/12</f>
        <v>105.454542787846</v>
      </c>
      <c r="L298" s="25" t="n">
        <f aca="false">datos_base!$K$10*parametros_recargas!$N$46+sobrestock_sustitutos!$K$183/12</f>
        <v>106.039328188873</v>
      </c>
      <c r="M298" s="25" t="n">
        <f aca="false">datos_base!$K$10*parametros_recargas!$O$46+sobrestock_sustitutos!$K$183/12</f>
        <v>106.627500995319</v>
      </c>
      <c r="N298" s="25" t="n">
        <f aca="false">datos_base!$K$10*parametros_recargas!$P$46+sobrestock_sustitutos!$K$183/12</f>
        <v>107.219080828937</v>
      </c>
      <c r="O298" s="25" t="n">
        <f aca="false">datos_base!$K$10*parametros_recargas!$Q$46+sobrestock_sustitutos!$K$183/12</f>
        <v>107.814087425142</v>
      </c>
      <c r="P298" s="7" t="n">
        <f aca="false">SUM(D298:O298)</f>
        <v>1255.24282190818</v>
      </c>
      <c r="Q298" s="13" t="n">
        <f aca="false">sobrestock_sustitutos!$K$183</f>
        <v>54</v>
      </c>
    </row>
    <row r="299" customFormat="false" ht="15" hidden="false" customHeight="false" outlineLevel="0" collapsed="false">
      <c r="A299" s="12" t="str">
        <f aca="false">parametros_recargas!A60</f>
        <v>CO₂ 2 kg</v>
      </c>
      <c r="B299" s="12" t="str">
        <f aca="false">parametros_recargas!B60</f>
        <v>CO₂</v>
      </c>
      <c r="C299" s="24" t="n">
        <f aca="false">parametros_recargas!C60</f>
        <v>1</v>
      </c>
      <c r="D299" s="25" t="n">
        <f aca="false">datos_base!$K$11*parametros_recargas!$F$46+sobrestock_sustitutos!$K$184/12</f>
        <v>528.896324018307</v>
      </c>
      <c r="E299" s="25" t="n">
        <f aca="false">datos_base!$K$11*parametros_recargas!$G$46+sobrestock_sustitutos!$K$184/12</f>
        <v>531.959988519198</v>
      </c>
      <c r="F299" s="25" t="n">
        <f aca="false">datos_base!$K$11*parametros_recargas!$H$46+sobrestock_sustitutos!$K$184/12</f>
        <v>535.041399485223</v>
      </c>
      <c r="G299" s="25" t="n">
        <f aca="false">datos_base!$K$11*parametros_recargas!$I$46+sobrestock_sustitutos!$K$184/12</f>
        <v>538.140659713874</v>
      </c>
      <c r="H299" s="25" t="n">
        <f aca="false">datos_base!$K$11*parametros_recargas!$J$46+sobrestock_sustitutos!$K$184/12</f>
        <v>541.257872598102</v>
      </c>
      <c r="I299" s="25" t="n">
        <f aca="false">datos_base!$K$11*parametros_recargas!$K$46+sobrestock_sustitutos!$K$184/12</f>
        <v>544.393142129771</v>
      </c>
      <c r="J299" s="25" t="n">
        <f aca="false">datos_base!$K$11*parametros_recargas!$L$46+sobrestock_sustitutos!$K$184/12</f>
        <v>547.546572903122</v>
      </c>
      <c r="K299" s="25" t="n">
        <f aca="false">datos_base!$K$11*parametros_recargas!$M$46+sobrestock_sustitutos!$K$184/12</f>
        <v>550.718270118263</v>
      </c>
      <c r="L299" s="25" t="n">
        <f aca="false">datos_base!$K$11*parametros_recargas!$N$46+sobrestock_sustitutos!$K$184/12</f>
        <v>553.908339584684</v>
      </c>
      <c r="M299" s="25" t="n">
        <f aca="false">datos_base!$K$11*parametros_recargas!$O$46+sobrestock_sustitutos!$K$184/12</f>
        <v>557.11688772478</v>
      </c>
      <c r="N299" s="25" t="n">
        <f aca="false">datos_base!$K$11*parametros_recargas!$P$46+sobrestock_sustitutos!$K$184/12</f>
        <v>560.344021577406</v>
      </c>
      <c r="O299" s="25" t="n">
        <f aca="false">datos_base!$K$11*parametros_recargas!$Q$46+sobrestock_sustitutos!$K$184/12</f>
        <v>563.589848801445</v>
      </c>
      <c r="P299" s="7" t="n">
        <f aca="false">SUM(D299:O299)</f>
        <v>6552.91332717418</v>
      </c>
      <c r="Q299" s="13" t="n">
        <f aca="false">sobrestock_sustitutos!$K$184</f>
        <v>0</v>
      </c>
    </row>
    <row r="300" customFormat="false" ht="15" hidden="false" customHeight="false" outlineLevel="0" collapsed="false">
      <c r="A300" s="12" t="str">
        <f aca="false">parametros_recargas!A61</f>
        <v>CO₂ 5 kg</v>
      </c>
      <c r="B300" s="12" t="str">
        <f aca="false">parametros_recargas!B61</f>
        <v>CO₂</v>
      </c>
      <c r="C300" s="24" t="n">
        <f aca="false">parametros_recargas!C61</f>
        <v>1</v>
      </c>
      <c r="D300" s="25" t="n">
        <f aca="false">datos_base!$K$12*parametros_recargas!$F$46+sobrestock_sustitutos!$K$185/12</f>
        <v>213.335075072168</v>
      </c>
      <c r="E300" s="25" t="n">
        <f aca="false">datos_base!$K$12*parametros_recargas!$G$46+sobrestock_sustitutos!$K$185/12</f>
        <v>214.382090658195</v>
      </c>
      <c r="F300" s="25" t="n">
        <f aca="false">datos_base!$K$12*parametros_recargas!$H$46+sobrestock_sustitutos!$K$185/12</f>
        <v>215.435171146429</v>
      </c>
      <c r="G300" s="25" t="n">
        <f aca="false">datos_base!$K$12*parametros_recargas!$I$46+sobrestock_sustitutos!$K$185/12</f>
        <v>216.494351668188</v>
      </c>
      <c r="H300" s="25" t="n">
        <f aca="false">datos_base!$K$12*parametros_recargas!$J$46+sobrestock_sustitutos!$K$185/12</f>
        <v>217.559667558294</v>
      </c>
      <c r="I300" s="25" t="n">
        <f aca="false">datos_base!$K$12*parametros_recargas!$K$46+sobrestock_sustitutos!$K$185/12</f>
        <v>218.631154356244</v>
      </c>
      <c r="J300" s="25" t="n">
        <f aca="false">datos_base!$K$12*parametros_recargas!$L$46+sobrestock_sustitutos!$K$185/12</f>
        <v>219.708847807401</v>
      </c>
      <c r="K300" s="25" t="n">
        <f aca="false">datos_base!$K$12*parametros_recargas!$M$46+sobrestock_sustitutos!$K$185/12</f>
        <v>220.792783864187</v>
      </c>
      <c r="L300" s="25" t="n">
        <f aca="false">datos_base!$K$12*parametros_recargas!$N$46+sobrestock_sustitutos!$K$185/12</f>
        <v>221.882998687279</v>
      </c>
      <c r="M300" s="25" t="n">
        <f aca="false">datos_base!$K$12*parametros_recargas!$O$46+sobrestock_sustitutos!$K$185/12</f>
        <v>222.979528646817</v>
      </c>
      <c r="N300" s="25" t="n">
        <f aca="false">datos_base!$K$12*parametros_recargas!$P$46+sobrestock_sustitutos!$K$185/12</f>
        <v>224.082410323616</v>
      </c>
      <c r="O300" s="25" t="n">
        <f aca="false">datos_base!$K$12*parametros_recargas!$Q$46+sobrestock_sustitutos!$K$185/12</f>
        <v>225.191680510391</v>
      </c>
      <c r="P300" s="7" t="n">
        <f aca="false">SUM(D300:O300)</f>
        <v>2630.47576029921</v>
      </c>
      <c r="Q300" s="13" t="n">
        <f aca="false">sobrestock_sustitutos!$K$185</f>
        <v>391</v>
      </c>
    </row>
    <row r="301" customFormat="false" ht="15" hidden="false" customHeight="false" outlineLevel="0" collapsed="false">
      <c r="A301" s="12" t="str">
        <f aca="false">parametros_recargas!A62</f>
        <v>HCFC/HFC 5 kg</v>
      </c>
      <c r="B301" s="12" t="str">
        <f aca="false">parametros_recargas!B62</f>
        <v>Halogenado</v>
      </c>
      <c r="C301" s="24" t="n">
        <f aca="false">parametros_recargas!C62</f>
        <v>1</v>
      </c>
      <c r="D301" s="25" t="n">
        <f aca="false">datos_base!$K$13*parametros_recargas!$F$46+sobrestock_sustitutos!$K$186/12</f>
        <v>31.0071534171636</v>
      </c>
      <c r="E301" s="25" t="n">
        <f aca="false">datos_base!$K$13*parametros_recargas!$G$46+sobrestock_sustitutos!$K$186/12</f>
        <v>31.1785581324258</v>
      </c>
      <c r="F301" s="25" t="n">
        <f aca="false">datos_base!$K$13*parametros_recargas!$H$46+sobrestock_sustitutos!$K$186/12</f>
        <v>31.350955720048</v>
      </c>
      <c r="G301" s="25" t="n">
        <f aca="false">datos_base!$K$13*parametros_recargas!$I$46+sobrestock_sustitutos!$K$186/12</f>
        <v>31.5243519313044</v>
      </c>
      <c r="H301" s="25" t="n">
        <f aca="false">datos_base!$K$13*parametros_recargas!$J$46+sobrestock_sustitutos!$K$186/12</f>
        <v>31.698752550784</v>
      </c>
      <c r="I301" s="25" t="n">
        <f aca="false">datos_base!$K$13*parametros_recargas!$K$46+sobrestock_sustitutos!$K$186/12</f>
        <v>31.8741633965831</v>
      </c>
      <c r="J301" s="25" t="n">
        <f aca="false">datos_base!$K$13*parametros_recargas!$L$46+sobrestock_sustitutos!$K$186/12</f>
        <v>32.0505903204998</v>
      </c>
      <c r="K301" s="25" t="n">
        <f aca="false">datos_base!$K$13*parametros_recargas!$M$46+sobrestock_sustitutos!$K$186/12</f>
        <v>32.2280392082293</v>
      </c>
      <c r="L301" s="25" t="n">
        <f aca="false">datos_base!$K$13*parametros_recargas!$N$46+sobrestock_sustitutos!$K$186/12</f>
        <v>32.4065159795597</v>
      </c>
      <c r="M301" s="25" t="n">
        <f aca="false">datos_base!$K$13*parametros_recargas!$O$46+sobrestock_sustitutos!$K$186/12</f>
        <v>32.58602658857</v>
      </c>
      <c r="N301" s="25" t="n">
        <f aca="false">datos_base!$K$13*parametros_recargas!$P$46+sobrestock_sustitutos!$K$186/12</f>
        <v>32.7665770238287</v>
      </c>
      <c r="O301" s="25" t="n">
        <f aca="false">datos_base!$K$13*parametros_recargas!$Q$46+sobrestock_sustitutos!$K$186/12</f>
        <v>32.9481733085932</v>
      </c>
      <c r="P301" s="7" t="n">
        <f aca="false">SUM(D301:O301)</f>
        <v>383.61985757759</v>
      </c>
      <c r="Q301" s="13" t="n">
        <f aca="false">sobrestock_sustitutos!$K$186</f>
        <v>17</v>
      </c>
    </row>
    <row r="302" customFormat="false" ht="15" hidden="false" customHeight="false" outlineLevel="0" collapsed="false">
      <c r="A302" s="12" t="str">
        <f aca="false">parametros_recargas!A63</f>
        <v>Clase D 9 l</v>
      </c>
      <c r="B302" s="12" t="str">
        <f aca="false">parametros_recargas!B63</f>
        <v>Clase D</v>
      </c>
      <c r="C302" s="24" t="n">
        <f aca="false">parametros_recargas!C63</f>
        <v>1</v>
      </c>
      <c r="D302" s="25" t="n">
        <f aca="false">datos_base!$K$14*parametros_recargas!$F$46+sobrestock_sustitutos!$K$187/12</f>
        <v>10.8257647939677</v>
      </c>
      <c r="E302" s="25" t="n">
        <f aca="false">datos_base!$K$14*parametros_recargas!$G$46+sobrestock_sustitutos!$K$187/12</f>
        <v>10.8846119949791</v>
      </c>
      <c r="F302" s="25" t="n">
        <f aca="false">datos_base!$K$14*parametros_recargas!$H$46+sobrestock_sustitutos!$K$187/12</f>
        <v>10.9438000720233</v>
      </c>
      <c r="G302" s="25" t="n">
        <f aca="false">datos_base!$K$14*parametros_recargas!$I$46+sobrestock_sustitutos!$K$187/12</f>
        <v>11.0033309996457</v>
      </c>
      <c r="H302" s="25" t="n">
        <f aca="false">datos_base!$K$14*parametros_recargas!$J$46+sobrestock_sustitutos!$K$187/12</f>
        <v>11.0632067638295</v>
      </c>
      <c r="I302" s="25" t="n">
        <f aca="false">datos_base!$K$14*parametros_recargas!$K$46+sobrestock_sustitutos!$K$187/12</f>
        <v>11.1234293620615</v>
      </c>
      <c r="J302" s="25" t="n">
        <f aca="false">datos_base!$K$14*parametros_recargas!$L$46+sobrestock_sustitutos!$K$187/12</f>
        <v>11.1840008033994</v>
      </c>
      <c r="K302" s="25" t="n">
        <f aca="false">datos_base!$K$14*parametros_recargas!$M$46+sobrestock_sustitutos!$K$187/12</f>
        <v>11.2449231085384</v>
      </c>
      <c r="L302" s="25" t="n">
        <f aca="false">datos_base!$K$14*parametros_recargas!$N$46+sobrestock_sustitutos!$K$187/12</f>
        <v>11.3061983098785</v>
      </c>
      <c r="M302" s="25" t="n">
        <f aca="false">datos_base!$K$14*parametros_recargas!$O$46+sobrestock_sustitutos!$K$187/12</f>
        <v>11.3678284515928</v>
      </c>
      <c r="N302" s="25" t="n">
        <f aca="false">datos_base!$K$14*parametros_recargas!$P$46+sobrestock_sustitutos!$K$187/12</f>
        <v>11.4298155896952</v>
      </c>
      <c r="O302" s="25" t="n">
        <f aca="false">datos_base!$K$14*parametros_recargas!$Q$46+sobrestock_sustitutos!$K$187/12</f>
        <v>11.4921617921092</v>
      </c>
      <c r="P302" s="7" t="n">
        <f aca="false">SUM(D302:O302)</f>
        <v>133.86907204172</v>
      </c>
      <c r="Q302" s="13" t="n">
        <f aca="false">sobrestock_sustitutos!$K$187</f>
        <v>8</v>
      </c>
    </row>
    <row r="303" customFormat="false" ht="15" hidden="false" customHeight="false" outlineLevel="0" collapsed="false">
      <c r="A303" s="12" t="str">
        <f aca="false">parametros_recargas!A64</f>
        <v>ABC 25 kg s/ruedas</v>
      </c>
      <c r="B303" s="12" t="str">
        <f aca="false">parametros_recargas!B64</f>
        <v>ABC</v>
      </c>
      <c r="C303" s="24" t="n">
        <f aca="false">parametros_recargas!C64</f>
        <v>3</v>
      </c>
      <c r="D303" s="25" t="n">
        <f aca="false">datos_base!$K$15*parametros_recargas!$F$46+sobrestock_sustitutos!$K$188/12</f>
        <v>24.2397253859377</v>
      </c>
      <c r="E303" s="25" t="n">
        <f aca="false">datos_base!$K$15*parametros_recargas!$G$46+sobrestock_sustitutos!$K$188/12</f>
        <v>24.3801354867529</v>
      </c>
      <c r="F303" s="25" t="n">
        <f aca="false">datos_base!$K$15*parametros_recargas!$H$46+sobrestock_sustitutos!$K$188/12</f>
        <v>24.5213589217169</v>
      </c>
      <c r="G303" s="25" t="n">
        <f aca="false">datos_base!$K$15*parametros_recargas!$I$46+sobrestock_sustitutos!$K$188/12</f>
        <v>24.6634004021176</v>
      </c>
      <c r="H303" s="25" t="n">
        <f aca="false">datos_base!$K$15*parametros_recargas!$J$46+sobrestock_sustitutos!$K$188/12</f>
        <v>24.8062646665336</v>
      </c>
      <c r="I303" s="25" t="n">
        <f aca="false">datos_base!$K$15*parametros_recargas!$K$46+sobrestock_sustitutos!$K$188/12</f>
        <v>24.949956480992</v>
      </c>
      <c r="J303" s="25" t="n">
        <f aca="false">datos_base!$K$15*parametros_recargas!$L$46+sobrestock_sustitutos!$K$188/12</f>
        <v>25.0944806391272</v>
      </c>
      <c r="K303" s="25" t="n">
        <f aca="false">datos_base!$K$15*parametros_recargas!$M$46+sobrestock_sustitutos!$K$188/12</f>
        <v>25.2398419623413</v>
      </c>
      <c r="L303" s="25" t="n">
        <f aca="false">datos_base!$K$15*parametros_recargas!$N$46+sobrestock_sustitutos!$K$188/12</f>
        <v>25.3860452999645</v>
      </c>
      <c r="M303" s="25" t="n">
        <f aca="false">datos_base!$K$15*parametros_recargas!$O$46+sobrestock_sustitutos!$K$188/12</f>
        <v>25.533095529417</v>
      </c>
      <c r="N303" s="25" t="n">
        <f aca="false">datos_base!$K$15*parametros_recargas!$P$46+sobrestock_sustitutos!$K$188/12</f>
        <v>25.680997556372</v>
      </c>
      <c r="O303" s="25" t="n">
        <f aca="false">datos_base!$K$15*parametros_recargas!$Q$46+sobrestock_sustitutos!$K$188/12</f>
        <v>25.8297563149187</v>
      </c>
      <c r="P303" s="7" t="n">
        <f aca="false">SUM(D303:O303)</f>
        <v>300.325058646191</v>
      </c>
      <c r="Q303" s="13" t="n">
        <f aca="false">sobrestock_sustitutos!$K$188</f>
        <v>0</v>
      </c>
    </row>
    <row r="304" customFormat="false" ht="15" hidden="false" customHeight="false" outlineLevel="0" collapsed="false">
      <c r="A304" s="12" t="str">
        <f aca="false">parametros_recargas!A65</f>
        <v>ABC 50 kg s/ruedas</v>
      </c>
      <c r="B304" s="12" t="str">
        <f aca="false">parametros_recargas!B65</f>
        <v>ABC</v>
      </c>
      <c r="C304" s="24" t="n">
        <f aca="false">parametros_recargas!C65</f>
        <v>3</v>
      </c>
      <c r="D304" s="25" t="n">
        <f aca="false">datos_base!$K$16*parametros_recargas!$F$46+sobrestock_sustitutos!$K$189/12</f>
        <v>58.4940624831599</v>
      </c>
      <c r="E304" s="25" t="n">
        <f aca="false">datos_base!$K$16*parametros_recargas!$G$46+sobrestock_sustitutos!$K$189/12</f>
        <v>58.8029647047648</v>
      </c>
      <c r="F304" s="25" t="n">
        <f aca="false">datos_base!$K$16*parametros_recargas!$H$46+sobrestock_sustitutos!$K$189/12</f>
        <v>59.1136562614957</v>
      </c>
      <c r="G304" s="25" t="n">
        <f aca="false">datos_base!$K$16*parametros_recargas!$I$46+sobrestock_sustitutos!$K$189/12</f>
        <v>59.4261475181864</v>
      </c>
      <c r="H304" s="25" t="n">
        <f aca="false">datos_base!$K$16*parametros_recargas!$J$46+sobrestock_sustitutos!$K$189/12</f>
        <v>59.7404488997097</v>
      </c>
      <c r="I304" s="25" t="n">
        <f aca="false">datos_base!$K$16*parametros_recargas!$K$46+sobrestock_sustitutos!$K$189/12</f>
        <v>60.056570891325</v>
      </c>
      <c r="J304" s="25" t="n">
        <f aca="false">datos_base!$K$16*parametros_recargas!$L$46+sobrestock_sustitutos!$K$189/12</f>
        <v>60.3745240390284</v>
      </c>
      <c r="K304" s="25" t="n">
        <f aca="false">datos_base!$K$16*parametros_recargas!$M$46+sobrestock_sustitutos!$K$189/12</f>
        <v>60.6943189499041</v>
      </c>
      <c r="L304" s="25" t="n">
        <f aca="false">datos_base!$K$16*parametros_recargas!$N$46+sobrestock_sustitutos!$K$189/12</f>
        <v>61.0159662924787</v>
      </c>
      <c r="M304" s="25" t="n">
        <f aca="false">datos_base!$K$16*parametros_recargas!$O$46+sobrestock_sustitutos!$K$189/12</f>
        <v>61.3394767970767</v>
      </c>
      <c r="N304" s="25" t="n">
        <f aca="false">datos_base!$K$16*parametros_recargas!$P$46+sobrestock_sustitutos!$K$189/12</f>
        <v>61.6648612561788</v>
      </c>
      <c r="O304" s="25" t="n">
        <f aca="false">datos_base!$K$16*parametros_recargas!$Q$46+sobrestock_sustitutos!$K$189/12</f>
        <v>61.9921305247818</v>
      </c>
      <c r="P304" s="7" t="n">
        <f aca="false">SUM(D304:O304)</f>
        <v>722.71512861809</v>
      </c>
      <c r="Q304" s="13" t="n">
        <f aca="false">sobrestock_sustitutos!$K$189</f>
        <v>62</v>
      </c>
    </row>
    <row r="305" customFormat="false" ht="15" hidden="false" customHeight="false" outlineLevel="0" collapsed="false">
      <c r="A305" s="12" t="str">
        <f aca="false">parametros_recargas!A66</f>
        <v>ABC 70 kg s/ruedas</v>
      </c>
      <c r="B305" s="12" t="str">
        <f aca="false">parametros_recargas!B66</f>
        <v>ABC</v>
      </c>
      <c r="C305" s="24" t="n">
        <f aca="false">parametros_recargas!C66</f>
        <v>3</v>
      </c>
      <c r="D305" s="25" t="n">
        <f aca="false">datos_base!$K$17*parametros_recargas!$F$46+sobrestock_sustitutos!$K$190/12</f>
        <v>11.6350681861806</v>
      </c>
      <c r="E305" s="25" t="n">
        <f aca="false">datos_base!$K$17*parametros_recargas!$G$46+sobrestock_sustitutos!$K$190/12</f>
        <v>11.7024650345774</v>
      </c>
      <c r="F305" s="25" t="n">
        <f aca="false">datos_base!$K$17*parametros_recargas!$H$46+sobrestock_sustitutos!$K$190/12</f>
        <v>11.7702522833655</v>
      </c>
      <c r="G305" s="25" t="n">
        <f aca="false">datos_base!$K$17*parametros_recargas!$I$46+sobrestock_sustitutos!$K$190/12</f>
        <v>11.8384321939633</v>
      </c>
      <c r="H305" s="25" t="n">
        <f aca="false">datos_base!$K$17*parametros_recargas!$J$46+sobrestock_sustitutos!$K$190/12</f>
        <v>11.9070070408884</v>
      </c>
      <c r="I305" s="25" t="n">
        <f aca="false">datos_base!$K$17*parametros_recargas!$K$46+sobrestock_sustitutos!$K$190/12</f>
        <v>11.975979111834</v>
      </c>
      <c r="J305" s="25" t="n">
        <f aca="false">datos_base!$K$17*parametros_recargas!$L$46+sobrestock_sustitutos!$K$190/12</f>
        <v>12.0453507077444</v>
      </c>
      <c r="K305" s="25" t="n">
        <f aca="false">datos_base!$K$17*parametros_recargas!$M$46+sobrestock_sustitutos!$K$190/12</f>
        <v>12.1151241428928</v>
      </c>
      <c r="L305" s="25" t="n">
        <f aca="false">datos_base!$K$17*parametros_recargas!$N$46+sobrestock_sustitutos!$K$190/12</f>
        <v>12.1853017449575</v>
      </c>
      <c r="M305" s="25" t="n">
        <f aca="false">datos_base!$K$17*parametros_recargas!$O$46+sobrestock_sustitutos!$K$190/12</f>
        <v>12.2558858551004</v>
      </c>
      <c r="N305" s="25" t="n">
        <f aca="false">datos_base!$K$17*parametros_recargas!$P$46+sobrestock_sustitutos!$K$190/12</f>
        <v>12.3268788280444</v>
      </c>
      <c r="O305" s="25" t="n">
        <f aca="false">datos_base!$K$17*parametros_recargas!$Q$46+sobrestock_sustitutos!$K$190/12</f>
        <v>12.3982830321526</v>
      </c>
      <c r="P305" s="7" t="n">
        <f aca="false">SUM(D305:O305)</f>
        <v>144.156028161701</v>
      </c>
      <c r="Q305" s="13" t="n">
        <f aca="false">sobrestock_sustitutos!$K$190</f>
        <v>0</v>
      </c>
    </row>
    <row r="306" customFormat="false" ht="15" hidden="false" customHeight="false" outlineLevel="0" collapsed="false">
      <c r="A306" s="12" t="str">
        <f aca="false">parametros_recargas!A67</f>
        <v>ABC 100 kg s/ruedas</v>
      </c>
      <c r="B306" s="12" t="str">
        <f aca="false">parametros_recargas!B67</f>
        <v>ABC</v>
      </c>
      <c r="C306" s="24" t="n">
        <f aca="false">parametros_recargas!C67</f>
        <v>3</v>
      </c>
      <c r="D306" s="25" t="n">
        <f aca="false">datos_base!$K$18*parametros_recargas!$F$46+sobrestock_sustitutos!$K$191/12</f>
        <v>9.09004544194441</v>
      </c>
      <c r="E306" s="25" t="n">
        <f aca="false">datos_base!$K$18*parametros_recargas!$G$46+sobrestock_sustitutos!$K$191/12</f>
        <v>9.13497667411904</v>
      </c>
      <c r="F306" s="25" t="n">
        <f aca="false">datos_base!$K$18*parametros_recargas!$H$46+sobrestock_sustitutos!$K$191/12</f>
        <v>9.18016817322076</v>
      </c>
      <c r="G306" s="25" t="n">
        <f aca="false">datos_base!$K$18*parametros_recargas!$I$46+sobrestock_sustitutos!$K$191/12</f>
        <v>9.22562144686174</v>
      </c>
      <c r="H306" s="25" t="n">
        <f aca="false">datos_base!$K$18*parametros_recargas!$J$46+sobrestock_sustitutos!$K$191/12</f>
        <v>9.27133801138711</v>
      </c>
      <c r="I306" s="25" t="n">
        <f aca="false">datos_base!$K$18*parametros_recargas!$K$46+sobrestock_sustitutos!$K$191/12</f>
        <v>9.31731939192553</v>
      </c>
      <c r="J306" s="25" t="n">
        <f aca="false">datos_base!$K$18*parametros_recargas!$L$46+sobrestock_sustitutos!$K$191/12</f>
        <v>9.36356712244004</v>
      </c>
      <c r="K306" s="25" t="n">
        <f aca="false">datos_base!$K$18*parametros_recargas!$M$46+sobrestock_sustitutos!$K$191/12</f>
        <v>9.41008274577926</v>
      </c>
      <c r="L306" s="25" t="n">
        <f aca="false">datos_base!$K$18*parametros_recargas!$N$46+sobrestock_sustitutos!$K$191/12</f>
        <v>9.45686781372887</v>
      </c>
      <c r="M306" s="25" t="n">
        <f aca="false">datos_base!$K$18*parametros_recargas!$O$46+sobrestock_sustitutos!$K$191/12</f>
        <v>9.50392388706336</v>
      </c>
      <c r="N306" s="25" t="n">
        <f aca="false">datos_base!$K$18*parametros_recargas!$P$46+sobrestock_sustitutos!$K$191/12</f>
        <v>9.55125253559809</v>
      </c>
      <c r="O306" s="25" t="n">
        <f aca="false">datos_base!$K$18*parametros_recargas!$Q$46+sobrestock_sustitutos!$K$191/12</f>
        <v>9.59885533824168</v>
      </c>
      <c r="P306" s="7" t="n">
        <f aca="false">SUM(D306:O306)</f>
        <v>112.10401858231</v>
      </c>
      <c r="Q306" s="13" t="n">
        <f aca="false">sobrestock_sustitutos!$K$191</f>
        <v>16</v>
      </c>
    </row>
    <row r="307" customFormat="false" ht="15" hidden="false" customHeight="false" outlineLevel="0" collapsed="false">
      <c r="A307" s="6" t="s">
        <v>273</v>
      </c>
      <c r="D307" s="7" t="n">
        <f aca="false">SUM(D290:D306)</f>
        <v>8900.82482456239</v>
      </c>
      <c r="E307" s="7" t="n">
        <f aca="false">SUM(E290:E306)</f>
        <v>8950.94250036257</v>
      </c>
      <c r="F307" s="7" t="n">
        <f aca="false">SUM(F290:F306)</f>
        <v>9001.35048588367</v>
      </c>
      <c r="G307" s="7" t="n">
        <f aca="false">SUM(G290:G306)</f>
        <v>9052.05046276259</v>
      </c>
      <c r="H307" s="7" t="n">
        <f aca="false">SUM(H290:H306)</f>
        <v>9103.04412237726</v>
      </c>
      <c r="I307" s="7" t="n">
        <f aca="false">SUM(I290:I306)</f>
        <v>9154.33316590298</v>
      </c>
      <c r="J307" s="7" t="n">
        <f aca="false">SUM(J290:J306)</f>
        <v>9205.91930436924</v>
      </c>
      <c r="K307" s="7" t="n">
        <f aca="false">SUM(K290:K306)</f>
        <v>9257.80425871676</v>
      </c>
      <c r="L307" s="7" t="n">
        <f aca="false">SUM(L290:L306)</f>
        <v>9309.98975985492</v>
      </c>
      <c r="M307" s="7" t="n">
        <f aca="false">SUM(M290:M306)</f>
        <v>9362.4775487195</v>
      </c>
      <c r="N307" s="7" t="n">
        <f aca="false">SUM(N290:N306)</f>
        <v>9415.26937633075</v>
      </c>
      <c r="O307" s="7" t="n">
        <f aca="false">SUM(O290:O306)</f>
        <v>9468.36700385182</v>
      </c>
      <c r="P307" s="7" t="n">
        <f aca="false">SUM(P290:P306)</f>
        <v>110182.372813694</v>
      </c>
    </row>
    <row r="308" customFormat="false" ht="15" hidden="false" customHeight="false" outlineLevel="0" collapsed="false">
      <c r="A308" s="6" t="s">
        <v>274</v>
      </c>
    </row>
    <row r="309" customFormat="false" ht="15" hidden="false" customHeight="false" outlineLevel="0" collapsed="false">
      <c r="A309" s="4" t="s">
        <v>143</v>
      </c>
      <c r="D309" s="25" t="n">
        <f aca="false">SUMPRODUCT(($B$290:$B$306=$A309)*D$290:D$306*$C$290:$C$306)</f>
        <v>7945.09361483395</v>
      </c>
      <c r="E309" s="25" t="n">
        <f aca="false">SUMPRODUCT(($B$290:$B$306=$A309)*E$290:E$306*$C$290:$C$306)</f>
        <v>7989.8991378397</v>
      </c>
      <c r="F309" s="25" t="n">
        <f aca="false">SUMPRODUCT(($B$290:$B$306=$A309)*F$290:F$306*$C$290:$C$306)</f>
        <v>8034.96419959442</v>
      </c>
      <c r="G309" s="25" t="n">
        <f aca="false">SUMPRODUCT(($B$290:$B$306=$A309)*G$290:G$306*$C$290:$C$306)</f>
        <v>8080.2903034923</v>
      </c>
      <c r="H309" s="25" t="n">
        <f aca="false">SUMPRODUCT(($B$290:$B$306=$A309)*H$290:H$306*$C$290:$C$306)</f>
        <v>8125.87896163601</v>
      </c>
      <c r="I309" s="25" t="n">
        <f aca="false">SUMPRODUCT(($B$290:$B$306=$A309)*I$290:I$306*$C$290:$C$306)</f>
        <v>8171.73169488718</v>
      </c>
      <c r="J309" s="25" t="n">
        <f aca="false">SUMPRODUCT(($B$290:$B$306=$A309)*J$290:J$306*$C$290:$C$306)</f>
        <v>8217.85003291711</v>
      </c>
      <c r="K309" s="25" t="n">
        <f aca="false">SUMPRODUCT(($B$290:$B$306=$A309)*K$290:K$306*$C$290:$C$306)</f>
        <v>8264.23551425783</v>
      </c>
      <c r="L309" s="25" t="n">
        <f aca="false">SUMPRODUCT(($B$290:$B$306=$A309)*L$290:L$306*$C$290:$C$306)</f>
        <v>8310.88968635341</v>
      </c>
      <c r="M309" s="25" t="n">
        <f aca="false">SUMPRODUCT(($B$290:$B$306=$A309)*M$290:M$306*$C$290:$C$306)</f>
        <v>8357.81410561157</v>
      </c>
      <c r="N309" s="25" t="n">
        <f aca="false">SUMPRODUCT(($B$290:$B$306=$A309)*N$290:N$306*$C$290:$C$306)</f>
        <v>8405.01033745563</v>
      </c>
      <c r="O309" s="25" t="n">
        <f aca="false">SUMPRODUCT(($B$290:$B$306=$A309)*O$290:O$306*$C$290:$C$306)</f>
        <v>8452.47995637673</v>
      </c>
      <c r="P309" s="25" t="n">
        <f aca="false">SUMPRODUCT(($B$290:$B$306=$A309)*P$290:P$306*$C$290:$C$306)</f>
        <v>98356.1375452558</v>
      </c>
    </row>
    <row r="310" customFormat="false" ht="15" hidden="false" customHeight="false" outlineLevel="0" collapsed="false">
      <c r="A310" s="4" t="s">
        <v>149</v>
      </c>
      <c r="D310" s="25" t="n">
        <f aca="false">SUMPRODUCT(($B$290:$B$306=$A310)*D$290:D$306*$C$290:$C$306)</f>
        <v>11.9976788129262</v>
      </c>
      <c r="E310" s="25" t="n">
        <f aca="false">SUMPRODUCT(($B$290:$B$306=$A310)*E$290:E$306*$C$290:$C$306)</f>
        <v>12.0628316845415</v>
      </c>
      <c r="F310" s="25" t="n">
        <f aca="false">SUMPRODUCT(($B$290:$B$306=$A310)*F$290:F$306*$C$290:$C$306)</f>
        <v>12.1283619581746</v>
      </c>
      <c r="G310" s="25" t="n">
        <f aca="false">SUMPRODUCT(($B$290:$B$306=$A310)*G$290:G$306*$C$290:$C$306)</f>
        <v>12.19427181995</v>
      </c>
      <c r="H310" s="25" t="n">
        <f aca="false">SUMPRODUCT(($B$290:$B$306=$A310)*H$290:H$306*$C$290:$C$306)</f>
        <v>12.2605634686552</v>
      </c>
      <c r="I310" s="25" t="n">
        <f aca="false">SUMPRODUCT(($B$290:$B$306=$A310)*I$290:I$306*$C$290:$C$306)</f>
        <v>12.3272391158147</v>
      </c>
      <c r="J310" s="25" t="n">
        <f aca="false">SUMPRODUCT(($B$290:$B$306=$A310)*J$290:J$306*$C$290:$C$306)</f>
        <v>12.394300985763</v>
      </c>
      <c r="K310" s="25" t="n">
        <f aca="false">SUMPRODUCT(($B$290:$B$306=$A310)*K$290:K$306*$C$290:$C$306)</f>
        <v>12.4617513157194</v>
      </c>
      <c r="L310" s="25" t="n">
        <f aca="false">SUMPRODUCT(($B$290:$B$306=$A310)*L$290:L$306*$C$290:$C$306)</f>
        <v>12.5295923558624</v>
      </c>
      <c r="M310" s="25" t="n">
        <f aca="false">SUMPRODUCT(($B$290:$B$306=$A310)*M$290:M$306*$C$290:$C$306)</f>
        <v>12.5978263694048</v>
      </c>
      <c r="N310" s="25" t="n">
        <f aca="false">SUMPRODUCT(($B$290:$B$306=$A310)*N$290:N$306*$C$290:$C$306)</f>
        <v>12.6664556326693</v>
      </c>
      <c r="O310" s="25" t="n">
        <f aca="false">SUMPRODUCT(($B$290:$B$306=$A310)*O$290:O$306*$C$290:$C$306)</f>
        <v>12.7354824351641</v>
      </c>
      <c r="P310" s="25" t="n">
        <f aca="false">SUMPRODUCT(($B$290:$B$306=$A310)*P$290:P$306*$C$290:$C$306)</f>
        <v>148.356355954645</v>
      </c>
    </row>
    <row r="311" customFormat="false" ht="15" hidden="false" customHeight="false" outlineLevel="0" collapsed="false">
      <c r="A311" s="4" t="s">
        <v>155</v>
      </c>
      <c r="D311" s="25" t="n">
        <f aca="false">SUMPRODUCT(($B$290:$B$306=$A311)*D$290:D$306*$C$290:$C$306)</f>
        <v>10.8257647939677</v>
      </c>
      <c r="E311" s="25" t="n">
        <f aca="false">SUMPRODUCT(($B$290:$B$306=$A311)*E$290:E$306*$C$290:$C$306)</f>
        <v>10.8846119949791</v>
      </c>
      <c r="F311" s="25" t="n">
        <f aca="false">SUMPRODUCT(($B$290:$B$306=$A311)*F$290:F$306*$C$290:$C$306)</f>
        <v>10.9438000720233</v>
      </c>
      <c r="G311" s="25" t="n">
        <f aca="false">SUMPRODUCT(($B$290:$B$306=$A311)*G$290:G$306*$C$290:$C$306)</f>
        <v>11.0033309996457</v>
      </c>
      <c r="H311" s="25" t="n">
        <f aca="false">SUMPRODUCT(($B$290:$B$306=$A311)*H$290:H$306*$C$290:$C$306)</f>
        <v>11.0632067638295</v>
      </c>
      <c r="I311" s="25" t="n">
        <f aca="false">SUMPRODUCT(($B$290:$B$306=$A311)*I$290:I$306*$C$290:$C$306)</f>
        <v>11.1234293620615</v>
      </c>
      <c r="J311" s="25" t="n">
        <f aca="false">SUMPRODUCT(($B$290:$B$306=$A311)*J$290:J$306*$C$290:$C$306)</f>
        <v>11.1840008033994</v>
      </c>
      <c r="K311" s="25" t="n">
        <f aca="false">SUMPRODUCT(($B$290:$B$306=$A311)*K$290:K$306*$C$290:$C$306)</f>
        <v>11.2449231085384</v>
      </c>
      <c r="L311" s="25" t="n">
        <f aca="false">SUMPRODUCT(($B$290:$B$306=$A311)*L$290:L$306*$C$290:$C$306)</f>
        <v>11.3061983098785</v>
      </c>
      <c r="M311" s="25" t="n">
        <f aca="false">SUMPRODUCT(($B$290:$B$306=$A311)*M$290:M$306*$C$290:$C$306)</f>
        <v>11.3678284515928</v>
      </c>
      <c r="N311" s="25" t="n">
        <f aca="false">SUMPRODUCT(($B$290:$B$306=$A311)*N$290:N$306*$C$290:$C$306)</f>
        <v>11.4298155896952</v>
      </c>
      <c r="O311" s="25" t="n">
        <f aca="false">SUMPRODUCT(($B$290:$B$306=$A311)*O$290:O$306*$C$290:$C$306)</f>
        <v>11.4921617921092</v>
      </c>
      <c r="P311" s="25" t="n">
        <f aca="false">SUMPRODUCT(($B$290:$B$306=$A311)*P$290:P$306*$C$290:$C$306)</f>
        <v>133.86907204172</v>
      </c>
    </row>
    <row r="312" customFormat="false" ht="15" hidden="false" customHeight="false" outlineLevel="0" collapsed="false">
      <c r="A312" s="4" t="s">
        <v>146</v>
      </c>
      <c r="D312" s="25" t="n">
        <f aca="false">SUMPRODUCT(($B$290:$B$306=$A312)*D$290:D$306*$C$290:$C$306)</f>
        <v>205.68339782637</v>
      </c>
      <c r="E312" s="25" t="n">
        <f aca="false">SUMPRODUCT(($B$290:$B$306=$A312)*E$290:E$306*$C$290:$C$306)</f>
        <v>206.822215797128</v>
      </c>
      <c r="F312" s="25" t="n">
        <f aca="false">SUMPRODUCT(($B$290:$B$306=$A312)*F$290:F$306*$C$290:$C$306)</f>
        <v>207.967630441056</v>
      </c>
      <c r="G312" s="25" t="n">
        <f aca="false">SUMPRODUCT(($B$290:$B$306=$A312)*G$290:G$306*$C$290:$C$306)</f>
        <v>209.119679969788</v>
      </c>
      <c r="H312" s="25" t="n">
        <f aca="false">SUMPRODUCT(($B$290:$B$306=$A312)*H$290:H$306*$C$290:$C$306)</f>
        <v>210.278402816303</v>
      </c>
      <c r="I312" s="25" t="n">
        <f aca="false">SUMPRODUCT(($B$290:$B$306=$A312)*I$290:I$306*$C$290:$C$306)</f>
        <v>211.443837636205</v>
      </c>
      <c r="J312" s="25" t="n">
        <f aca="false">SUMPRODUCT(($B$290:$B$306=$A312)*J$290:J$306*$C$290:$C$306)</f>
        <v>212.616023309013</v>
      </c>
      <c r="K312" s="25" t="n">
        <f aca="false">SUMPRODUCT(($B$290:$B$306=$A312)*K$290:K$306*$C$290:$C$306)</f>
        <v>213.794998939458</v>
      </c>
      <c r="L312" s="25" t="n">
        <f aca="false">SUMPRODUCT(($B$290:$B$306=$A312)*L$290:L$306*$C$290:$C$306)</f>
        <v>214.980803858786</v>
      </c>
      <c r="M312" s="25" t="n">
        <f aca="false">SUMPRODUCT(($B$290:$B$306=$A312)*M$290:M$306*$C$290:$C$306)</f>
        <v>216.173477626074</v>
      </c>
      <c r="N312" s="25" t="n">
        <f aca="false">SUMPRODUCT(($B$290:$B$306=$A312)*N$290:N$306*$C$290:$C$306)</f>
        <v>217.373060029548</v>
      </c>
      <c r="O312" s="25" t="n">
        <f aca="false">SUMPRODUCT(($B$290:$B$306=$A312)*O$290:O$306*$C$290:$C$306)</f>
        <v>218.579591087905</v>
      </c>
      <c r="P312" s="25" t="n">
        <f aca="false">SUMPRODUCT(($B$290:$B$306=$A312)*P$290:P$306*$C$290:$C$306)</f>
        <v>2544.83311933763</v>
      </c>
    </row>
    <row r="313" customFormat="false" ht="15" hidden="false" customHeight="false" outlineLevel="0" collapsed="false">
      <c r="A313" s="4" t="s">
        <v>147</v>
      </c>
      <c r="D313" s="25" t="n">
        <f aca="false">SUMPRODUCT(($B$290:$B$306=$A313)*D$290:D$306*$C$290:$C$306)</f>
        <v>100.196479166917</v>
      </c>
      <c r="E313" s="25" t="n">
        <f aca="false">SUMPRODUCT(($B$290:$B$306=$A313)*E$290:E$306*$C$290:$C$306)</f>
        <v>100.750806910881</v>
      </c>
      <c r="F313" s="25" t="n">
        <f aca="false">SUMPRODUCT(($B$290:$B$306=$A313)*F$290:F$306*$C$290:$C$306)</f>
        <v>101.308345632411</v>
      </c>
      <c r="G313" s="25" t="n">
        <f aca="false">SUMPRODUCT(($B$290:$B$306=$A313)*G$290:G$306*$C$290:$C$306)</f>
        <v>101.869113931292</v>
      </c>
      <c r="H313" s="25" t="n">
        <f aca="false">SUMPRODUCT(($B$290:$B$306=$A313)*H$290:H$306*$C$290:$C$306)</f>
        <v>102.433130515049</v>
      </c>
      <c r="I313" s="25" t="n">
        <f aca="false">SUMPRODUCT(($B$290:$B$306=$A313)*I$290:I$306*$C$290:$C$306)</f>
        <v>103.000414199572</v>
      </c>
      <c r="J313" s="25" t="n">
        <f aca="false">SUMPRODUCT(($B$290:$B$306=$A313)*J$290:J$306*$C$290:$C$306)</f>
        <v>103.570983909744</v>
      </c>
      <c r="K313" s="25" t="n">
        <f aca="false">SUMPRODUCT(($B$290:$B$306=$A313)*K$290:K$306*$C$290:$C$306)</f>
        <v>104.144858680071</v>
      </c>
      <c r="L313" s="25" t="n">
        <f aca="false">SUMPRODUCT(($B$290:$B$306=$A313)*L$290:L$306*$C$290:$C$306)</f>
        <v>104.722057655316</v>
      </c>
      <c r="M313" s="25" t="n">
        <f aca="false">SUMPRODUCT(($B$290:$B$306=$A313)*M$290:M$306*$C$290:$C$306)</f>
        <v>105.302600091142</v>
      </c>
      <c r="N313" s="25" t="n">
        <f aca="false">SUMPRODUCT(($B$290:$B$306=$A313)*N$290:N$306*$C$290:$C$306)</f>
        <v>105.886505354749</v>
      </c>
      <c r="O313" s="25" t="n">
        <f aca="false">SUMPRODUCT(($B$290:$B$306=$A313)*O$290:O$306*$C$290:$C$306)</f>
        <v>106.473792925524</v>
      </c>
      <c r="P313" s="25" t="n">
        <f aca="false">SUMPRODUCT(($B$290:$B$306=$A313)*P$290:P$306*$C$290:$C$306)</f>
        <v>1239.65908897267</v>
      </c>
    </row>
    <row r="314" customFormat="false" ht="15" hidden="false" customHeight="false" outlineLevel="0" collapsed="false">
      <c r="A314" s="4" t="s">
        <v>150</v>
      </c>
      <c r="D314" s="25" t="n">
        <f aca="false">SUMPRODUCT(($B$290:$B$306=$A314)*D$290:D$306*$C$290:$C$306)</f>
        <v>101.45426767297</v>
      </c>
      <c r="E314" s="25" t="n">
        <f aca="false">SUMPRODUCT(($B$290:$B$306=$A314)*E$290:E$306*$C$290:$C$306)</f>
        <v>102.015881234249</v>
      </c>
      <c r="F314" s="25" t="n">
        <f aca="false">SUMPRODUCT(($B$290:$B$306=$A314)*F$290:F$306*$C$290:$C$306)</f>
        <v>102.580747976639</v>
      </c>
      <c r="G314" s="25" t="n">
        <f aca="false">SUMPRODUCT(($B$290:$B$306=$A314)*G$290:G$306*$C$290:$C$306)</f>
        <v>103.148886744392</v>
      </c>
      <c r="H314" s="25" t="n">
        <f aca="false">SUMPRODUCT(($B$290:$B$306=$A314)*H$290:H$306*$C$290:$C$306)</f>
        <v>103.720316490916</v>
      </c>
      <c r="I314" s="25" t="n">
        <f aca="false">SUMPRODUCT(($B$290:$B$306=$A314)*I$290:I$306*$C$290:$C$306)</f>
        <v>104.295056279408</v>
      </c>
      <c r="J314" s="25" t="n">
        <f aca="false">SUMPRODUCT(($B$290:$B$306=$A314)*J$290:J$306*$C$290:$C$306)</f>
        <v>104.873125283489</v>
      </c>
      <c r="K314" s="25" t="n">
        <f aca="false">SUMPRODUCT(($B$290:$B$306=$A314)*K$290:K$306*$C$290:$C$306)</f>
        <v>105.454542787846</v>
      </c>
      <c r="L314" s="25" t="n">
        <f aca="false">SUMPRODUCT(($B$290:$B$306=$A314)*L$290:L$306*$C$290:$C$306)</f>
        <v>106.039328188873</v>
      </c>
      <c r="M314" s="25" t="n">
        <f aca="false">SUMPRODUCT(($B$290:$B$306=$A314)*M$290:M$306*$C$290:$C$306)</f>
        <v>106.627500995319</v>
      </c>
      <c r="N314" s="25" t="n">
        <f aca="false">SUMPRODUCT(($B$290:$B$306=$A314)*N$290:N$306*$C$290:$C$306)</f>
        <v>107.219080828937</v>
      </c>
      <c r="O314" s="25" t="n">
        <f aca="false">SUMPRODUCT(($B$290:$B$306=$A314)*O$290:O$306*$C$290:$C$306)</f>
        <v>107.814087425142</v>
      </c>
      <c r="P314" s="25" t="n">
        <f aca="false">SUMPRODUCT(($B$290:$B$306=$A314)*P$290:P$306*$C$290:$C$306)</f>
        <v>1255.24282190818</v>
      </c>
    </row>
    <row r="315" customFormat="false" ht="15" hidden="false" customHeight="false" outlineLevel="0" collapsed="false">
      <c r="A315" s="4" t="s">
        <v>151</v>
      </c>
      <c r="D315" s="25" t="n">
        <f aca="false">SUMPRODUCT(($B$290:$B$306=$A315)*D$290:D$306*$C$290:$C$306)</f>
        <v>742.231399090476</v>
      </c>
      <c r="E315" s="25" t="n">
        <f aca="false">SUMPRODUCT(($B$290:$B$306=$A315)*E$290:E$306*$C$290:$C$306)</f>
        <v>746.342079177393</v>
      </c>
      <c r="F315" s="25" t="n">
        <f aca="false">SUMPRODUCT(($B$290:$B$306=$A315)*F$290:F$306*$C$290:$C$306)</f>
        <v>750.476570631651</v>
      </c>
      <c r="G315" s="25" t="n">
        <f aca="false">SUMPRODUCT(($B$290:$B$306=$A315)*G$290:G$306*$C$290:$C$306)</f>
        <v>754.635011382062</v>
      </c>
      <c r="H315" s="25" t="n">
        <f aca="false">SUMPRODUCT(($B$290:$B$306=$A315)*H$290:H$306*$C$290:$C$306)</f>
        <v>758.817540156396</v>
      </c>
      <c r="I315" s="25" t="n">
        <f aca="false">SUMPRODUCT(($B$290:$B$306=$A315)*I$290:I$306*$C$290:$C$306)</f>
        <v>763.024296486015</v>
      </c>
      <c r="J315" s="25" t="n">
        <f aca="false">SUMPRODUCT(($B$290:$B$306=$A315)*J$290:J$306*$C$290:$C$306)</f>
        <v>767.255420710523</v>
      </c>
      <c r="K315" s="25" t="n">
        <f aca="false">SUMPRODUCT(($B$290:$B$306=$A315)*K$290:K$306*$C$290:$C$306)</f>
        <v>771.51105398245</v>
      </c>
      <c r="L315" s="25" t="n">
        <f aca="false">SUMPRODUCT(($B$290:$B$306=$A315)*L$290:L$306*$C$290:$C$306)</f>
        <v>775.791338271963</v>
      </c>
      <c r="M315" s="25" t="n">
        <f aca="false">SUMPRODUCT(($B$290:$B$306=$A315)*M$290:M$306*$C$290:$C$306)</f>
        <v>780.096416371597</v>
      </c>
      <c r="N315" s="25" t="n">
        <f aca="false">SUMPRODUCT(($B$290:$B$306=$A315)*N$290:N$306*$C$290:$C$306)</f>
        <v>784.426431901023</v>
      </c>
      <c r="O315" s="25" t="n">
        <f aca="false">SUMPRODUCT(($B$290:$B$306=$A315)*O$290:O$306*$C$290:$C$306)</f>
        <v>788.781529311837</v>
      </c>
      <c r="P315" s="25" t="n">
        <f aca="false">SUMPRODUCT(($B$290:$B$306=$A315)*P$290:P$306*$C$290:$C$306)</f>
        <v>9183.38908747338</v>
      </c>
    </row>
    <row r="316" customFormat="false" ht="15" hidden="false" customHeight="false" outlineLevel="0" collapsed="false">
      <c r="A316" s="4" t="s">
        <v>154</v>
      </c>
      <c r="D316" s="25" t="n">
        <f aca="false">SUMPRODUCT(($B$290:$B$306=$A316)*D$290:D$306*$C$290:$C$306)</f>
        <v>31.0071534171636</v>
      </c>
      <c r="E316" s="25" t="n">
        <f aca="false">SUMPRODUCT(($B$290:$B$306=$A316)*E$290:E$306*$C$290:$C$306)</f>
        <v>31.1785581324258</v>
      </c>
      <c r="F316" s="25" t="n">
        <f aca="false">SUMPRODUCT(($B$290:$B$306=$A316)*F$290:F$306*$C$290:$C$306)</f>
        <v>31.350955720048</v>
      </c>
      <c r="G316" s="25" t="n">
        <f aca="false">SUMPRODUCT(($B$290:$B$306=$A316)*G$290:G$306*$C$290:$C$306)</f>
        <v>31.5243519313044</v>
      </c>
      <c r="H316" s="25" t="n">
        <f aca="false">SUMPRODUCT(($B$290:$B$306=$A316)*H$290:H$306*$C$290:$C$306)</f>
        <v>31.698752550784</v>
      </c>
      <c r="I316" s="25" t="n">
        <f aca="false">SUMPRODUCT(($B$290:$B$306=$A316)*I$290:I$306*$C$290:$C$306)</f>
        <v>31.8741633965831</v>
      </c>
      <c r="J316" s="25" t="n">
        <f aca="false">SUMPRODUCT(($B$290:$B$306=$A316)*J$290:J$306*$C$290:$C$306)</f>
        <v>32.0505903204998</v>
      </c>
      <c r="K316" s="25" t="n">
        <f aca="false">SUMPRODUCT(($B$290:$B$306=$A316)*K$290:K$306*$C$290:$C$306)</f>
        <v>32.2280392082293</v>
      </c>
      <c r="L316" s="25" t="n">
        <f aca="false">SUMPRODUCT(($B$290:$B$306=$A316)*L$290:L$306*$C$290:$C$306)</f>
        <v>32.4065159795597</v>
      </c>
      <c r="M316" s="25" t="n">
        <f aca="false">SUMPRODUCT(($B$290:$B$306=$A316)*M$290:M$306*$C$290:$C$306)</f>
        <v>32.58602658857</v>
      </c>
      <c r="N316" s="25" t="n">
        <f aca="false">SUMPRODUCT(($B$290:$B$306=$A316)*N$290:N$306*$C$290:$C$306)</f>
        <v>32.7665770238287</v>
      </c>
      <c r="O316" s="25" t="n">
        <f aca="false">SUMPRODUCT(($B$290:$B$306=$A316)*O$290:O$306*$C$290:$C$306)</f>
        <v>32.9481733085932</v>
      </c>
      <c r="P316" s="25" t="n">
        <f aca="false">SUMPRODUCT(($B$290:$B$306=$A316)*P$290:P$306*$C$290:$C$306)</f>
        <v>383.61985757759</v>
      </c>
    </row>
    <row r="317" customFormat="false" ht="15" hidden="false" customHeight="false" outlineLevel="0" collapsed="false">
      <c r="A317" s="6" t="s">
        <v>275</v>
      </c>
      <c r="D317" s="26" t="n">
        <f aca="false">SUMPRODUCT(D$290:D$306*parametros_recargas!$D$51:$D$67)</f>
        <v>337.167540598347</v>
      </c>
      <c r="E317" s="26" t="n">
        <f aca="false">SUMPRODUCT(E$290:E$306*parametros_recargas!$D$51:$D$67)</f>
        <v>338.888901862556</v>
      </c>
      <c r="F317" s="26" t="n">
        <f aca="false">SUMPRODUCT(F$290:F$306*parametros_recargas!$D$51:$D$67)</f>
        <v>340.620234217808</v>
      </c>
      <c r="G317" s="26" t="n">
        <f aca="false">SUMPRODUCT(G$290:G$306*parametros_recargas!$D$51:$D$67)</f>
        <v>342.361595422259</v>
      </c>
      <c r="H317" s="26" t="n">
        <f aca="false">SUMPRODUCT(H$290:H$306*parametros_recargas!$D$51:$D$67)</f>
        <v>344.113043568637</v>
      </c>
      <c r="I317" s="26" t="n">
        <f aca="false">SUMPRODUCT(I$290:I$306*parametros_recargas!$D$51:$D$67)</f>
        <v>345.874637086172</v>
      </c>
      <c r="J317" s="26" t="n">
        <f aca="false">SUMPRODUCT(J$290:J$306*parametros_recargas!$D$51:$D$67)</f>
        <v>347.646434742552</v>
      </c>
      <c r="K317" s="26" t="n">
        <f aca="false">SUMPRODUCT(K$290:K$306*parametros_recargas!$D$51:$D$67)</f>
        <v>349.428495645879</v>
      </c>
      <c r="L317" s="26" t="n">
        <f aca="false">SUMPRODUCT(L$290:L$306*parametros_recargas!$D$51:$D$67)</f>
        <v>351.220879246642</v>
      </c>
      <c r="M317" s="26" t="n">
        <f aca="false">SUMPRODUCT(M$290:M$306*parametros_recargas!$D$51:$D$67)</f>
        <v>353.023645339701</v>
      </c>
      <c r="N317" s="26" t="n">
        <f aca="false">SUMPRODUCT(N$290:N$306*parametros_recargas!$D$51:$D$67)</f>
        <v>354.836854066282</v>
      </c>
      <c r="O317" s="26" t="n">
        <f aca="false">SUMPRODUCT(O$290:O$306*parametros_recargas!$D$51:$D$67)</f>
        <v>356.660565915982</v>
      </c>
      <c r="P317" s="26" t="n">
        <f aca="false">SUMPRODUCT(P$290:P$306*parametros_recargas!$D$51:$D$67)</f>
        <v>4161.84282771282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9"/>
    <col collapsed="false" customWidth="true" hidden="false" outlineLevel="0" max="14" min="14" style="0" width="11"/>
    <col collapsed="false" customWidth="true" hidden="false" outlineLevel="0" max="15" min="15" style="0" width="13"/>
    <col collapsed="false" customWidth="true" hidden="false" outlineLevel="0" max="16" min="16" style="0" width="12"/>
  </cols>
  <sheetData>
    <row r="1" customFormat="false" ht="23.85" hidden="false" customHeight="false" outlineLevel="0" collapsed="false">
      <c r="A1" s="3" t="s">
        <v>276</v>
      </c>
      <c r="B1" s="3" t="s">
        <v>124</v>
      </c>
      <c r="C1" s="3" t="s">
        <v>125</v>
      </c>
      <c r="D1" s="3" t="s">
        <v>126</v>
      </c>
      <c r="E1" s="3" t="s">
        <v>127</v>
      </c>
      <c r="F1" s="3" t="s">
        <v>128</v>
      </c>
      <c r="G1" s="3" t="s">
        <v>129</v>
      </c>
      <c r="H1" s="3" t="s">
        <v>130</v>
      </c>
      <c r="I1" s="3" t="s">
        <v>131</v>
      </c>
      <c r="J1" s="3" t="s">
        <v>132</v>
      </c>
      <c r="K1" s="3" t="s">
        <v>133</v>
      </c>
      <c r="L1" s="3" t="s">
        <v>134</v>
      </c>
      <c r="M1" s="3" t="s">
        <v>135</v>
      </c>
      <c r="N1" s="3" t="s">
        <v>277</v>
      </c>
      <c r="O1" s="3" t="s">
        <v>278</v>
      </c>
      <c r="P1" s="3" t="s">
        <v>279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5" t="n">
        <f aca="false">parametros_recargas!$E$72*'Plan mensual'!D21+parametros_recargas!$F$72*'Plan mensual'!D22+parametros_recargas!$G$72*'Plan mensual'!D23+parametros_recargas!$H$72*'Plan mensual'!D24+parametros_recargas!$I$72*'Plan mensual'!D25+parametros_recargas!$J$72*'Plan mensual'!D26+parametros_recargas!$K$72*'Plan mensual'!D27+parametros_recargas!$L$72*'Plan mensual'!D28</f>
        <v>77.0121773170671</v>
      </c>
      <c r="C2" s="25" t="n">
        <f aca="false">parametros_recargas!$E$72*'Plan mensual'!E21+parametros_recargas!$F$72*'Plan mensual'!E22+parametros_recargas!$G$72*'Plan mensual'!E23+parametros_recargas!$H$72*'Plan mensual'!E24+parametros_recargas!$I$72*'Plan mensual'!E25+parametros_recargas!$J$72*'Plan mensual'!E26+parametros_recargas!$K$72*'Plan mensual'!E27+parametros_recargas!$L$72*'Plan mensual'!E28</f>
        <v>87.2789708837891</v>
      </c>
      <c r="D2" s="25" t="n">
        <f aca="false">parametros_recargas!$E$72*'Plan mensual'!F21+parametros_recargas!$F$72*'Plan mensual'!F22+parametros_recargas!$G$72*'Plan mensual'!F23+parametros_recargas!$H$72*'Plan mensual'!F24+parametros_recargas!$I$72*'Plan mensual'!F25+parametros_recargas!$J$72*'Plan mensual'!F26+parametros_recargas!$K$72*'Plan mensual'!F27+parametros_recargas!$L$72*'Plan mensual'!F28</f>
        <v>98.9144707228673</v>
      </c>
      <c r="E2" s="25" t="n">
        <f aca="false">parametros_recargas!$E$72*'Plan mensual'!G21+parametros_recargas!$F$72*'Plan mensual'!G22+parametros_recargas!$G$72*'Plan mensual'!G23+parametros_recargas!$H$72*'Plan mensual'!G24+parametros_recargas!$I$72*'Plan mensual'!G25+parametros_recargas!$J$72*'Plan mensual'!G26+parametros_recargas!$K$72*'Plan mensual'!G27+parametros_recargas!$L$72*'Plan mensual'!G28</f>
        <v>112.101144402955</v>
      </c>
      <c r="F2" s="25" t="n">
        <f aca="false">parametros_recargas!$E$72*'Plan mensual'!H21+parametros_recargas!$F$72*'Plan mensual'!H22+parametros_recargas!$G$72*'Plan mensual'!H23+parametros_recargas!$H$72*'Plan mensual'!H24+parametros_recargas!$I$72*'Plan mensual'!H25+parametros_recargas!$J$72*'Plan mensual'!H26+parametros_recargas!$K$72*'Plan mensual'!H27+parametros_recargas!$L$72*'Plan mensual'!H28</f>
        <v>127.045784955578</v>
      </c>
      <c r="G2" s="25" t="n">
        <f aca="false">parametros_recargas!$E$72*'Plan mensual'!I21+parametros_recargas!$F$72*'Plan mensual'!I22+parametros_recargas!$G$72*'Plan mensual'!I23+parametros_recargas!$H$72*'Plan mensual'!I24+parametros_recargas!$I$72*'Plan mensual'!I25+parametros_recargas!$J$72*'Plan mensual'!I26+parametros_recargas!$K$72*'Plan mensual'!I27+parametros_recargas!$L$72*'Plan mensual'!I28</f>
        <v>143.982753797414</v>
      </c>
      <c r="H2" s="25" t="n">
        <f aca="false">parametros_recargas!$E$72*'Plan mensual'!J21+parametros_recargas!$F$72*'Plan mensual'!J22+parametros_recargas!$G$72*'Plan mensual'!J23+parametros_recargas!$H$72*'Plan mensual'!J24+parametros_recargas!$I$72*'Plan mensual'!J25+parametros_recargas!$J$72*'Plan mensual'!J26+parametros_recargas!$K$72*'Plan mensual'!J27+parametros_recargas!$L$72*'Plan mensual'!J28</f>
        <v>163.177655979183</v>
      </c>
      <c r="I2" s="25" t="n">
        <f aca="false">parametros_recargas!$E$72*'Plan mensual'!K21+parametros_recargas!$F$72*'Plan mensual'!K22+parametros_recargas!$G$72*'Plan mensual'!K23+parametros_recargas!$H$72*'Plan mensual'!K24+parametros_recargas!$I$72*'Plan mensual'!K25+parametros_recargas!$J$72*'Plan mensual'!K26+parametros_recargas!$K$72*'Plan mensual'!K27+parametros_recargas!$L$72*'Plan mensual'!K28</f>
        <v>184.931505396301</v>
      </c>
      <c r="J2" s="25" t="n">
        <f aca="false">parametros_recargas!$E$72*'Plan mensual'!L21+parametros_recargas!$F$72*'Plan mensual'!L22+parametros_recargas!$G$72*'Plan mensual'!L23+parametros_recargas!$H$72*'Plan mensual'!L24+parametros_recargas!$I$72*'Plan mensual'!L25+parametros_recargas!$J$72*'Plan mensual'!L26+parametros_recargas!$K$72*'Plan mensual'!L27+parametros_recargas!$L$72*'Plan mensual'!L28</f>
        <v>209.585445279989</v>
      </c>
      <c r="K2" s="25" t="n">
        <f aca="false">parametros_recargas!$E$72*'Plan mensual'!M21+parametros_recargas!$F$72*'Plan mensual'!M22+parametros_recargas!$G$72*'Plan mensual'!M23+parametros_recargas!$H$72*'Plan mensual'!M24+parametros_recargas!$I$72*'Plan mensual'!M25+parametros_recargas!$J$72*'Plan mensual'!M26+parametros_recargas!$K$72*'Plan mensual'!M27+parametros_recargas!$L$72*'Plan mensual'!M28</f>
        <v>237.526097995469</v>
      </c>
      <c r="L2" s="25" t="n">
        <f aca="false">parametros_recargas!$E$72*'Plan mensual'!N21+parametros_recargas!$F$72*'Plan mensual'!N22+parametros_recargas!$G$72*'Plan mensual'!N23+parametros_recargas!$H$72*'Plan mensual'!N24+parametros_recargas!$I$72*'Plan mensual'!N25+parametros_recargas!$J$72*'Plan mensual'!N26+parametros_recargas!$K$72*'Plan mensual'!N27+parametros_recargas!$L$72*'Plan mensual'!N28</f>
        <v>269.191628042599</v>
      </c>
      <c r="M2" s="25" t="n">
        <f aca="false">parametros_recargas!$E$72*'Plan mensual'!O21+parametros_recargas!$F$72*'Plan mensual'!O22+parametros_recargas!$G$72*'Plan mensual'!O23+parametros_recargas!$H$72*'Plan mensual'!O24+parametros_recargas!$I$72*'Plan mensual'!O25+parametros_recargas!$J$72*'Plan mensual'!O26+parametros_recargas!$K$72*'Plan mensual'!O27+parametros_recargas!$L$72*'Plan mensual'!O28</f>
        <v>305.078613338762</v>
      </c>
      <c r="N2" s="7" t="n">
        <f aca="false">SUM(B2:M2)</f>
        <v>2015.82624811197</v>
      </c>
      <c r="O2" s="26" t="n">
        <f aca="false">MAX(B2:M2)</f>
        <v>305.078613338762</v>
      </c>
      <c r="P2" s="15" t="n">
        <f aca="false">O2/parametros_recargas!$B$6</f>
        <v>2.03385742225842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5" t="n">
        <f aca="false">parametros_recargas!$E$73*'Plan mensual'!D21+parametros_recargas!$F$73*'Plan mensual'!D22+parametros_recargas!$G$73*'Plan mensual'!D23+parametros_recargas!$H$73*'Plan mensual'!D24+parametros_recargas!$I$73*'Plan mensual'!D25+parametros_recargas!$J$73*'Plan mensual'!D26+parametros_recargas!$K$73*'Plan mensual'!D27+parametros_recargas!$L$73*'Plan mensual'!D28</f>
        <v>77.0121773170671</v>
      </c>
      <c r="C3" s="25" t="n">
        <f aca="false">parametros_recargas!$E$73*'Plan mensual'!E21+parametros_recargas!$F$73*'Plan mensual'!E22+parametros_recargas!$G$73*'Plan mensual'!E23+parametros_recargas!$H$73*'Plan mensual'!E24+parametros_recargas!$I$73*'Plan mensual'!E25+parametros_recargas!$J$73*'Plan mensual'!E26+parametros_recargas!$K$73*'Plan mensual'!E27+parametros_recargas!$L$73*'Plan mensual'!E28</f>
        <v>87.2789708837891</v>
      </c>
      <c r="D3" s="25" t="n">
        <f aca="false">parametros_recargas!$E$73*'Plan mensual'!F21+parametros_recargas!$F$73*'Plan mensual'!F22+parametros_recargas!$G$73*'Plan mensual'!F23+parametros_recargas!$H$73*'Plan mensual'!F24+parametros_recargas!$I$73*'Plan mensual'!F25+parametros_recargas!$J$73*'Plan mensual'!F26+parametros_recargas!$K$73*'Plan mensual'!F27+parametros_recargas!$L$73*'Plan mensual'!F28</f>
        <v>98.9144707228673</v>
      </c>
      <c r="E3" s="25" t="n">
        <f aca="false">parametros_recargas!$E$73*'Plan mensual'!G21+parametros_recargas!$F$73*'Plan mensual'!G22+parametros_recargas!$G$73*'Plan mensual'!G23+parametros_recargas!$H$73*'Plan mensual'!G24+parametros_recargas!$I$73*'Plan mensual'!G25+parametros_recargas!$J$73*'Plan mensual'!G26+parametros_recargas!$K$73*'Plan mensual'!G27+parametros_recargas!$L$73*'Plan mensual'!G28</f>
        <v>112.101144402955</v>
      </c>
      <c r="F3" s="25" t="n">
        <f aca="false">parametros_recargas!$E$73*'Plan mensual'!H21+parametros_recargas!$F$73*'Plan mensual'!H22+parametros_recargas!$G$73*'Plan mensual'!H23+parametros_recargas!$H$73*'Plan mensual'!H24+parametros_recargas!$I$73*'Plan mensual'!H25+parametros_recargas!$J$73*'Plan mensual'!H26+parametros_recargas!$K$73*'Plan mensual'!H27+parametros_recargas!$L$73*'Plan mensual'!H28</f>
        <v>127.045784955578</v>
      </c>
      <c r="G3" s="25" t="n">
        <f aca="false">parametros_recargas!$E$73*'Plan mensual'!I21+parametros_recargas!$F$73*'Plan mensual'!I22+parametros_recargas!$G$73*'Plan mensual'!I23+parametros_recargas!$H$73*'Plan mensual'!I24+parametros_recargas!$I$73*'Plan mensual'!I25+parametros_recargas!$J$73*'Plan mensual'!I26+parametros_recargas!$K$73*'Plan mensual'!I27+parametros_recargas!$L$73*'Plan mensual'!I28</f>
        <v>143.982753797414</v>
      </c>
      <c r="H3" s="25" t="n">
        <f aca="false">parametros_recargas!$E$73*'Plan mensual'!J21+parametros_recargas!$F$73*'Plan mensual'!J22+parametros_recargas!$G$73*'Plan mensual'!J23+parametros_recargas!$H$73*'Plan mensual'!J24+parametros_recargas!$I$73*'Plan mensual'!J25+parametros_recargas!$J$73*'Plan mensual'!J26+parametros_recargas!$K$73*'Plan mensual'!J27+parametros_recargas!$L$73*'Plan mensual'!J28</f>
        <v>163.177655979183</v>
      </c>
      <c r="I3" s="25" t="n">
        <f aca="false">parametros_recargas!$E$73*'Plan mensual'!K21+parametros_recargas!$F$73*'Plan mensual'!K22+parametros_recargas!$G$73*'Plan mensual'!K23+parametros_recargas!$H$73*'Plan mensual'!K24+parametros_recargas!$I$73*'Plan mensual'!K25+parametros_recargas!$J$73*'Plan mensual'!K26+parametros_recargas!$K$73*'Plan mensual'!K27+parametros_recargas!$L$73*'Plan mensual'!K28</f>
        <v>184.931505396301</v>
      </c>
      <c r="J3" s="25" t="n">
        <f aca="false">parametros_recargas!$E$73*'Plan mensual'!L21+parametros_recargas!$F$73*'Plan mensual'!L22+parametros_recargas!$G$73*'Plan mensual'!L23+parametros_recargas!$H$73*'Plan mensual'!L24+parametros_recargas!$I$73*'Plan mensual'!L25+parametros_recargas!$J$73*'Plan mensual'!L26+parametros_recargas!$K$73*'Plan mensual'!L27+parametros_recargas!$L$73*'Plan mensual'!L28</f>
        <v>209.585445279989</v>
      </c>
      <c r="K3" s="25" t="n">
        <f aca="false">parametros_recargas!$E$73*'Plan mensual'!M21+parametros_recargas!$F$73*'Plan mensual'!M22+parametros_recargas!$G$73*'Plan mensual'!M23+parametros_recargas!$H$73*'Plan mensual'!M24+parametros_recargas!$I$73*'Plan mensual'!M25+parametros_recargas!$J$73*'Plan mensual'!M26+parametros_recargas!$K$73*'Plan mensual'!M27+parametros_recargas!$L$73*'Plan mensual'!M28</f>
        <v>237.526097995469</v>
      </c>
      <c r="L3" s="25" t="n">
        <f aca="false">parametros_recargas!$E$73*'Plan mensual'!N21+parametros_recargas!$F$73*'Plan mensual'!N22+parametros_recargas!$G$73*'Plan mensual'!N23+parametros_recargas!$H$73*'Plan mensual'!N24+parametros_recargas!$I$73*'Plan mensual'!N25+parametros_recargas!$J$73*'Plan mensual'!N26+parametros_recargas!$K$73*'Plan mensual'!N27+parametros_recargas!$L$73*'Plan mensual'!N28</f>
        <v>269.191628042599</v>
      </c>
      <c r="M3" s="25" t="n">
        <f aca="false">parametros_recargas!$E$73*'Plan mensual'!O21+parametros_recargas!$F$73*'Plan mensual'!O22+parametros_recargas!$G$73*'Plan mensual'!O23+parametros_recargas!$H$73*'Plan mensual'!O24+parametros_recargas!$I$73*'Plan mensual'!O25+parametros_recargas!$J$73*'Plan mensual'!O26+parametros_recargas!$K$73*'Plan mensual'!O27+parametros_recargas!$L$73*'Plan mensual'!O28</f>
        <v>305.078613338762</v>
      </c>
      <c r="N3" s="7" t="n">
        <f aca="false">SUM(B3:M3)</f>
        <v>2015.82624811197</v>
      </c>
      <c r="O3" s="26" t="n">
        <f aca="false">MAX(B3:M3)</f>
        <v>305.078613338762</v>
      </c>
      <c r="P3" s="15" t="n">
        <f aca="false">O3/parametros_recargas!$B$6</f>
        <v>2.03385742225842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5" t="n">
        <f aca="false">parametros_recargas!$E$74*'Plan mensual'!D21+parametros_recargas!$F$74*'Plan mensual'!D22+parametros_recargas!$G$74*'Plan mensual'!D23+parametros_recargas!$H$74*'Plan mensual'!D24+parametros_recargas!$I$74*'Plan mensual'!D25+parametros_recargas!$J$74*'Plan mensual'!D26+parametros_recargas!$K$74*'Plan mensual'!D27+parametros_recargas!$L$74*'Plan mensual'!D28</f>
        <v>56.9822447775843</v>
      </c>
      <c r="C4" s="25" t="n">
        <f aca="false">parametros_recargas!$E$74*'Plan mensual'!E21+parametros_recargas!$F$74*'Plan mensual'!E22+parametros_recargas!$G$74*'Plan mensual'!E23+parametros_recargas!$H$74*'Plan mensual'!E24+parametros_recargas!$I$74*'Plan mensual'!E25+parametros_recargas!$J$74*'Plan mensual'!E26+parametros_recargas!$K$74*'Plan mensual'!E27+parametros_recargas!$L$74*'Plan mensual'!E28</f>
        <v>64.5787699568591</v>
      </c>
      <c r="D4" s="25" t="n">
        <f aca="false">parametros_recargas!$E$74*'Plan mensual'!F21+parametros_recargas!$F$74*'Plan mensual'!F22+parametros_recargas!$G$74*'Plan mensual'!F23+parametros_recargas!$H$74*'Plan mensual'!F24+parametros_recargas!$I$74*'Plan mensual'!F25+parametros_recargas!$J$74*'Plan mensual'!F26+parametros_recargas!$K$74*'Plan mensual'!F27+parametros_recargas!$L$74*'Plan mensual'!F28</f>
        <v>73.1880175205292</v>
      </c>
      <c r="E4" s="25" t="n">
        <f aca="false">parametros_recargas!$E$74*'Plan mensual'!G21+parametros_recargas!$F$74*'Plan mensual'!G22+parametros_recargas!$G$74*'Plan mensual'!G23+parametros_recargas!$H$74*'Plan mensual'!G24+parametros_recargas!$I$74*'Plan mensual'!G25+parametros_recargas!$J$74*'Plan mensual'!G26+parametros_recargas!$K$74*'Plan mensual'!G27+parametros_recargas!$L$74*'Plan mensual'!G28</f>
        <v>82.9449974374492</v>
      </c>
      <c r="F4" s="25" t="n">
        <f aca="false">parametros_recargas!$E$74*'Plan mensual'!H21+parametros_recargas!$F$74*'Plan mensual'!H22+parametros_recargas!$G$74*'Plan mensual'!H23+parametros_recargas!$H$74*'Plan mensual'!H24+parametros_recargas!$I$74*'Plan mensual'!H25+parametros_recargas!$J$74*'Plan mensual'!H26+parametros_recargas!$K$74*'Plan mensual'!H27+parametros_recargas!$L$74*'Plan mensual'!H28</f>
        <v>94.0027183817166</v>
      </c>
      <c r="G4" s="25" t="n">
        <f aca="false">parametros_recargas!$E$74*'Plan mensual'!I21+parametros_recargas!$F$74*'Plan mensual'!I22+parametros_recargas!$G$74*'Plan mensual'!I23+parametros_recargas!$H$74*'Plan mensual'!I24+parametros_recargas!$I$74*'Plan mensual'!I25+parametros_recargas!$J$74*'Plan mensual'!I26+parametros_recargas!$K$74*'Plan mensual'!I27+parametros_recargas!$L$74*'Plan mensual'!I28</f>
        <v>106.534587210231</v>
      </c>
      <c r="H4" s="25" t="n">
        <f aca="false">parametros_recargas!$E$74*'Plan mensual'!J21+parametros_recargas!$F$74*'Plan mensual'!J22+parametros_recargas!$G$74*'Plan mensual'!J23+parametros_recargas!$H$74*'Plan mensual'!J24+parametros_recargas!$I$74*'Plan mensual'!J25+parametros_recargas!$J$74*'Plan mensual'!J26+parametros_recargas!$K$74*'Plan mensual'!J27+parametros_recargas!$L$74*'Plan mensual'!J28</f>
        <v>120.737128323959</v>
      </c>
      <c r="I4" s="25" t="n">
        <f aca="false">parametros_recargas!$E$74*'Plan mensual'!K21+parametros_recargas!$F$74*'Plan mensual'!K22+parametros_recargas!$G$74*'Plan mensual'!K23+parametros_recargas!$H$74*'Plan mensual'!K24+parametros_recargas!$I$74*'Plan mensual'!K25+parametros_recargas!$J$74*'Plan mensual'!K26+parametros_recargas!$K$74*'Plan mensual'!K27+parametros_recargas!$L$74*'Plan mensual'!K28</f>
        <v>136.833065557852</v>
      </c>
      <c r="J4" s="25" t="n">
        <f aca="false">parametros_recargas!$E$74*'Plan mensual'!L21+parametros_recargas!$F$74*'Plan mensual'!L22+parametros_recargas!$G$74*'Plan mensual'!L23+parametros_recargas!$H$74*'Plan mensual'!L24+parametros_recargas!$I$74*'Plan mensual'!L25+parametros_recargas!$J$74*'Plan mensual'!L26+parametros_recargas!$K$74*'Plan mensual'!L27+parametros_recargas!$L$74*'Plan mensual'!L28</f>
        <v>155.074814929517</v>
      </c>
      <c r="K4" s="25" t="n">
        <f aca="false">parametros_recargas!$E$74*'Plan mensual'!M21+parametros_recargas!$F$74*'Plan mensual'!M22+parametros_recargas!$G$74*'Plan mensual'!M23+parametros_recargas!$H$74*'Plan mensual'!M24+parametros_recargas!$I$74*'Plan mensual'!M25+parametros_recargas!$J$74*'Plan mensual'!M26+parametros_recargas!$K$74*'Plan mensual'!M27+parametros_recargas!$L$74*'Plan mensual'!M28</f>
        <v>175.748443019839</v>
      </c>
      <c r="L4" s="25" t="n">
        <f aca="false">parametros_recargas!$E$74*'Plan mensual'!N21+parametros_recargas!$F$74*'Plan mensual'!N22+parametros_recargas!$G$74*'Plan mensual'!N23+parametros_recargas!$H$74*'Plan mensual'!N24+parametros_recargas!$I$74*'Plan mensual'!N25+parametros_recargas!$J$74*'Plan mensual'!N26+parametros_recargas!$K$74*'Plan mensual'!N27+parametros_recargas!$L$74*'Plan mensual'!N28</f>
        <v>199.178153060742</v>
      </c>
      <c r="M4" s="25" t="n">
        <f aca="false">parametros_recargas!$E$74*'Plan mensual'!O21+parametros_recargas!$F$74*'Plan mensual'!O22+parametros_recargas!$G$74*'Plan mensual'!O23+parametros_recargas!$H$74*'Plan mensual'!O24+parametros_recargas!$I$74*'Plan mensual'!O25+parametros_recargas!$J$74*'Plan mensual'!O26+parametros_recargas!$K$74*'Plan mensual'!O27+parametros_recargas!$L$74*'Plan mensual'!O28</f>
        <v>225.731369080806</v>
      </c>
      <c r="N4" s="7" t="n">
        <f aca="false">SUM(B4:M4)</f>
        <v>1491.53430925708</v>
      </c>
      <c r="O4" s="26" t="n">
        <f aca="false">MAX(B4:M4)</f>
        <v>225.731369080806</v>
      </c>
      <c r="P4" s="15" t="n">
        <f aca="false">O4/parametros_recargas!$B$6</f>
        <v>1.50487579387204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5" t="n">
        <f aca="false">parametros_recargas!$E$75*'Plan mensual'!D21+parametros_recargas!$F$75*'Plan mensual'!D22+parametros_recargas!$G$75*'Plan mensual'!D23+parametros_recargas!$H$75*'Plan mensual'!D24+parametros_recargas!$I$75*'Plan mensual'!D25+parametros_recargas!$J$75*'Plan mensual'!D26+parametros_recargas!$K$75*'Plan mensual'!D27+parametros_recargas!$L$75*'Plan mensual'!D28</f>
        <v>6.70379350324521</v>
      </c>
      <c r="C5" s="25" t="n">
        <f aca="false">parametros_recargas!$E$75*'Plan mensual'!E21+parametros_recargas!$F$75*'Plan mensual'!E22+parametros_recargas!$G$75*'Plan mensual'!E23+parametros_recargas!$H$75*'Plan mensual'!E24+parametros_recargas!$I$75*'Plan mensual'!E25+parametros_recargas!$J$75*'Plan mensual'!E26+parametros_recargas!$K$75*'Plan mensual'!E27+parametros_recargas!$L$75*'Plan mensual'!E28</f>
        <v>7.59750234786577</v>
      </c>
      <c r="D5" s="25" t="n">
        <f aca="false">parametros_recargas!$E$75*'Plan mensual'!F21+parametros_recargas!$F$75*'Plan mensual'!F22+parametros_recargas!$G$75*'Plan mensual'!F23+parametros_recargas!$H$75*'Plan mensual'!F24+parametros_recargas!$I$75*'Plan mensual'!F25+parametros_recargas!$J$75*'Plan mensual'!F26+parametros_recargas!$K$75*'Plan mensual'!F27+parametros_recargas!$L$75*'Plan mensual'!F28</f>
        <v>8.6103550024152</v>
      </c>
      <c r="E5" s="25" t="n">
        <f aca="false">parametros_recargas!$E$75*'Plan mensual'!G21+parametros_recargas!$F$75*'Plan mensual'!G22+parametros_recargas!$G$75*'Plan mensual'!G23+parametros_recargas!$H$75*'Plan mensual'!G24+parametros_recargas!$I$75*'Plan mensual'!G25+parametros_recargas!$J$75*'Plan mensual'!G26+parametros_recargas!$K$75*'Plan mensual'!G27+parametros_recargas!$L$75*'Plan mensual'!G28</f>
        <v>9.75823499264108</v>
      </c>
      <c r="F5" s="25" t="n">
        <f aca="false">parametros_recargas!$E$75*'Plan mensual'!H21+parametros_recargas!$F$75*'Plan mensual'!H22+parametros_recargas!$G$75*'Plan mensual'!H23+parametros_recargas!$H$75*'Plan mensual'!H24+parametros_recargas!$I$75*'Plan mensual'!H25+parametros_recargas!$J$75*'Plan mensual'!H26+parametros_recargas!$K$75*'Plan mensual'!H27+parametros_recargas!$L$75*'Plan mensual'!H28</f>
        <v>11.0591433390255</v>
      </c>
      <c r="G5" s="25" t="n">
        <f aca="false">parametros_recargas!$E$75*'Plan mensual'!I21+parametros_recargas!$F$75*'Plan mensual'!I22+parametros_recargas!$G$75*'Plan mensual'!I23+parametros_recargas!$H$75*'Plan mensual'!I24+parametros_recargas!$I$75*'Plan mensual'!I25+parametros_recargas!$J$75*'Plan mensual'!I26+parametros_recargas!$K$75*'Plan mensual'!I27+parametros_recargas!$L$75*'Plan mensual'!I28</f>
        <v>12.5334808482625</v>
      </c>
      <c r="H5" s="25" t="n">
        <f aca="false">parametros_recargas!$E$75*'Plan mensual'!J21+parametros_recargas!$F$75*'Plan mensual'!J22+parametros_recargas!$G$75*'Plan mensual'!J23+parametros_recargas!$H$75*'Plan mensual'!J24+parametros_recargas!$I$75*'Plan mensual'!J25+parametros_recargas!$J$75*'Plan mensual'!J26+parametros_recargas!$K$75*'Plan mensual'!J27+parametros_recargas!$L$75*'Plan mensual'!J28</f>
        <v>14.2043680381129</v>
      </c>
      <c r="I5" s="25" t="n">
        <f aca="false">parametros_recargas!$E$75*'Plan mensual'!K21+parametros_recargas!$F$75*'Plan mensual'!K22+parametros_recargas!$G$75*'Plan mensual'!K23+parametros_recargas!$H$75*'Plan mensual'!K24+parametros_recargas!$I$75*'Plan mensual'!K25+parametros_recargas!$J$75*'Plan mensual'!K26+parametros_recargas!$K$75*'Plan mensual'!K27+parametros_recargas!$L$75*'Plan mensual'!K28</f>
        <v>16.0980077126884</v>
      </c>
      <c r="J5" s="25" t="n">
        <f aca="false">parametros_recargas!$E$75*'Plan mensual'!L21+parametros_recargas!$F$75*'Plan mensual'!L22+parametros_recargas!$G$75*'Plan mensual'!L23+parametros_recargas!$H$75*'Plan mensual'!L24+parametros_recargas!$I$75*'Plan mensual'!L25+parametros_recargas!$J$75*'Plan mensual'!L26+parametros_recargas!$K$75*'Plan mensual'!L27+parametros_recargas!$L$75*'Plan mensual'!L28</f>
        <v>18.2440958740608</v>
      </c>
      <c r="K5" s="25" t="n">
        <f aca="false">parametros_recargas!$E$75*'Plan mensual'!M21+parametros_recargas!$F$75*'Plan mensual'!M22+parametros_recargas!$G$75*'Plan mensual'!M23+parametros_recargas!$H$75*'Plan mensual'!M24+parametros_recargas!$I$75*'Plan mensual'!M25+parametros_recargas!$J$75*'Plan mensual'!M26+parametros_recargas!$K$75*'Plan mensual'!M27+parametros_recargas!$L$75*'Plan mensual'!M28</f>
        <v>20.6762874140987</v>
      </c>
      <c r="L5" s="25" t="n">
        <f aca="false">parametros_recargas!$E$75*'Plan mensual'!N21+parametros_recargas!$F$75*'Plan mensual'!N22+parametros_recargas!$G$75*'Plan mensual'!N23+parametros_recargas!$H$75*'Plan mensual'!N24+parametros_recargas!$I$75*'Plan mensual'!N25+parametros_recargas!$J$75*'Plan mensual'!N26+parametros_recargas!$K$75*'Plan mensual'!N27+parametros_recargas!$L$75*'Plan mensual'!N28</f>
        <v>23.432723889499</v>
      </c>
      <c r="M5" s="25" t="n">
        <f aca="false">parametros_recargas!$E$75*'Plan mensual'!O21+parametros_recargas!$F$75*'Plan mensual'!O22+parametros_recargas!$G$75*'Plan mensual'!O23+parametros_recargas!$H$75*'Plan mensual'!O24+parametros_recargas!$I$75*'Plan mensual'!O25+parametros_recargas!$J$75*'Plan mensual'!O26+parametros_recargas!$K$75*'Plan mensual'!O27+parametros_recargas!$L$75*'Plan mensual'!O28</f>
        <v>26.5566316565654</v>
      </c>
      <c r="N5" s="7" t="n">
        <f aca="false">SUM(B5:M5)</f>
        <v>175.47462461848</v>
      </c>
      <c r="O5" s="26" t="n">
        <f aca="false">MAX(B5:M5)</f>
        <v>26.5566316565654</v>
      </c>
      <c r="P5" s="15" t="n">
        <f aca="false">O5/parametros_recargas!$B$6</f>
        <v>0.177044211043769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5" t="n">
        <f aca="false">parametros_recargas!$E$76*'Plan mensual'!D21+parametros_recargas!$F$76*'Plan mensual'!D22+parametros_recargas!$G$76*'Plan mensual'!D23+parametros_recargas!$H$76*'Plan mensual'!D24+parametros_recargas!$I$76*'Plan mensual'!D25+parametros_recargas!$J$76*'Plan mensual'!D26+parametros_recargas!$K$76*'Plan mensual'!D27+parametros_recargas!$L$76*'Plan mensual'!D28</f>
        <v>0.0751827280494588</v>
      </c>
      <c r="C6" s="25" t="n">
        <f aca="false">parametros_recargas!$E$76*'Plan mensual'!E21+parametros_recargas!$F$76*'Plan mensual'!E22+parametros_recargas!$G$76*'Plan mensual'!E23+parametros_recargas!$H$76*'Plan mensual'!E24+parametros_recargas!$I$76*'Plan mensual'!E25+parametros_recargas!$J$76*'Plan mensual'!E26+parametros_recargas!$K$76*'Plan mensual'!E27+parametros_recargas!$L$76*'Plan mensual'!E28</f>
        <v>0.0852056306027635</v>
      </c>
      <c r="D6" s="25" t="n">
        <f aca="false">parametros_recargas!$E$76*'Plan mensual'!F21+parametros_recargas!$F$76*'Plan mensual'!F22+parametros_recargas!$G$76*'Plan mensual'!F23+parametros_recargas!$H$76*'Plan mensual'!F24+parametros_recargas!$I$76*'Plan mensual'!F25+parametros_recargas!$J$76*'Plan mensual'!F26+parametros_recargas!$K$76*'Plan mensual'!F27+parametros_recargas!$L$76*'Plan mensual'!F28</f>
        <v>0.0965647253666908</v>
      </c>
      <c r="E6" s="25" t="n">
        <f aca="false">parametros_recargas!$E$76*'Plan mensual'!G21+parametros_recargas!$F$76*'Plan mensual'!G22+parametros_recargas!$G$76*'Plan mensual'!G23+parametros_recargas!$H$76*'Plan mensual'!G24+parametros_recargas!$I$76*'Plan mensual'!G25+parametros_recargas!$J$76*'Plan mensual'!G26+parametros_recargas!$K$76*'Plan mensual'!G27+parametros_recargas!$L$76*'Plan mensual'!G28</f>
        <v>0.109438145333578</v>
      </c>
      <c r="F6" s="25" t="n">
        <f aca="false">parametros_recargas!$E$76*'Plan mensual'!H21+parametros_recargas!$F$76*'Plan mensual'!H22+parametros_recargas!$G$76*'Plan mensual'!H23+parametros_recargas!$H$76*'Plan mensual'!H24+parametros_recargas!$I$76*'Plan mensual'!H25+parametros_recargas!$J$76*'Plan mensual'!H26+parametros_recargas!$K$76*'Plan mensual'!H27+parametros_recargas!$L$76*'Plan mensual'!H28</f>
        <v>0.124027771099369</v>
      </c>
      <c r="G6" s="25" t="n">
        <f aca="false">parametros_recargas!$E$76*'Plan mensual'!I21+parametros_recargas!$F$76*'Plan mensual'!I22+parametros_recargas!$G$76*'Plan mensual'!I23+parametros_recargas!$H$76*'Plan mensual'!I24+parametros_recargas!$I$76*'Plan mensual'!I25+parametros_recargas!$J$76*'Plan mensual'!I26+parametros_recargas!$K$76*'Plan mensual'!I27+parametros_recargas!$L$76*'Plan mensual'!I28</f>
        <v>0.140562396749223</v>
      </c>
      <c r="H6" s="25" t="n">
        <f aca="false">parametros_recargas!$E$76*'Plan mensual'!J21+parametros_recargas!$F$76*'Plan mensual'!J22+parametros_recargas!$G$76*'Plan mensual'!J23+parametros_recargas!$H$76*'Plan mensual'!J24+parametros_recargas!$I$76*'Plan mensual'!J25+parametros_recargas!$J$76*'Plan mensual'!J26+parametros_recargas!$K$76*'Plan mensual'!J27+parametros_recargas!$L$76*'Plan mensual'!J28</f>
        <v>0.159301317799675</v>
      </c>
      <c r="I6" s="25" t="n">
        <f aca="false">parametros_recargas!$E$76*'Plan mensual'!K21+parametros_recargas!$F$76*'Plan mensual'!K22+parametros_recargas!$G$76*'Plan mensual'!K23+parametros_recargas!$H$76*'Plan mensual'!K24+parametros_recargas!$I$76*'Plan mensual'!K25+parametros_recargas!$J$76*'Plan mensual'!K26+parametros_recargas!$K$76*'Plan mensual'!K27+parametros_recargas!$L$76*'Plan mensual'!K28</f>
        <v>0.180538397463356</v>
      </c>
      <c r="J6" s="25" t="n">
        <f aca="false">parametros_recargas!$E$76*'Plan mensual'!L21+parametros_recargas!$F$76*'Plan mensual'!L22+parametros_recargas!$G$76*'Plan mensual'!L23+parametros_recargas!$H$76*'Plan mensual'!L24+parametros_recargas!$I$76*'Plan mensual'!L25+parametros_recargas!$J$76*'Plan mensual'!L26+parametros_recargas!$K$76*'Plan mensual'!L27+parametros_recargas!$L$76*'Plan mensual'!L28</f>
        <v>0.204606675003306</v>
      </c>
      <c r="K6" s="25" t="n">
        <f aca="false">parametros_recargas!$E$76*'Plan mensual'!M21+parametros_recargas!$F$76*'Plan mensual'!M22+parametros_recargas!$G$76*'Plan mensual'!M23+parametros_recargas!$H$76*'Plan mensual'!M24+parametros_recargas!$I$76*'Plan mensual'!M25+parametros_recargas!$J$76*'Plan mensual'!M26+parametros_recargas!$K$76*'Plan mensual'!M27+parametros_recargas!$L$76*'Plan mensual'!M28</f>
        <v>0.231883588444978</v>
      </c>
      <c r="L6" s="25" t="n">
        <f aca="false">parametros_recargas!$E$76*'Plan mensual'!N21+parametros_recargas!$F$76*'Plan mensual'!N22+parametros_recargas!$G$76*'Plan mensual'!N23+parametros_recargas!$H$76*'Plan mensual'!N24+parametros_recargas!$I$76*'Plan mensual'!N25+parametros_recargas!$J$76*'Plan mensual'!N26+parametros_recargas!$K$76*'Plan mensual'!N27+parametros_recargas!$L$76*'Plan mensual'!N28</f>
        <v>0.262796893548322</v>
      </c>
      <c r="M6" s="25" t="n">
        <f aca="false">parametros_recargas!$E$76*'Plan mensual'!O21+parametros_recargas!$F$76*'Plan mensual'!O22+parametros_recargas!$G$76*'Plan mensual'!O23+parametros_recargas!$H$76*'Plan mensual'!O24+parametros_recargas!$I$76*'Plan mensual'!O25+parametros_recargas!$J$76*'Plan mensual'!O26+parametros_recargas!$K$76*'Plan mensual'!O27+parametros_recargas!$L$76*'Plan mensual'!O28</f>
        <v>0.297831371861123</v>
      </c>
      <c r="N6" s="7" t="n">
        <f aca="false">SUM(B6:M6)</f>
        <v>1.96793964132184</v>
      </c>
      <c r="O6" s="26" t="n">
        <f aca="false">MAX(B6:M6)</f>
        <v>0.297831371861123</v>
      </c>
      <c r="P6" s="15" t="n">
        <f aca="false">O6/parametros_recargas!$B$6</f>
        <v>0.00198554247907415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5" t="n">
        <f aca="false">parametros_recargas!$E$77*'Plan mensual'!D21+parametros_recargas!$F$77*'Plan mensual'!D22+parametros_recargas!$G$77*'Plan mensual'!D23+parametros_recargas!$H$77*'Plan mensual'!D24+parametros_recargas!$I$77*'Plan mensual'!D25+parametros_recargas!$J$77*'Plan mensual'!D26+parametros_recargas!$K$77*'Plan mensual'!D27+parametros_recargas!$L$77*'Plan mensual'!D28</f>
        <v>3.2829792349436</v>
      </c>
      <c r="C7" s="25" t="n">
        <f aca="false">parametros_recargas!$E$77*'Plan mensual'!E21+parametros_recargas!$F$77*'Plan mensual'!E22+parametros_recargas!$G$77*'Plan mensual'!E23+parametros_recargas!$H$77*'Plan mensual'!E24+parametros_recargas!$I$77*'Plan mensual'!E25+parametros_recargas!$J$77*'Plan mensual'!E26+parametros_recargas!$K$77*'Plan mensual'!E27+parametros_recargas!$L$77*'Plan mensual'!E28</f>
        <v>3.7206459944514</v>
      </c>
      <c r="D7" s="25" t="n">
        <f aca="false">parametros_recargas!$E$77*'Plan mensual'!F21+parametros_recargas!$F$77*'Plan mensual'!F22+parametros_recargas!$G$77*'Plan mensual'!F23+parametros_recargas!$H$77*'Plan mensual'!F24+parametros_recargas!$I$77*'Plan mensual'!F25+parametros_recargas!$J$77*'Plan mensual'!F26+parametros_recargas!$K$77*'Plan mensual'!F27+parametros_recargas!$L$77*'Plan mensual'!F28</f>
        <v>4.21665981578012</v>
      </c>
      <c r="E7" s="25" t="n">
        <f aca="false">parametros_recargas!$E$77*'Plan mensual'!G21+parametros_recargas!$F$77*'Plan mensual'!G22+parametros_recargas!$G$77*'Plan mensual'!G23+parametros_recargas!$H$77*'Plan mensual'!G24+parametros_recargas!$I$77*'Plan mensual'!G25+parametros_recargas!$J$77*'Plan mensual'!G26+parametros_recargas!$K$77*'Plan mensual'!G27+parametros_recargas!$L$77*'Plan mensual'!G28</f>
        <v>4.7787991731894</v>
      </c>
      <c r="F7" s="25" t="n">
        <f aca="false">parametros_recargas!$E$77*'Plan mensual'!H21+parametros_recargas!$F$77*'Plan mensual'!H22+parametros_recargas!$G$77*'Plan mensual'!H23+parametros_recargas!$H$77*'Plan mensual'!H24+parametros_recargas!$I$77*'Plan mensual'!H25+parametros_recargas!$J$77*'Plan mensual'!H26+parametros_recargas!$K$77*'Plan mensual'!H27+parametros_recargas!$L$77*'Plan mensual'!H28</f>
        <v>5.41587951966448</v>
      </c>
      <c r="G7" s="25" t="n">
        <f aca="false">parametros_recargas!$E$77*'Plan mensual'!I21+parametros_recargas!$F$77*'Plan mensual'!I22+parametros_recargas!$G$77*'Plan mensual'!I23+parametros_recargas!$H$77*'Plan mensual'!I24+parametros_recargas!$I$77*'Plan mensual'!I25+parametros_recargas!$J$77*'Plan mensual'!I26+parametros_recargas!$K$77*'Plan mensual'!I27+parametros_recargas!$L$77*'Plan mensual'!I28</f>
        <v>6.13789153059238</v>
      </c>
      <c r="H7" s="25" t="n">
        <f aca="false">parametros_recargas!$E$77*'Plan mensual'!J21+parametros_recargas!$F$77*'Plan mensual'!J22+parametros_recargas!$G$77*'Plan mensual'!J23+parametros_recargas!$H$77*'Plan mensual'!J24+parametros_recargas!$I$77*'Plan mensual'!J25+parametros_recargas!$J$77*'Plan mensual'!J26+parametros_recargas!$K$77*'Plan mensual'!J27+parametros_recargas!$L$77*'Plan mensual'!J28</f>
        <v>6.95615777724163</v>
      </c>
      <c r="I7" s="25" t="n">
        <f aca="false">parametros_recargas!$E$77*'Plan mensual'!K21+parametros_recargas!$F$77*'Plan mensual'!K22+parametros_recargas!$G$77*'Plan mensual'!K23+parametros_recargas!$H$77*'Plan mensual'!K24+parametros_recargas!$I$77*'Plan mensual'!K25+parametros_recargas!$J$77*'Plan mensual'!K26+parametros_recargas!$K$77*'Plan mensual'!K27+parametros_recargas!$L$77*'Plan mensual'!K28</f>
        <v>7.88351028699413</v>
      </c>
      <c r="J7" s="25" t="n">
        <f aca="false">parametros_recargas!$E$77*'Plan mensual'!L21+parametros_recargas!$F$77*'Plan mensual'!L22+parametros_recargas!$G$77*'Plan mensual'!L23+parametros_recargas!$H$77*'Plan mensual'!L24+parametros_recargas!$I$77*'Plan mensual'!L25+parametros_recargas!$J$77*'Plan mensual'!L26+parametros_recargas!$K$77*'Plan mensual'!L27+parametros_recargas!$L$77*'Plan mensual'!L28</f>
        <v>8.93449177482385</v>
      </c>
      <c r="K7" s="25" t="n">
        <f aca="false">parametros_recargas!$E$77*'Plan mensual'!M21+parametros_recargas!$F$77*'Plan mensual'!M22+parametros_recargas!$G$77*'Plan mensual'!M23+parametros_recargas!$H$77*'Plan mensual'!M24+parametros_recargas!$I$77*'Plan mensual'!M25+parametros_recargas!$J$77*'Plan mensual'!M26+parametros_recargas!$K$77*'Plan mensual'!M27+parametros_recargas!$L$77*'Plan mensual'!M28</f>
        <v>10.1255837017283</v>
      </c>
      <c r="L7" s="25" t="n">
        <f aca="false">parametros_recargas!$E$77*'Plan mensual'!N21+parametros_recargas!$F$77*'Plan mensual'!N22+parametros_recargas!$G$77*'Plan mensual'!N23+parametros_recargas!$H$77*'Plan mensual'!N24+parametros_recargas!$I$77*'Plan mensual'!N25+parametros_recargas!$J$77*'Plan mensual'!N26+parametros_recargas!$K$77*'Plan mensual'!N27+parametros_recargas!$L$77*'Plan mensual'!N28</f>
        <v>11.4754647365185</v>
      </c>
      <c r="M7" s="25" t="n">
        <f aca="false">parametros_recargas!$E$77*'Plan mensual'!O21+parametros_recargas!$F$77*'Plan mensual'!O22+parametros_recargas!$G$77*'Plan mensual'!O23+parametros_recargas!$H$77*'Plan mensual'!O24+parametros_recargas!$I$77*'Plan mensual'!O25+parametros_recargas!$J$77*'Plan mensual'!O26+parametros_recargas!$K$77*'Plan mensual'!O27+parametros_recargas!$L$77*'Plan mensual'!O28</f>
        <v>13.0053036741578</v>
      </c>
      <c r="N7" s="7" t="n">
        <f aca="false">SUM(B7:M7)</f>
        <v>85.9333672200855</v>
      </c>
      <c r="O7" s="26" t="n">
        <f aca="false">MAX(B7:M7)</f>
        <v>13.0053036741578</v>
      </c>
      <c r="P7" s="15" t="n">
        <f aca="false">O7/parametros_recargas!$B$6</f>
        <v>0.0867020244943853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5" t="n">
        <f aca="false">parametros_recargas!$E$78*'Plan mensual'!D21+parametros_recargas!$F$78*'Plan mensual'!D22+parametros_recargas!$G$78*'Plan mensual'!D23+parametros_recargas!$H$78*'Plan mensual'!D24+parametros_recargas!$I$78*'Plan mensual'!D25+parametros_recargas!$J$78*'Plan mensual'!D26+parametros_recargas!$K$78*'Plan mensual'!D27+parametros_recargas!$L$78*'Plan mensual'!D28</f>
        <v>1.58510257694057</v>
      </c>
      <c r="C8" s="25" t="n">
        <f aca="false">parametros_recargas!$E$78*'Plan mensual'!E21+parametros_recargas!$F$78*'Plan mensual'!E22+parametros_recargas!$G$78*'Plan mensual'!E23+parametros_recargas!$H$78*'Plan mensual'!E24+parametros_recargas!$I$78*'Plan mensual'!E25+parametros_recargas!$J$78*'Plan mensual'!E26+parametros_recargas!$K$78*'Plan mensual'!E27+parametros_recargas!$L$78*'Plan mensual'!E28</f>
        <v>1.7964187805135</v>
      </c>
      <c r="D8" s="25" t="n">
        <f aca="false">parametros_recargas!$E$78*'Plan mensual'!F21+parametros_recargas!$F$78*'Plan mensual'!F22+parametros_recargas!$G$78*'Plan mensual'!F23+parametros_recargas!$H$78*'Plan mensual'!F24+parametros_recargas!$I$78*'Plan mensual'!F25+parametros_recargas!$J$78*'Plan mensual'!F26+parametros_recargas!$K$78*'Plan mensual'!F27+parametros_recargas!$L$78*'Plan mensual'!F28</f>
        <v>2.03590637093677</v>
      </c>
      <c r="E8" s="25" t="n">
        <f aca="false">parametros_recargas!$E$78*'Plan mensual'!G21+parametros_recargas!$F$78*'Plan mensual'!G22+parametros_recargas!$G$78*'Plan mensual'!G23+parametros_recargas!$H$78*'Plan mensual'!G24+parametros_recargas!$I$78*'Plan mensual'!G25+parametros_recargas!$J$78*'Plan mensual'!G26+parametros_recargas!$K$78*'Plan mensual'!G27+parametros_recargas!$L$78*'Plan mensual'!G28</f>
        <v>2.30732098560901</v>
      </c>
      <c r="F8" s="25" t="n">
        <f aca="false">parametros_recargas!$E$78*'Plan mensual'!H21+parametros_recargas!$F$78*'Plan mensual'!H22+parametros_recargas!$G$78*'Plan mensual'!H23+parametros_recargas!$H$78*'Plan mensual'!H24+parametros_recargas!$I$78*'Plan mensual'!H25+parametros_recargas!$J$78*'Plan mensual'!H26+parametros_recargas!$K$78*'Plan mensual'!H27+parametros_recargas!$L$78*'Plan mensual'!H28</f>
        <v>2.61491894059064</v>
      </c>
      <c r="G8" s="25" t="n">
        <f aca="false">parametros_recargas!$E$78*'Plan mensual'!I21+parametros_recargas!$F$78*'Plan mensual'!I22+parametros_recargas!$G$78*'Plan mensual'!I23+parametros_recargas!$H$78*'Plan mensual'!I24+parametros_recargas!$I$78*'Plan mensual'!I25+parametros_recargas!$J$78*'Plan mensual'!I26+parametros_recargas!$K$78*'Plan mensual'!I27+parametros_recargas!$L$78*'Plan mensual'!I28</f>
        <v>2.96352397802809</v>
      </c>
      <c r="H8" s="25" t="n">
        <f aca="false">parametros_recargas!$E$78*'Plan mensual'!J21+parametros_recargas!$F$78*'Plan mensual'!J22+parametros_recargas!$G$78*'Plan mensual'!J23+parametros_recargas!$H$78*'Plan mensual'!J24+parametros_recargas!$I$78*'Plan mensual'!J25+parametros_recargas!$J$78*'Plan mensual'!J26+parametros_recargas!$K$78*'Plan mensual'!J27+parametros_recargas!$L$78*'Plan mensual'!J28</f>
        <v>3.35860291193718</v>
      </c>
      <c r="I8" s="25" t="n">
        <f aca="false">parametros_recargas!$E$78*'Plan mensual'!K21+parametros_recargas!$F$78*'Plan mensual'!K22+parametros_recargas!$G$78*'Plan mensual'!K23+parametros_recargas!$H$78*'Plan mensual'!K24+parametros_recargas!$I$78*'Plan mensual'!K25+parametros_recargas!$J$78*'Plan mensual'!K26+parametros_recargas!$K$78*'Plan mensual'!K27+parametros_recargas!$L$78*'Plan mensual'!K28</f>
        <v>3.80635135862093</v>
      </c>
      <c r="J8" s="25" t="n">
        <f aca="false">parametros_recargas!$E$78*'Plan mensual'!L21+parametros_recargas!$F$78*'Plan mensual'!L22+parametros_recargas!$G$78*'Plan mensual'!L23+parametros_recargas!$H$78*'Plan mensual'!L24+parametros_recargas!$I$78*'Plan mensual'!L25+parametros_recargas!$J$78*'Plan mensual'!L26+parametros_recargas!$K$78*'Plan mensual'!L27+parametros_recargas!$L$78*'Plan mensual'!L28</f>
        <v>4.31379089614342</v>
      </c>
      <c r="K8" s="25" t="n">
        <f aca="false">parametros_recargas!$E$78*'Plan mensual'!M21+parametros_recargas!$F$78*'Plan mensual'!M22+parametros_recargas!$G$78*'Plan mensual'!M23+parametros_recargas!$H$78*'Plan mensual'!M24+parametros_recargas!$I$78*'Plan mensual'!M25+parametros_recargas!$J$78*'Plan mensual'!M26+parametros_recargas!$K$78*'Plan mensual'!M27+parametros_recargas!$L$78*'Plan mensual'!M28</f>
        <v>4.88887917651196</v>
      </c>
      <c r="L8" s="25" t="n">
        <f aca="false">parametros_recargas!$E$78*'Plan mensual'!N21+parametros_recargas!$F$78*'Plan mensual'!N22+parametros_recargas!$G$78*'Plan mensual'!N23+parametros_recargas!$H$78*'Plan mensual'!N24+parametros_recargas!$I$78*'Plan mensual'!N25+parametros_recargas!$J$78*'Plan mensual'!N26+parametros_recargas!$K$78*'Plan mensual'!N27+parametros_recargas!$L$78*'Plan mensual'!N28</f>
        <v>5.54063471734342</v>
      </c>
      <c r="M8" s="25" t="n">
        <f aca="false">parametros_recargas!$E$78*'Plan mensual'!O21+parametros_recargas!$F$78*'Plan mensual'!O22+parametros_recargas!$G$78*'Plan mensual'!O23+parametros_recargas!$H$78*'Plan mensual'!O24+parametros_recargas!$I$78*'Plan mensual'!O25+parametros_recargas!$J$78*'Plan mensual'!O26+parametros_recargas!$K$78*'Plan mensual'!O27+parametros_recargas!$L$78*'Plan mensual'!O28</f>
        <v>6.27927832999416</v>
      </c>
      <c r="N8" s="7" t="n">
        <f aca="false">SUM(B8:M8)</f>
        <v>41.4907290231696</v>
      </c>
      <c r="O8" s="26" t="n">
        <f aca="false">MAX(B8:M8)</f>
        <v>6.27927832999416</v>
      </c>
      <c r="P8" s="15" t="n">
        <f aca="false">O8/parametros_recargas!$B$6</f>
        <v>0.0418618555332944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5" t="n">
        <f aca="false">parametros_recargas!$E$79*'Plan mensual'!D21+parametros_recargas!$F$79*'Plan mensual'!D22+parametros_recargas!$G$79*'Plan mensual'!D23+parametros_recargas!$H$79*'Plan mensual'!D24+parametros_recargas!$I$79*'Plan mensual'!D25+parametros_recargas!$J$79*'Plan mensual'!D26+parametros_recargas!$K$79*'Plan mensual'!D27+parametros_recargas!$L$79*'Plan mensual'!D28</f>
        <v>0.05012182145257</v>
      </c>
      <c r="C9" s="25" t="n">
        <f aca="false">parametros_recargas!$E$79*'Plan mensual'!E21+parametros_recargas!$F$79*'Plan mensual'!E22+parametros_recargas!$G$79*'Plan mensual'!E23+parametros_recargas!$H$79*'Plan mensual'!E24+parametros_recargas!$I$79*'Plan mensual'!E25+parametros_recargas!$J$79*'Plan mensual'!E26+parametros_recargas!$K$79*'Plan mensual'!E27+parametros_recargas!$L$79*'Plan mensual'!E28</f>
        <v>0.0568037568551104</v>
      </c>
      <c r="D9" s="25" t="n">
        <f aca="false">parametros_recargas!$E$79*'Plan mensual'!F21+parametros_recargas!$F$79*'Plan mensual'!F22+parametros_recargas!$G$79*'Plan mensual'!F23+parametros_recargas!$H$79*'Plan mensual'!F24+parametros_recargas!$I$79*'Plan mensual'!F25+parametros_recargas!$J$79*'Plan mensual'!F26+parametros_recargas!$K$79*'Plan mensual'!F27+parametros_recargas!$L$79*'Plan mensual'!F28</f>
        <v>0.0643764871136593</v>
      </c>
      <c r="E9" s="25" t="n">
        <f aca="false">parametros_recargas!$E$79*'Plan mensual'!G21+parametros_recargas!$F$79*'Plan mensual'!G22+parametros_recargas!$G$79*'Plan mensual'!G23+parametros_recargas!$H$79*'Plan mensual'!G24+parametros_recargas!$I$79*'Plan mensual'!G25+parametros_recargas!$J$79*'Plan mensual'!G26+parametros_recargas!$K$79*'Plan mensual'!G27+parametros_recargas!$L$79*'Plan mensual'!G28</f>
        <v>0.0729587675629643</v>
      </c>
      <c r="F9" s="25" t="n">
        <f aca="false">parametros_recargas!$E$79*'Plan mensual'!H21+parametros_recargas!$F$79*'Plan mensual'!H22+parametros_recargas!$G$79*'Plan mensual'!H23+parametros_recargas!$H$79*'Plan mensual'!H24+parametros_recargas!$I$79*'Plan mensual'!H25+parametros_recargas!$J$79*'Plan mensual'!H26+parametros_recargas!$K$79*'Plan mensual'!H27+parametros_recargas!$L$79*'Plan mensual'!H28</f>
        <v>0.0826851852743799</v>
      </c>
      <c r="G9" s="25" t="n">
        <f aca="false">parametros_recargas!$E$79*'Plan mensual'!I21+parametros_recargas!$F$79*'Plan mensual'!I22+parametros_recargas!$G$79*'Plan mensual'!I23+parametros_recargas!$H$79*'Plan mensual'!I24+parametros_recargas!$I$79*'Plan mensual'!I25+parametros_recargas!$J$79*'Plan mensual'!I26+parametros_recargas!$K$79*'Plan mensual'!I27+parametros_recargas!$L$79*'Plan mensual'!I28</f>
        <v>0.0937082696463897</v>
      </c>
      <c r="H9" s="25" t="n">
        <f aca="false">parametros_recargas!$E$79*'Plan mensual'!J21+parametros_recargas!$F$79*'Plan mensual'!J22+parametros_recargas!$G$79*'Plan mensual'!J23+parametros_recargas!$H$79*'Plan mensual'!J24+parametros_recargas!$I$79*'Plan mensual'!J25+parametros_recargas!$J$79*'Plan mensual'!J26+parametros_recargas!$K$79*'Plan mensual'!J27+parametros_recargas!$L$79*'Plan mensual'!J28</f>
        <v>0.106200884366179</v>
      </c>
      <c r="I9" s="25" t="n">
        <f aca="false">parametros_recargas!$E$79*'Plan mensual'!K21+parametros_recargas!$F$79*'Plan mensual'!K22+parametros_recargas!$G$79*'Plan mensual'!K23+parametros_recargas!$H$79*'Plan mensual'!K24+parametros_recargas!$I$79*'Plan mensual'!K25+parametros_recargas!$J$79*'Plan mensual'!K26+parametros_recargas!$K$79*'Plan mensual'!K27+parametros_recargas!$L$79*'Plan mensual'!K28</f>
        <v>0.120358938252927</v>
      </c>
      <c r="J9" s="25" t="n">
        <f aca="false">parametros_recargas!$E$79*'Plan mensual'!L21+parametros_recargas!$F$79*'Plan mensual'!L22+parametros_recargas!$G$79*'Plan mensual'!L23+parametros_recargas!$H$79*'Plan mensual'!L24+parametros_recargas!$I$79*'Plan mensual'!L25+parametros_recargas!$J$79*'Plan mensual'!L26+parametros_recargas!$K$79*'Plan mensual'!L27+parametros_recargas!$L$79*'Plan mensual'!L28</f>
        <v>0.136404457494191</v>
      </c>
      <c r="K9" s="25" t="n">
        <f aca="false">parametros_recargas!$E$79*'Plan mensual'!M21+parametros_recargas!$F$79*'Plan mensual'!M22+parametros_recargas!$G$79*'Plan mensual'!M23+parametros_recargas!$H$79*'Plan mensual'!M24+parametros_recargas!$I$79*'Plan mensual'!M25+parametros_recargas!$J$79*'Plan mensual'!M26+parametros_recargas!$K$79*'Plan mensual'!M27+parametros_recargas!$L$79*'Plan mensual'!M28</f>
        <v>0.154589067454092</v>
      </c>
      <c r="L9" s="25" t="n">
        <f aca="false">parametros_recargas!$E$79*'Plan mensual'!N21+parametros_recargas!$F$79*'Plan mensual'!N22+parametros_recargas!$G$79*'Plan mensual'!N23+parametros_recargas!$H$79*'Plan mensual'!N24+parametros_recargas!$I$79*'Plan mensual'!N25+parametros_recargas!$J$79*'Plan mensual'!N26+parametros_recargas!$K$79*'Plan mensual'!N27+parametros_recargas!$L$79*'Plan mensual'!N28</f>
        <v>0.175197938654925</v>
      </c>
      <c r="M9" s="25" t="n">
        <f aca="false">parametros_recargas!$E$79*'Plan mensual'!O21+parametros_recargas!$F$79*'Plan mensual'!O22+parametros_recargas!$G$79*'Plan mensual'!O23+parametros_recargas!$H$79*'Plan mensual'!O24+parametros_recargas!$I$79*'Plan mensual'!O25+parametros_recargas!$J$79*'Plan mensual'!O26+parametros_recargas!$K$79*'Plan mensual'!O27+parametros_recargas!$L$79*'Plan mensual'!O28</f>
        <v>0.198554258812968</v>
      </c>
      <c r="N9" s="7" t="n">
        <f aca="false">SUM(B9:M9)</f>
        <v>1.31195983294036</v>
      </c>
      <c r="O9" s="26" t="n">
        <f aca="false">MAX(B9:M9)</f>
        <v>0.198554258812968</v>
      </c>
      <c r="P9" s="15" t="n">
        <f aca="false">O9/parametros_recargas!$B$6</f>
        <v>0.00132369505875312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5" t="n">
        <f aca="false">parametros_recargas!$E$80*'Plan mensual'!D21+parametros_recargas!$F$80*'Plan mensual'!D22+parametros_recargas!$G$80*'Plan mensual'!D23+parametros_recargas!$H$80*'Plan mensual'!D24+parametros_recargas!$I$80*'Plan mensual'!D25+parametros_recargas!$J$80*'Plan mensual'!D26+parametros_recargas!$K$80*'Plan mensual'!D27+parametros_recargas!$L$80*'Plan mensual'!D28</f>
        <v>67.188300488551</v>
      </c>
      <c r="C10" s="25" t="n">
        <f aca="false">parametros_recargas!$E$80*'Plan mensual'!E21+parametros_recargas!$F$80*'Plan mensual'!E22+parametros_recargas!$G$80*'Plan mensual'!E23+parametros_recargas!$H$80*'Plan mensual'!E24+parametros_recargas!$I$80*'Plan mensual'!E25+parametros_recargas!$J$80*'Plan mensual'!E26+parametros_recargas!$K$80*'Plan mensual'!E27+parametros_recargas!$L$80*'Plan mensual'!E28</f>
        <v>76.1454347398632</v>
      </c>
      <c r="D10" s="25" t="n">
        <f aca="false">parametros_recargas!$E$80*'Plan mensual'!F21+parametros_recargas!$F$80*'Plan mensual'!F22+parametros_recargas!$G$80*'Plan mensual'!F23+parametros_recargas!$H$80*'Plan mensual'!F24+parametros_recargas!$I$80*'Plan mensual'!F25+parametros_recargas!$J$80*'Plan mensual'!F26+parametros_recargas!$K$80*'Plan mensual'!F27+parametros_recargas!$L$80*'Plan mensual'!F28</f>
        <v>86.2966794748854</v>
      </c>
      <c r="E10" s="25" t="n">
        <f aca="false">parametros_recargas!$E$80*'Plan mensual'!G21+parametros_recargas!$F$80*'Plan mensual'!G22+parametros_recargas!$G$80*'Plan mensual'!G23+parametros_recargas!$H$80*'Plan mensual'!G24+parametros_recargas!$I$80*'Plan mensual'!G25+parametros_recargas!$J$80*'Plan mensual'!G26+parametros_recargas!$K$80*'Plan mensual'!G27+parametros_recargas!$L$80*'Plan mensual'!G28</f>
        <v>97.8012262170779</v>
      </c>
      <c r="F10" s="25" t="n">
        <f aca="false">parametros_recargas!$E$80*'Plan mensual'!H21+parametros_recargas!$F$80*'Plan mensual'!H22+parametros_recargas!$G$80*'Plan mensual'!H23+parametros_recargas!$H$80*'Plan mensual'!H24+parametros_recargas!$I$80*'Plan mensual'!H25+parametros_recargas!$J$80*'Plan mensual'!H26+parametros_recargas!$K$80*'Plan mensual'!H27+parametros_recargas!$L$80*'Plan mensual'!H28</f>
        <v>110.839488932454</v>
      </c>
      <c r="G10" s="25" t="n">
        <f aca="false">parametros_recargas!$E$80*'Plan mensual'!I21+parametros_recargas!$F$80*'Plan mensual'!I22+parametros_recargas!$G$80*'Plan mensual'!I23+parametros_recargas!$H$80*'Plan mensual'!I24+parametros_recargas!$I$80*'Plan mensual'!I25+parametros_recargas!$J$80*'Plan mensual'!I26+parametros_recargas!$K$80*'Plan mensual'!I27+parametros_recargas!$L$80*'Plan mensual'!I28</f>
        <v>125.615933276123</v>
      </c>
      <c r="H10" s="25" t="n">
        <f aca="false">parametros_recargas!$E$80*'Plan mensual'!J21+parametros_recargas!$F$80*'Plan mensual'!J22+parametros_recargas!$G$80*'Plan mensual'!J23+parametros_recargas!$H$80*'Plan mensual'!J24+parametros_recargas!$I$80*'Plan mensual'!J25+parametros_recargas!$J$80*'Plan mensual'!J26+parametros_recargas!$K$80*'Plan mensual'!J27+parametros_recargas!$L$80*'Plan mensual'!J28</f>
        <v>142.362283016728</v>
      </c>
      <c r="I10" s="25" t="n">
        <f aca="false">parametros_recargas!$E$80*'Plan mensual'!K21+parametros_recargas!$F$80*'Plan mensual'!K22+parametros_recargas!$G$80*'Plan mensual'!K23+parametros_recargas!$H$80*'Plan mensual'!K24+parametros_recargas!$I$80*'Plan mensual'!K25+parametros_recargas!$J$80*'Plan mensual'!K26+parametros_recargas!$K$80*'Plan mensual'!K27+parametros_recargas!$L$80*'Plan mensual'!K28</f>
        <v>161.341153921811</v>
      </c>
      <c r="J10" s="25" t="n">
        <f aca="false">parametros_recargas!$E$80*'Plan mensual'!L21+parametros_recargas!$F$80*'Plan mensual'!L22+parametros_recargas!$G$80*'Plan mensual'!L23+parametros_recargas!$H$80*'Plan mensual'!L24+parametros_recargas!$I$80*'Plan mensual'!L25+parametros_recargas!$J$80*'Plan mensual'!L26+parametros_recargas!$K$80*'Plan mensual'!L27+parametros_recargas!$L$80*'Plan mensual'!L28</f>
        <v>182.850172090615</v>
      </c>
      <c r="K10" s="25" t="n">
        <f aca="false">parametros_recargas!$E$80*'Plan mensual'!M21+parametros_recargas!$F$80*'Plan mensual'!M22+parametros_recargas!$G$80*'Plan mensual'!M23+parametros_recargas!$H$80*'Plan mensual'!M24+parametros_recargas!$I$80*'Plan mensual'!M25+parametros_recargas!$J$80*'Plan mensual'!M26+parametros_recargas!$K$80*'Plan mensual'!M27+parametros_recargas!$L$80*'Plan mensual'!M28</f>
        <v>207.226641317877</v>
      </c>
      <c r="L10" s="25" t="n">
        <f aca="false">parametros_recargas!$E$80*'Plan mensual'!N21+parametros_recargas!$F$80*'Plan mensual'!N22+parametros_recargas!$G$80*'Plan mensual'!N23+parametros_recargas!$H$80*'Plan mensual'!N24+parametros_recargas!$I$80*'Plan mensual'!N25+parametros_recargas!$J$80*'Plan mensual'!N26+parametros_recargas!$K$80*'Plan mensual'!N27+parametros_recargas!$L$80*'Plan mensual'!N28</f>
        <v>234.852832682087</v>
      </c>
      <c r="M10" s="25" t="n">
        <f aca="false">parametros_recargas!$E$80*'Plan mensual'!O21+parametros_recargas!$F$80*'Plan mensual'!O22+parametros_recargas!$G$80*'Plan mensual'!O23+parametros_recargas!$H$80*'Plan mensual'!O24+parametros_recargas!$I$80*'Plan mensual'!O25+parametros_recargas!$J$80*'Plan mensual'!O26+parametros_recargas!$K$80*'Plan mensual'!O27+parametros_recargas!$L$80*'Plan mensual'!O28</f>
        <v>266.161979309376</v>
      </c>
      <c r="N10" s="7" t="n">
        <f aca="false">SUM(B10:M10)</f>
        <v>1758.68212546745</v>
      </c>
      <c r="O10" s="26" t="n">
        <f aca="false">MAX(B10:M10)</f>
        <v>266.161979309376</v>
      </c>
      <c r="P10" s="15" t="n">
        <f aca="false">O10/parametros_recargas!$B$6</f>
        <v>1.77441319539584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5" t="n">
        <f aca="false">parametros_recargas!$E$81*'Plan mensual'!D21+parametros_recargas!$F$81*'Plan mensual'!D22+parametros_recargas!$G$81*'Plan mensual'!D23+parametros_recargas!$H$81*'Plan mensual'!D24+parametros_recargas!$I$81*'Plan mensual'!D25+parametros_recargas!$J$81*'Plan mensual'!D26+parametros_recargas!$K$81*'Plan mensual'!D27+parametros_recargas!$L$81*'Plan mensual'!D28</f>
        <v>4.91820363333674</v>
      </c>
      <c r="C11" s="25" t="n">
        <f aca="false">parametros_recargas!$E$81*'Plan mensual'!E21+parametros_recargas!$F$81*'Plan mensual'!E22+parametros_recargas!$G$81*'Plan mensual'!E23+parametros_recargas!$H$81*'Plan mensual'!E24+parametros_recargas!$I$81*'Plan mensual'!E25+parametros_recargas!$J$81*'Plan mensual'!E26+parametros_recargas!$K$81*'Plan mensual'!E27+parametros_recargas!$L$81*'Plan mensual'!E28</f>
        <v>5.57386853182</v>
      </c>
      <c r="D11" s="25" t="n">
        <f aca="false">parametros_recargas!$E$81*'Plan mensual'!F21+parametros_recargas!$F$81*'Plan mensual'!F22+parametros_recargas!$G$81*'Plan mensual'!F23+parametros_recargas!$H$81*'Plan mensual'!F24+parametros_recargas!$I$81*'Plan mensual'!F25+parametros_recargas!$J$81*'Plan mensual'!F26+parametros_recargas!$K$81*'Plan mensual'!F27+parametros_recargas!$L$81*'Plan mensual'!F28</f>
        <v>6.31694267383054</v>
      </c>
      <c r="E11" s="25" t="n">
        <f aca="false">parametros_recargas!$E$81*'Plan mensual'!G21+parametros_recargas!$F$81*'Plan mensual'!G22+parametros_recargas!$G$81*'Plan mensual'!G23+parametros_recargas!$H$81*'Plan mensual'!G24+parametros_recargas!$I$81*'Plan mensual'!G25+parametros_recargas!$J$81*'Plan mensual'!G26+parametros_recargas!$K$81*'Plan mensual'!G27+parametros_recargas!$L$81*'Plan mensual'!G28</f>
        <v>7.15907892636137</v>
      </c>
      <c r="F11" s="25" t="n">
        <f aca="false">parametros_recargas!$E$81*'Plan mensual'!H21+parametros_recargas!$F$81*'Plan mensual'!H22+parametros_recargas!$G$81*'Plan mensual'!H23+parametros_recargas!$H$81*'Plan mensual'!H24+parametros_recargas!$I$81*'Plan mensual'!H25+parametros_recargas!$J$81*'Plan mensual'!H26+parametros_recargas!$K$81*'Plan mensual'!H27+parametros_recargas!$L$81*'Plan mensual'!H28</f>
        <v>8.1134836455295</v>
      </c>
      <c r="G11" s="25" t="n">
        <f aca="false">parametros_recargas!$E$81*'Plan mensual'!I21+parametros_recargas!$F$81*'Plan mensual'!I22+parametros_recargas!$G$81*'Plan mensual'!I23+parametros_recargas!$H$81*'Plan mensual'!I24+parametros_recargas!$I$81*'Plan mensual'!I25+parametros_recargas!$J$81*'Plan mensual'!I26+parametros_recargas!$K$81*'Plan mensual'!I27+parametros_recargas!$L$81*'Plan mensual'!I28</f>
        <v>9.19512377826686</v>
      </c>
      <c r="H11" s="25" t="n">
        <f aca="false">parametros_recargas!$E$81*'Plan mensual'!J21+parametros_recargas!$F$81*'Plan mensual'!J22+parametros_recargas!$G$81*'Plan mensual'!J23+parametros_recargas!$H$81*'Plan mensual'!J24+parametros_recargas!$I$81*'Plan mensual'!J25+parametros_recargas!$J$81*'Plan mensual'!J26+parametros_recargas!$K$81*'Plan mensual'!J27+parametros_recargas!$L$81*'Plan mensual'!J28</f>
        <v>10.420961573545</v>
      </c>
      <c r="I11" s="25" t="n">
        <f aca="false">parametros_recargas!$E$81*'Plan mensual'!K21+parametros_recargas!$F$81*'Plan mensual'!K22+parametros_recargas!$G$81*'Plan mensual'!K23+parametros_recargas!$H$81*'Plan mensual'!K24+parametros_recargas!$I$81*'Plan mensual'!K25+parametros_recargas!$J$81*'Plan mensual'!K26+parametros_recargas!$K$81*'Plan mensual'!K27+parametros_recargas!$L$81*'Plan mensual'!K28</f>
        <v>11.810220583868</v>
      </c>
      <c r="J11" s="25" t="n">
        <f aca="false">parametros_recargas!$E$81*'Plan mensual'!L21+parametros_recargas!$F$81*'Plan mensual'!L22+parametros_recargas!$G$81*'Plan mensual'!L23+parametros_recargas!$H$81*'Plan mensual'!L24+parametros_recargas!$I$81*'Plan mensual'!L25+parametros_recargas!$J$81*'Plan mensual'!L26+parametros_recargas!$K$81*'Plan mensual'!L27+parametros_recargas!$L$81*'Plan mensual'!L28</f>
        <v>13.3846871284615</v>
      </c>
      <c r="K11" s="25" t="n">
        <f aca="false">parametros_recargas!$E$81*'Plan mensual'!M21+parametros_recargas!$F$81*'Plan mensual'!M22+parametros_recargas!$G$81*'Plan mensual'!M23+parametros_recargas!$H$81*'Plan mensual'!M24+parametros_recargas!$I$81*'Plan mensual'!M25+parametros_recargas!$J$81*'Plan mensual'!M26+parametros_recargas!$K$81*'Plan mensual'!M27+parametros_recargas!$L$81*'Plan mensual'!M28</f>
        <v>15.1690519456943</v>
      </c>
      <c r="L11" s="25" t="n">
        <f aca="false">parametros_recargas!$E$81*'Plan mensual'!N21+parametros_recargas!$F$81*'Plan mensual'!N22+parametros_recargas!$G$81*'Plan mensual'!N23+parametros_recargas!$H$81*'Plan mensual'!N24+parametros_recargas!$I$81*'Plan mensual'!N25+parametros_recargas!$J$81*'Plan mensual'!N26+parametros_recargas!$K$81*'Plan mensual'!N27+parametros_recargas!$L$81*'Plan mensual'!N28</f>
        <v>17.1912973925168</v>
      </c>
      <c r="M11" s="25" t="n">
        <f aca="false">parametros_recargas!$E$81*'Plan mensual'!O21+parametros_recargas!$F$81*'Plan mensual'!O22+parametros_recargas!$G$81*'Plan mensual'!O23+parametros_recargas!$H$81*'Plan mensual'!O24+parametros_recargas!$I$81*'Plan mensual'!O25+parametros_recargas!$J$81*'Plan mensual'!O26+parametros_recargas!$K$81*'Plan mensual'!O27+parametros_recargas!$L$81*'Plan mensual'!O28</f>
        <v>19.4831362629649</v>
      </c>
      <c r="N11" s="7" t="n">
        <f aca="false">SUM(B11:M11)</f>
        <v>128.736056076196</v>
      </c>
      <c r="O11" s="26" t="n">
        <f aca="false">MAX(B11:M11)</f>
        <v>19.4831362629649</v>
      </c>
      <c r="P11" s="15" t="n">
        <f aca="false">O11/parametros_recargas!$B$6</f>
        <v>0.129887575086433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5" t="n">
        <f aca="false">parametros_recargas!$E$82*'Plan mensual'!D21+parametros_recargas!$F$82*'Plan mensual'!D22+parametros_recargas!$G$82*'Plan mensual'!D23+parametros_recargas!$H$82*'Plan mensual'!D24+parametros_recargas!$I$82*'Plan mensual'!D25+parametros_recargas!$J$82*'Plan mensual'!D26+parametros_recargas!$K$82*'Plan mensual'!D27+parametros_recargas!$L$82*'Plan mensual'!D28</f>
        <v>0.0671131177605015</v>
      </c>
      <c r="C12" s="25" t="n">
        <f aca="false">parametros_recargas!$E$82*'Plan mensual'!E21+parametros_recargas!$F$82*'Plan mensual'!E22+parametros_recargas!$G$82*'Plan mensual'!E23+parametros_recargas!$H$82*'Plan mensual'!E24+parametros_recargas!$I$82*'Plan mensual'!E25+parametros_recargas!$J$82*'Plan mensual'!E26+parametros_recargas!$K$82*'Plan mensual'!E27+parametros_recargas!$L$82*'Plan mensual'!E28</f>
        <v>0.0760602291092605</v>
      </c>
      <c r="D12" s="25" t="n">
        <f aca="false">parametros_recargas!$E$82*'Plan mensual'!F21+parametros_recargas!$F$82*'Plan mensual'!F22+parametros_recargas!$G$82*'Plan mensual'!F23+parametros_recargas!$H$82*'Plan mensual'!F24+parametros_recargas!$I$82*'Plan mensual'!F25+parametros_recargas!$J$82*'Plan mensual'!F26+parametros_recargas!$K$82*'Plan mensual'!F27+parametros_recargas!$L$82*'Plan mensual'!F28</f>
        <v>0.0862001147495187</v>
      </c>
      <c r="E12" s="25" t="n">
        <f aca="false">parametros_recargas!$E$82*'Plan mensual'!G21+parametros_recargas!$F$82*'Plan mensual'!G22+parametros_recargas!$G$82*'Plan mensual'!G23+parametros_recargas!$H$82*'Plan mensual'!G24+parametros_recargas!$I$82*'Plan mensual'!G25+parametros_recargas!$J$82*'Plan mensual'!G26+parametros_recargas!$K$82*'Plan mensual'!G27+parametros_recargas!$L$82*'Plan mensual'!G28</f>
        <v>0.0976917880717443</v>
      </c>
      <c r="F12" s="25" t="n">
        <f aca="false">parametros_recargas!$E$82*'Plan mensual'!H21+parametros_recargas!$F$82*'Plan mensual'!H22+parametros_recargas!$G$82*'Plan mensual'!H23+parametros_recargas!$H$82*'Plan mensual'!H24+parametros_recargas!$I$82*'Plan mensual'!H25+parametros_recargas!$J$82*'Plan mensual'!H26+parametros_recargas!$K$82*'Plan mensual'!H27+parametros_recargas!$L$82*'Plan mensual'!H28</f>
        <v>0.110715461161354</v>
      </c>
      <c r="G12" s="25" t="n">
        <f aca="false">parametros_recargas!$E$82*'Plan mensual'!I21+parametros_recargas!$F$82*'Plan mensual'!I22+parametros_recargas!$G$82*'Plan mensual'!I23+parametros_recargas!$H$82*'Plan mensual'!I24+parametros_recargas!$I$82*'Plan mensual'!I25+parametros_recargas!$J$82*'Plan mensual'!I26+parametros_recargas!$K$82*'Plan mensual'!I27+parametros_recargas!$L$82*'Plan mensual'!I28</f>
        <v>0.125475370879374</v>
      </c>
      <c r="H12" s="25" t="n">
        <f aca="false">parametros_recargas!$E$82*'Plan mensual'!J21+parametros_recargas!$F$82*'Plan mensual'!J22+parametros_recargas!$G$82*'Plan mensual'!J23+parametros_recargas!$H$82*'Plan mensual'!J24+parametros_recargas!$I$82*'Plan mensual'!J25+parametros_recargas!$J$82*'Plan mensual'!J26+parametros_recargas!$K$82*'Plan mensual'!J27+parametros_recargas!$L$82*'Plan mensual'!J28</f>
        <v>0.142202981698928</v>
      </c>
      <c r="I12" s="25" t="n">
        <f aca="false">parametros_recargas!$E$82*'Plan mensual'!K21+parametros_recargas!$F$82*'Plan mensual'!K22+parametros_recargas!$G$82*'Plan mensual'!K23+parametros_recargas!$H$82*'Plan mensual'!K24+parametros_recargas!$I$82*'Plan mensual'!K25+parametros_recargas!$J$82*'Plan mensual'!K26+parametros_recargas!$K$82*'Plan mensual'!K27+parametros_recargas!$L$82*'Plan mensual'!K28</f>
        <v>0.161160615524348</v>
      </c>
      <c r="J12" s="25" t="n">
        <f aca="false">parametros_recargas!$E$82*'Plan mensual'!L21+parametros_recargas!$F$82*'Plan mensual'!L22+parametros_recargas!$G$82*'Plan mensual'!L23+parametros_recargas!$H$82*'Plan mensual'!L24+parametros_recargas!$I$82*'Plan mensual'!L25+parametros_recargas!$J$82*'Plan mensual'!L26+parametros_recargas!$K$82*'Plan mensual'!L27+parametros_recargas!$L$82*'Plan mensual'!L28</f>
        <v>0.182645565415612</v>
      </c>
      <c r="K12" s="25" t="n">
        <f aca="false">parametros_recargas!$E$82*'Plan mensual'!M21+parametros_recargas!$F$82*'Plan mensual'!M22+parametros_recargas!$G$82*'Plan mensual'!M23+parametros_recargas!$H$82*'Plan mensual'!M24+parametros_recargas!$I$82*'Plan mensual'!M25+parametros_recargas!$J$82*'Plan mensual'!M26+parametros_recargas!$K$82*'Plan mensual'!M27+parametros_recargas!$L$82*'Plan mensual'!M28</f>
        <v>0.206994757729432</v>
      </c>
      <c r="L12" s="25" t="n">
        <f aca="false">parametros_recargas!$E$82*'Plan mensual'!N21+parametros_recargas!$F$82*'Plan mensual'!N22+parametros_recargas!$G$82*'Plan mensual'!N23+parametros_recargas!$H$82*'Plan mensual'!N24+parametros_recargas!$I$82*'Plan mensual'!N25+parametros_recargas!$J$82*'Plan mensual'!N26+parametros_recargas!$K$82*'Plan mensual'!N27+parametros_recargas!$L$82*'Plan mensual'!N28</f>
        <v>0.234590035788538</v>
      </c>
      <c r="M12" s="25" t="n">
        <f aca="false">parametros_recargas!$E$82*'Plan mensual'!O21+parametros_recargas!$F$82*'Plan mensual'!O22+parametros_recargas!$G$82*'Plan mensual'!O23+parametros_recargas!$H$82*'Plan mensual'!O24+parametros_recargas!$I$82*'Plan mensual'!O25+parametros_recargas!$J$82*'Plan mensual'!O26+parametros_recargas!$K$82*'Plan mensual'!O27+parametros_recargas!$L$82*'Plan mensual'!O28</f>
        <v>0.265864147937515</v>
      </c>
      <c r="N12" s="7" t="n">
        <f aca="false">SUM(B12:M12)</f>
        <v>1.75671418582613</v>
      </c>
      <c r="O12" s="26" t="n">
        <f aca="false">MAX(B12:M12)</f>
        <v>0.265864147937515</v>
      </c>
      <c r="P12" s="15" t="n">
        <f aca="false">O12/parametros_recargas!$B$6</f>
        <v>0.00177242765291677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5" t="n">
        <f aca="false">parametros_recargas!$E$83*'Plan mensual'!D21+parametros_recargas!$F$83*'Plan mensual'!D22+parametros_recargas!$G$83*'Plan mensual'!D23+parametros_recargas!$H$83*'Plan mensual'!D24+parametros_recargas!$I$83*'Plan mensual'!D25+parametros_recargas!$J$83*'Plan mensual'!D26+parametros_recargas!$K$83*'Plan mensual'!D27+parametros_recargas!$L$83*'Plan mensual'!D28</f>
        <v>16.3873292338965</v>
      </c>
      <c r="C13" s="25" t="n">
        <f aca="false">parametros_recargas!$E$83*'Plan mensual'!E21+parametros_recargas!$F$83*'Plan mensual'!E22+parametros_recargas!$G$83*'Plan mensual'!E23+parametros_recargas!$H$83*'Plan mensual'!E24+parametros_recargas!$I$83*'Plan mensual'!E25+parametros_recargas!$J$83*'Plan mensual'!E26+parametros_recargas!$K$83*'Plan mensual'!E27+parametros_recargas!$L$83*'Plan mensual'!E28</f>
        <v>18.5719879750932</v>
      </c>
      <c r="D13" s="25" t="n">
        <f aca="false">parametros_recargas!$E$83*'Plan mensual'!F21+parametros_recargas!$F$83*'Plan mensual'!F22+parametros_recargas!$G$83*'Plan mensual'!F23+parametros_recargas!$H$83*'Plan mensual'!F24+parametros_recargas!$I$83*'Plan mensual'!F25+parametros_recargas!$J$83*'Plan mensual'!F26+parametros_recargas!$K$83*'Plan mensual'!F27+parametros_recargas!$L$83*'Plan mensual'!F28</f>
        <v>21.0478920893075</v>
      </c>
      <c r="E13" s="25" t="n">
        <f aca="false">parametros_recargas!$E$83*'Plan mensual'!G21+parametros_recargas!$F$83*'Plan mensual'!G22+parametros_recargas!$G$83*'Plan mensual'!G23+parametros_recargas!$H$83*'Plan mensual'!G24+parametros_recargas!$I$83*'Plan mensual'!G25+parametros_recargas!$J$83*'Plan mensual'!G26+parametros_recargas!$K$83*'Plan mensual'!G27+parametros_recargas!$L$83*'Plan mensual'!G28</f>
        <v>23.8538686325479</v>
      </c>
      <c r="F13" s="25" t="n">
        <f aca="false">parametros_recargas!$E$83*'Plan mensual'!H21+parametros_recargas!$F$83*'Plan mensual'!H22+parametros_recargas!$G$83*'Plan mensual'!H23+parametros_recargas!$H$83*'Plan mensual'!H24+parametros_recargas!$I$83*'Plan mensual'!H25+parametros_recargas!$J$83*'Plan mensual'!H26+parametros_recargas!$K$83*'Plan mensual'!H27+parametros_recargas!$L$83*'Plan mensual'!H28</f>
        <v>27.033920847015</v>
      </c>
      <c r="G13" s="25" t="n">
        <f aca="false">parametros_recargas!$E$83*'Plan mensual'!I21+parametros_recargas!$F$83*'Plan mensual'!I22+parametros_recargas!$G$83*'Plan mensual'!I23+parametros_recargas!$H$83*'Plan mensual'!I24+parametros_recargas!$I$83*'Plan mensual'!I25+parametros_recargas!$J$83*'Plan mensual'!I26+parametros_recargas!$K$83*'Plan mensual'!I27+parametros_recargas!$L$83*'Plan mensual'!I28</f>
        <v>30.6379182186604</v>
      </c>
      <c r="H13" s="25" t="n">
        <f aca="false">parametros_recargas!$E$83*'Plan mensual'!J21+parametros_recargas!$F$83*'Plan mensual'!J22+parametros_recargas!$G$83*'Plan mensual'!J23+parametros_recargas!$H$83*'Plan mensual'!J24+parametros_recargas!$I$83*'Plan mensual'!J25+parametros_recargas!$J$83*'Plan mensual'!J26+parametros_recargas!$K$83*'Plan mensual'!J27+parametros_recargas!$L$83*'Plan mensual'!J28</f>
        <v>34.7223785290091</v>
      </c>
      <c r="I13" s="25" t="n">
        <f aca="false">parametros_recargas!$E$83*'Plan mensual'!K21+parametros_recargas!$F$83*'Plan mensual'!K22+parametros_recargas!$G$83*'Plan mensual'!K23+parametros_recargas!$H$83*'Plan mensual'!K24+parametros_recargas!$I$83*'Plan mensual'!K25+parametros_recargas!$J$83*'Plan mensual'!K26+parametros_recargas!$K$83*'Plan mensual'!K27+parametros_recargas!$L$83*'Plan mensual'!K28</f>
        <v>39.3513541653584</v>
      </c>
      <c r="J13" s="25" t="n">
        <f aca="false">parametros_recargas!$E$83*'Plan mensual'!L21+parametros_recargas!$F$83*'Plan mensual'!L22+parametros_recargas!$G$83*'Plan mensual'!L23+parametros_recargas!$H$83*'Plan mensual'!L24+parametros_recargas!$I$83*'Plan mensual'!L25+parametros_recargas!$J$83*'Plan mensual'!L26+parametros_recargas!$K$83*'Plan mensual'!L27+parametros_recargas!$L$83*'Plan mensual'!L28</f>
        <v>44.597436588445</v>
      </c>
      <c r="K13" s="25" t="n">
        <f aca="false">parametros_recargas!$E$83*'Plan mensual'!M21+parametros_recargas!$F$83*'Plan mensual'!M22+parametros_recargas!$G$83*'Plan mensual'!M23+parametros_recargas!$H$83*'Plan mensual'!M24+parametros_recargas!$I$83*'Plan mensual'!M25+parametros_recargas!$J$83*'Plan mensual'!M26+parametros_recargas!$K$83*'Plan mensual'!M27+parametros_recargas!$L$83*'Plan mensual'!M28</f>
        <v>50.5428947096123</v>
      </c>
      <c r="L13" s="25" t="n">
        <f aca="false">parametros_recargas!$E$83*'Plan mensual'!N21+parametros_recargas!$F$83*'Plan mensual'!N22+parametros_recargas!$G$83*'Plan mensual'!N23+parametros_recargas!$H$83*'Plan mensual'!N24+parametros_recargas!$I$83*'Plan mensual'!N25+parametros_recargas!$J$83*'Plan mensual'!N26+parametros_recargas!$K$83*'Plan mensual'!N27+parametros_recargas!$L$83*'Plan mensual'!N28</f>
        <v>57.2809650294753</v>
      </c>
      <c r="M13" s="25" t="n">
        <f aca="false">parametros_recargas!$E$83*'Plan mensual'!O21+parametros_recargas!$F$83*'Plan mensual'!O22+parametros_recargas!$G$83*'Plan mensual'!O23+parametros_recargas!$H$83*'Plan mensual'!O24+parametros_recargas!$I$83*'Plan mensual'!O25+parametros_recargas!$J$83*'Plan mensual'!O26+parametros_recargas!$K$83*'Plan mensual'!O27+parametros_recargas!$L$83*'Plan mensual'!O28</f>
        <v>64.9173137699998</v>
      </c>
      <c r="N13" s="7" t="n">
        <f aca="false">SUM(B13:M13)</f>
        <v>428.94525978842</v>
      </c>
      <c r="O13" s="26" t="n">
        <f aca="false">MAX(B13:M13)</f>
        <v>64.9173137699998</v>
      </c>
      <c r="P13" s="15" t="n">
        <f aca="false">O13/parametros_recargas!$B$6</f>
        <v>0.432782091799999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5" t="n">
        <f aca="false">parametros_recargas!$E$84*'Plan mensual'!D21+parametros_recargas!$F$84*'Plan mensual'!D22+parametros_recargas!$G$84*'Plan mensual'!D23+parametros_recargas!$H$84*'Plan mensual'!D24+parametros_recargas!$I$84*'Plan mensual'!D25+parametros_recargas!$J$84*'Plan mensual'!D26+parametros_recargas!$K$84*'Plan mensual'!D27+parametros_recargas!$L$84*'Plan mensual'!D28</f>
        <v>15.4177226213102</v>
      </c>
      <c r="C14" s="25" t="n">
        <f aca="false">parametros_recargas!$E$84*'Plan mensual'!E21+parametros_recargas!$F$84*'Plan mensual'!E22+parametros_recargas!$G$84*'Plan mensual'!E23+parametros_recargas!$H$84*'Plan mensual'!E24+parametros_recargas!$I$84*'Plan mensual'!E25+parametros_recargas!$J$84*'Plan mensual'!E26+parametros_recargas!$K$84*'Plan mensual'!E27+parametros_recargas!$L$84*'Plan mensual'!E28</f>
        <v>17.4731193252662</v>
      </c>
      <c r="D14" s="25" t="n">
        <f aca="false">parametros_recargas!$E$84*'Plan mensual'!F21+parametros_recargas!$F$84*'Plan mensual'!F22+parametros_recargas!$G$84*'Plan mensual'!F23+parametros_recargas!$H$84*'Plan mensual'!F24+parametros_recargas!$I$84*'Plan mensual'!F25+parametros_recargas!$J$84*'Plan mensual'!F26+parametros_recargas!$K$84*'Plan mensual'!F27+parametros_recargas!$L$84*'Plan mensual'!F28</f>
        <v>19.8025289761663</v>
      </c>
      <c r="E14" s="25" t="n">
        <f aca="false">parametros_recargas!$E$84*'Plan mensual'!G21+parametros_recargas!$F$84*'Plan mensual'!G22+parametros_recargas!$G$84*'Plan mensual'!G23+parametros_recargas!$H$84*'Plan mensual'!G24+parametros_recargas!$I$84*'Plan mensual'!G25+parametros_recargas!$J$84*'Plan mensual'!G26+parametros_recargas!$K$84*'Plan mensual'!G27+parametros_recargas!$L$84*'Plan mensual'!G28</f>
        <v>22.4424813081239</v>
      </c>
      <c r="F14" s="25" t="n">
        <f aca="false">parametros_recargas!$E$84*'Plan mensual'!H21+parametros_recargas!$F$84*'Plan mensual'!H22+parametros_recargas!$G$84*'Plan mensual'!H23+parametros_recargas!$H$84*'Plan mensual'!H24+parametros_recargas!$I$84*'Plan mensual'!H25+parametros_recargas!$J$84*'Plan mensual'!H26+parametros_recargas!$K$84*'Plan mensual'!H27+parametros_recargas!$L$84*'Plan mensual'!H28</f>
        <v>25.4343759765073</v>
      </c>
      <c r="G14" s="25" t="n">
        <f aca="false">parametros_recargas!$E$84*'Plan mensual'!I21+parametros_recargas!$F$84*'Plan mensual'!I22+parametros_recargas!$G$84*'Plan mensual'!I23+parametros_recargas!$H$84*'Plan mensual'!I24+parametros_recargas!$I$84*'Plan mensual'!I25+parametros_recargas!$J$84*'Plan mensual'!I26+parametros_recargas!$K$84*'Plan mensual'!I27+parametros_recargas!$L$84*'Plan mensual'!I28</f>
        <v>28.8251317861255</v>
      </c>
      <c r="H14" s="25" t="n">
        <f aca="false">parametros_recargas!$E$84*'Plan mensual'!J21+parametros_recargas!$F$84*'Plan mensual'!J22+parametros_recargas!$G$84*'Plan mensual'!J23+parametros_recargas!$H$84*'Plan mensual'!J24+parametros_recargas!$I$84*'Plan mensual'!J25+parametros_recargas!$J$84*'Plan mensual'!J26+parametros_recargas!$K$84*'Plan mensual'!J27+parametros_recargas!$L$84*'Plan mensual'!J28</f>
        <v>32.6679224705555</v>
      </c>
      <c r="I14" s="25" t="n">
        <f aca="false">parametros_recargas!$E$84*'Plan mensual'!K21+parametros_recargas!$F$84*'Plan mensual'!K22+parametros_recargas!$G$84*'Plan mensual'!K23+parametros_recargas!$H$84*'Plan mensual'!K24+parametros_recargas!$I$84*'Plan mensual'!K25+parametros_recargas!$J$84*'Plan mensual'!K26+parametros_recargas!$K$84*'Plan mensual'!K27+parametros_recargas!$L$84*'Plan mensual'!K28</f>
        <v>37.0230105610794</v>
      </c>
      <c r="J14" s="25" t="n">
        <f aca="false">parametros_recargas!$E$84*'Plan mensual'!L21+parametros_recargas!$F$84*'Plan mensual'!L22+parametros_recargas!$G$84*'Plan mensual'!L23+parametros_recargas!$H$84*'Plan mensual'!L24+parametros_recargas!$I$84*'Plan mensual'!L25+parametros_recargas!$J$84*'Plan mensual'!L26+parametros_recargas!$K$84*'Plan mensual'!L27+parametros_recargas!$L$84*'Plan mensual'!L28</f>
        <v>41.9586924219392</v>
      </c>
      <c r="K14" s="25" t="n">
        <f aca="false">parametros_recargas!$E$84*'Plan mensual'!M21+parametros_recargas!$F$84*'Plan mensual'!M22+parametros_recargas!$G$84*'Plan mensual'!M23+parametros_recargas!$H$84*'Plan mensual'!M24+parametros_recargas!$I$84*'Plan mensual'!M25+parametros_recargas!$J$84*'Plan mensual'!M26+parametros_recargas!$K$84*'Plan mensual'!M27+parametros_recargas!$L$84*'Plan mensual'!M28</f>
        <v>47.5523692719269</v>
      </c>
      <c r="L14" s="25" t="n">
        <f aca="false">parametros_recargas!$E$84*'Plan mensual'!N21+parametros_recargas!$F$84*'Plan mensual'!N22+parametros_recargas!$G$84*'Plan mensual'!N23+parametros_recargas!$H$84*'Plan mensual'!N24+parametros_recargas!$I$84*'Plan mensual'!N25+parametros_recargas!$J$84*'Plan mensual'!N26+parametros_recargas!$K$84*'Plan mensual'!N27+parametros_recargas!$L$84*'Plan mensual'!N28</f>
        <v>53.8917609880369</v>
      </c>
      <c r="M14" s="25" t="n">
        <f aca="false">parametros_recargas!$E$84*'Plan mensual'!O21+parametros_recargas!$F$84*'Plan mensual'!O22+parametros_recargas!$G$84*'Plan mensual'!O23+parametros_recargas!$H$84*'Plan mensual'!O24+parametros_recargas!$I$84*'Plan mensual'!O25+parametros_recargas!$J$84*'Plan mensual'!O26+parametros_recargas!$K$84*'Plan mensual'!O27+parametros_recargas!$L$84*'Plan mensual'!O28</f>
        <v>61.0762817260147</v>
      </c>
      <c r="N14" s="7" t="n">
        <f aca="false">SUM(B14:M14)</f>
        <v>403.565397433052</v>
      </c>
      <c r="O14" s="26" t="n">
        <f aca="false">MAX(B14:M14)</f>
        <v>61.0762817260147</v>
      </c>
      <c r="P14" s="15" t="n">
        <f aca="false">O14/parametros_recargas!$B$6</f>
        <v>0.407175211506765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5" t="n">
        <f aca="false">parametros_recargas!$E$85*'Plan mensual'!D21+parametros_recargas!$F$85*'Plan mensual'!D22+parametros_recargas!$G$85*'Plan mensual'!D23+parametros_recargas!$H$85*'Plan mensual'!D24+parametros_recargas!$I$85*'Plan mensual'!D25+parametros_recargas!$J$85*'Plan mensual'!D26+parametros_recargas!$K$85*'Plan mensual'!D27+parametros_recargas!$L$85*'Plan mensual'!D28</f>
        <v>15.4177226213102</v>
      </c>
      <c r="C15" s="25" t="n">
        <f aca="false">parametros_recargas!$E$85*'Plan mensual'!E21+parametros_recargas!$F$85*'Plan mensual'!E22+parametros_recargas!$G$85*'Plan mensual'!E23+parametros_recargas!$H$85*'Plan mensual'!E24+parametros_recargas!$I$85*'Plan mensual'!E25+parametros_recargas!$J$85*'Plan mensual'!E26+parametros_recargas!$K$85*'Plan mensual'!E27+parametros_recargas!$L$85*'Plan mensual'!E28</f>
        <v>17.4731193252662</v>
      </c>
      <c r="D15" s="25" t="n">
        <f aca="false">parametros_recargas!$E$85*'Plan mensual'!F21+parametros_recargas!$F$85*'Plan mensual'!F22+parametros_recargas!$G$85*'Plan mensual'!F23+parametros_recargas!$H$85*'Plan mensual'!F24+parametros_recargas!$I$85*'Plan mensual'!F25+parametros_recargas!$J$85*'Plan mensual'!F26+parametros_recargas!$K$85*'Plan mensual'!F27+parametros_recargas!$L$85*'Plan mensual'!F28</f>
        <v>19.8025289761663</v>
      </c>
      <c r="E15" s="25" t="n">
        <f aca="false">parametros_recargas!$E$85*'Plan mensual'!G21+parametros_recargas!$F$85*'Plan mensual'!G22+parametros_recargas!$G$85*'Plan mensual'!G23+parametros_recargas!$H$85*'Plan mensual'!G24+parametros_recargas!$I$85*'Plan mensual'!G25+parametros_recargas!$J$85*'Plan mensual'!G26+parametros_recargas!$K$85*'Plan mensual'!G27+parametros_recargas!$L$85*'Plan mensual'!G28</f>
        <v>22.4424813081239</v>
      </c>
      <c r="F15" s="25" t="n">
        <f aca="false">parametros_recargas!$E$85*'Plan mensual'!H21+parametros_recargas!$F$85*'Plan mensual'!H22+parametros_recargas!$G$85*'Plan mensual'!H23+parametros_recargas!$H$85*'Plan mensual'!H24+parametros_recargas!$I$85*'Plan mensual'!H25+parametros_recargas!$J$85*'Plan mensual'!H26+parametros_recargas!$K$85*'Plan mensual'!H27+parametros_recargas!$L$85*'Plan mensual'!H28</f>
        <v>25.4343759765073</v>
      </c>
      <c r="G15" s="25" t="n">
        <f aca="false">parametros_recargas!$E$85*'Plan mensual'!I21+parametros_recargas!$F$85*'Plan mensual'!I22+parametros_recargas!$G$85*'Plan mensual'!I23+parametros_recargas!$H$85*'Plan mensual'!I24+parametros_recargas!$I$85*'Plan mensual'!I25+parametros_recargas!$J$85*'Plan mensual'!I26+parametros_recargas!$K$85*'Plan mensual'!I27+parametros_recargas!$L$85*'Plan mensual'!I28</f>
        <v>28.8251317861255</v>
      </c>
      <c r="H15" s="25" t="n">
        <f aca="false">parametros_recargas!$E$85*'Plan mensual'!J21+parametros_recargas!$F$85*'Plan mensual'!J22+parametros_recargas!$G$85*'Plan mensual'!J23+parametros_recargas!$H$85*'Plan mensual'!J24+parametros_recargas!$I$85*'Plan mensual'!J25+parametros_recargas!$J$85*'Plan mensual'!J26+parametros_recargas!$K$85*'Plan mensual'!J27+parametros_recargas!$L$85*'Plan mensual'!J28</f>
        <v>32.6679224705555</v>
      </c>
      <c r="I15" s="25" t="n">
        <f aca="false">parametros_recargas!$E$85*'Plan mensual'!K21+parametros_recargas!$F$85*'Plan mensual'!K22+parametros_recargas!$G$85*'Plan mensual'!K23+parametros_recargas!$H$85*'Plan mensual'!K24+parametros_recargas!$I$85*'Plan mensual'!K25+parametros_recargas!$J$85*'Plan mensual'!K26+parametros_recargas!$K$85*'Plan mensual'!K27+parametros_recargas!$L$85*'Plan mensual'!K28</f>
        <v>37.0230105610794</v>
      </c>
      <c r="J15" s="25" t="n">
        <f aca="false">parametros_recargas!$E$85*'Plan mensual'!L21+parametros_recargas!$F$85*'Plan mensual'!L22+parametros_recargas!$G$85*'Plan mensual'!L23+parametros_recargas!$H$85*'Plan mensual'!L24+parametros_recargas!$I$85*'Plan mensual'!L25+parametros_recargas!$J$85*'Plan mensual'!L26+parametros_recargas!$K$85*'Plan mensual'!L27+parametros_recargas!$L$85*'Plan mensual'!L28</f>
        <v>41.9586924219392</v>
      </c>
      <c r="K15" s="25" t="n">
        <f aca="false">parametros_recargas!$E$85*'Plan mensual'!M21+parametros_recargas!$F$85*'Plan mensual'!M22+parametros_recargas!$G$85*'Plan mensual'!M23+parametros_recargas!$H$85*'Plan mensual'!M24+parametros_recargas!$I$85*'Plan mensual'!M25+parametros_recargas!$J$85*'Plan mensual'!M26+parametros_recargas!$K$85*'Plan mensual'!M27+parametros_recargas!$L$85*'Plan mensual'!M28</f>
        <v>47.5523692719269</v>
      </c>
      <c r="L15" s="25" t="n">
        <f aca="false">parametros_recargas!$E$85*'Plan mensual'!N21+parametros_recargas!$F$85*'Plan mensual'!N22+parametros_recargas!$G$85*'Plan mensual'!N23+parametros_recargas!$H$85*'Plan mensual'!N24+parametros_recargas!$I$85*'Plan mensual'!N25+parametros_recargas!$J$85*'Plan mensual'!N26+parametros_recargas!$K$85*'Plan mensual'!N27+parametros_recargas!$L$85*'Plan mensual'!N28</f>
        <v>53.8917609880369</v>
      </c>
      <c r="M15" s="25" t="n">
        <f aca="false">parametros_recargas!$E$85*'Plan mensual'!O21+parametros_recargas!$F$85*'Plan mensual'!O22+parametros_recargas!$G$85*'Plan mensual'!O23+parametros_recargas!$H$85*'Plan mensual'!O24+parametros_recargas!$I$85*'Plan mensual'!O25+parametros_recargas!$J$85*'Plan mensual'!O26+parametros_recargas!$K$85*'Plan mensual'!O27+parametros_recargas!$L$85*'Plan mensual'!O28</f>
        <v>61.0762817260147</v>
      </c>
      <c r="N15" s="7" t="n">
        <f aca="false">SUM(B15:M15)</f>
        <v>403.565397433052</v>
      </c>
      <c r="O15" s="26" t="n">
        <f aca="false">MAX(B15:M15)</f>
        <v>61.0762817260147</v>
      </c>
      <c r="P15" s="15" t="n">
        <f aca="false">O15/parametros_recargas!$B$6</f>
        <v>0.407175211506765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5" t="n">
        <f aca="false">parametros_recargas!$E$86*'Plan mensual'!D21+parametros_recargas!$F$86*'Plan mensual'!D22+parametros_recargas!$G$86*'Plan mensual'!D23+parametros_recargas!$H$86*'Plan mensual'!D24+parametros_recargas!$I$86*'Plan mensual'!D25+parametros_recargas!$J$86*'Plan mensual'!D26+parametros_recargas!$K$86*'Plan mensual'!D27+parametros_recargas!$L$86*'Plan mensual'!D28</f>
        <v>7.70121773170671</v>
      </c>
      <c r="C16" s="25" t="n">
        <f aca="false">parametros_recargas!$E$86*'Plan mensual'!E21+parametros_recargas!$F$86*'Plan mensual'!E22+parametros_recargas!$G$86*'Plan mensual'!E23+parametros_recargas!$H$86*'Plan mensual'!E24+parametros_recargas!$I$86*'Plan mensual'!E25+parametros_recargas!$J$86*'Plan mensual'!E26+parametros_recargas!$K$86*'Plan mensual'!E27+parametros_recargas!$L$86*'Plan mensual'!E28</f>
        <v>8.72789708837891</v>
      </c>
      <c r="D16" s="25" t="n">
        <f aca="false">parametros_recargas!$E$86*'Plan mensual'!F21+parametros_recargas!$F$86*'Plan mensual'!F22+parametros_recargas!$G$86*'Plan mensual'!F23+parametros_recargas!$H$86*'Plan mensual'!F24+parametros_recargas!$I$86*'Plan mensual'!F25+parametros_recargas!$J$86*'Plan mensual'!F26+parametros_recargas!$K$86*'Plan mensual'!F27+parametros_recargas!$L$86*'Plan mensual'!F28</f>
        <v>9.89144707228673</v>
      </c>
      <c r="E16" s="25" t="n">
        <f aca="false">parametros_recargas!$E$86*'Plan mensual'!G21+parametros_recargas!$F$86*'Plan mensual'!G22+parametros_recargas!$G$86*'Plan mensual'!G23+parametros_recargas!$H$86*'Plan mensual'!G24+parametros_recargas!$I$86*'Plan mensual'!G25+parametros_recargas!$J$86*'Plan mensual'!G26+parametros_recargas!$K$86*'Plan mensual'!G27+parametros_recargas!$L$86*'Plan mensual'!G28</f>
        <v>11.2101144402955</v>
      </c>
      <c r="F16" s="25" t="n">
        <f aca="false">parametros_recargas!$E$86*'Plan mensual'!H21+parametros_recargas!$F$86*'Plan mensual'!H22+parametros_recargas!$G$86*'Plan mensual'!H23+parametros_recargas!$H$86*'Plan mensual'!H24+parametros_recargas!$I$86*'Plan mensual'!H25+parametros_recargas!$J$86*'Plan mensual'!H26+parametros_recargas!$K$86*'Plan mensual'!H27+parametros_recargas!$L$86*'Plan mensual'!H28</f>
        <v>12.7045784955578</v>
      </c>
      <c r="G16" s="25" t="n">
        <f aca="false">parametros_recargas!$E$86*'Plan mensual'!I21+parametros_recargas!$F$86*'Plan mensual'!I22+parametros_recargas!$G$86*'Plan mensual'!I23+parametros_recargas!$H$86*'Plan mensual'!I24+parametros_recargas!$I$86*'Plan mensual'!I25+parametros_recargas!$J$86*'Plan mensual'!I26+parametros_recargas!$K$86*'Plan mensual'!I27+parametros_recargas!$L$86*'Plan mensual'!I28</f>
        <v>14.3982753797413</v>
      </c>
      <c r="H16" s="25" t="n">
        <f aca="false">parametros_recargas!$E$86*'Plan mensual'!J21+parametros_recargas!$F$86*'Plan mensual'!J22+parametros_recargas!$G$86*'Plan mensual'!J23+parametros_recargas!$H$86*'Plan mensual'!J24+parametros_recargas!$I$86*'Plan mensual'!J25+parametros_recargas!$J$86*'Plan mensual'!J26+parametros_recargas!$K$86*'Plan mensual'!J27+parametros_recargas!$L$86*'Plan mensual'!J28</f>
        <v>16.3177655979183</v>
      </c>
      <c r="I16" s="25" t="n">
        <f aca="false">parametros_recargas!$E$86*'Plan mensual'!K21+parametros_recargas!$F$86*'Plan mensual'!K22+parametros_recargas!$G$86*'Plan mensual'!K23+parametros_recargas!$H$86*'Plan mensual'!K24+parametros_recargas!$I$86*'Plan mensual'!K25+parametros_recargas!$J$86*'Plan mensual'!K26+parametros_recargas!$K$86*'Plan mensual'!K27+parametros_recargas!$L$86*'Plan mensual'!K28</f>
        <v>18.4931505396301</v>
      </c>
      <c r="J16" s="25" t="n">
        <f aca="false">parametros_recargas!$E$86*'Plan mensual'!L21+parametros_recargas!$F$86*'Plan mensual'!L22+parametros_recargas!$G$86*'Plan mensual'!L23+parametros_recargas!$H$86*'Plan mensual'!L24+parametros_recargas!$I$86*'Plan mensual'!L25+parametros_recargas!$J$86*'Plan mensual'!L26+parametros_recargas!$K$86*'Plan mensual'!L27+parametros_recargas!$L$86*'Plan mensual'!L28</f>
        <v>20.9585445279989</v>
      </c>
      <c r="K16" s="25" t="n">
        <f aca="false">parametros_recargas!$E$86*'Plan mensual'!M21+parametros_recargas!$F$86*'Plan mensual'!M22+parametros_recargas!$G$86*'Plan mensual'!M23+parametros_recargas!$H$86*'Plan mensual'!M24+parametros_recargas!$I$86*'Plan mensual'!M25+parametros_recargas!$J$86*'Plan mensual'!M26+parametros_recargas!$K$86*'Plan mensual'!M27+parametros_recargas!$L$86*'Plan mensual'!M28</f>
        <v>23.7526097995469</v>
      </c>
      <c r="L16" s="25" t="n">
        <f aca="false">parametros_recargas!$E$86*'Plan mensual'!N21+parametros_recargas!$F$86*'Plan mensual'!N22+parametros_recargas!$G$86*'Plan mensual'!N23+parametros_recargas!$H$86*'Plan mensual'!N24+parametros_recargas!$I$86*'Plan mensual'!N25+parametros_recargas!$J$86*'Plan mensual'!N26+parametros_recargas!$K$86*'Plan mensual'!N27+parametros_recargas!$L$86*'Plan mensual'!N28</f>
        <v>26.9191628042599</v>
      </c>
      <c r="M16" s="25" t="n">
        <f aca="false">parametros_recargas!$E$86*'Plan mensual'!O21+parametros_recargas!$F$86*'Plan mensual'!O22+parametros_recargas!$G$86*'Plan mensual'!O23+parametros_recargas!$H$86*'Plan mensual'!O24+parametros_recargas!$I$86*'Plan mensual'!O25+parametros_recargas!$J$86*'Plan mensual'!O26+parametros_recargas!$K$86*'Plan mensual'!O27+parametros_recargas!$L$86*'Plan mensual'!O28</f>
        <v>30.5078613338762</v>
      </c>
      <c r="N16" s="7" t="n">
        <f aca="false">SUM(B16:M16)</f>
        <v>201.582624811197</v>
      </c>
      <c r="O16" s="26" t="n">
        <f aca="false">MAX(B16:M16)</f>
        <v>30.5078613338762</v>
      </c>
      <c r="P16" s="15" t="n">
        <f aca="false">O16/parametros_recargas!$B$6</f>
        <v>0.203385742225842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5" t="n">
        <f aca="false">parametros_recargas!$E$87*'Plan mensual'!D21+parametros_recargas!$F$87*'Plan mensual'!D22+parametros_recargas!$G$87*'Plan mensual'!D23+parametros_recargas!$H$87*'Plan mensual'!D24+parametros_recargas!$I$87*'Plan mensual'!D25+parametros_recargas!$J$87*'Plan mensual'!D26+parametros_recargas!$K$87*'Plan mensual'!D27+parametros_recargas!$L$87*'Plan mensual'!D28</f>
        <v>67.0379350324521</v>
      </c>
      <c r="C17" s="25" t="n">
        <f aca="false">parametros_recargas!$E$87*'Plan mensual'!E21+parametros_recargas!$F$87*'Plan mensual'!E22+parametros_recargas!$G$87*'Plan mensual'!E23+parametros_recargas!$H$87*'Plan mensual'!E24+parametros_recargas!$I$87*'Plan mensual'!E25+parametros_recargas!$J$87*'Plan mensual'!E26+parametros_recargas!$K$87*'Plan mensual'!E27+parametros_recargas!$L$87*'Plan mensual'!E28</f>
        <v>75.9750234786577</v>
      </c>
      <c r="D17" s="25" t="n">
        <f aca="false">parametros_recargas!$E$87*'Plan mensual'!F21+parametros_recargas!$F$87*'Plan mensual'!F22+parametros_recargas!$G$87*'Plan mensual'!F23+parametros_recargas!$H$87*'Plan mensual'!F24+parametros_recargas!$I$87*'Plan mensual'!F25+parametros_recargas!$J$87*'Plan mensual'!F26+parametros_recargas!$K$87*'Plan mensual'!F27+parametros_recargas!$L$87*'Plan mensual'!F28</f>
        <v>86.103550024152</v>
      </c>
      <c r="E17" s="25" t="n">
        <f aca="false">parametros_recargas!$E$87*'Plan mensual'!G21+parametros_recargas!$F$87*'Plan mensual'!G22+parametros_recargas!$G$87*'Plan mensual'!G23+parametros_recargas!$H$87*'Plan mensual'!G24+parametros_recargas!$I$87*'Plan mensual'!G25+parametros_recargas!$J$87*'Plan mensual'!G26+parametros_recargas!$K$87*'Plan mensual'!G27+parametros_recargas!$L$87*'Plan mensual'!G28</f>
        <v>97.5823499264108</v>
      </c>
      <c r="F17" s="25" t="n">
        <f aca="false">parametros_recargas!$E$87*'Plan mensual'!H21+parametros_recargas!$F$87*'Plan mensual'!H22+parametros_recargas!$G$87*'Plan mensual'!H23+parametros_recargas!$H$87*'Plan mensual'!H24+parametros_recargas!$I$87*'Plan mensual'!H25+parametros_recargas!$J$87*'Plan mensual'!H26+parametros_recargas!$K$87*'Plan mensual'!H27+parametros_recargas!$L$87*'Plan mensual'!H28</f>
        <v>110.591433390255</v>
      </c>
      <c r="G17" s="25" t="n">
        <f aca="false">parametros_recargas!$E$87*'Plan mensual'!I21+parametros_recargas!$F$87*'Plan mensual'!I22+parametros_recargas!$G$87*'Plan mensual'!I23+parametros_recargas!$H$87*'Plan mensual'!I24+parametros_recargas!$I$87*'Plan mensual'!I25+parametros_recargas!$J$87*'Plan mensual'!I26+parametros_recargas!$K$87*'Plan mensual'!I27+parametros_recargas!$L$87*'Plan mensual'!I28</f>
        <v>125.334808482625</v>
      </c>
      <c r="H17" s="25" t="n">
        <f aca="false">parametros_recargas!$E$87*'Plan mensual'!J21+parametros_recargas!$F$87*'Plan mensual'!J22+parametros_recargas!$G$87*'Plan mensual'!J23+parametros_recargas!$H$87*'Plan mensual'!J24+parametros_recargas!$I$87*'Plan mensual'!J25+parametros_recargas!$J$87*'Plan mensual'!J26+parametros_recargas!$K$87*'Plan mensual'!J27+parametros_recargas!$L$87*'Plan mensual'!J28</f>
        <v>142.043680381129</v>
      </c>
      <c r="I17" s="25" t="n">
        <f aca="false">parametros_recargas!$E$87*'Plan mensual'!K21+parametros_recargas!$F$87*'Plan mensual'!K22+parametros_recargas!$G$87*'Plan mensual'!K23+parametros_recargas!$H$87*'Plan mensual'!K24+parametros_recargas!$I$87*'Plan mensual'!K25+parametros_recargas!$J$87*'Plan mensual'!K26+parametros_recargas!$K$87*'Plan mensual'!K27+parametros_recargas!$L$87*'Plan mensual'!K28</f>
        <v>160.980077126884</v>
      </c>
      <c r="J17" s="25" t="n">
        <f aca="false">parametros_recargas!$E$87*'Plan mensual'!L21+parametros_recargas!$F$87*'Plan mensual'!L22+parametros_recargas!$G$87*'Plan mensual'!L23+parametros_recargas!$H$87*'Plan mensual'!L24+parametros_recargas!$I$87*'Plan mensual'!L25+parametros_recargas!$J$87*'Plan mensual'!L26+parametros_recargas!$K$87*'Plan mensual'!L27+parametros_recargas!$L$87*'Plan mensual'!L28</f>
        <v>182.440958740608</v>
      </c>
      <c r="K17" s="25" t="n">
        <f aca="false">parametros_recargas!$E$87*'Plan mensual'!M21+parametros_recargas!$F$87*'Plan mensual'!M22+parametros_recargas!$G$87*'Plan mensual'!M23+parametros_recargas!$H$87*'Plan mensual'!M24+parametros_recargas!$I$87*'Plan mensual'!M25+parametros_recargas!$J$87*'Plan mensual'!M26+parametros_recargas!$K$87*'Plan mensual'!M27+parametros_recargas!$L$87*'Plan mensual'!M28</f>
        <v>206.762874140987</v>
      </c>
      <c r="L17" s="25" t="n">
        <f aca="false">parametros_recargas!$E$87*'Plan mensual'!N21+parametros_recargas!$F$87*'Plan mensual'!N22+parametros_recargas!$G$87*'Plan mensual'!N23+parametros_recargas!$H$87*'Plan mensual'!N24+parametros_recargas!$I$87*'Plan mensual'!N25+parametros_recargas!$J$87*'Plan mensual'!N26+parametros_recargas!$K$87*'Plan mensual'!N27+parametros_recargas!$L$87*'Plan mensual'!N28</f>
        <v>234.32723889499</v>
      </c>
      <c r="M17" s="25" t="n">
        <f aca="false">parametros_recargas!$E$87*'Plan mensual'!O21+parametros_recargas!$F$87*'Plan mensual'!O22+parametros_recargas!$G$87*'Plan mensual'!O23+parametros_recargas!$H$87*'Plan mensual'!O24+parametros_recargas!$I$87*'Plan mensual'!O25+parametros_recargas!$J$87*'Plan mensual'!O26+parametros_recargas!$K$87*'Plan mensual'!O27+parametros_recargas!$L$87*'Plan mensual'!O28</f>
        <v>265.566316565654</v>
      </c>
      <c r="N17" s="7" t="n">
        <f aca="false">SUM(B17:M17)</f>
        <v>1754.7462461848</v>
      </c>
      <c r="O17" s="26" t="n">
        <f aca="false">MAX(B17:M17)</f>
        <v>265.566316565654</v>
      </c>
      <c r="P17" s="15" t="n">
        <f aca="false">O17/parametros_recargas!$B$6</f>
        <v>1.77044211043769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5" t="n">
        <f aca="false">parametros_recargas!$E$88*'Plan mensual'!D21+parametros_recargas!$F$88*'Plan mensual'!D22+parametros_recargas!$G$88*'Plan mensual'!D23+parametros_recargas!$H$88*'Plan mensual'!D24+parametros_recargas!$I$88*'Plan mensual'!D25+parametros_recargas!$J$88*'Plan mensual'!D26+parametros_recargas!$K$88*'Plan mensual'!D27+parametros_recargas!$L$88*'Plan mensual'!D28</f>
        <v>0.0751827280494588</v>
      </c>
      <c r="C18" s="25" t="n">
        <f aca="false">parametros_recargas!$E$88*'Plan mensual'!E21+parametros_recargas!$F$88*'Plan mensual'!E22+parametros_recargas!$G$88*'Plan mensual'!E23+parametros_recargas!$H$88*'Plan mensual'!E24+parametros_recargas!$I$88*'Plan mensual'!E25+parametros_recargas!$J$88*'Plan mensual'!E26+parametros_recargas!$K$88*'Plan mensual'!E27+parametros_recargas!$L$88*'Plan mensual'!E28</f>
        <v>0.0852056306027635</v>
      </c>
      <c r="D18" s="25" t="n">
        <f aca="false">parametros_recargas!$E$88*'Plan mensual'!F21+parametros_recargas!$F$88*'Plan mensual'!F22+parametros_recargas!$G$88*'Plan mensual'!F23+parametros_recargas!$H$88*'Plan mensual'!F24+parametros_recargas!$I$88*'Plan mensual'!F25+parametros_recargas!$J$88*'Plan mensual'!F26+parametros_recargas!$K$88*'Plan mensual'!F27+parametros_recargas!$L$88*'Plan mensual'!F28</f>
        <v>0.0965647253666908</v>
      </c>
      <c r="E18" s="25" t="n">
        <f aca="false">parametros_recargas!$E$88*'Plan mensual'!G21+parametros_recargas!$F$88*'Plan mensual'!G22+parametros_recargas!$G$88*'Plan mensual'!G23+parametros_recargas!$H$88*'Plan mensual'!G24+parametros_recargas!$I$88*'Plan mensual'!G25+parametros_recargas!$J$88*'Plan mensual'!G26+parametros_recargas!$K$88*'Plan mensual'!G27+parametros_recargas!$L$88*'Plan mensual'!G28</f>
        <v>0.109438145333578</v>
      </c>
      <c r="F18" s="25" t="n">
        <f aca="false">parametros_recargas!$E$88*'Plan mensual'!H21+parametros_recargas!$F$88*'Plan mensual'!H22+parametros_recargas!$G$88*'Plan mensual'!H23+parametros_recargas!$H$88*'Plan mensual'!H24+parametros_recargas!$I$88*'Plan mensual'!H25+parametros_recargas!$J$88*'Plan mensual'!H26+parametros_recargas!$K$88*'Plan mensual'!H27+parametros_recargas!$L$88*'Plan mensual'!H28</f>
        <v>0.124027771099369</v>
      </c>
      <c r="G18" s="25" t="n">
        <f aca="false">parametros_recargas!$E$88*'Plan mensual'!I21+parametros_recargas!$F$88*'Plan mensual'!I22+parametros_recargas!$G$88*'Plan mensual'!I23+parametros_recargas!$H$88*'Plan mensual'!I24+parametros_recargas!$I$88*'Plan mensual'!I25+parametros_recargas!$J$88*'Plan mensual'!I26+parametros_recargas!$K$88*'Plan mensual'!I27+parametros_recargas!$L$88*'Plan mensual'!I28</f>
        <v>0.140562396749223</v>
      </c>
      <c r="H18" s="25" t="n">
        <f aca="false">parametros_recargas!$E$88*'Plan mensual'!J21+parametros_recargas!$F$88*'Plan mensual'!J22+parametros_recargas!$G$88*'Plan mensual'!J23+parametros_recargas!$H$88*'Plan mensual'!J24+parametros_recargas!$I$88*'Plan mensual'!J25+parametros_recargas!$J$88*'Plan mensual'!J26+parametros_recargas!$K$88*'Plan mensual'!J27+parametros_recargas!$L$88*'Plan mensual'!J28</f>
        <v>0.159301317799675</v>
      </c>
      <c r="I18" s="25" t="n">
        <f aca="false">parametros_recargas!$E$88*'Plan mensual'!K21+parametros_recargas!$F$88*'Plan mensual'!K22+parametros_recargas!$G$88*'Plan mensual'!K23+parametros_recargas!$H$88*'Plan mensual'!K24+parametros_recargas!$I$88*'Plan mensual'!K25+parametros_recargas!$J$88*'Plan mensual'!K26+parametros_recargas!$K$88*'Plan mensual'!K27+parametros_recargas!$L$88*'Plan mensual'!K28</f>
        <v>0.180538397463356</v>
      </c>
      <c r="J18" s="25" t="n">
        <f aca="false">parametros_recargas!$E$88*'Plan mensual'!L21+parametros_recargas!$F$88*'Plan mensual'!L22+parametros_recargas!$G$88*'Plan mensual'!L23+parametros_recargas!$H$88*'Plan mensual'!L24+parametros_recargas!$I$88*'Plan mensual'!L25+parametros_recargas!$J$88*'Plan mensual'!L26+parametros_recargas!$K$88*'Plan mensual'!L27+parametros_recargas!$L$88*'Plan mensual'!L28</f>
        <v>0.204606675003306</v>
      </c>
      <c r="K18" s="25" t="n">
        <f aca="false">parametros_recargas!$E$88*'Plan mensual'!M21+parametros_recargas!$F$88*'Plan mensual'!M22+parametros_recargas!$G$88*'Plan mensual'!M23+parametros_recargas!$H$88*'Plan mensual'!M24+parametros_recargas!$I$88*'Plan mensual'!M25+parametros_recargas!$J$88*'Plan mensual'!M26+parametros_recargas!$K$88*'Plan mensual'!M27+parametros_recargas!$L$88*'Plan mensual'!M28</f>
        <v>0.231883588444978</v>
      </c>
      <c r="L18" s="25" t="n">
        <f aca="false">parametros_recargas!$E$88*'Plan mensual'!N21+parametros_recargas!$F$88*'Plan mensual'!N22+parametros_recargas!$G$88*'Plan mensual'!N23+parametros_recargas!$H$88*'Plan mensual'!N24+parametros_recargas!$I$88*'Plan mensual'!N25+parametros_recargas!$J$88*'Plan mensual'!N26+parametros_recargas!$K$88*'Plan mensual'!N27+parametros_recargas!$L$88*'Plan mensual'!N28</f>
        <v>0.262796893548322</v>
      </c>
      <c r="M18" s="25" t="n">
        <f aca="false">parametros_recargas!$E$88*'Plan mensual'!O21+parametros_recargas!$F$88*'Plan mensual'!O22+parametros_recargas!$G$88*'Plan mensual'!O23+parametros_recargas!$H$88*'Plan mensual'!O24+parametros_recargas!$I$88*'Plan mensual'!O25+parametros_recargas!$J$88*'Plan mensual'!O26+parametros_recargas!$K$88*'Plan mensual'!O27+parametros_recargas!$L$88*'Plan mensual'!O28</f>
        <v>0.297831371861123</v>
      </c>
      <c r="N18" s="7" t="n">
        <f aca="false">SUM(B18:M18)</f>
        <v>1.96793964132184</v>
      </c>
      <c r="O18" s="26" t="n">
        <f aca="false">MAX(B18:M18)</f>
        <v>0.297831371861123</v>
      </c>
      <c r="P18" s="15" t="n">
        <f aca="false">O18/parametros_recargas!$B$6</f>
        <v>0.00198554247907415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5" t="n">
        <f aca="false">parametros_recargas!$E$89*'Plan mensual'!D21+parametros_recargas!$F$89*'Plan mensual'!D22+parametros_recargas!$G$89*'Plan mensual'!D23+parametros_recargas!$H$89*'Plan mensual'!D24+parametros_recargas!$I$89*'Plan mensual'!D25+parametros_recargas!$J$89*'Plan mensual'!D26+parametros_recargas!$K$89*'Plan mensual'!D27+parametros_recargas!$L$89*'Plan mensual'!D28</f>
        <v>0.0751827280494588</v>
      </c>
      <c r="C19" s="25" t="n">
        <f aca="false">parametros_recargas!$E$89*'Plan mensual'!E21+parametros_recargas!$F$89*'Plan mensual'!E22+parametros_recargas!$G$89*'Plan mensual'!E23+parametros_recargas!$H$89*'Plan mensual'!E24+parametros_recargas!$I$89*'Plan mensual'!E25+parametros_recargas!$J$89*'Plan mensual'!E26+parametros_recargas!$K$89*'Plan mensual'!E27+parametros_recargas!$L$89*'Plan mensual'!E28</f>
        <v>0.0852056306027635</v>
      </c>
      <c r="D19" s="25" t="n">
        <f aca="false">parametros_recargas!$E$89*'Plan mensual'!F21+parametros_recargas!$F$89*'Plan mensual'!F22+parametros_recargas!$G$89*'Plan mensual'!F23+parametros_recargas!$H$89*'Plan mensual'!F24+parametros_recargas!$I$89*'Plan mensual'!F25+parametros_recargas!$J$89*'Plan mensual'!F26+parametros_recargas!$K$89*'Plan mensual'!F27+parametros_recargas!$L$89*'Plan mensual'!F28</f>
        <v>0.0965647253666908</v>
      </c>
      <c r="E19" s="25" t="n">
        <f aca="false">parametros_recargas!$E$89*'Plan mensual'!G21+parametros_recargas!$F$89*'Plan mensual'!G22+parametros_recargas!$G$89*'Plan mensual'!G23+parametros_recargas!$H$89*'Plan mensual'!G24+parametros_recargas!$I$89*'Plan mensual'!G25+parametros_recargas!$J$89*'Plan mensual'!G26+parametros_recargas!$K$89*'Plan mensual'!G27+parametros_recargas!$L$89*'Plan mensual'!G28</f>
        <v>0.109438145333578</v>
      </c>
      <c r="F19" s="25" t="n">
        <f aca="false">parametros_recargas!$E$89*'Plan mensual'!H21+parametros_recargas!$F$89*'Plan mensual'!H22+parametros_recargas!$G$89*'Plan mensual'!H23+parametros_recargas!$H$89*'Plan mensual'!H24+parametros_recargas!$I$89*'Plan mensual'!H25+parametros_recargas!$J$89*'Plan mensual'!H26+parametros_recargas!$K$89*'Plan mensual'!H27+parametros_recargas!$L$89*'Plan mensual'!H28</f>
        <v>0.124027771099369</v>
      </c>
      <c r="G19" s="25" t="n">
        <f aca="false">parametros_recargas!$E$89*'Plan mensual'!I21+parametros_recargas!$F$89*'Plan mensual'!I22+parametros_recargas!$G$89*'Plan mensual'!I23+parametros_recargas!$H$89*'Plan mensual'!I24+parametros_recargas!$I$89*'Plan mensual'!I25+parametros_recargas!$J$89*'Plan mensual'!I26+parametros_recargas!$K$89*'Plan mensual'!I27+parametros_recargas!$L$89*'Plan mensual'!I28</f>
        <v>0.140562396749223</v>
      </c>
      <c r="H19" s="25" t="n">
        <f aca="false">parametros_recargas!$E$89*'Plan mensual'!J21+parametros_recargas!$F$89*'Plan mensual'!J22+parametros_recargas!$G$89*'Plan mensual'!J23+parametros_recargas!$H$89*'Plan mensual'!J24+parametros_recargas!$I$89*'Plan mensual'!J25+parametros_recargas!$J$89*'Plan mensual'!J26+parametros_recargas!$K$89*'Plan mensual'!J27+parametros_recargas!$L$89*'Plan mensual'!J28</f>
        <v>0.159301317799675</v>
      </c>
      <c r="I19" s="25" t="n">
        <f aca="false">parametros_recargas!$E$89*'Plan mensual'!K21+parametros_recargas!$F$89*'Plan mensual'!K22+parametros_recargas!$G$89*'Plan mensual'!K23+parametros_recargas!$H$89*'Plan mensual'!K24+parametros_recargas!$I$89*'Plan mensual'!K25+parametros_recargas!$J$89*'Plan mensual'!K26+parametros_recargas!$K$89*'Plan mensual'!K27+parametros_recargas!$L$89*'Plan mensual'!K28</f>
        <v>0.180538397463356</v>
      </c>
      <c r="J19" s="25" t="n">
        <f aca="false">parametros_recargas!$E$89*'Plan mensual'!L21+parametros_recargas!$F$89*'Plan mensual'!L22+parametros_recargas!$G$89*'Plan mensual'!L23+parametros_recargas!$H$89*'Plan mensual'!L24+parametros_recargas!$I$89*'Plan mensual'!L25+parametros_recargas!$J$89*'Plan mensual'!L26+parametros_recargas!$K$89*'Plan mensual'!L27+parametros_recargas!$L$89*'Plan mensual'!L28</f>
        <v>0.204606675003306</v>
      </c>
      <c r="K19" s="25" t="n">
        <f aca="false">parametros_recargas!$E$89*'Plan mensual'!M21+parametros_recargas!$F$89*'Plan mensual'!M22+parametros_recargas!$G$89*'Plan mensual'!M23+parametros_recargas!$H$89*'Plan mensual'!M24+parametros_recargas!$I$89*'Plan mensual'!M25+parametros_recargas!$J$89*'Plan mensual'!M26+parametros_recargas!$K$89*'Plan mensual'!M27+parametros_recargas!$L$89*'Plan mensual'!M28</f>
        <v>0.231883588444978</v>
      </c>
      <c r="L19" s="25" t="n">
        <f aca="false">parametros_recargas!$E$89*'Plan mensual'!N21+parametros_recargas!$F$89*'Plan mensual'!N22+parametros_recargas!$G$89*'Plan mensual'!N23+parametros_recargas!$H$89*'Plan mensual'!N24+parametros_recargas!$I$89*'Plan mensual'!N25+parametros_recargas!$J$89*'Plan mensual'!N26+parametros_recargas!$K$89*'Plan mensual'!N27+parametros_recargas!$L$89*'Plan mensual'!N28</f>
        <v>0.262796893548322</v>
      </c>
      <c r="M19" s="25" t="n">
        <f aca="false">parametros_recargas!$E$89*'Plan mensual'!O21+parametros_recargas!$F$89*'Plan mensual'!O22+parametros_recargas!$G$89*'Plan mensual'!O23+parametros_recargas!$H$89*'Plan mensual'!O24+parametros_recargas!$I$89*'Plan mensual'!O25+parametros_recargas!$J$89*'Plan mensual'!O26+parametros_recargas!$K$89*'Plan mensual'!O27+parametros_recargas!$L$89*'Plan mensual'!O28</f>
        <v>0.297831371861123</v>
      </c>
      <c r="N19" s="7" t="n">
        <f aca="false">SUM(B19:M19)</f>
        <v>1.96793964132184</v>
      </c>
      <c r="O19" s="26" t="n">
        <f aca="false">MAX(B19:M19)</f>
        <v>0.297831371861123</v>
      </c>
      <c r="P19" s="15" t="n">
        <f aca="false">O19/parametros_recargas!$B$6</f>
        <v>0.00198554247907415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5" t="n">
        <f aca="false">parametros_recargas!$E$90*'Plan mensual'!D21+parametros_recargas!$F$90*'Plan mensual'!D22+parametros_recargas!$G$90*'Plan mensual'!D23+parametros_recargas!$H$90*'Plan mensual'!D24+parametros_recargas!$I$90*'Plan mensual'!D25+parametros_recargas!$J$90*'Plan mensual'!D26+parametros_recargas!$K$90*'Plan mensual'!D27+parametros_recargas!$L$90*'Plan mensual'!D28</f>
        <v>3.2829792349436</v>
      </c>
      <c r="C20" s="25" t="n">
        <f aca="false">parametros_recargas!$E$90*'Plan mensual'!E21+parametros_recargas!$F$90*'Plan mensual'!E22+parametros_recargas!$G$90*'Plan mensual'!E23+parametros_recargas!$H$90*'Plan mensual'!E24+parametros_recargas!$I$90*'Plan mensual'!E25+parametros_recargas!$J$90*'Plan mensual'!E26+parametros_recargas!$K$90*'Plan mensual'!E27+parametros_recargas!$L$90*'Plan mensual'!E28</f>
        <v>3.7206459944514</v>
      </c>
      <c r="D20" s="25" t="n">
        <f aca="false">parametros_recargas!$E$90*'Plan mensual'!F21+parametros_recargas!$F$90*'Plan mensual'!F22+parametros_recargas!$G$90*'Plan mensual'!F23+parametros_recargas!$H$90*'Plan mensual'!F24+parametros_recargas!$I$90*'Plan mensual'!F25+parametros_recargas!$J$90*'Plan mensual'!F26+parametros_recargas!$K$90*'Plan mensual'!F27+parametros_recargas!$L$90*'Plan mensual'!F28</f>
        <v>4.21665981578012</v>
      </c>
      <c r="E20" s="25" t="n">
        <f aca="false">parametros_recargas!$E$90*'Plan mensual'!G21+parametros_recargas!$F$90*'Plan mensual'!G22+parametros_recargas!$G$90*'Plan mensual'!G23+parametros_recargas!$H$90*'Plan mensual'!G24+parametros_recargas!$I$90*'Plan mensual'!G25+parametros_recargas!$J$90*'Plan mensual'!G26+parametros_recargas!$K$90*'Plan mensual'!G27+parametros_recargas!$L$90*'Plan mensual'!G28</f>
        <v>4.7787991731894</v>
      </c>
      <c r="F20" s="25" t="n">
        <f aca="false">parametros_recargas!$E$90*'Plan mensual'!H21+parametros_recargas!$F$90*'Plan mensual'!H22+parametros_recargas!$G$90*'Plan mensual'!H23+parametros_recargas!$H$90*'Plan mensual'!H24+parametros_recargas!$I$90*'Plan mensual'!H25+parametros_recargas!$J$90*'Plan mensual'!H26+parametros_recargas!$K$90*'Plan mensual'!H27+parametros_recargas!$L$90*'Plan mensual'!H28</f>
        <v>5.41587951966448</v>
      </c>
      <c r="G20" s="25" t="n">
        <f aca="false">parametros_recargas!$E$90*'Plan mensual'!I21+parametros_recargas!$F$90*'Plan mensual'!I22+parametros_recargas!$G$90*'Plan mensual'!I23+parametros_recargas!$H$90*'Plan mensual'!I24+parametros_recargas!$I$90*'Plan mensual'!I25+parametros_recargas!$J$90*'Plan mensual'!I26+parametros_recargas!$K$90*'Plan mensual'!I27+parametros_recargas!$L$90*'Plan mensual'!I28</f>
        <v>6.13789153059238</v>
      </c>
      <c r="H20" s="25" t="n">
        <f aca="false">parametros_recargas!$E$90*'Plan mensual'!J21+parametros_recargas!$F$90*'Plan mensual'!J22+parametros_recargas!$G$90*'Plan mensual'!J23+parametros_recargas!$H$90*'Plan mensual'!J24+parametros_recargas!$I$90*'Plan mensual'!J25+parametros_recargas!$J$90*'Plan mensual'!J26+parametros_recargas!$K$90*'Plan mensual'!J27+parametros_recargas!$L$90*'Plan mensual'!J28</f>
        <v>6.95615777724163</v>
      </c>
      <c r="I20" s="25" t="n">
        <f aca="false">parametros_recargas!$E$90*'Plan mensual'!K21+parametros_recargas!$F$90*'Plan mensual'!K22+parametros_recargas!$G$90*'Plan mensual'!K23+parametros_recargas!$H$90*'Plan mensual'!K24+parametros_recargas!$I$90*'Plan mensual'!K25+parametros_recargas!$J$90*'Plan mensual'!K26+parametros_recargas!$K$90*'Plan mensual'!K27+parametros_recargas!$L$90*'Plan mensual'!K28</f>
        <v>7.88351028699413</v>
      </c>
      <c r="J20" s="25" t="n">
        <f aca="false">parametros_recargas!$E$90*'Plan mensual'!L21+parametros_recargas!$F$90*'Plan mensual'!L22+parametros_recargas!$G$90*'Plan mensual'!L23+parametros_recargas!$H$90*'Plan mensual'!L24+parametros_recargas!$I$90*'Plan mensual'!L25+parametros_recargas!$J$90*'Plan mensual'!L26+parametros_recargas!$K$90*'Plan mensual'!L27+parametros_recargas!$L$90*'Plan mensual'!L28</f>
        <v>8.93449177482385</v>
      </c>
      <c r="K20" s="25" t="n">
        <f aca="false">parametros_recargas!$E$90*'Plan mensual'!M21+parametros_recargas!$F$90*'Plan mensual'!M22+parametros_recargas!$G$90*'Plan mensual'!M23+parametros_recargas!$H$90*'Plan mensual'!M24+parametros_recargas!$I$90*'Plan mensual'!M25+parametros_recargas!$J$90*'Plan mensual'!M26+parametros_recargas!$K$90*'Plan mensual'!M27+parametros_recargas!$L$90*'Plan mensual'!M28</f>
        <v>10.1255837017283</v>
      </c>
      <c r="L20" s="25" t="n">
        <f aca="false">parametros_recargas!$E$90*'Plan mensual'!N21+parametros_recargas!$F$90*'Plan mensual'!N22+parametros_recargas!$G$90*'Plan mensual'!N23+parametros_recargas!$H$90*'Plan mensual'!N24+parametros_recargas!$I$90*'Plan mensual'!N25+parametros_recargas!$J$90*'Plan mensual'!N26+parametros_recargas!$K$90*'Plan mensual'!N27+parametros_recargas!$L$90*'Plan mensual'!N28</f>
        <v>11.4754647365185</v>
      </c>
      <c r="M20" s="25" t="n">
        <f aca="false">parametros_recargas!$E$90*'Plan mensual'!O21+parametros_recargas!$F$90*'Plan mensual'!O22+parametros_recargas!$G$90*'Plan mensual'!O23+parametros_recargas!$H$90*'Plan mensual'!O24+parametros_recargas!$I$90*'Plan mensual'!O25+parametros_recargas!$J$90*'Plan mensual'!O26+parametros_recargas!$K$90*'Plan mensual'!O27+parametros_recargas!$L$90*'Plan mensual'!O28</f>
        <v>13.0053036741578</v>
      </c>
      <c r="N20" s="7" t="n">
        <f aca="false">SUM(B20:M20)</f>
        <v>85.9333672200855</v>
      </c>
      <c r="O20" s="26" t="n">
        <f aca="false">MAX(B20:M20)</f>
        <v>13.0053036741578</v>
      </c>
      <c r="P20" s="15" t="n">
        <f aca="false">O20/parametros_recargas!$B$6</f>
        <v>0.0867020244943853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5" t="n">
        <f aca="false">parametros_recargas!$E$91*'Plan mensual'!D21+parametros_recargas!$F$91*'Plan mensual'!D22+parametros_recargas!$G$91*'Plan mensual'!D23+parametros_recargas!$H$91*'Plan mensual'!D24+parametros_recargas!$I$91*'Plan mensual'!D25+parametros_recargas!$J$91*'Plan mensual'!D26+parametros_recargas!$K$91*'Plan mensual'!D27+parametros_recargas!$L$91*'Plan mensual'!D28</f>
        <v>1.90212309232868</v>
      </c>
      <c r="C21" s="25" t="n">
        <f aca="false">parametros_recargas!$E$91*'Plan mensual'!E21+parametros_recargas!$F$91*'Plan mensual'!E22+parametros_recargas!$G$91*'Plan mensual'!E23+parametros_recargas!$H$91*'Plan mensual'!E24+parametros_recargas!$I$91*'Plan mensual'!E25+parametros_recargas!$J$91*'Plan mensual'!E26+parametros_recargas!$K$91*'Plan mensual'!E27+parametros_recargas!$L$91*'Plan mensual'!E28</f>
        <v>2.15570253661619</v>
      </c>
      <c r="D21" s="25" t="n">
        <f aca="false">parametros_recargas!$E$91*'Plan mensual'!F21+parametros_recargas!$F$91*'Plan mensual'!F22+parametros_recargas!$G$91*'Plan mensual'!F23+parametros_recargas!$H$91*'Plan mensual'!F24+parametros_recargas!$I$91*'Plan mensual'!F25+parametros_recargas!$J$91*'Plan mensual'!F26+parametros_recargas!$K$91*'Plan mensual'!F27+parametros_recargas!$L$91*'Plan mensual'!F28</f>
        <v>2.44308764512412</v>
      </c>
      <c r="E21" s="25" t="n">
        <f aca="false">parametros_recargas!$E$91*'Plan mensual'!G21+parametros_recargas!$F$91*'Plan mensual'!G22+parametros_recargas!$G$91*'Plan mensual'!G23+parametros_recargas!$H$91*'Plan mensual'!G24+parametros_recargas!$I$91*'Plan mensual'!G25+parametros_recargas!$J$91*'Plan mensual'!G26+parametros_recargas!$K$91*'Plan mensual'!G27+parametros_recargas!$L$91*'Plan mensual'!G28</f>
        <v>2.76878518273081</v>
      </c>
      <c r="F21" s="25" t="n">
        <f aca="false">parametros_recargas!$E$91*'Plan mensual'!H21+parametros_recargas!$F$91*'Plan mensual'!H22+parametros_recargas!$G$91*'Plan mensual'!H23+parametros_recargas!$H$91*'Plan mensual'!H24+parametros_recargas!$I$91*'Plan mensual'!H25+parametros_recargas!$J$91*'Plan mensual'!H26+parametros_recargas!$K$91*'Plan mensual'!H27+parametros_recargas!$L$91*'Plan mensual'!H28</f>
        <v>3.13790272870877</v>
      </c>
      <c r="G21" s="25" t="n">
        <f aca="false">parametros_recargas!$E$91*'Plan mensual'!I21+parametros_recargas!$F$91*'Plan mensual'!I22+parametros_recargas!$G$91*'Plan mensual'!I23+parametros_recargas!$H$91*'Plan mensual'!I24+parametros_recargas!$I$91*'Plan mensual'!I25+parametros_recargas!$J$91*'Plan mensual'!I26+parametros_recargas!$K$91*'Plan mensual'!I27+parametros_recargas!$L$91*'Plan mensual'!I28</f>
        <v>3.55622877363371</v>
      </c>
      <c r="H21" s="25" t="n">
        <f aca="false">parametros_recargas!$E$91*'Plan mensual'!J21+parametros_recargas!$F$91*'Plan mensual'!J22+parametros_recargas!$G$91*'Plan mensual'!J23+parametros_recargas!$H$91*'Plan mensual'!J24+parametros_recargas!$I$91*'Plan mensual'!J25+parametros_recargas!$J$91*'Plan mensual'!J26+parametros_recargas!$K$91*'Plan mensual'!J27+parametros_recargas!$L$91*'Plan mensual'!J28</f>
        <v>4.03032349432462</v>
      </c>
      <c r="I21" s="25" t="n">
        <f aca="false">parametros_recargas!$E$91*'Plan mensual'!K21+parametros_recargas!$F$91*'Plan mensual'!K22+parametros_recargas!$G$91*'Plan mensual'!K23+parametros_recargas!$H$91*'Plan mensual'!K24+parametros_recargas!$I$91*'Plan mensual'!K25+parametros_recargas!$J$91*'Plan mensual'!K26+parametros_recargas!$K$91*'Plan mensual'!K27+parametros_recargas!$L$91*'Plan mensual'!K28</f>
        <v>4.56762163034512</v>
      </c>
      <c r="J21" s="25" t="n">
        <f aca="false">parametros_recargas!$E$91*'Plan mensual'!L21+parametros_recargas!$F$91*'Plan mensual'!L22+parametros_recargas!$G$91*'Plan mensual'!L23+parametros_recargas!$H$91*'Plan mensual'!L24+parametros_recargas!$I$91*'Plan mensual'!L25+parametros_recargas!$J$91*'Plan mensual'!L26+parametros_recargas!$K$91*'Plan mensual'!L27+parametros_recargas!$L$91*'Plan mensual'!L28</f>
        <v>5.17654907537211</v>
      </c>
      <c r="K21" s="25" t="n">
        <f aca="false">parametros_recargas!$E$91*'Plan mensual'!M21+parametros_recargas!$F$91*'Plan mensual'!M22+parametros_recargas!$G$91*'Plan mensual'!M23+parametros_recargas!$H$91*'Plan mensual'!M24+parametros_recargas!$I$91*'Plan mensual'!M25+parametros_recargas!$J$91*'Plan mensual'!M26+parametros_recargas!$K$91*'Plan mensual'!M27+parametros_recargas!$L$91*'Plan mensual'!M28</f>
        <v>5.86665501181435</v>
      </c>
      <c r="L21" s="25" t="n">
        <f aca="false">parametros_recargas!$E$91*'Plan mensual'!N21+parametros_recargas!$F$91*'Plan mensual'!N22+parametros_recargas!$G$91*'Plan mensual'!N23+parametros_recargas!$H$91*'Plan mensual'!N24+parametros_recargas!$I$91*'Plan mensual'!N25+parametros_recargas!$J$91*'Plan mensual'!N26+parametros_recargas!$K$91*'Plan mensual'!N27+parametros_recargas!$L$91*'Plan mensual'!N28</f>
        <v>6.6487616608121</v>
      </c>
      <c r="M21" s="25" t="n">
        <f aca="false">parametros_recargas!$E$91*'Plan mensual'!O21+parametros_recargas!$F$91*'Plan mensual'!O22+parametros_recargas!$G$91*'Plan mensual'!O23+parametros_recargas!$H$91*'Plan mensual'!O24+parametros_recargas!$I$91*'Plan mensual'!O25+parametros_recargas!$J$91*'Plan mensual'!O26+parametros_recargas!$K$91*'Plan mensual'!O27+parametros_recargas!$L$91*'Plan mensual'!O28</f>
        <v>7.53513399599299</v>
      </c>
      <c r="N21" s="7" t="n">
        <f aca="false">SUM(B21:M21)</f>
        <v>49.7888748278036</v>
      </c>
      <c r="O21" s="26" t="n">
        <f aca="false">MAX(B21:M21)</f>
        <v>7.53513399599299</v>
      </c>
      <c r="P21" s="15" t="n">
        <f aca="false">O21/parametros_recargas!$B$6</f>
        <v>0.0502342266399533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5" t="n">
        <f aca="false">parametros_recargas!$E$92*'Plan mensual'!D21+parametros_recargas!$F$92*'Plan mensual'!D22+parametros_recargas!$G$92*'Plan mensual'!D23+parametros_recargas!$H$92*'Plan mensual'!D24+parametros_recargas!$I$92*'Plan mensual'!D25+parametros_recargas!$J$92*'Plan mensual'!D26+parametros_recargas!$K$92*'Plan mensual'!D27+parametros_recargas!$L$92*'Plan mensual'!D28</f>
        <v>67.188300488551</v>
      </c>
      <c r="C22" s="25" t="n">
        <f aca="false">parametros_recargas!$E$92*'Plan mensual'!E21+parametros_recargas!$F$92*'Plan mensual'!E22+parametros_recargas!$G$92*'Plan mensual'!E23+parametros_recargas!$H$92*'Plan mensual'!E24+parametros_recargas!$I$92*'Plan mensual'!E25+parametros_recargas!$J$92*'Plan mensual'!E26+parametros_recargas!$K$92*'Plan mensual'!E27+parametros_recargas!$L$92*'Plan mensual'!E28</f>
        <v>76.1454347398632</v>
      </c>
      <c r="D22" s="25" t="n">
        <f aca="false">parametros_recargas!$E$92*'Plan mensual'!F21+parametros_recargas!$F$92*'Plan mensual'!F22+parametros_recargas!$G$92*'Plan mensual'!F23+parametros_recargas!$H$92*'Plan mensual'!F24+parametros_recargas!$I$92*'Plan mensual'!F25+parametros_recargas!$J$92*'Plan mensual'!F26+parametros_recargas!$K$92*'Plan mensual'!F27+parametros_recargas!$L$92*'Plan mensual'!F28</f>
        <v>86.2966794748854</v>
      </c>
      <c r="E22" s="25" t="n">
        <f aca="false">parametros_recargas!$E$92*'Plan mensual'!G21+parametros_recargas!$F$92*'Plan mensual'!G22+parametros_recargas!$G$92*'Plan mensual'!G23+parametros_recargas!$H$92*'Plan mensual'!G24+parametros_recargas!$I$92*'Plan mensual'!G25+parametros_recargas!$J$92*'Plan mensual'!G26+parametros_recargas!$K$92*'Plan mensual'!G27+parametros_recargas!$L$92*'Plan mensual'!G28</f>
        <v>97.8012262170779</v>
      </c>
      <c r="F22" s="25" t="n">
        <f aca="false">parametros_recargas!$E$92*'Plan mensual'!H21+parametros_recargas!$F$92*'Plan mensual'!H22+parametros_recargas!$G$92*'Plan mensual'!H23+parametros_recargas!$H$92*'Plan mensual'!H24+parametros_recargas!$I$92*'Plan mensual'!H25+parametros_recargas!$J$92*'Plan mensual'!H26+parametros_recargas!$K$92*'Plan mensual'!H27+parametros_recargas!$L$92*'Plan mensual'!H28</f>
        <v>110.839488932454</v>
      </c>
      <c r="G22" s="25" t="n">
        <f aca="false">parametros_recargas!$E$92*'Plan mensual'!I21+parametros_recargas!$F$92*'Plan mensual'!I22+parametros_recargas!$G$92*'Plan mensual'!I23+parametros_recargas!$H$92*'Plan mensual'!I24+parametros_recargas!$I$92*'Plan mensual'!I25+parametros_recargas!$J$92*'Plan mensual'!I26+parametros_recargas!$K$92*'Plan mensual'!I27+parametros_recargas!$L$92*'Plan mensual'!I28</f>
        <v>125.615933276123</v>
      </c>
      <c r="H22" s="25" t="n">
        <f aca="false">parametros_recargas!$E$92*'Plan mensual'!J21+parametros_recargas!$F$92*'Plan mensual'!J22+parametros_recargas!$G$92*'Plan mensual'!J23+parametros_recargas!$H$92*'Plan mensual'!J24+parametros_recargas!$I$92*'Plan mensual'!J25+parametros_recargas!$J$92*'Plan mensual'!J26+parametros_recargas!$K$92*'Plan mensual'!J27+parametros_recargas!$L$92*'Plan mensual'!J28</f>
        <v>142.362283016728</v>
      </c>
      <c r="I22" s="25" t="n">
        <f aca="false">parametros_recargas!$E$92*'Plan mensual'!K21+parametros_recargas!$F$92*'Plan mensual'!K22+parametros_recargas!$G$92*'Plan mensual'!K23+parametros_recargas!$H$92*'Plan mensual'!K24+parametros_recargas!$I$92*'Plan mensual'!K25+parametros_recargas!$J$92*'Plan mensual'!K26+parametros_recargas!$K$92*'Plan mensual'!K27+parametros_recargas!$L$92*'Plan mensual'!K28</f>
        <v>161.341153921811</v>
      </c>
      <c r="J22" s="25" t="n">
        <f aca="false">parametros_recargas!$E$92*'Plan mensual'!L21+parametros_recargas!$F$92*'Plan mensual'!L22+parametros_recargas!$G$92*'Plan mensual'!L23+parametros_recargas!$H$92*'Plan mensual'!L24+parametros_recargas!$I$92*'Plan mensual'!L25+parametros_recargas!$J$92*'Plan mensual'!L26+parametros_recargas!$K$92*'Plan mensual'!L27+parametros_recargas!$L$92*'Plan mensual'!L28</f>
        <v>182.850172090615</v>
      </c>
      <c r="K22" s="25" t="n">
        <f aca="false">parametros_recargas!$E$92*'Plan mensual'!M21+parametros_recargas!$F$92*'Plan mensual'!M22+parametros_recargas!$G$92*'Plan mensual'!M23+parametros_recargas!$H$92*'Plan mensual'!M24+parametros_recargas!$I$92*'Plan mensual'!M25+parametros_recargas!$J$92*'Plan mensual'!M26+parametros_recargas!$K$92*'Plan mensual'!M27+parametros_recargas!$L$92*'Plan mensual'!M28</f>
        <v>207.226641317877</v>
      </c>
      <c r="L22" s="25" t="n">
        <f aca="false">parametros_recargas!$E$92*'Plan mensual'!N21+parametros_recargas!$F$92*'Plan mensual'!N22+parametros_recargas!$G$92*'Plan mensual'!N23+parametros_recargas!$H$92*'Plan mensual'!N24+parametros_recargas!$I$92*'Plan mensual'!N25+parametros_recargas!$J$92*'Plan mensual'!N26+parametros_recargas!$K$92*'Plan mensual'!N27+parametros_recargas!$L$92*'Plan mensual'!N28</f>
        <v>234.852832682087</v>
      </c>
      <c r="M22" s="25" t="n">
        <f aca="false">parametros_recargas!$E$92*'Plan mensual'!O21+parametros_recargas!$F$92*'Plan mensual'!O22+parametros_recargas!$G$92*'Plan mensual'!O23+parametros_recargas!$H$92*'Plan mensual'!O24+parametros_recargas!$I$92*'Plan mensual'!O25+parametros_recargas!$J$92*'Plan mensual'!O26+parametros_recargas!$K$92*'Plan mensual'!O27+parametros_recargas!$L$92*'Plan mensual'!O28</f>
        <v>266.161979309376</v>
      </c>
      <c r="N22" s="7" t="n">
        <f aca="false">SUM(B22:M22)</f>
        <v>1758.68212546745</v>
      </c>
      <c r="O22" s="26" t="n">
        <f aca="false">MAX(B22:M22)</f>
        <v>266.161979309376</v>
      </c>
      <c r="P22" s="15" t="n">
        <f aca="false">O22/parametros_recargas!$B$6</f>
        <v>1.77441319539584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5" t="n">
        <f aca="false">parametros_recargas!$E$93*'Plan mensual'!D21+parametros_recargas!$F$93*'Plan mensual'!D22+parametros_recargas!$G$93*'Plan mensual'!D23+parametros_recargas!$H$93*'Plan mensual'!D24+parametros_recargas!$I$93*'Plan mensual'!D25+parametros_recargas!$J$93*'Plan mensual'!D26+parametros_recargas!$K$93*'Plan mensual'!D27+parametros_recargas!$L$93*'Plan mensual'!D28</f>
        <v>67.188300488551</v>
      </c>
      <c r="C23" s="25" t="n">
        <f aca="false">parametros_recargas!$E$93*'Plan mensual'!E21+parametros_recargas!$F$93*'Plan mensual'!E22+parametros_recargas!$G$93*'Plan mensual'!E23+parametros_recargas!$H$93*'Plan mensual'!E24+parametros_recargas!$I$93*'Plan mensual'!E25+parametros_recargas!$J$93*'Plan mensual'!E26+parametros_recargas!$K$93*'Plan mensual'!E27+parametros_recargas!$L$93*'Plan mensual'!E28</f>
        <v>76.1454347398632</v>
      </c>
      <c r="D23" s="25" t="n">
        <f aca="false">parametros_recargas!$E$93*'Plan mensual'!F21+parametros_recargas!$F$93*'Plan mensual'!F22+parametros_recargas!$G$93*'Plan mensual'!F23+parametros_recargas!$H$93*'Plan mensual'!F24+parametros_recargas!$I$93*'Plan mensual'!F25+parametros_recargas!$J$93*'Plan mensual'!F26+parametros_recargas!$K$93*'Plan mensual'!F27+parametros_recargas!$L$93*'Plan mensual'!F28</f>
        <v>86.2966794748854</v>
      </c>
      <c r="E23" s="25" t="n">
        <f aca="false">parametros_recargas!$E$93*'Plan mensual'!G21+parametros_recargas!$F$93*'Plan mensual'!G22+parametros_recargas!$G$93*'Plan mensual'!G23+parametros_recargas!$H$93*'Plan mensual'!G24+parametros_recargas!$I$93*'Plan mensual'!G25+parametros_recargas!$J$93*'Plan mensual'!G26+parametros_recargas!$K$93*'Plan mensual'!G27+parametros_recargas!$L$93*'Plan mensual'!G28</f>
        <v>97.8012262170779</v>
      </c>
      <c r="F23" s="25" t="n">
        <f aca="false">parametros_recargas!$E$93*'Plan mensual'!H21+parametros_recargas!$F$93*'Plan mensual'!H22+parametros_recargas!$G$93*'Plan mensual'!H23+parametros_recargas!$H$93*'Plan mensual'!H24+parametros_recargas!$I$93*'Plan mensual'!H25+parametros_recargas!$J$93*'Plan mensual'!H26+parametros_recargas!$K$93*'Plan mensual'!H27+parametros_recargas!$L$93*'Plan mensual'!H28</f>
        <v>110.839488932454</v>
      </c>
      <c r="G23" s="25" t="n">
        <f aca="false">parametros_recargas!$E$93*'Plan mensual'!I21+parametros_recargas!$F$93*'Plan mensual'!I22+parametros_recargas!$G$93*'Plan mensual'!I23+parametros_recargas!$H$93*'Plan mensual'!I24+parametros_recargas!$I$93*'Plan mensual'!I25+parametros_recargas!$J$93*'Plan mensual'!I26+parametros_recargas!$K$93*'Plan mensual'!I27+parametros_recargas!$L$93*'Plan mensual'!I28</f>
        <v>125.615933276123</v>
      </c>
      <c r="H23" s="25" t="n">
        <f aca="false">parametros_recargas!$E$93*'Plan mensual'!J21+parametros_recargas!$F$93*'Plan mensual'!J22+parametros_recargas!$G$93*'Plan mensual'!J23+parametros_recargas!$H$93*'Plan mensual'!J24+parametros_recargas!$I$93*'Plan mensual'!J25+parametros_recargas!$J$93*'Plan mensual'!J26+parametros_recargas!$K$93*'Plan mensual'!J27+parametros_recargas!$L$93*'Plan mensual'!J28</f>
        <v>142.362283016728</v>
      </c>
      <c r="I23" s="25" t="n">
        <f aca="false">parametros_recargas!$E$93*'Plan mensual'!K21+parametros_recargas!$F$93*'Plan mensual'!K22+parametros_recargas!$G$93*'Plan mensual'!K23+parametros_recargas!$H$93*'Plan mensual'!K24+parametros_recargas!$I$93*'Plan mensual'!K25+parametros_recargas!$J$93*'Plan mensual'!K26+parametros_recargas!$K$93*'Plan mensual'!K27+parametros_recargas!$L$93*'Plan mensual'!K28</f>
        <v>161.341153921811</v>
      </c>
      <c r="J23" s="25" t="n">
        <f aca="false">parametros_recargas!$E$93*'Plan mensual'!L21+parametros_recargas!$F$93*'Plan mensual'!L22+parametros_recargas!$G$93*'Plan mensual'!L23+parametros_recargas!$H$93*'Plan mensual'!L24+parametros_recargas!$I$93*'Plan mensual'!L25+parametros_recargas!$J$93*'Plan mensual'!L26+parametros_recargas!$K$93*'Plan mensual'!L27+parametros_recargas!$L$93*'Plan mensual'!L28</f>
        <v>182.850172090615</v>
      </c>
      <c r="K23" s="25" t="n">
        <f aca="false">parametros_recargas!$E$93*'Plan mensual'!M21+parametros_recargas!$F$93*'Plan mensual'!M22+parametros_recargas!$G$93*'Plan mensual'!M23+parametros_recargas!$H$93*'Plan mensual'!M24+parametros_recargas!$I$93*'Plan mensual'!M25+parametros_recargas!$J$93*'Plan mensual'!M26+parametros_recargas!$K$93*'Plan mensual'!M27+parametros_recargas!$L$93*'Plan mensual'!M28</f>
        <v>207.226641317877</v>
      </c>
      <c r="L23" s="25" t="n">
        <f aca="false">parametros_recargas!$E$93*'Plan mensual'!N21+parametros_recargas!$F$93*'Plan mensual'!N22+parametros_recargas!$G$93*'Plan mensual'!N23+parametros_recargas!$H$93*'Plan mensual'!N24+parametros_recargas!$I$93*'Plan mensual'!N25+parametros_recargas!$J$93*'Plan mensual'!N26+parametros_recargas!$K$93*'Plan mensual'!N27+parametros_recargas!$L$93*'Plan mensual'!N28</f>
        <v>234.852832682087</v>
      </c>
      <c r="M23" s="25" t="n">
        <f aca="false">parametros_recargas!$E$93*'Plan mensual'!O21+parametros_recargas!$F$93*'Plan mensual'!O22+parametros_recargas!$G$93*'Plan mensual'!O23+parametros_recargas!$H$93*'Plan mensual'!O24+parametros_recargas!$I$93*'Plan mensual'!O25+parametros_recargas!$J$93*'Plan mensual'!O26+parametros_recargas!$K$93*'Plan mensual'!O27+parametros_recargas!$L$93*'Plan mensual'!O28</f>
        <v>266.161979309376</v>
      </c>
      <c r="N23" s="7" t="n">
        <f aca="false">SUM(B23:M23)</f>
        <v>1758.68212546745</v>
      </c>
      <c r="O23" s="26" t="n">
        <f aca="false">MAX(B23:M23)</f>
        <v>266.161979309376</v>
      </c>
      <c r="P23" s="15" t="n">
        <f aca="false">O23/parametros_recargas!$B$6</f>
        <v>1.77441319539584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5" t="n">
        <f aca="false">parametros_recargas!$E$94*'Plan mensual'!D21+parametros_recargas!$F$94*'Plan mensual'!D22+parametros_recargas!$G$94*'Plan mensual'!D23+parametros_recargas!$H$94*'Plan mensual'!D24+parametros_recargas!$I$94*'Plan mensual'!D25+parametros_recargas!$J$94*'Plan mensual'!D26+parametros_recargas!$K$94*'Plan mensual'!D27+parametros_recargas!$L$94*'Plan mensual'!D28</f>
        <v>4.91820363333674</v>
      </c>
      <c r="C24" s="25" t="n">
        <f aca="false">parametros_recargas!$E$94*'Plan mensual'!E21+parametros_recargas!$F$94*'Plan mensual'!E22+parametros_recargas!$G$94*'Plan mensual'!E23+parametros_recargas!$H$94*'Plan mensual'!E24+parametros_recargas!$I$94*'Plan mensual'!E25+parametros_recargas!$J$94*'Plan mensual'!E26+parametros_recargas!$K$94*'Plan mensual'!E27+parametros_recargas!$L$94*'Plan mensual'!E28</f>
        <v>5.57386853182</v>
      </c>
      <c r="D24" s="25" t="n">
        <f aca="false">parametros_recargas!$E$94*'Plan mensual'!F21+parametros_recargas!$F$94*'Plan mensual'!F22+parametros_recargas!$G$94*'Plan mensual'!F23+parametros_recargas!$H$94*'Plan mensual'!F24+parametros_recargas!$I$94*'Plan mensual'!F25+parametros_recargas!$J$94*'Plan mensual'!F26+parametros_recargas!$K$94*'Plan mensual'!F27+parametros_recargas!$L$94*'Plan mensual'!F28</f>
        <v>6.31694267383054</v>
      </c>
      <c r="E24" s="25" t="n">
        <f aca="false">parametros_recargas!$E$94*'Plan mensual'!G21+parametros_recargas!$F$94*'Plan mensual'!G22+parametros_recargas!$G$94*'Plan mensual'!G23+parametros_recargas!$H$94*'Plan mensual'!G24+parametros_recargas!$I$94*'Plan mensual'!G25+parametros_recargas!$J$94*'Plan mensual'!G26+parametros_recargas!$K$94*'Plan mensual'!G27+parametros_recargas!$L$94*'Plan mensual'!G28</f>
        <v>7.15907892636137</v>
      </c>
      <c r="F24" s="25" t="n">
        <f aca="false">parametros_recargas!$E$94*'Plan mensual'!H21+parametros_recargas!$F$94*'Plan mensual'!H22+parametros_recargas!$G$94*'Plan mensual'!H23+parametros_recargas!$H$94*'Plan mensual'!H24+parametros_recargas!$I$94*'Plan mensual'!H25+parametros_recargas!$J$94*'Plan mensual'!H26+parametros_recargas!$K$94*'Plan mensual'!H27+parametros_recargas!$L$94*'Plan mensual'!H28</f>
        <v>8.1134836455295</v>
      </c>
      <c r="G24" s="25" t="n">
        <f aca="false">parametros_recargas!$E$94*'Plan mensual'!I21+parametros_recargas!$F$94*'Plan mensual'!I22+parametros_recargas!$G$94*'Plan mensual'!I23+parametros_recargas!$H$94*'Plan mensual'!I24+parametros_recargas!$I$94*'Plan mensual'!I25+parametros_recargas!$J$94*'Plan mensual'!I26+parametros_recargas!$K$94*'Plan mensual'!I27+parametros_recargas!$L$94*'Plan mensual'!I28</f>
        <v>9.19512377826686</v>
      </c>
      <c r="H24" s="25" t="n">
        <f aca="false">parametros_recargas!$E$94*'Plan mensual'!J21+parametros_recargas!$F$94*'Plan mensual'!J22+parametros_recargas!$G$94*'Plan mensual'!J23+parametros_recargas!$H$94*'Plan mensual'!J24+parametros_recargas!$I$94*'Plan mensual'!J25+parametros_recargas!$J$94*'Plan mensual'!J26+parametros_recargas!$K$94*'Plan mensual'!J27+parametros_recargas!$L$94*'Plan mensual'!J28</f>
        <v>10.420961573545</v>
      </c>
      <c r="I24" s="25" t="n">
        <f aca="false">parametros_recargas!$E$94*'Plan mensual'!K21+parametros_recargas!$F$94*'Plan mensual'!K22+parametros_recargas!$G$94*'Plan mensual'!K23+parametros_recargas!$H$94*'Plan mensual'!K24+parametros_recargas!$I$94*'Plan mensual'!K25+parametros_recargas!$J$94*'Plan mensual'!K26+parametros_recargas!$K$94*'Plan mensual'!K27+parametros_recargas!$L$94*'Plan mensual'!K28</f>
        <v>11.810220583868</v>
      </c>
      <c r="J24" s="25" t="n">
        <f aca="false">parametros_recargas!$E$94*'Plan mensual'!L21+parametros_recargas!$F$94*'Plan mensual'!L22+parametros_recargas!$G$94*'Plan mensual'!L23+parametros_recargas!$H$94*'Plan mensual'!L24+parametros_recargas!$I$94*'Plan mensual'!L25+parametros_recargas!$J$94*'Plan mensual'!L26+parametros_recargas!$K$94*'Plan mensual'!L27+parametros_recargas!$L$94*'Plan mensual'!L28</f>
        <v>13.3846871284615</v>
      </c>
      <c r="K24" s="25" t="n">
        <f aca="false">parametros_recargas!$E$94*'Plan mensual'!M21+parametros_recargas!$F$94*'Plan mensual'!M22+parametros_recargas!$G$94*'Plan mensual'!M23+parametros_recargas!$H$94*'Plan mensual'!M24+parametros_recargas!$I$94*'Plan mensual'!M25+parametros_recargas!$J$94*'Plan mensual'!M26+parametros_recargas!$K$94*'Plan mensual'!M27+parametros_recargas!$L$94*'Plan mensual'!M28</f>
        <v>15.1690519456943</v>
      </c>
      <c r="L24" s="25" t="n">
        <f aca="false">parametros_recargas!$E$94*'Plan mensual'!N21+parametros_recargas!$F$94*'Plan mensual'!N22+parametros_recargas!$G$94*'Plan mensual'!N23+parametros_recargas!$H$94*'Plan mensual'!N24+parametros_recargas!$I$94*'Plan mensual'!N25+parametros_recargas!$J$94*'Plan mensual'!N26+parametros_recargas!$K$94*'Plan mensual'!N27+parametros_recargas!$L$94*'Plan mensual'!N28</f>
        <v>17.1912973925168</v>
      </c>
      <c r="M24" s="25" t="n">
        <f aca="false">parametros_recargas!$E$94*'Plan mensual'!O21+parametros_recargas!$F$94*'Plan mensual'!O22+parametros_recargas!$G$94*'Plan mensual'!O23+parametros_recargas!$H$94*'Plan mensual'!O24+parametros_recargas!$I$94*'Plan mensual'!O25+parametros_recargas!$J$94*'Plan mensual'!O26+parametros_recargas!$K$94*'Plan mensual'!O27+parametros_recargas!$L$94*'Plan mensual'!O28</f>
        <v>19.4831362629649</v>
      </c>
      <c r="N24" s="7" t="n">
        <f aca="false">SUM(B24:M24)</f>
        <v>128.736056076196</v>
      </c>
      <c r="O24" s="26" t="n">
        <f aca="false">MAX(B24:M24)</f>
        <v>19.4831362629649</v>
      </c>
      <c r="P24" s="15" t="n">
        <f aca="false">O24/parametros_recargas!$B$6</f>
        <v>0.129887575086433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5" t="n">
        <f aca="false">parametros_recargas!$E$95*'Plan mensual'!D21+parametros_recargas!$F$95*'Plan mensual'!D22+parametros_recargas!$G$95*'Plan mensual'!D23+parametros_recargas!$H$95*'Plan mensual'!D24+parametros_recargas!$I$95*'Plan mensual'!D25+parametros_recargas!$J$95*'Plan mensual'!D26+parametros_recargas!$K$95*'Plan mensual'!D27+parametros_recargas!$L$95*'Plan mensual'!D28</f>
        <v>0.05012182145257</v>
      </c>
      <c r="C25" s="25" t="n">
        <f aca="false">parametros_recargas!$E$95*'Plan mensual'!E21+parametros_recargas!$F$95*'Plan mensual'!E22+parametros_recargas!$G$95*'Plan mensual'!E23+parametros_recargas!$H$95*'Plan mensual'!E24+parametros_recargas!$I$95*'Plan mensual'!E25+parametros_recargas!$J$95*'Plan mensual'!E26+parametros_recargas!$K$95*'Plan mensual'!E27+parametros_recargas!$L$95*'Plan mensual'!E28</f>
        <v>0.0568037568551104</v>
      </c>
      <c r="D25" s="25" t="n">
        <f aca="false">parametros_recargas!$E$95*'Plan mensual'!F21+parametros_recargas!$F$95*'Plan mensual'!F22+parametros_recargas!$G$95*'Plan mensual'!F23+parametros_recargas!$H$95*'Plan mensual'!F24+parametros_recargas!$I$95*'Plan mensual'!F25+parametros_recargas!$J$95*'Plan mensual'!F26+parametros_recargas!$K$95*'Plan mensual'!F27+parametros_recargas!$L$95*'Plan mensual'!F28</f>
        <v>0.0643764871136593</v>
      </c>
      <c r="E25" s="25" t="n">
        <f aca="false">parametros_recargas!$E$95*'Plan mensual'!G21+parametros_recargas!$F$95*'Plan mensual'!G22+parametros_recargas!$G$95*'Plan mensual'!G23+parametros_recargas!$H$95*'Plan mensual'!G24+parametros_recargas!$I$95*'Plan mensual'!G25+parametros_recargas!$J$95*'Plan mensual'!G26+parametros_recargas!$K$95*'Plan mensual'!G27+parametros_recargas!$L$95*'Plan mensual'!G28</f>
        <v>0.0729587675629643</v>
      </c>
      <c r="F25" s="25" t="n">
        <f aca="false">parametros_recargas!$E$95*'Plan mensual'!H21+parametros_recargas!$F$95*'Plan mensual'!H22+parametros_recargas!$G$95*'Plan mensual'!H23+parametros_recargas!$H$95*'Plan mensual'!H24+parametros_recargas!$I$95*'Plan mensual'!H25+parametros_recargas!$J$95*'Plan mensual'!H26+parametros_recargas!$K$95*'Plan mensual'!H27+parametros_recargas!$L$95*'Plan mensual'!H28</f>
        <v>0.0826851852743799</v>
      </c>
      <c r="G25" s="25" t="n">
        <f aca="false">parametros_recargas!$E$95*'Plan mensual'!I21+parametros_recargas!$F$95*'Plan mensual'!I22+parametros_recargas!$G$95*'Plan mensual'!I23+parametros_recargas!$H$95*'Plan mensual'!I24+parametros_recargas!$I$95*'Plan mensual'!I25+parametros_recargas!$J$95*'Plan mensual'!I26+parametros_recargas!$K$95*'Plan mensual'!I27+parametros_recargas!$L$95*'Plan mensual'!I28</f>
        <v>0.0937082696463897</v>
      </c>
      <c r="H25" s="25" t="n">
        <f aca="false">parametros_recargas!$E$95*'Plan mensual'!J21+parametros_recargas!$F$95*'Plan mensual'!J22+parametros_recargas!$G$95*'Plan mensual'!J23+parametros_recargas!$H$95*'Plan mensual'!J24+parametros_recargas!$I$95*'Plan mensual'!J25+parametros_recargas!$J$95*'Plan mensual'!J26+parametros_recargas!$K$95*'Plan mensual'!J27+parametros_recargas!$L$95*'Plan mensual'!J28</f>
        <v>0.106200884366179</v>
      </c>
      <c r="I25" s="25" t="n">
        <f aca="false">parametros_recargas!$E$95*'Plan mensual'!K21+parametros_recargas!$F$95*'Plan mensual'!K22+parametros_recargas!$G$95*'Plan mensual'!K23+parametros_recargas!$H$95*'Plan mensual'!K24+parametros_recargas!$I$95*'Plan mensual'!K25+parametros_recargas!$J$95*'Plan mensual'!K26+parametros_recargas!$K$95*'Plan mensual'!K27+parametros_recargas!$L$95*'Plan mensual'!K28</f>
        <v>0.120358938252927</v>
      </c>
      <c r="J25" s="25" t="n">
        <f aca="false">parametros_recargas!$E$95*'Plan mensual'!L21+parametros_recargas!$F$95*'Plan mensual'!L22+parametros_recargas!$G$95*'Plan mensual'!L23+parametros_recargas!$H$95*'Plan mensual'!L24+parametros_recargas!$I$95*'Plan mensual'!L25+parametros_recargas!$J$95*'Plan mensual'!L26+parametros_recargas!$K$95*'Plan mensual'!L27+parametros_recargas!$L$95*'Plan mensual'!L28</f>
        <v>0.136404457494191</v>
      </c>
      <c r="K25" s="25" t="n">
        <f aca="false">parametros_recargas!$E$95*'Plan mensual'!M21+parametros_recargas!$F$95*'Plan mensual'!M22+parametros_recargas!$G$95*'Plan mensual'!M23+parametros_recargas!$H$95*'Plan mensual'!M24+parametros_recargas!$I$95*'Plan mensual'!M25+parametros_recargas!$J$95*'Plan mensual'!M26+parametros_recargas!$K$95*'Plan mensual'!M27+parametros_recargas!$L$95*'Plan mensual'!M28</f>
        <v>0.154589067454092</v>
      </c>
      <c r="L25" s="25" t="n">
        <f aca="false">parametros_recargas!$E$95*'Plan mensual'!N21+parametros_recargas!$F$95*'Plan mensual'!N22+parametros_recargas!$G$95*'Plan mensual'!N23+parametros_recargas!$H$95*'Plan mensual'!N24+parametros_recargas!$I$95*'Plan mensual'!N25+parametros_recargas!$J$95*'Plan mensual'!N26+parametros_recargas!$K$95*'Plan mensual'!N27+parametros_recargas!$L$95*'Plan mensual'!N28</f>
        <v>0.175197938654925</v>
      </c>
      <c r="M25" s="25" t="n">
        <f aca="false">parametros_recargas!$E$95*'Plan mensual'!O21+parametros_recargas!$F$95*'Plan mensual'!O22+parametros_recargas!$G$95*'Plan mensual'!O23+parametros_recargas!$H$95*'Plan mensual'!O24+parametros_recargas!$I$95*'Plan mensual'!O25+parametros_recargas!$J$95*'Plan mensual'!O26+parametros_recargas!$K$95*'Plan mensual'!O27+parametros_recargas!$L$95*'Plan mensual'!O28</f>
        <v>0.198554258812968</v>
      </c>
      <c r="N25" s="7" t="n">
        <f aca="false">SUM(B25:M25)</f>
        <v>1.31195983294036</v>
      </c>
      <c r="O25" s="26" t="n">
        <f aca="false">MAX(B25:M25)</f>
        <v>0.198554258812968</v>
      </c>
      <c r="P25" s="15" t="n">
        <f aca="false">O25/parametros_recargas!$B$6</f>
        <v>0.00132369505875312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5" t="n">
        <f aca="false">parametros_recargas!$E$96*'Plan mensual'!D21+parametros_recargas!$F$96*'Plan mensual'!D22+parametros_recargas!$G$96*'Plan mensual'!D23+parametros_recargas!$H$96*'Plan mensual'!D24+parametros_recargas!$I$96*'Plan mensual'!D25+parametros_recargas!$J$96*'Plan mensual'!D26+parametros_recargas!$K$96*'Plan mensual'!D27+parametros_recargas!$L$96*'Plan mensual'!D28</f>
        <v>4.5886526797913</v>
      </c>
      <c r="C26" s="25" t="n">
        <f aca="false">parametros_recargas!$E$96*'Plan mensual'!E21+parametros_recargas!$F$96*'Plan mensual'!E22+parametros_recargas!$G$96*'Plan mensual'!E23+parametros_recargas!$H$96*'Plan mensual'!E24+parametros_recargas!$I$96*'Plan mensual'!E25+parametros_recargas!$J$96*'Plan mensual'!E26+parametros_recargas!$K$96*'Plan mensual'!E27+parametros_recargas!$L$96*'Plan mensual'!E28</f>
        <v>5.20038385600312</v>
      </c>
      <c r="D26" s="25" t="n">
        <f aca="false">parametros_recargas!$E$96*'Plan mensual'!F21+parametros_recargas!$F$96*'Plan mensual'!F22+parametros_recargas!$G$96*'Plan mensual'!F23+parametros_recargas!$H$96*'Plan mensual'!F24+parametros_recargas!$I$96*'Plan mensual'!F25+parametros_recargas!$J$96*'Plan mensual'!F26+parametros_recargas!$K$96*'Plan mensual'!F27+parametros_recargas!$L$96*'Plan mensual'!F28</f>
        <v>5.89366729996393</v>
      </c>
      <c r="E26" s="25" t="n">
        <f aca="false">parametros_recargas!$E$96*'Plan mensual'!G21+parametros_recargas!$F$96*'Plan mensual'!G22+parametros_recargas!$G$96*'Plan mensual'!G23+parametros_recargas!$H$96*'Plan mensual'!G24+parametros_recargas!$I$96*'Plan mensual'!G25+parametros_recargas!$J$96*'Plan mensual'!G26+parametros_recargas!$K$96*'Plan mensual'!G27+parametros_recargas!$L$96*'Plan mensual'!G28</f>
        <v>6.67937506239411</v>
      </c>
      <c r="F26" s="25" t="n">
        <f aca="false">parametros_recargas!$E$96*'Plan mensual'!H21+parametros_recargas!$F$96*'Plan mensual'!H22+parametros_recargas!$G$96*'Plan mensual'!H23+parametros_recargas!$H$96*'Plan mensual'!H24+parametros_recargas!$I$96*'Plan mensual'!H25+parametros_recargas!$J$96*'Plan mensual'!H26+parametros_recargas!$K$96*'Plan mensual'!H27+parametros_recargas!$L$96*'Plan mensual'!H28</f>
        <v>7.56982858947694</v>
      </c>
      <c r="G26" s="25" t="n">
        <f aca="false">parametros_recargas!$E$96*'Plan mensual'!I21+parametros_recargas!$F$96*'Plan mensual'!I22+parametros_recargas!$G$96*'Plan mensual'!I23+parametros_recargas!$H$96*'Plan mensual'!I24+parametros_recargas!$I$96*'Plan mensual'!I25+parametros_recargas!$J$96*'Plan mensual'!I26+parametros_recargas!$K$96*'Plan mensual'!I27+parametros_recargas!$L$96*'Plan mensual'!I28</f>
        <v>8.57899194741782</v>
      </c>
      <c r="H26" s="25" t="n">
        <f aca="false">parametros_recargas!$E$96*'Plan mensual'!J21+parametros_recargas!$F$96*'Plan mensual'!J22+parametros_recargas!$G$96*'Plan mensual'!J23+parametros_recargas!$H$96*'Plan mensual'!J24+parametros_recargas!$I$96*'Plan mensual'!J25+parametros_recargas!$J$96*'Plan mensual'!J26+parametros_recargas!$K$96*'Plan mensual'!J27+parametros_recargas!$L$96*'Plan mensual'!J28</f>
        <v>9.72269080652265</v>
      </c>
      <c r="I26" s="25" t="n">
        <f aca="false">parametros_recargas!$E$96*'Plan mensual'!K21+parametros_recargas!$F$96*'Plan mensual'!K22+parametros_recargas!$G$96*'Plan mensual'!K23+parametros_recargas!$H$96*'Plan mensual'!K24+parametros_recargas!$I$96*'Plan mensual'!K25+parametros_recargas!$J$96*'Plan mensual'!K26+parametros_recargas!$K$96*'Plan mensual'!K27+parametros_recargas!$L$96*'Plan mensual'!K28</f>
        <v>11.0188606188974</v>
      </c>
      <c r="J26" s="25" t="n">
        <f aca="false">parametros_recargas!$E$96*'Plan mensual'!L21+parametros_recargas!$F$96*'Plan mensual'!L22+parametros_recargas!$G$96*'Plan mensual'!L23+parametros_recargas!$H$96*'Plan mensual'!L24+parametros_recargas!$I$96*'Plan mensual'!L25+parametros_recargas!$J$96*'Plan mensual'!L26+parametros_recargas!$K$96*'Plan mensual'!L27+parametros_recargas!$L$96*'Plan mensual'!L28</f>
        <v>12.4878278816842</v>
      </c>
      <c r="K26" s="25" t="n">
        <f aca="false">parametros_recargas!$E$96*'Plan mensual'!M21+parametros_recargas!$F$96*'Plan mensual'!M22+parametros_recargas!$G$96*'Plan mensual'!M23+parametros_recargas!$H$96*'Plan mensual'!M24+parametros_recargas!$I$96*'Plan mensual'!M25+parametros_recargas!$J$96*'Plan mensual'!M26+parametros_recargas!$K$96*'Plan mensual'!M27+parametros_recargas!$L$96*'Plan mensual'!M28</f>
        <v>14.1526288965958</v>
      </c>
      <c r="L26" s="25" t="n">
        <f aca="false">parametros_recargas!$E$96*'Plan mensual'!N21+parametros_recargas!$F$96*'Plan mensual'!N22+parametros_recargas!$G$96*'Plan mensual'!N23+parametros_recargas!$H$96*'Plan mensual'!N24+parametros_recargas!$I$96*'Plan mensual'!N25+parametros_recargas!$J$96*'Plan mensual'!N26+parametros_recargas!$K$96*'Plan mensual'!N27+parametros_recargas!$L$96*'Plan mensual'!N28</f>
        <v>16.0393710245264</v>
      </c>
      <c r="M26" s="25" t="n">
        <f aca="false">parametros_recargas!$E$96*'Plan mensual'!O21+parametros_recargas!$F$96*'Plan mensual'!O22+parametros_recargas!$G$96*'Plan mensual'!O23+parametros_recargas!$H$96*'Plan mensual'!O24+parametros_recargas!$I$96*'Plan mensual'!O25+parametros_recargas!$J$96*'Plan mensual'!O26+parametros_recargas!$K$96*'Plan mensual'!O27+parametros_recargas!$L$96*'Plan mensual'!O28</f>
        <v>18.1776421004225</v>
      </c>
      <c r="N26" s="7" t="n">
        <f aca="false">SUM(B26:M26)</f>
        <v>120.109920763696</v>
      </c>
      <c r="O26" s="26" t="n">
        <f aca="false">MAX(B26:M26)</f>
        <v>18.1776421004225</v>
      </c>
      <c r="P26" s="15" t="n">
        <f aca="false">O26/parametros_recargas!$B$6</f>
        <v>0.121184280669484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5" t="n">
        <f aca="false">parametros_recargas!$E$97*'Plan mensual'!D21+parametros_recargas!$F$97*'Plan mensual'!D22+parametros_recargas!$G$97*'Plan mensual'!D23+parametros_recargas!$H$97*'Plan mensual'!D24+parametros_recargas!$I$97*'Plan mensual'!D25+parametros_recargas!$J$97*'Plan mensual'!D26+parametros_recargas!$K$97*'Plan mensual'!D27+parametros_recargas!$L$97*'Plan mensual'!D28</f>
        <v>77.0121773170671</v>
      </c>
      <c r="C27" s="25" t="n">
        <f aca="false">parametros_recargas!$E$97*'Plan mensual'!E21+parametros_recargas!$F$97*'Plan mensual'!E22+parametros_recargas!$G$97*'Plan mensual'!E23+parametros_recargas!$H$97*'Plan mensual'!E24+parametros_recargas!$I$97*'Plan mensual'!E25+parametros_recargas!$J$97*'Plan mensual'!E26+parametros_recargas!$K$97*'Plan mensual'!E27+parametros_recargas!$L$97*'Plan mensual'!E28</f>
        <v>87.2789708837891</v>
      </c>
      <c r="D27" s="25" t="n">
        <f aca="false">parametros_recargas!$E$97*'Plan mensual'!F21+parametros_recargas!$F$97*'Plan mensual'!F22+parametros_recargas!$G$97*'Plan mensual'!F23+parametros_recargas!$H$97*'Plan mensual'!F24+parametros_recargas!$I$97*'Plan mensual'!F25+parametros_recargas!$J$97*'Plan mensual'!F26+parametros_recargas!$K$97*'Plan mensual'!F27+parametros_recargas!$L$97*'Plan mensual'!F28</f>
        <v>98.9144707228673</v>
      </c>
      <c r="E27" s="25" t="n">
        <f aca="false">parametros_recargas!$E$97*'Plan mensual'!G21+parametros_recargas!$F$97*'Plan mensual'!G22+parametros_recargas!$G$97*'Plan mensual'!G23+parametros_recargas!$H$97*'Plan mensual'!G24+parametros_recargas!$I$97*'Plan mensual'!G25+parametros_recargas!$J$97*'Plan mensual'!G26+parametros_recargas!$K$97*'Plan mensual'!G27+parametros_recargas!$L$97*'Plan mensual'!G28</f>
        <v>112.101144402955</v>
      </c>
      <c r="F27" s="25" t="n">
        <f aca="false">parametros_recargas!$E$97*'Plan mensual'!H21+parametros_recargas!$F$97*'Plan mensual'!H22+parametros_recargas!$G$97*'Plan mensual'!H23+parametros_recargas!$H$97*'Plan mensual'!H24+parametros_recargas!$I$97*'Plan mensual'!H25+parametros_recargas!$J$97*'Plan mensual'!H26+parametros_recargas!$K$97*'Plan mensual'!H27+parametros_recargas!$L$97*'Plan mensual'!H28</f>
        <v>127.045784955578</v>
      </c>
      <c r="G27" s="25" t="n">
        <f aca="false">parametros_recargas!$E$97*'Plan mensual'!I21+parametros_recargas!$F$97*'Plan mensual'!I22+parametros_recargas!$G$97*'Plan mensual'!I23+parametros_recargas!$H$97*'Plan mensual'!I24+parametros_recargas!$I$97*'Plan mensual'!I25+parametros_recargas!$J$97*'Plan mensual'!I26+parametros_recargas!$K$97*'Plan mensual'!I27+parametros_recargas!$L$97*'Plan mensual'!I28</f>
        <v>143.982753797414</v>
      </c>
      <c r="H27" s="25" t="n">
        <f aca="false">parametros_recargas!$E$97*'Plan mensual'!J21+parametros_recargas!$F$97*'Plan mensual'!J22+parametros_recargas!$G$97*'Plan mensual'!J23+parametros_recargas!$H$97*'Plan mensual'!J24+parametros_recargas!$I$97*'Plan mensual'!J25+parametros_recargas!$J$97*'Plan mensual'!J26+parametros_recargas!$K$97*'Plan mensual'!J27+parametros_recargas!$L$97*'Plan mensual'!J28</f>
        <v>163.177655979183</v>
      </c>
      <c r="I27" s="25" t="n">
        <f aca="false">parametros_recargas!$E$97*'Plan mensual'!K21+parametros_recargas!$F$97*'Plan mensual'!K22+parametros_recargas!$G$97*'Plan mensual'!K23+parametros_recargas!$H$97*'Plan mensual'!K24+parametros_recargas!$I$97*'Plan mensual'!K25+parametros_recargas!$J$97*'Plan mensual'!K26+parametros_recargas!$K$97*'Plan mensual'!K27+parametros_recargas!$L$97*'Plan mensual'!K28</f>
        <v>184.931505396301</v>
      </c>
      <c r="J27" s="25" t="n">
        <f aca="false">parametros_recargas!$E$97*'Plan mensual'!L21+parametros_recargas!$F$97*'Plan mensual'!L22+parametros_recargas!$G$97*'Plan mensual'!L23+parametros_recargas!$H$97*'Plan mensual'!L24+parametros_recargas!$I$97*'Plan mensual'!L25+parametros_recargas!$J$97*'Plan mensual'!L26+parametros_recargas!$K$97*'Plan mensual'!L27+parametros_recargas!$L$97*'Plan mensual'!L28</f>
        <v>209.585445279989</v>
      </c>
      <c r="K27" s="25" t="n">
        <f aca="false">parametros_recargas!$E$97*'Plan mensual'!M21+parametros_recargas!$F$97*'Plan mensual'!M22+parametros_recargas!$G$97*'Plan mensual'!M23+parametros_recargas!$H$97*'Plan mensual'!M24+parametros_recargas!$I$97*'Plan mensual'!M25+parametros_recargas!$J$97*'Plan mensual'!M26+parametros_recargas!$K$97*'Plan mensual'!M27+parametros_recargas!$L$97*'Plan mensual'!M28</f>
        <v>237.526097995469</v>
      </c>
      <c r="L27" s="25" t="n">
        <f aca="false">parametros_recargas!$E$97*'Plan mensual'!N21+parametros_recargas!$F$97*'Plan mensual'!N22+parametros_recargas!$G$97*'Plan mensual'!N23+parametros_recargas!$H$97*'Plan mensual'!N24+parametros_recargas!$I$97*'Plan mensual'!N25+parametros_recargas!$J$97*'Plan mensual'!N26+parametros_recargas!$K$97*'Plan mensual'!N27+parametros_recargas!$L$97*'Plan mensual'!N28</f>
        <v>269.191628042599</v>
      </c>
      <c r="M27" s="25" t="n">
        <f aca="false">parametros_recargas!$E$97*'Plan mensual'!O21+parametros_recargas!$F$97*'Plan mensual'!O22+parametros_recargas!$G$97*'Plan mensual'!O23+parametros_recargas!$H$97*'Plan mensual'!O24+parametros_recargas!$I$97*'Plan mensual'!O25+parametros_recargas!$J$97*'Plan mensual'!O26+parametros_recargas!$K$97*'Plan mensual'!O27+parametros_recargas!$L$97*'Plan mensual'!O28</f>
        <v>305.078613338762</v>
      </c>
      <c r="N27" s="7" t="n">
        <f aca="false">SUM(B27:M27)</f>
        <v>2015.82624811197</v>
      </c>
      <c r="O27" s="26" t="n">
        <f aca="false">MAX(B27:M27)</f>
        <v>305.078613338762</v>
      </c>
      <c r="P27" s="15" t="n">
        <f aca="false">O27/parametros_recargas!$B$6</f>
        <v>2.03385742225842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5" t="n">
        <f aca="false">parametros_recargas!$E$98*'Plan mensual'!D21+parametros_recargas!$F$98*'Plan mensual'!D22+parametros_recargas!$G$98*'Plan mensual'!D23+parametros_recargas!$H$98*'Plan mensual'!D24+parametros_recargas!$I$98*'Plan mensual'!D25+parametros_recargas!$J$98*'Plan mensual'!D26+parametros_recargas!$K$98*'Plan mensual'!D27+parametros_recargas!$L$98*'Plan mensual'!D28</f>
        <v>77.0121773170671</v>
      </c>
      <c r="C28" s="25" t="n">
        <f aca="false">parametros_recargas!$E$98*'Plan mensual'!E21+parametros_recargas!$F$98*'Plan mensual'!E22+parametros_recargas!$G$98*'Plan mensual'!E23+parametros_recargas!$H$98*'Plan mensual'!E24+parametros_recargas!$I$98*'Plan mensual'!E25+parametros_recargas!$J$98*'Plan mensual'!E26+parametros_recargas!$K$98*'Plan mensual'!E27+parametros_recargas!$L$98*'Plan mensual'!E28</f>
        <v>87.2789708837891</v>
      </c>
      <c r="D28" s="25" t="n">
        <f aca="false">parametros_recargas!$E$98*'Plan mensual'!F21+parametros_recargas!$F$98*'Plan mensual'!F22+parametros_recargas!$G$98*'Plan mensual'!F23+parametros_recargas!$H$98*'Plan mensual'!F24+parametros_recargas!$I$98*'Plan mensual'!F25+parametros_recargas!$J$98*'Plan mensual'!F26+parametros_recargas!$K$98*'Plan mensual'!F27+parametros_recargas!$L$98*'Plan mensual'!F28</f>
        <v>98.9144707228673</v>
      </c>
      <c r="E28" s="25" t="n">
        <f aca="false">parametros_recargas!$E$98*'Plan mensual'!G21+parametros_recargas!$F$98*'Plan mensual'!G22+parametros_recargas!$G$98*'Plan mensual'!G23+parametros_recargas!$H$98*'Plan mensual'!G24+parametros_recargas!$I$98*'Plan mensual'!G25+parametros_recargas!$J$98*'Plan mensual'!G26+parametros_recargas!$K$98*'Plan mensual'!G27+parametros_recargas!$L$98*'Plan mensual'!G28</f>
        <v>112.101144402955</v>
      </c>
      <c r="F28" s="25" t="n">
        <f aca="false">parametros_recargas!$E$98*'Plan mensual'!H21+parametros_recargas!$F$98*'Plan mensual'!H22+parametros_recargas!$G$98*'Plan mensual'!H23+parametros_recargas!$H$98*'Plan mensual'!H24+parametros_recargas!$I$98*'Plan mensual'!H25+parametros_recargas!$J$98*'Plan mensual'!H26+parametros_recargas!$K$98*'Plan mensual'!H27+parametros_recargas!$L$98*'Plan mensual'!H28</f>
        <v>127.045784955578</v>
      </c>
      <c r="G28" s="25" t="n">
        <f aca="false">parametros_recargas!$E$98*'Plan mensual'!I21+parametros_recargas!$F$98*'Plan mensual'!I22+parametros_recargas!$G$98*'Plan mensual'!I23+parametros_recargas!$H$98*'Plan mensual'!I24+parametros_recargas!$I$98*'Plan mensual'!I25+parametros_recargas!$J$98*'Plan mensual'!I26+parametros_recargas!$K$98*'Plan mensual'!I27+parametros_recargas!$L$98*'Plan mensual'!I28</f>
        <v>143.982753797414</v>
      </c>
      <c r="H28" s="25" t="n">
        <f aca="false">parametros_recargas!$E$98*'Plan mensual'!J21+parametros_recargas!$F$98*'Plan mensual'!J22+parametros_recargas!$G$98*'Plan mensual'!J23+parametros_recargas!$H$98*'Plan mensual'!J24+parametros_recargas!$I$98*'Plan mensual'!J25+parametros_recargas!$J$98*'Plan mensual'!J26+parametros_recargas!$K$98*'Plan mensual'!J27+parametros_recargas!$L$98*'Plan mensual'!J28</f>
        <v>163.177655979183</v>
      </c>
      <c r="I28" s="25" t="n">
        <f aca="false">parametros_recargas!$E$98*'Plan mensual'!K21+parametros_recargas!$F$98*'Plan mensual'!K22+parametros_recargas!$G$98*'Plan mensual'!K23+parametros_recargas!$H$98*'Plan mensual'!K24+parametros_recargas!$I$98*'Plan mensual'!K25+parametros_recargas!$J$98*'Plan mensual'!K26+parametros_recargas!$K$98*'Plan mensual'!K27+parametros_recargas!$L$98*'Plan mensual'!K28</f>
        <v>184.931505396301</v>
      </c>
      <c r="J28" s="25" t="n">
        <f aca="false">parametros_recargas!$E$98*'Plan mensual'!L21+parametros_recargas!$F$98*'Plan mensual'!L22+parametros_recargas!$G$98*'Plan mensual'!L23+parametros_recargas!$H$98*'Plan mensual'!L24+parametros_recargas!$I$98*'Plan mensual'!L25+parametros_recargas!$J$98*'Plan mensual'!L26+parametros_recargas!$K$98*'Plan mensual'!L27+parametros_recargas!$L$98*'Plan mensual'!L28</f>
        <v>209.585445279989</v>
      </c>
      <c r="K28" s="25" t="n">
        <f aca="false">parametros_recargas!$E$98*'Plan mensual'!M21+parametros_recargas!$F$98*'Plan mensual'!M22+parametros_recargas!$G$98*'Plan mensual'!M23+parametros_recargas!$H$98*'Plan mensual'!M24+parametros_recargas!$I$98*'Plan mensual'!M25+parametros_recargas!$J$98*'Plan mensual'!M26+parametros_recargas!$K$98*'Plan mensual'!M27+parametros_recargas!$L$98*'Plan mensual'!M28</f>
        <v>237.526097995469</v>
      </c>
      <c r="L28" s="25" t="n">
        <f aca="false">parametros_recargas!$E$98*'Plan mensual'!N21+parametros_recargas!$F$98*'Plan mensual'!N22+parametros_recargas!$G$98*'Plan mensual'!N23+parametros_recargas!$H$98*'Plan mensual'!N24+parametros_recargas!$I$98*'Plan mensual'!N25+parametros_recargas!$J$98*'Plan mensual'!N26+parametros_recargas!$K$98*'Plan mensual'!N27+parametros_recargas!$L$98*'Plan mensual'!N28</f>
        <v>269.191628042599</v>
      </c>
      <c r="M28" s="25" t="n">
        <f aca="false">parametros_recargas!$E$98*'Plan mensual'!O21+parametros_recargas!$F$98*'Plan mensual'!O22+parametros_recargas!$G$98*'Plan mensual'!O23+parametros_recargas!$H$98*'Plan mensual'!O24+parametros_recargas!$I$98*'Plan mensual'!O25+parametros_recargas!$J$98*'Plan mensual'!O26+parametros_recargas!$K$98*'Plan mensual'!O27+parametros_recargas!$L$98*'Plan mensual'!O28</f>
        <v>305.078613338762</v>
      </c>
      <c r="N28" s="7" t="n">
        <f aca="false">SUM(B28:M28)</f>
        <v>2015.82624811197</v>
      </c>
      <c r="O28" s="26" t="n">
        <f aca="false">MAX(B28:M28)</f>
        <v>305.078613338762</v>
      </c>
      <c r="P28" s="15" t="n">
        <f aca="false">O28/parametros_recargas!$B$6</f>
        <v>2.03385742225842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5" t="n">
        <f aca="false">parametros_recargas!$E$99*'Plan mensual'!D21+parametros_recargas!$F$99*'Plan mensual'!D22+parametros_recargas!$G$99*'Plan mensual'!D23+parametros_recargas!$H$99*'Plan mensual'!D24+parametros_recargas!$I$99*'Plan mensual'!D25+parametros_recargas!$J$99*'Plan mensual'!D26+parametros_recargas!$K$99*'Plan mensual'!D27+parametros_recargas!$L$99*'Plan mensual'!D28</f>
        <v>6.055300680236</v>
      </c>
      <c r="C29" s="25" t="n">
        <f aca="false">parametros_recargas!$E$99*'Plan mensual'!E21+parametros_recargas!$F$99*'Plan mensual'!E22+parametros_recargas!$G$99*'Plan mensual'!E23+parametros_recargas!$H$99*'Plan mensual'!E24+parametros_recargas!$I$99*'Plan mensual'!E25+parametros_recargas!$J$99*'Plan mensual'!E26+parametros_recargas!$K$99*'Plan mensual'!E27+parametros_recargas!$L$99*'Plan mensual'!E28</f>
        <v>6.86255641866889</v>
      </c>
      <c r="D29" s="25" t="n">
        <f aca="false">parametros_recargas!$E$99*'Plan mensual'!F21+parametros_recargas!$F$99*'Plan mensual'!F22+parametros_recargas!$G$99*'Plan mensual'!F23+parametros_recargas!$H$99*'Plan mensual'!F24+parametros_recargas!$I$99*'Plan mensual'!F25+parametros_recargas!$J$99*'Plan mensual'!F26+parametros_recargas!$K$99*'Plan mensual'!F27+parametros_recargas!$L$99*'Plan mensual'!F28</f>
        <v>7.7774305664336</v>
      </c>
      <c r="E29" s="25" t="n">
        <f aca="false">parametros_recargas!$E$99*'Plan mensual'!G21+parametros_recargas!$F$99*'Plan mensual'!G22+parametros_recargas!$G$99*'Plan mensual'!G23+parametros_recargas!$H$99*'Plan mensual'!G24+parametros_recargas!$I$99*'Plan mensual'!G25+parametros_recargas!$J$99*'Plan mensual'!G26+parametros_recargas!$K$99*'Plan mensual'!G27+parametros_recargas!$L$99*'Plan mensual'!G28</f>
        <v>8.81427015319582</v>
      </c>
      <c r="F29" s="25" t="n">
        <f aca="false">parametros_recargas!$E$99*'Plan mensual'!H21+parametros_recargas!$F$99*'Plan mensual'!H22+parametros_recargas!$G$99*'Plan mensual'!H23+parametros_recargas!$H$99*'Plan mensual'!H24+parametros_recargas!$I$99*'Plan mensual'!H25+parametros_recargas!$J$99*'Plan mensual'!H26+parametros_recargas!$K$99*'Plan mensual'!H27+parametros_recargas!$L$99*'Plan mensual'!H28</f>
        <v>9.98933486707354</v>
      </c>
      <c r="G29" s="25" t="n">
        <f aca="false">parametros_recargas!$E$99*'Plan mensual'!I21+parametros_recargas!$F$99*'Plan mensual'!I22+parametros_recargas!$G$99*'Plan mensual'!I23+parametros_recargas!$H$99*'Plan mensual'!I24+parametros_recargas!$I$99*'Plan mensual'!I25+parametros_recargas!$J$99*'Plan mensual'!I26+parametros_recargas!$K$99*'Plan mensual'!I27+parametros_recargas!$L$99*'Plan mensual'!I28</f>
        <v>11.3210520385912</v>
      </c>
      <c r="H29" s="25" t="n">
        <f aca="false">parametros_recargas!$E$99*'Plan mensual'!J21+parametros_recargas!$F$99*'Plan mensual'!J22+parametros_recargas!$G$99*'Plan mensual'!J23+parametros_recargas!$H$99*'Plan mensual'!J24+parametros_recargas!$I$99*'Plan mensual'!J25+parametros_recargas!$J$99*'Plan mensual'!J26+parametros_recargas!$K$99*'Plan mensual'!J27+parametros_recargas!$L$99*'Plan mensual'!J28</f>
        <v>12.8303056175388</v>
      </c>
      <c r="I29" s="25" t="n">
        <f aca="false">parametros_recargas!$E$99*'Plan mensual'!K21+parametros_recargas!$F$99*'Plan mensual'!K22+parametros_recargas!$G$99*'Plan mensual'!K23+parametros_recargas!$H$99*'Plan mensual'!K24+parametros_recargas!$I$99*'Plan mensual'!K25+parametros_recargas!$J$99*'Plan mensual'!K26+parametros_recargas!$K$99*'Plan mensual'!K27+parametros_recargas!$L$99*'Plan mensual'!K28</f>
        <v>14.5407636744626</v>
      </c>
      <c r="J29" s="25" t="n">
        <f aca="false">parametros_recargas!$E$99*'Plan mensual'!L21+parametros_recargas!$F$99*'Plan mensual'!L22+parametros_recargas!$G$99*'Plan mensual'!L23+parametros_recargas!$H$99*'Plan mensual'!L24+parametros_recargas!$I$99*'Plan mensual'!L25+parametros_recargas!$J$99*'Plan mensual'!L26+parametros_recargas!$K$99*'Plan mensual'!L27+parametros_recargas!$L$99*'Plan mensual'!L28</f>
        <v>16.4792495626562</v>
      </c>
      <c r="K29" s="25" t="n">
        <f aca="false">parametros_recargas!$E$99*'Plan mensual'!M21+parametros_recargas!$F$99*'Plan mensual'!M22+parametros_recargas!$G$99*'Plan mensual'!M23+parametros_recargas!$H$99*'Plan mensual'!M24+parametros_recargas!$I$99*'Plan mensual'!M25+parametros_recargas!$J$99*'Plan mensual'!M26+parametros_recargas!$K$99*'Plan mensual'!M27+parametros_recargas!$L$99*'Plan mensual'!M28</f>
        <v>18.6761625612034</v>
      </c>
      <c r="L29" s="25" t="n">
        <f aca="false">parametros_recargas!$E$99*'Plan mensual'!N21+parametros_recargas!$F$99*'Plan mensual'!N22+parametros_recargas!$G$99*'Plan mensual'!N23+parametros_recargas!$H$99*'Plan mensual'!N24+parametros_recargas!$I$99*'Plan mensual'!N25+parametros_recargas!$J$99*'Plan mensual'!N26+parametros_recargas!$K$99*'Plan mensual'!N27+parametros_recargas!$L$99*'Plan mensual'!N28</f>
        <v>21.165954595585</v>
      </c>
      <c r="M29" s="25" t="n">
        <f aca="false">parametros_recargas!$E$99*'Plan mensual'!O21+parametros_recargas!$F$99*'Plan mensual'!O22+parametros_recargas!$G$99*'Plan mensual'!O23+parametros_recargas!$H$99*'Plan mensual'!O24+parametros_recargas!$I$99*'Plan mensual'!O25+parametros_recargas!$J$99*'Plan mensual'!O26+parametros_recargas!$K$99*'Plan mensual'!O27+parametros_recargas!$L$99*'Plan mensual'!O28</f>
        <v>23.987670511768</v>
      </c>
      <c r="N29" s="7" t="n">
        <f aca="false">SUM(B29:M29)</f>
        <v>158.500051247413</v>
      </c>
      <c r="O29" s="26" t="n">
        <f aca="false">MAX(B29:M29)</f>
        <v>23.987670511768</v>
      </c>
      <c r="P29" s="15" t="n">
        <f aca="false">O29/parametros_recargas!$B$6</f>
        <v>0.159917803411787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5" t="n">
        <f aca="false">'Plan mensual'!D29</f>
        <v>2.28054282791565</v>
      </c>
      <c r="C30" s="25" t="n">
        <f aca="false">'Plan mensual'!E29</f>
        <v>2.58457088230867</v>
      </c>
      <c r="D30" s="25" t="n">
        <f aca="false">'Plan mensual'!F29</f>
        <v>2.92913010179385</v>
      </c>
      <c r="E30" s="25" t="n">
        <f aca="false">'Plan mensual'!G29</f>
        <v>3.31962385398808</v>
      </c>
      <c r="F30" s="25" t="n">
        <f aca="false">'Plan mensual'!H29</f>
        <v>3.76217585050861</v>
      </c>
      <c r="G30" s="25" t="n">
        <f aca="false">'Plan mensual'!I29</f>
        <v>4.26372617883985</v>
      </c>
      <c r="H30" s="25" t="n">
        <f aca="false">'Plan mensual'!J29</f>
        <v>4.83214013658255</v>
      </c>
      <c r="I30" s="25" t="n">
        <f aca="false">'Plan mensual'!K29</f>
        <v>5.47633157482111</v>
      </c>
      <c r="J30" s="25" t="n">
        <f aca="false">'Plan mensual'!L29</f>
        <v>6.20640268487593</v>
      </c>
      <c r="K30" s="25" t="n">
        <f aca="false">'Plan mensual'!M29</f>
        <v>7.03380242057264</v>
      </c>
      <c r="L30" s="25" t="n">
        <f aca="false">'Plan mensual'!N29</f>
        <v>7.97150604040166</v>
      </c>
      <c r="M30" s="25" t="n">
        <f aca="false">'Plan mensual'!O29</f>
        <v>9.03421858514286</v>
      </c>
      <c r="N30" s="7" t="n">
        <f aca="false">SUM(B30:M30)</f>
        <v>59.6941711377515</v>
      </c>
      <c r="O30" s="26" t="n">
        <f aca="false">MAX(B30:M30)</f>
        <v>9.03421858514286</v>
      </c>
      <c r="P30" s="15" t="n">
        <f aca="false">O30/parametros_recargas!$B$6</f>
        <v>0.0602281239009524</v>
      </c>
    </row>
    <row r="33" customFormat="false" ht="23.85" hidden="false" customHeight="false" outlineLevel="0" collapsed="false">
      <c r="A33" s="3" t="s">
        <v>280</v>
      </c>
      <c r="B33" s="3" t="s">
        <v>124</v>
      </c>
      <c r="C33" s="3" t="s">
        <v>125</v>
      </c>
      <c r="D33" s="3" t="s">
        <v>126</v>
      </c>
      <c r="E33" s="3" t="s">
        <v>127</v>
      </c>
      <c r="F33" s="3" t="s">
        <v>128</v>
      </c>
      <c r="G33" s="3" t="s">
        <v>129</v>
      </c>
      <c r="H33" s="3" t="s">
        <v>130</v>
      </c>
      <c r="I33" s="3" t="s">
        <v>131</v>
      </c>
      <c r="J33" s="3" t="s">
        <v>132</v>
      </c>
      <c r="K33" s="3" t="s">
        <v>133</v>
      </c>
      <c r="L33" s="3" t="s">
        <v>134</v>
      </c>
      <c r="M33" s="3" t="s">
        <v>135</v>
      </c>
      <c r="N33" s="3" t="s">
        <v>277</v>
      </c>
      <c r="O33" s="3" t="s">
        <v>278</v>
      </c>
      <c r="P33" s="3" t="s">
        <v>279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25" t="n">
        <f aca="false">parametros_recargas!$E$72*'Plan mensual'!D53+parametros_recargas!$F$72*'Plan mensual'!D54+parametros_recargas!$G$72*'Plan mensual'!D55+parametros_recargas!$H$72*'Plan mensual'!D56+parametros_recargas!$I$72*'Plan mensual'!D57+parametros_recargas!$J$72*'Plan mensual'!D58+parametros_recargas!$K$72*'Plan mensual'!D59+parametros_recargas!$L$72*'Plan mensual'!D60</f>
        <v>541.386296715136</v>
      </c>
      <c r="C34" s="25" t="n">
        <f aca="false">parametros_recargas!$E$72*'Plan mensual'!E53+parametros_recargas!$F$72*'Plan mensual'!E54+parametros_recargas!$G$72*'Plan mensual'!E55+parametros_recargas!$H$72*'Plan mensual'!E56+parametros_recargas!$I$72*'Plan mensual'!E57+parametros_recargas!$J$72*'Plan mensual'!E58+parametros_recargas!$K$72*'Plan mensual'!E59+parametros_recargas!$L$72*'Plan mensual'!E60</f>
        <v>573.587162575557</v>
      </c>
      <c r="D34" s="25" t="n">
        <f aca="false">parametros_recargas!$E$72*'Plan mensual'!F53+parametros_recargas!$F$72*'Plan mensual'!F54+parametros_recargas!$G$72*'Plan mensual'!F55+parametros_recargas!$H$72*'Plan mensual'!F56+parametros_recargas!$I$72*'Plan mensual'!F57+parametros_recargas!$J$72*'Plan mensual'!F58+parametros_recargas!$K$72*'Plan mensual'!F59+parametros_recargas!$L$72*'Plan mensual'!F60</f>
        <v>607.710093561438</v>
      </c>
      <c r="E34" s="25" t="n">
        <f aca="false">parametros_recargas!$E$72*'Plan mensual'!G53+parametros_recargas!$F$72*'Plan mensual'!G54+parametros_recargas!$G$72*'Plan mensual'!G55+parametros_recargas!$H$72*'Plan mensual'!G56+parametros_recargas!$I$72*'Plan mensual'!G57+parametros_recargas!$J$72*'Plan mensual'!G58+parametros_recargas!$K$72*'Plan mensual'!G59+parametros_recargas!$L$72*'Plan mensual'!G60</f>
        <v>643.869817468065</v>
      </c>
      <c r="F34" s="25" t="n">
        <f aca="false">parametros_recargas!$E$72*'Plan mensual'!H53+parametros_recargas!$F$72*'Plan mensual'!H54+parametros_recargas!$G$72*'Plan mensual'!H55+parametros_recargas!$H$72*'Plan mensual'!H56+parametros_recargas!$I$72*'Plan mensual'!H57+parametros_recargas!$J$72*'Plan mensual'!H58+parametros_recargas!$K$72*'Plan mensual'!H59+parametros_recargas!$L$72*'Plan mensual'!H60</f>
        <v>682.187910176589</v>
      </c>
      <c r="G34" s="25" t="n">
        <f aca="false">parametros_recargas!$E$72*'Plan mensual'!I53+parametros_recargas!$F$72*'Plan mensual'!I54+parametros_recargas!$G$72*'Plan mensual'!I55+parametros_recargas!$H$72*'Plan mensual'!I56+parametros_recargas!$I$72*'Plan mensual'!I57+parametros_recargas!$J$72*'Plan mensual'!I58+parametros_recargas!$K$72*'Plan mensual'!I59+parametros_recargas!$L$72*'Plan mensual'!I60</f>
        <v>722.793204415296</v>
      </c>
      <c r="H34" s="25" t="n">
        <f aca="false">parametros_recargas!$E$72*'Plan mensual'!J53+parametros_recargas!$F$72*'Plan mensual'!J54+parametros_recargas!$G$72*'Plan mensual'!J55+parametros_recargas!$H$72*'Plan mensual'!J56+parametros_recargas!$I$72*'Plan mensual'!J57+parametros_recargas!$J$72*'Plan mensual'!J58+parametros_recargas!$K$72*'Plan mensual'!J59+parametros_recargas!$L$72*'Plan mensual'!J60</f>
        <v>765.82222291979</v>
      </c>
      <c r="I34" s="25" t="n">
        <f aca="false">parametros_recargas!$E$72*'Plan mensual'!K53+parametros_recargas!$F$72*'Plan mensual'!K54+parametros_recargas!$G$72*'Plan mensual'!K55+parametros_recargas!$H$72*'Plan mensual'!K56+parametros_recargas!$I$72*'Plan mensual'!K57+parametros_recargas!$J$72*'Plan mensual'!K58+parametros_recargas!$K$72*'Plan mensual'!K59+parametros_recargas!$L$72*'Plan mensual'!K60</f>
        <v>811.419637448439</v>
      </c>
      <c r="J34" s="25" t="n">
        <f aca="false">parametros_recargas!$E$72*'Plan mensual'!L53+parametros_recargas!$F$72*'Plan mensual'!L54+parametros_recargas!$G$72*'Plan mensual'!L55+parametros_recargas!$H$72*'Plan mensual'!L56+parametros_recargas!$I$72*'Plan mensual'!L57+parametros_recargas!$J$72*'Plan mensual'!L58+parametros_recargas!$K$72*'Plan mensual'!L59+parametros_recargas!$L$72*'Plan mensual'!L60</f>
        <v>859.738755196391</v>
      </c>
      <c r="K34" s="25" t="n">
        <f aca="false">parametros_recargas!$E$72*'Plan mensual'!M53+parametros_recargas!$F$72*'Plan mensual'!M54+parametros_recargas!$G$72*'Plan mensual'!M55+parametros_recargas!$H$72*'Plan mensual'!M56+parametros_recargas!$I$72*'Plan mensual'!M57+parametros_recargas!$J$72*'Plan mensual'!M58+parametros_recargas!$K$72*'Plan mensual'!M59+parametros_recargas!$L$72*'Plan mensual'!M60</f>
        <v>910.942034243573</v>
      </c>
      <c r="L34" s="25" t="n">
        <f aca="false">parametros_recargas!$E$72*'Plan mensual'!N53+parametros_recargas!$F$72*'Plan mensual'!N54+parametros_recargas!$G$72*'Plan mensual'!N55+parametros_recargas!$H$72*'Plan mensual'!N56+parametros_recargas!$I$72*'Plan mensual'!N57+parametros_recargas!$J$72*'Plan mensual'!N58+parametros_recargas!$K$72*'Plan mensual'!N59+parametros_recargas!$L$72*'Plan mensual'!N60</f>
        <v>965.201629769708</v>
      </c>
      <c r="M34" s="25" t="n">
        <f aca="false">parametros_recargas!$E$72*'Plan mensual'!O53+parametros_recargas!$F$72*'Plan mensual'!O54+parametros_recargas!$G$72*'Plan mensual'!O55+parametros_recargas!$H$72*'Plan mensual'!O56+parametros_recargas!$I$72*'Plan mensual'!O57+parametros_recargas!$J$72*'Plan mensual'!O58+parametros_recargas!$K$72*'Plan mensual'!O59+parametros_recargas!$L$72*'Plan mensual'!O60</f>
        <v>1022.69997287283</v>
      </c>
      <c r="N34" s="7" t="n">
        <f aca="false">SUM(B34:M34)</f>
        <v>9107.35873736281</v>
      </c>
      <c r="O34" s="26" t="n">
        <f aca="false">MAX(B34:M34)</f>
        <v>1022.69997287283</v>
      </c>
      <c r="P34" s="15" t="n">
        <f aca="false">O34/parametros_recargas!$B$6</f>
        <v>6.8179998191522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25" t="n">
        <f aca="false">parametros_recargas!$E$73*'Plan mensual'!D53+parametros_recargas!$F$73*'Plan mensual'!D54+parametros_recargas!$G$73*'Plan mensual'!D55+parametros_recargas!$H$73*'Plan mensual'!D56+parametros_recargas!$I$73*'Plan mensual'!D57+parametros_recargas!$J$73*'Plan mensual'!D58+parametros_recargas!$K$73*'Plan mensual'!D59+parametros_recargas!$L$73*'Plan mensual'!D60</f>
        <v>541.386296715136</v>
      </c>
      <c r="C35" s="25" t="n">
        <f aca="false">parametros_recargas!$E$73*'Plan mensual'!E53+parametros_recargas!$F$73*'Plan mensual'!E54+parametros_recargas!$G$73*'Plan mensual'!E55+parametros_recargas!$H$73*'Plan mensual'!E56+parametros_recargas!$I$73*'Plan mensual'!E57+parametros_recargas!$J$73*'Plan mensual'!E58+parametros_recargas!$K$73*'Plan mensual'!E59+parametros_recargas!$L$73*'Plan mensual'!E60</f>
        <v>573.587162575557</v>
      </c>
      <c r="D35" s="25" t="n">
        <f aca="false">parametros_recargas!$E$73*'Plan mensual'!F53+parametros_recargas!$F$73*'Plan mensual'!F54+parametros_recargas!$G$73*'Plan mensual'!F55+parametros_recargas!$H$73*'Plan mensual'!F56+parametros_recargas!$I$73*'Plan mensual'!F57+parametros_recargas!$J$73*'Plan mensual'!F58+parametros_recargas!$K$73*'Plan mensual'!F59+parametros_recargas!$L$73*'Plan mensual'!F60</f>
        <v>607.710093561438</v>
      </c>
      <c r="E35" s="25" t="n">
        <f aca="false">parametros_recargas!$E$73*'Plan mensual'!G53+parametros_recargas!$F$73*'Plan mensual'!G54+parametros_recargas!$G$73*'Plan mensual'!G55+parametros_recargas!$H$73*'Plan mensual'!G56+parametros_recargas!$I$73*'Plan mensual'!G57+parametros_recargas!$J$73*'Plan mensual'!G58+parametros_recargas!$K$73*'Plan mensual'!G59+parametros_recargas!$L$73*'Plan mensual'!G60</f>
        <v>643.869817468065</v>
      </c>
      <c r="F35" s="25" t="n">
        <f aca="false">parametros_recargas!$E$73*'Plan mensual'!H53+parametros_recargas!$F$73*'Plan mensual'!H54+parametros_recargas!$G$73*'Plan mensual'!H55+parametros_recargas!$H$73*'Plan mensual'!H56+parametros_recargas!$I$73*'Plan mensual'!H57+parametros_recargas!$J$73*'Plan mensual'!H58+parametros_recargas!$K$73*'Plan mensual'!H59+parametros_recargas!$L$73*'Plan mensual'!H60</f>
        <v>682.187910176589</v>
      </c>
      <c r="G35" s="25" t="n">
        <f aca="false">parametros_recargas!$E$73*'Plan mensual'!I53+parametros_recargas!$F$73*'Plan mensual'!I54+parametros_recargas!$G$73*'Plan mensual'!I55+parametros_recargas!$H$73*'Plan mensual'!I56+parametros_recargas!$I$73*'Plan mensual'!I57+parametros_recargas!$J$73*'Plan mensual'!I58+parametros_recargas!$K$73*'Plan mensual'!I59+parametros_recargas!$L$73*'Plan mensual'!I60</f>
        <v>722.793204415296</v>
      </c>
      <c r="H35" s="25" t="n">
        <f aca="false">parametros_recargas!$E$73*'Plan mensual'!J53+parametros_recargas!$F$73*'Plan mensual'!J54+parametros_recargas!$G$73*'Plan mensual'!J55+parametros_recargas!$H$73*'Plan mensual'!J56+parametros_recargas!$I$73*'Plan mensual'!J57+parametros_recargas!$J$73*'Plan mensual'!J58+parametros_recargas!$K$73*'Plan mensual'!J59+parametros_recargas!$L$73*'Plan mensual'!J60</f>
        <v>765.82222291979</v>
      </c>
      <c r="I35" s="25" t="n">
        <f aca="false">parametros_recargas!$E$73*'Plan mensual'!K53+parametros_recargas!$F$73*'Plan mensual'!K54+parametros_recargas!$G$73*'Plan mensual'!K55+parametros_recargas!$H$73*'Plan mensual'!K56+parametros_recargas!$I$73*'Plan mensual'!K57+parametros_recargas!$J$73*'Plan mensual'!K58+parametros_recargas!$K$73*'Plan mensual'!K59+parametros_recargas!$L$73*'Plan mensual'!K60</f>
        <v>811.419637448439</v>
      </c>
      <c r="J35" s="25" t="n">
        <f aca="false">parametros_recargas!$E$73*'Plan mensual'!L53+parametros_recargas!$F$73*'Plan mensual'!L54+parametros_recargas!$G$73*'Plan mensual'!L55+parametros_recargas!$H$73*'Plan mensual'!L56+parametros_recargas!$I$73*'Plan mensual'!L57+parametros_recargas!$J$73*'Plan mensual'!L58+parametros_recargas!$K$73*'Plan mensual'!L59+parametros_recargas!$L$73*'Plan mensual'!L60</f>
        <v>859.738755196391</v>
      </c>
      <c r="K35" s="25" t="n">
        <f aca="false">parametros_recargas!$E$73*'Plan mensual'!M53+parametros_recargas!$F$73*'Plan mensual'!M54+parametros_recargas!$G$73*'Plan mensual'!M55+parametros_recargas!$H$73*'Plan mensual'!M56+parametros_recargas!$I$73*'Plan mensual'!M57+parametros_recargas!$J$73*'Plan mensual'!M58+parametros_recargas!$K$73*'Plan mensual'!M59+parametros_recargas!$L$73*'Plan mensual'!M60</f>
        <v>910.942034243573</v>
      </c>
      <c r="L35" s="25" t="n">
        <f aca="false">parametros_recargas!$E$73*'Plan mensual'!N53+parametros_recargas!$F$73*'Plan mensual'!N54+parametros_recargas!$G$73*'Plan mensual'!N55+parametros_recargas!$H$73*'Plan mensual'!N56+parametros_recargas!$I$73*'Plan mensual'!N57+parametros_recargas!$J$73*'Plan mensual'!N58+parametros_recargas!$K$73*'Plan mensual'!N59+parametros_recargas!$L$73*'Plan mensual'!N60</f>
        <v>965.201629769708</v>
      </c>
      <c r="M35" s="25" t="n">
        <f aca="false">parametros_recargas!$E$73*'Plan mensual'!O53+parametros_recargas!$F$73*'Plan mensual'!O54+parametros_recargas!$G$73*'Plan mensual'!O55+parametros_recargas!$H$73*'Plan mensual'!O56+parametros_recargas!$I$73*'Plan mensual'!O57+parametros_recargas!$J$73*'Plan mensual'!O58+parametros_recargas!$K$73*'Plan mensual'!O59+parametros_recargas!$L$73*'Plan mensual'!O60</f>
        <v>1022.69997287283</v>
      </c>
      <c r="N35" s="7" t="n">
        <f aca="false">SUM(B35:M35)</f>
        <v>9107.35873736281</v>
      </c>
      <c r="O35" s="26" t="n">
        <f aca="false">MAX(B35:M35)</f>
        <v>1022.69997287283</v>
      </c>
      <c r="P35" s="15" t="n">
        <f aca="false">O35/parametros_recargas!$B$6</f>
        <v>6.8179998191522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25" t="n">
        <f aca="false">parametros_recargas!$E$74*'Plan mensual'!D53+parametros_recargas!$F$74*'Plan mensual'!D54+parametros_recargas!$G$74*'Plan mensual'!D55+parametros_recargas!$H$74*'Plan mensual'!D56+parametros_recargas!$I$74*'Plan mensual'!D57+parametros_recargas!$J$74*'Plan mensual'!D58+parametros_recargas!$K$74*'Plan mensual'!D59+parametros_recargas!$L$74*'Plan mensual'!D60</f>
        <v>402.121084634152</v>
      </c>
      <c r="C36" s="25" t="n">
        <f aca="false">parametros_recargas!$E$74*'Plan mensual'!E53+parametros_recargas!$F$74*'Plan mensual'!E54+parametros_recargas!$G$74*'Plan mensual'!E55+parametros_recargas!$H$74*'Plan mensual'!E56+parametros_recargas!$I$74*'Plan mensual'!E57+parametros_recargas!$J$74*'Plan mensual'!E58+parametros_recargas!$K$74*'Plan mensual'!E59+parametros_recargas!$L$74*'Plan mensual'!E60</f>
        <v>426.072898879579</v>
      </c>
      <c r="D36" s="25" t="n">
        <f aca="false">parametros_recargas!$E$74*'Plan mensual'!F53+parametros_recargas!$F$74*'Plan mensual'!F54+parametros_recargas!$G$74*'Plan mensual'!F55+parametros_recargas!$H$74*'Plan mensual'!F56+parametros_recargas!$I$74*'Plan mensual'!F57+parametros_recargas!$J$74*'Plan mensual'!F58+parametros_recargas!$K$74*'Plan mensual'!F59+parametros_recargas!$L$74*'Plan mensual'!F60</f>
        <v>451.454393527146</v>
      </c>
      <c r="E36" s="25" t="n">
        <f aca="false">parametros_recargas!$E$74*'Plan mensual'!G53+parametros_recargas!$F$74*'Plan mensual'!G54+parametros_recargas!$G$74*'Plan mensual'!G55+parametros_recargas!$H$74*'Plan mensual'!G56+parametros_recargas!$I$74*'Plan mensual'!G57+parametros_recargas!$J$74*'Plan mensual'!G58+parametros_recargas!$K$74*'Plan mensual'!G59+parametros_recargas!$L$74*'Plan mensual'!G60</f>
        <v>478.350905997701</v>
      </c>
      <c r="F36" s="25" t="n">
        <f aca="false">parametros_recargas!$E$74*'Plan mensual'!H53+parametros_recargas!$F$74*'Plan mensual'!H54+parametros_recargas!$G$74*'Plan mensual'!H55+parametros_recargas!$H$74*'Plan mensual'!H56+parametros_recargas!$I$74*'Plan mensual'!H57+parametros_recargas!$J$74*'Plan mensual'!H58+parametros_recargas!$K$74*'Plan mensual'!H59+parametros_recargas!$L$74*'Plan mensual'!H60</f>
        <v>506.852867490658</v>
      </c>
      <c r="G36" s="25" t="n">
        <f aca="false">parametros_recargas!$E$74*'Plan mensual'!I53+parametros_recargas!$F$74*'Plan mensual'!I54+parametros_recargas!$G$74*'Plan mensual'!I55+parametros_recargas!$H$74*'Plan mensual'!I56+parametros_recargas!$I$74*'Plan mensual'!I57+parametros_recargas!$J$74*'Plan mensual'!I58+parametros_recargas!$K$74*'Plan mensual'!I59+parametros_recargas!$L$74*'Plan mensual'!I60</f>
        <v>537.056107030928</v>
      </c>
      <c r="H36" s="25" t="n">
        <f aca="false">parametros_recargas!$E$74*'Plan mensual'!J53+parametros_recargas!$F$74*'Plan mensual'!J54+parametros_recargas!$G$74*'Plan mensual'!J55+parametros_recargas!$H$74*'Plan mensual'!J56+parametros_recargas!$I$74*'Plan mensual'!J57+parametros_recargas!$J$74*'Plan mensual'!J58+parametros_recargas!$K$74*'Plan mensual'!J59+parametros_recargas!$L$74*'Plan mensual'!J60</f>
        <v>569.062173664355</v>
      </c>
      <c r="I36" s="25" t="n">
        <f aca="false">parametros_recargas!$E$74*'Plan mensual'!K53+parametros_recargas!$F$74*'Plan mensual'!K54+parametros_recargas!$G$74*'Plan mensual'!K55+parametros_recargas!$H$74*'Plan mensual'!K56+parametros_recargas!$I$74*'Plan mensual'!K57+parametros_recargas!$J$74*'Plan mensual'!K58+parametros_recargas!$K$74*'Plan mensual'!K59+parametros_recargas!$L$74*'Plan mensual'!K60</f>
        <v>602.978677884954</v>
      </c>
      <c r="J36" s="25" t="n">
        <f aca="false">parametros_recargas!$E$74*'Plan mensual'!L53+parametros_recargas!$F$74*'Plan mensual'!L54+parametros_recargas!$G$74*'Plan mensual'!L55+parametros_recargas!$H$74*'Plan mensual'!L56+parametros_recargas!$I$74*'Plan mensual'!L57+parametros_recargas!$J$74*'Plan mensual'!L58+parametros_recargas!$K$74*'Plan mensual'!L59+parametros_recargas!$L$74*'Plan mensual'!L60</f>
        <v>638.919653441898</v>
      </c>
      <c r="K36" s="25" t="n">
        <f aca="false">parametros_recargas!$E$74*'Plan mensual'!M53+parametros_recargas!$F$74*'Plan mensual'!M54+parametros_recargas!$G$74*'Plan mensual'!M55+parametros_recargas!$H$74*'Plan mensual'!M56+parametros_recargas!$I$74*'Plan mensual'!M57+parametros_recargas!$J$74*'Plan mensual'!M58+parametros_recargas!$K$74*'Plan mensual'!M59+parametros_recargas!$L$74*'Plan mensual'!M60</f>
        <v>677.005940742708</v>
      </c>
      <c r="L36" s="25" t="n">
        <f aca="false">parametros_recargas!$E$74*'Plan mensual'!N53+parametros_recargas!$F$74*'Plan mensual'!N54+parametros_recargas!$G$74*'Plan mensual'!N55+parametros_recargas!$H$74*'Plan mensual'!N56+parametros_recargas!$I$74*'Plan mensual'!N57+parametros_recargas!$J$74*'Plan mensual'!N58+parametros_recargas!$K$74*'Plan mensual'!N59+parametros_recargas!$L$74*'Plan mensual'!N60</f>
        <v>717.365593141726</v>
      </c>
      <c r="M36" s="25" t="n">
        <f aca="false">parametros_recargas!$E$74*'Plan mensual'!O53+parametros_recargas!$F$74*'Plan mensual'!O54+parametros_recargas!$G$74*'Plan mensual'!O55+parametros_recargas!$H$74*'Plan mensual'!O56+parametros_recargas!$I$74*'Plan mensual'!O57+parametros_recargas!$J$74*'Plan mensual'!O58+parametros_recargas!$K$74*'Plan mensual'!O59+parametros_recargas!$L$74*'Plan mensual'!O60</f>
        <v>760.134307479887</v>
      </c>
      <c r="N36" s="7" t="n">
        <f aca="false">SUM(B36:M36)</f>
        <v>6767.37460391569</v>
      </c>
      <c r="O36" s="26" t="n">
        <f aca="false">MAX(B36:M36)</f>
        <v>760.134307479887</v>
      </c>
      <c r="P36" s="15" t="n">
        <f aca="false">O36/parametros_recargas!$B$6</f>
        <v>5.06756204986591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25" t="n">
        <f aca="false">parametros_recargas!$E$75*'Plan mensual'!D53+parametros_recargas!$F$75*'Plan mensual'!D54+parametros_recargas!$G$75*'Plan mensual'!D55+parametros_recargas!$H$75*'Plan mensual'!D56+parametros_recargas!$I$75*'Plan mensual'!D57+parametros_recargas!$J$75*'Plan mensual'!D58+parametros_recargas!$K$75*'Plan mensual'!D59+parametros_recargas!$L$75*'Plan mensual'!D60</f>
        <v>47.3083628981356</v>
      </c>
      <c r="C37" s="25" t="n">
        <f aca="false">parametros_recargas!$E$75*'Plan mensual'!E53+parametros_recargas!$F$75*'Plan mensual'!E54+parametros_recargas!$G$75*'Plan mensual'!E55+parametros_recargas!$H$75*'Plan mensual'!E56+parametros_recargas!$I$75*'Plan mensual'!E57+parametros_recargas!$J$75*'Plan mensual'!E58+parametros_recargas!$K$75*'Plan mensual'!E59+parametros_recargas!$L$75*'Plan mensual'!E60</f>
        <v>50.1262233975975</v>
      </c>
      <c r="D37" s="25" t="n">
        <f aca="false">parametros_recargas!$E$75*'Plan mensual'!F53+parametros_recargas!$F$75*'Plan mensual'!F54+parametros_recargas!$G$75*'Plan mensual'!F55+parametros_recargas!$H$75*'Plan mensual'!F56+parametros_recargas!$I$75*'Plan mensual'!F57+parametros_recargas!$J$75*'Plan mensual'!F58+parametros_recargas!$K$75*'Plan mensual'!F59+parametros_recargas!$L$75*'Plan mensual'!F60</f>
        <v>53.112281591429</v>
      </c>
      <c r="E37" s="25" t="n">
        <f aca="false">parametros_recargas!$E$75*'Plan mensual'!G53+parametros_recargas!$F$75*'Plan mensual'!G54+parametros_recargas!$G$75*'Plan mensual'!G55+parametros_recargas!$H$75*'Plan mensual'!G56+parametros_recargas!$I$75*'Plan mensual'!G57+parametros_recargas!$J$75*'Plan mensual'!G58+parametros_recargas!$K$75*'Plan mensual'!G59+parametros_recargas!$L$75*'Plan mensual'!G60</f>
        <v>56.2765771762001</v>
      </c>
      <c r="F37" s="25" t="n">
        <f aca="false">parametros_recargas!$E$75*'Plan mensual'!H53+parametros_recargas!$F$75*'Plan mensual'!H54+parametros_recargas!$G$75*'Plan mensual'!H55+parametros_recargas!$H$75*'Plan mensual'!H56+parametros_recargas!$I$75*'Plan mensual'!H57+parametros_recargas!$J$75*'Plan mensual'!H58+parametros_recargas!$K$75*'Plan mensual'!H59+parametros_recargas!$L$75*'Plan mensual'!H60</f>
        <v>59.629749116548</v>
      </c>
      <c r="G37" s="25" t="n">
        <f aca="false">parametros_recargas!$E$75*'Plan mensual'!I53+parametros_recargas!$F$75*'Plan mensual'!I54+parametros_recargas!$G$75*'Plan mensual'!I55+parametros_recargas!$H$75*'Plan mensual'!I56+parametros_recargas!$I$75*'Plan mensual'!I57+parametros_recargas!$J$75*'Plan mensual'!I58+parametros_recargas!$K$75*'Plan mensual'!I59+parametros_recargas!$L$75*'Plan mensual'!I60</f>
        <v>63.1830714154033</v>
      </c>
      <c r="H37" s="25" t="n">
        <f aca="false">parametros_recargas!$E$75*'Plan mensual'!J53+parametros_recargas!$F$75*'Plan mensual'!J54+parametros_recargas!$G$75*'Plan mensual'!J55+parametros_recargas!$H$75*'Plan mensual'!J56+parametros_recargas!$I$75*'Plan mensual'!J57+parametros_recargas!$J$75*'Plan mensual'!J58+parametros_recargas!$K$75*'Plan mensual'!J59+parametros_recargas!$L$75*'Plan mensual'!J60</f>
        <v>66.9484910193359</v>
      </c>
      <c r="I37" s="25" t="n">
        <f aca="false">parametros_recargas!$E$75*'Plan mensual'!K53+parametros_recargas!$F$75*'Plan mensual'!K54+parametros_recargas!$G$75*'Plan mensual'!K55+parametros_recargas!$H$75*'Plan mensual'!K56+parametros_recargas!$I$75*'Plan mensual'!K57+parametros_recargas!$J$75*'Plan mensual'!K58+parametros_recargas!$K$75*'Plan mensual'!K59+parametros_recargas!$L$75*'Plan mensual'!K60</f>
        <v>70.9386679864652</v>
      </c>
      <c r="J37" s="25" t="n">
        <f aca="false">parametros_recargas!$E$75*'Plan mensual'!L53+parametros_recargas!$F$75*'Plan mensual'!L54+parametros_recargas!$G$75*'Plan mensual'!L55+parametros_recargas!$H$75*'Plan mensual'!L56+parametros_recargas!$I$75*'Plan mensual'!L57+parametros_recargas!$J$75*'Plan mensual'!L58+parametros_recargas!$K$75*'Plan mensual'!L59+parametros_recargas!$L$75*'Plan mensual'!L60</f>
        <v>75.1670180519881</v>
      </c>
      <c r="K37" s="25" t="n">
        <f aca="false">parametros_recargas!$E$75*'Plan mensual'!M53+parametros_recargas!$F$75*'Plan mensual'!M54+parametros_recargas!$G$75*'Plan mensual'!M55+parametros_recargas!$H$75*'Plan mensual'!M56+parametros_recargas!$I$75*'Plan mensual'!M57+parametros_recargas!$J$75*'Plan mensual'!M58+parametros_recargas!$K$75*'Plan mensual'!M59+parametros_recargas!$L$75*'Plan mensual'!M60</f>
        <v>79.6477577344363</v>
      </c>
      <c r="L37" s="25" t="n">
        <f aca="false">parametros_recargas!$E$75*'Plan mensual'!N53+parametros_recargas!$F$75*'Plan mensual'!N54+parametros_recargas!$G$75*'Plan mensual'!N55+parametros_recargas!$H$75*'Plan mensual'!N56+parametros_recargas!$I$75*'Plan mensual'!N57+parametros_recargas!$J$75*'Plan mensual'!N58+parametros_recargas!$K$75*'Plan mensual'!N59+parametros_recargas!$L$75*'Plan mensual'!N60</f>
        <v>84.3959521343207</v>
      </c>
      <c r="M37" s="25" t="n">
        <f aca="false">parametros_recargas!$E$75*'Plan mensual'!O53+parametros_recargas!$F$75*'Plan mensual'!O54+parametros_recargas!$G$75*'Plan mensual'!O55+parametros_recargas!$H$75*'Plan mensual'!O56+parametros_recargas!$I$75*'Plan mensual'!O57+parametros_recargas!$J$75*'Plan mensual'!O58+parametros_recargas!$K$75*'Plan mensual'!O59+parametros_recargas!$L$75*'Plan mensual'!O60</f>
        <v>89.4275655858691</v>
      </c>
      <c r="N37" s="7" t="n">
        <f aca="false">SUM(B37:M37)</f>
        <v>796.161718107729</v>
      </c>
      <c r="O37" s="26" t="n">
        <f aca="false">MAX(B37:M37)</f>
        <v>89.4275655858691</v>
      </c>
      <c r="P37" s="15" t="n">
        <f aca="false">O37/parametros_recargas!$B$6</f>
        <v>0.59618377057246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25" t="n">
        <f aca="false">parametros_recargas!$E$76*'Plan mensual'!D53+parametros_recargas!$F$76*'Plan mensual'!D54+parametros_recargas!$G$76*'Plan mensual'!D55+parametros_recargas!$H$76*'Plan mensual'!D56+parametros_recargas!$I$76*'Plan mensual'!D57+parametros_recargas!$J$76*'Plan mensual'!D58+parametros_recargas!$K$76*'Plan mensual'!D59+parametros_recargas!$L$76*'Plan mensual'!D60</f>
        <v>0.889072767111026</v>
      </c>
      <c r="C38" s="25" t="n">
        <f aca="false">parametros_recargas!$E$76*'Plan mensual'!E53+parametros_recargas!$F$76*'Plan mensual'!E54+parametros_recargas!$G$76*'Plan mensual'!E55+parametros_recargas!$H$76*'Plan mensual'!E56+parametros_recargas!$I$76*'Plan mensual'!E57+parametros_recargas!$J$76*'Plan mensual'!E58+parametros_recargas!$K$76*'Plan mensual'!E59+parametros_recargas!$L$76*'Plan mensual'!E60</f>
        <v>0.9371672398679</v>
      </c>
      <c r="D38" s="25" t="n">
        <f aca="false">parametros_recargas!$E$76*'Plan mensual'!F53+parametros_recargas!$F$76*'Plan mensual'!F54+parametros_recargas!$G$76*'Plan mensual'!F55+parametros_recargas!$H$76*'Plan mensual'!F56+parametros_recargas!$I$76*'Plan mensual'!F57+parametros_recargas!$J$76*'Plan mensual'!F58+parametros_recargas!$K$76*'Plan mensual'!F59+parametros_recargas!$L$76*'Plan mensual'!F60</f>
        <v>0.988132464896282</v>
      </c>
      <c r="E38" s="25" t="n">
        <f aca="false">parametros_recargas!$E$76*'Plan mensual'!G53+parametros_recargas!$F$76*'Plan mensual'!G54+parametros_recargas!$G$76*'Plan mensual'!G55+parametros_recargas!$H$76*'Plan mensual'!G56+parametros_recargas!$I$76*'Plan mensual'!G57+parametros_recargas!$J$76*'Plan mensual'!G58+parametros_recargas!$K$76*'Plan mensual'!G59+parametros_recargas!$L$76*'Plan mensual'!G60</f>
        <v>1.04213979699293</v>
      </c>
      <c r="F38" s="25" t="n">
        <f aca="false">parametros_recargas!$E$76*'Plan mensual'!H53+parametros_recargas!$F$76*'Plan mensual'!H54+parametros_recargas!$G$76*'Plan mensual'!H55+parametros_recargas!$H$76*'Plan mensual'!H56+parametros_recargas!$I$76*'Plan mensual'!H57+parametros_recargas!$J$76*'Plan mensual'!H58+parametros_recargas!$K$76*'Plan mensual'!H59+parametros_recargas!$L$76*'Plan mensual'!H60</f>
        <v>1.09937081909817</v>
      </c>
      <c r="G38" s="25" t="n">
        <f aca="false">parametros_recargas!$E$76*'Plan mensual'!I53+parametros_recargas!$F$76*'Plan mensual'!I54+parametros_recargas!$G$76*'Plan mensual'!I55+parametros_recargas!$H$76*'Plan mensual'!I56+parametros_recargas!$I$76*'Plan mensual'!I57+parametros_recargas!$J$76*'Plan mensual'!I58+parametros_recargas!$K$76*'Plan mensual'!I59+parametros_recargas!$L$76*'Plan mensual'!I60</f>
        <v>1.16001795281232</v>
      </c>
      <c r="H38" s="25" t="n">
        <f aca="false">parametros_recargas!$E$76*'Plan mensual'!J53+parametros_recargas!$F$76*'Plan mensual'!J54+parametros_recargas!$G$76*'Plan mensual'!J55+parametros_recargas!$H$76*'Plan mensual'!J56+parametros_recargas!$I$76*'Plan mensual'!J57+parametros_recargas!$J$76*'Plan mensual'!J58+parametros_recargas!$K$76*'Plan mensual'!J59+parametros_recargas!$L$76*'Plan mensual'!J60</f>
        <v>1.2242851053538</v>
      </c>
      <c r="I38" s="25" t="n">
        <f aca="false">parametros_recargas!$E$76*'Plan mensual'!K53+parametros_recargas!$F$76*'Plan mensual'!K54+parametros_recargas!$G$76*'Plan mensual'!K55+parametros_recargas!$H$76*'Plan mensual'!K56+parametros_recargas!$I$76*'Plan mensual'!K57+parametros_recargas!$J$76*'Plan mensual'!K58+parametros_recargas!$K$76*'Plan mensual'!K59+parametros_recargas!$L$76*'Plan mensual'!K60</f>
        <v>1.29238835513403</v>
      </c>
      <c r="J38" s="25" t="n">
        <f aca="false">parametros_recargas!$E$76*'Plan mensual'!L53+parametros_recargas!$F$76*'Plan mensual'!L54+parametros_recargas!$G$76*'Plan mensual'!L55+parametros_recargas!$H$76*'Plan mensual'!L56+parametros_recargas!$I$76*'Plan mensual'!L57+parametros_recargas!$J$76*'Plan mensual'!L58+parametros_recargas!$K$76*'Plan mensual'!L59+parametros_recargas!$L$76*'Plan mensual'!L60</f>
        <v>1.36455667825423</v>
      </c>
      <c r="K38" s="25" t="n">
        <f aca="false">parametros_recargas!$E$76*'Plan mensual'!M53+parametros_recargas!$F$76*'Plan mensual'!M54+parametros_recargas!$G$76*'Plan mensual'!M55+parametros_recargas!$H$76*'Plan mensual'!M56+parametros_recargas!$I$76*'Plan mensual'!M57+parametros_recargas!$J$76*'Plan mensual'!M58+parametros_recargas!$K$76*'Plan mensual'!M59+parametros_recargas!$L$76*'Plan mensual'!M60</f>
        <v>1.44103271836668</v>
      </c>
      <c r="L38" s="25" t="n">
        <f aca="false">parametros_recargas!$E$76*'Plan mensual'!N53+parametros_recargas!$F$76*'Plan mensual'!N54+parametros_recargas!$G$76*'Plan mensual'!N55+parametros_recargas!$H$76*'Plan mensual'!N56+parametros_recargas!$I$76*'Plan mensual'!N57+parametros_recargas!$J$76*'Plan mensual'!N58+parametros_recargas!$K$76*'Plan mensual'!N59+parametros_recargas!$L$76*'Plan mensual'!N60</f>
        <v>1.52207360248894</v>
      </c>
      <c r="M38" s="25" t="n">
        <f aca="false">parametros_recargas!$E$76*'Plan mensual'!O53+parametros_recargas!$F$76*'Plan mensual'!O54+parametros_recargas!$G$76*'Plan mensual'!O55+parametros_recargas!$H$76*'Plan mensual'!O56+parametros_recargas!$I$76*'Plan mensual'!O57+parametros_recargas!$J$76*'Plan mensual'!O58+parametros_recargas!$K$76*'Plan mensual'!O59+parametros_recargas!$L$76*'Plan mensual'!O60</f>
        <v>1.60795180551383</v>
      </c>
      <c r="N38" s="7" t="n">
        <f aca="false">SUM(B38:M38)</f>
        <v>14.5681893058901</v>
      </c>
      <c r="O38" s="26" t="n">
        <f aca="false">MAX(B38:M38)</f>
        <v>1.60795180551383</v>
      </c>
      <c r="P38" s="15" t="n">
        <f aca="false">O38/parametros_recargas!$B$6</f>
        <v>0.0107196787034255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25" t="n">
        <f aca="false">parametros_recargas!$E$77*'Plan mensual'!D53+parametros_recargas!$F$77*'Plan mensual'!D54+parametros_recargas!$G$77*'Plan mensual'!D55+parametros_recargas!$H$77*'Plan mensual'!D56+parametros_recargas!$I$77*'Plan mensual'!D57+parametros_recargas!$J$77*'Plan mensual'!D58+parametros_recargas!$K$77*'Plan mensual'!D59+parametros_recargas!$L$77*'Plan mensual'!D60</f>
        <v>24.2890301674388</v>
      </c>
      <c r="C39" s="25" t="n">
        <f aca="false">parametros_recargas!$E$77*'Plan mensual'!E53+parametros_recargas!$F$77*'Plan mensual'!E54+parametros_recargas!$G$77*'Plan mensual'!E55+parametros_recargas!$H$77*'Plan mensual'!E56+parametros_recargas!$I$77*'Plan mensual'!E57+parametros_recargas!$J$77*'Plan mensual'!E58+parametros_recargas!$K$77*'Plan mensual'!E59+parametros_recargas!$L$77*'Plan mensual'!E60</f>
        <v>25.7089940110057</v>
      </c>
      <c r="D39" s="25" t="n">
        <f aca="false">parametros_recargas!$E$77*'Plan mensual'!F53+parametros_recargas!$F$77*'Plan mensual'!F54+parametros_recargas!$G$77*'Plan mensual'!F55+parametros_recargas!$H$77*'Plan mensual'!F56+parametros_recargas!$I$77*'Plan mensual'!F57+parametros_recargas!$J$77*'Plan mensual'!F58+parametros_recargas!$K$77*'Plan mensual'!F59+parametros_recargas!$L$77*'Plan mensual'!F60</f>
        <v>27.2137152954116</v>
      </c>
      <c r="E39" s="25" t="n">
        <f aca="false">parametros_recargas!$E$77*'Plan mensual'!G53+parametros_recargas!$F$77*'Plan mensual'!G54+parametros_recargas!$G$77*'Plan mensual'!G55+parametros_recargas!$H$77*'Plan mensual'!G56+parametros_recargas!$I$77*'Plan mensual'!G57+parametros_recargas!$J$77*'Plan mensual'!G58+parametros_recargas!$K$77*'Plan mensual'!G59+parametros_recargas!$L$77*'Plan mensual'!G60</f>
        <v>28.8082531803037</v>
      </c>
      <c r="F39" s="25" t="n">
        <f aca="false">parametros_recargas!$E$77*'Plan mensual'!H53+parametros_recargas!$F$77*'Plan mensual'!H54+parametros_recargas!$G$77*'Plan mensual'!H55+parametros_recargas!$H$77*'Plan mensual'!H56+parametros_recargas!$I$77*'Plan mensual'!H57+parametros_recargas!$J$77*'Plan mensual'!H58+parametros_recargas!$K$77*'Plan mensual'!H59+parametros_recargas!$L$77*'Plan mensual'!H60</f>
        <v>30.4979688058523</v>
      </c>
      <c r="G39" s="25" t="n">
        <f aca="false">parametros_recargas!$E$77*'Plan mensual'!I53+parametros_recargas!$F$77*'Plan mensual'!I54+parametros_recargas!$G$77*'Plan mensual'!I55+parametros_recargas!$H$77*'Plan mensual'!I56+parametros_recargas!$I$77*'Plan mensual'!I57+parametros_recargas!$J$77*'Plan mensual'!I58+parametros_recargas!$K$77*'Plan mensual'!I59+parametros_recargas!$L$77*'Plan mensual'!I60</f>
        <v>32.2885433179255</v>
      </c>
      <c r="H39" s="25" t="n">
        <f aca="false">parametros_recargas!$E$77*'Plan mensual'!J53+parametros_recargas!$F$77*'Plan mensual'!J54+parametros_recargas!$G$77*'Plan mensual'!J55+parametros_recargas!$H$77*'Plan mensual'!J56+parametros_recargas!$I$77*'Plan mensual'!J57+parametros_recargas!$J$77*'Plan mensual'!J58+parametros_recargas!$K$77*'Plan mensual'!J59+parametros_recargas!$L$77*'Plan mensual'!J60</f>
        <v>34.1859969691842</v>
      </c>
      <c r="I39" s="25" t="n">
        <f aca="false">parametros_recargas!$E$77*'Plan mensual'!K53+parametros_recargas!$F$77*'Plan mensual'!K54+parametros_recargas!$G$77*'Plan mensual'!K55+parametros_recargas!$H$77*'Plan mensual'!K56+parametros_recargas!$I$77*'Plan mensual'!K57+parametros_recargas!$J$77*'Plan mensual'!K58+parametros_recargas!$K$77*'Plan mensual'!K59+parametros_recargas!$L$77*'Plan mensual'!K60</f>
        <v>36.1967093603188</v>
      </c>
      <c r="J39" s="25" t="n">
        <f aca="false">parametros_recargas!$E$77*'Plan mensual'!L53+parametros_recargas!$F$77*'Plan mensual'!L54+parametros_recargas!$G$77*'Plan mensual'!L55+parametros_recargas!$H$77*'Plan mensual'!L56+parametros_recargas!$I$77*'Plan mensual'!L57+parametros_recargas!$J$77*'Plan mensual'!L58+parametros_recargas!$K$77*'Plan mensual'!L59+parametros_recargas!$L$77*'Plan mensual'!L60</f>
        <v>38.3274408894816</v>
      </c>
      <c r="K39" s="25" t="n">
        <f aca="false">parametros_recargas!$E$77*'Plan mensual'!M53+parametros_recargas!$F$77*'Plan mensual'!M54+parametros_recargas!$G$77*'Plan mensual'!M55+parametros_recargas!$H$77*'Plan mensual'!M56+parametros_recargas!$I$77*'Plan mensual'!M57+parametros_recargas!$J$77*'Plan mensual'!M58+parametros_recargas!$K$77*'Plan mensual'!M59+parametros_recargas!$L$77*'Plan mensual'!M60</f>
        <v>40.5853554820338</v>
      </c>
      <c r="L39" s="25" t="n">
        <f aca="false">parametros_recargas!$E$77*'Plan mensual'!N53+parametros_recargas!$F$77*'Plan mensual'!N54+parametros_recargas!$G$77*'Plan mensual'!N55+parametros_recargas!$H$77*'Plan mensual'!N56+parametros_recargas!$I$77*'Plan mensual'!N57+parametros_recargas!$J$77*'Plan mensual'!N58+parametros_recargas!$K$77*'Plan mensual'!N59+parametros_recargas!$L$77*'Plan mensual'!N60</f>
        <v>42.9780446770276</v>
      </c>
      <c r="M39" s="25" t="n">
        <f aca="false">parametros_recargas!$E$77*'Plan mensual'!O53+parametros_recargas!$F$77*'Plan mensual'!O54+parametros_recargas!$G$77*'Plan mensual'!O55+parametros_recargas!$H$77*'Plan mensual'!O56+parametros_recargas!$I$77*'Plan mensual'!O57+parametros_recargas!$J$77*'Plan mensual'!O58+parametros_recargas!$K$77*'Plan mensual'!O59+parametros_recargas!$L$77*'Plan mensual'!O60</f>
        <v>45.5135531514065</v>
      </c>
      <c r="N39" s="7" t="n">
        <f aca="false">SUM(B39:M39)</f>
        <v>406.59360530739</v>
      </c>
      <c r="O39" s="26" t="n">
        <f aca="false">MAX(B39:M39)</f>
        <v>45.5135531514065</v>
      </c>
      <c r="P39" s="15" t="n">
        <f aca="false">O39/parametros_recargas!$B$6</f>
        <v>0.303423687676043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25" t="n">
        <f aca="false">parametros_recargas!$E$78*'Plan mensual'!D53+parametros_recargas!$F$78*'Plan mensual'!D54+parametros_recargas!$G$78*'Plan mensual'!D55+parametros_recargas!$H$78*'Plan mensual'!D56+parametros_recargas!$I$78*'Plan mensual'!D57+parametros_recargas!$J$78*'Plan mensual'!D58+parametros_recargas!$K$78*'Plan mensual'!D59+parametros_recargas!$L$78*'Plan mensual'!D60</f>
        <v>10.0584487707596</v>
      </c>
      <c r="C40" s="25" t="n">
        <f aca="false">parametros_recargas!$E$78*'Plan mensual'!E53+parametros_recargas!$F$78*'Plan mensual'!E54+parametros_recargas!$G$78*'Plan mensual'!E55+parametros_recargas!$H$78*'Plan mensual'!E56+parametros_recargas!$I$78*'Plan mensual'!E57+parametros_recargas!$J$78*'Plan mensual'!E58+parametros_recargas!$K$78*'Plan mensual'!E59+parametros_recargas!$L$78*'Plan mensual'!E60</f>
        <v>10.6563490767657</v>
      </c>
      <c r="D40" s="25" t="n">
        <f aca="false">parametros_recargas!$E$78*'Plan mensual'!F53+parametros_recargas!$F$78*'Plan mensual'!F54+parametros_recargas!$G$78*'Plan mensual'!F55+parametros_recargas!$H$78*'Plan mensual'!F56+parametros_recargas!$I$78*'Plan mensual'!F57+parametros_recargas!$J$78*'Plan mensual'!F58+parametros_recargas!$K$78*'Plan mensual'!F59+parametros_recargas!$L$78*'Plan mensual'!F60</f>
        <v>11.2899379674097</v>
      </c>
      <c r="E40" s="25" t="n">
        <f aca="false">parametros_recargas!$E$78*'Plan mensual'!G53+parametros_recargas!$F$78*'Plan mensual'!G54+parametros_recargas!$G$78*'Plan mensual'!G55+parametros_recargas!$H$78*'Plan mensual'!G56+parametros_recargas!$I$78*'Plan mensual'!G57+parametros_recargas!$J$78*'Plan mensual'!G58+parametros_recargas!$K$78*'Plan mensual'!G59+parametros_recargas!$L$78*'Plan mensual'!G60</f>
        <v>11.9613456892574</v>
      </c>
      <c r="F40" s="25" t="n">
        <f aca="false">parametros_recargas!$E$78*'Plan mensual'!H53+parametros_recargas!$F$78*'Plan mensual'!H54+parametros_recargas!$G$78*'Plan mensual'!H55+parametros_recargas!$H$78*'Plan mensual'!H56+parametros_recargas!$I$78*'Plan mensual'!H57+parametros_recargas!$J$78*'Plan mensual'!H58+parametros_recargas!$K$78*'Plan mensual'!H59+parametros_recargas!$L$78*'Plan mensual'!H60</f>
        <v>12.6728296429903</v>
      </c>
      <c r="G40" s="25" t="n">
        <f aca="false">parametros_recargas!$E$78*'Plan mensual'!I53+parametros_recargas!$F$78*'Plan mensual'!I54+parametros_recargas!$G$78*'Plan mensual'!I55+parametros_recargas!$H$78*'Plan mensual'!I56+parametros_recargas!$I$78*'Plan mensual'!I57+parametros_recargas!$J$78*'Plan mensual'!I58+parametros_recargas!$K$78*'Plan mensual'!I59+parametros_recargas!$L$78*'Plan mensual'!I60</f>
        <v>13.4267819732172</v>
      </c>
      <c r="H40" s="25" t="n">
        <f aca="false">parametros_recargas!$E$78*'Plan mensual'!J53+parametros_recargas!$F$78*'Plan mensual'!J54+parametros_recargas!$G$78*'Plan mensual'!J55+parametros_recargas!$H$78*'Plan mensual'!J56+parametros_recargas!$I$78*'Plan mensual'!J57+parametros_recargas!$J$78*'Plan mensual'!J58+parametros_recargas!$K$78*'Plan mensual'!J59+parametros_recargas!$L$78*'Plan mensual'!J60</f>
        <v>14.2257376113201</v>
      </c>
      <c r="I40" s="25" t="n">
        <f aca="false">parametros_recargas!$E$78*'Plan mensual'!K53+parametros_recargas!$F$78*'Plan mensual'!K54+parametros_recargas!$G$78*'Plan mensual'!K55+parametros_recargas!$H$78*'Plan mensual'!K56+parametros_recargas!$I$78*'Plan mensual'!K57+parametros_recargas!$J$78*'Plan mensual'!K58+parametros_recargas!$K$78*'Plan mensual'!K59+parametros_recargas!$L$78*'Plan mensual'!K60</f>
        <v>15.0723827983762</v>
      </c>
      <c r="J40" s="25" t="n">
        <f aca="false">parametros_recargas!$E$78*'Plan mensual'!L53+parametros_recargas!$F$78*'Plan mensual'!L54+parametros_recargas!$G$78*'Plan mensual'!L55+parametros_recargas!$H$78*'Plan mensual'!L56+parametros_recargas!$I$78*'Plan mensual'!L57+parametros_recargas!$J$78*'Plan mensual'!L58+parametros_recargas!$K$78*'Plan mensual'!L59+parametros_recargas!$L$78*'Plan mensual'!L60</f>
        <v>15.9695641168125</v>
      </c>
      <c r="K40" s="25" t="n">
        <f aca="false">parametros_recargas!$E$78*'Plan mensual'!M53+parametros_recargas!$F$78*'Plan mensual'!M54+parametros_recargas!$G$78*'Plan mensual'!M55+parametros_recargas!$H$78*'Plan mensual'!M56+parametros_recargas!$I$78*'Plan mensual'!M57+parametros_recargas!$J$78*'Plan mensual'!M58+parametros_recargas!$K$78*'Plan mensual'!M59+parametros_recargas!$L$78*'Plan mensual'!M60</f>
        <v>16.9202980611582</v>
      </c>
      <c r="L40" s="25" t="n">
        <f aca="false">parametros_recargas!$E$78*'Plan mensual'!N53+parametros_recargas!$F$78*'Plan mensual'!N54+parametros_recargas!$G$78*'Plan mensual'!N55+parametros_recargas!$H$78*'Plan mensual'!N56+parametros_recargas!$I$78*'Plan mensual'!N57+parametros_recargas!$J$78*'Plan mensual'!N58+parametros_recargas!$K$78*'Plan mensual'!N59+parametros_recargas!$L$78*'Plan mensual'!N60</f>
        <v>17.9277811800739</v>
      </c>
      <c r="M40" s="25" t="n">
        <f aca="false">parametros_recargas!$E$78*'Plan mensual'!O53+parametros_recargas!$F$78*'Plan mensual'!O54+parametros_recargas!$G$78*'Plan mensual'!O55+parametros_recargas!$H$78*'Plan mensual'!O56+parametros_recargas!$I$78*'Plan mensual'!O57+parametros_recargas!$J$78*'Plan mensual'!O58+parametros_recargas!$K$78*'Plan mensual'!O59+parametros_recargas!$L$78*'Plan mensual'!O60</f>
        <v>18.9954008237573</v>
      </c>
      <c r="N40" s="7" t="n">
        <f aca="false">SUM(B40:M40)</f>
        <v>169.176857711898</v>
      </c>
      <c r="O40" s="26" t="n">
        <f aca="false">MAX(B40:M40)</f>
        <v>18.9954008237573</v>
      </c>
      <c r="P40" s="15" t="n">
        <f aca="false">O40/parametros_recargas!$B$6</f>
        <v>0.126636005491715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25" t="n">
        <f aca="false">parametros_recargas!$E$79*'Plan mensual'!D53+parametros_recargas!$F$79*'Plan mensual'!D54+parametros_recargas!$G$79*'Plan mensual'!D55+parametros_recargas!$H$79*'Plan mensual'!D56+parametros_recargas!$I$79*'Plan mensual'!D57+parametros_recargas!$J$79*'Plan mensual'!D58+parametros_recargas!$K$79*'Plan mensual'!D59+parametros_recargas!$L$79*'Plan mensual'!D60</f>
        <v>0.500424237270414</v>
      </c>
      <c r="C41" s="25" t="n">
        <f aca="false">parametros_recargas!$E$79*'Plan mensual'!E53+parametros_recargas!$F$79*'Plan mensual'!E54+parametros_recargas!$G$79*'Plan mensual'!E55+parametros_recargas!$H$79*'Plan mensual'!E56+parametros_recargas!$I$79*'Plan mensual'!E57+parametros_recargas!$J$79*'Plan mensual'!E58+parametros_recargas!$K$79*'Plan mensual'!E59+parametros_recargas!$L$79*'Plan mensual'!E60</f>
        <v>0.529050950444552</v>
      </c>
      <c r="D41" s="25" t="n">
        <f aca="false">parametros_recargas!$E$79*'Plan mensual'!F53+parametros_recargas!$F$79*'Plan mensual'!F54+parametros_recargas!$G$79*'Plan mensual'!F55+parametros_recargas!$H$79*'Plan mensual'!F56+parametros_recargas!$I$79*'Plan mensual'!F57+parametros_recargas!$J$79*'Plan mensual'!F58+parametros_recargas!$K$79*'Plan mensual'!F59+parametros_recargas!$L$79*'Plan mensual'!F60</f>
        <v>0.559386388076196</v>
      </c>
      <c r="E41" s="25" t="n">
        <f aca="false">parametros_recargas!$E$79*'Plan mensual'!G53+parametros_recargas!$F$79*'Plan mensual'!G54+parametros_recargas!$G$79*'Plan mensual'!G55+parametros_recargas!$H$79*'Plan mensual'!G56+parametros_recargas!$I$79*'Plan mensual'!G57+parametros_recargas!$J$79*'Plan mensual'!G58+parametros_recargas!$K$79*'Plan mensual'!G59+parametros_recargas!$L$79*'Plan mensual'!G60</f>
        <v>0.591532543686358</v>
      </c>
      <c r="F41" s="25" t="n">
        <f aca="false">parametros_recargas!$E$79*'Plan mensual'!H53+parametros_recargas!$F$79*'Plan mensual'!H54+parametros_recargas!$G$79*'Plan mensual'!H55+parametros_recargas!$H$79*'Plan mensual'!H56+parametros_recargas!$I$79*'Plan mensual'!H57+parametros_recargas!$J$79*'Plan mensual'!H58+parametros_recargas!$K$79*'Plan mensual'!H59+parametros_recargas!$L$79*'Plan mensual'!H60</f>
        <v>0.625597498774886</v>
      </c>
      <c r="G41" s="25" t="n">
        <f aca="false">parametros_recargas!$E$79*'Plan mensual'!I53+parametros_recargas!$F$79*'Plan mensual'!I54+parametros_recargas!$G$79*'Plan mensual'!I55+parametros_recargas!$H$79*'Plan mensual'!I56+parametros_recargas!$I$79*'Plan mensual'!I57+parametros_recargas!$J$79*'Plan mensual'!I58+parametros_recargas!$K$79*'Plan mensual'!I59+parametros_recargas!$L$79*'Plan mensual'!I60</f>
        <v>0.661695786211054</v>
      </c>
      <c r="H41" s="25" t="n">
        <f aca="false">parametros_recargas!$E$79*'Plan mensual'!J53+parametros_recargas!$F$79*'Plan mensual'!J54+parametros_recargas!$G$79*'Plan mensual'!J55+parametros_recargas!$H$79*'Plan mensual'!J56+parametros_recargas!$I$79*'Plan mensual'!J57+parametros_recargas!$J$79*'Plan mensual'!J58+parametros_recargas!$K$79*'Plan mensual'!J59+parametros_recargas!$L$79*'Plan mensual'!J60</f>
        <v>0.699948775314892</v>
      </c>
      <c r="I41" s="25" t="n">
        <f aca="false">parametros_recargas!$E$79*'Plan mensual'!K53+parametros_recargas!$F$79*'Plan mensual'!K54+parametros_recargas!$G$79*'Plan mensual'!K55+parametros_recargas!$H$79*'Plan mensual'!K56+parametros_recargas!$I$79*'Plan mensual'!K57+parametros_recargas!$J$79*'Plan mensual'!K58+parametros_recargas!$K$79*'Plan mensual'!K59+parametros_recargas!$L$79*'Plan mensual'!K60</f>
        <v>0.740485079923964</v>
      </c>
      <c r="J41" s="25" t="n">
        <f aca="false">parametros_recargas!$E$79*'Plan mensual'!L53+parametros_recargas!$F$79*'Plan mensual'!L54+parametros_recargas!$G$79*'Plan mensual'!L55+parametros_recargas!$H$79*'Plan mensual'!L56+parametros_recargas!$I$79*'Plan mensual'!L57+parametros_recargas!$J$79*'Plan mensual'!L58+parametros_recargas!$K$79*'Plan mensual'!L59+parametros_recargas!$L$79*'Plan mensual'!L60</f>
        <v>0.783440990817596</v>
      </c>
      <c r="K41" s="25" t="n">
        <f aca="false">parametros_recargas!$E$79*'Plan mensual'!M53+parametros_recargas!$F$79*'Plan mensual'!M54+parametros_recargas!$G$79*'Plan mensual'!M55+parametros_recargas!$H$79*'Plan mensual'!M56+parametros_recargas!$I$79*'Plan mensual'!M57+parametros_recargas!$J$79*'Plan mensual'!M58+parametros_recargas!$K$79*'Plan mensual'!M59+parametros_recargas!$L$79*'Plan mensual'!M60</f>
        <v>0.828960933952437</v>
      </c>
      <c r="L41" s="25" t="n">
        <f aca="false">parametros_recargas!$E$79*'Plan mensual'!N53+parametros_recargas!$F$79*'Plan mensual'!N54+parametros_recargas!$G$79*'Plan mensual'!N55+parametros_recargas!$H$79*'Plan mensual'!N56+parametros_recargas!$I$79*'Plan mensual'!N57+parametros_recargas!$J$79*'Plan mensual'!N58+parametros_recargas!$K$79*'Plan mensual'!N59+parametros_recargas!$L$79*'Plan mensual'!N60</f>
        <v>0.877197956050051</v>
      </c>
      <c r="M41" s="25" t="n">
        <f aca="false">parametros_recargas!$E$79*'Plan mensual'!O53+parametros_recargas!$F$79*'Plan mensual'!O54+parametros_recargas!$G$79*'Plan mensual'!O55+parametros_recargas!$H$79*'Plan mensual'!O56+parametros_recargas!$I$79*'Plan mensual'!O57+parametros_recargas!$J$79*'Plan mensual'!O58+parametros_recargas!$K$79*'Plan mensual'!O59+parametros_recargas!$L$79*'Plan mensual'!O60</f>
        <v>0.928314239169146</v>
      </c>
      <c r="N41" s="7" t="n">
        <f aca="false">SUM(B41:M41)</f>
        <v>8.32603537969155</v>
      </c>
      <c r="O41" s="26" t="n">
        <f aca="false">MAX(B41:M41)</f>
        <v>0.928314239169146</v>
      </c>
      <c r="P41" s="15" t="n">
        <f aca="false">O41/parametros_recargas!$B$6</f>
        <v>0.00618876159446097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25" t="n">
        <f aca="false">parametros_recargas!$E$80*'Plan mensual'!D53+parametros_recargas!$F$80*'Plan mensual'!D54+parametros_recargas!$G$80*'Plan mensual'!D55+parametros_recargas!$H$80*'Plan mensual'!D56+parametros_recargas!$I$80*'Plan mensual'!D57+parametros_recargas!$J$80*'Plan mensual'!D58+parametros_recargas!$K$80*'Plan mensual'!D59+parametros_recargas!$L$80*'Plan mensual'!D60</f>
        <v>474.861774515578</v>
      </c>
      <c r="C42" s="25" t="n">
        <f aca="false">parametros_recargas!$E$80*'Plan mensual'!E53+parametros_recargas!$F$80*'Plan mensual'!E54+parametros_recargas!$G$80*'Plan mensual'!E55+parametros_recargas!$H$80*'Plan mensual'!E56+parametros_recargas!$I$80*'Plan mensual'!E57+parametros_recargas!$J$80*'Plan mensual'!E58+parametros_recargas!$K$80*'Plan mensual'!E59+parametros_recargas!$L$80*'Plan mensual'!E60</f>
        <v>503.136568455711</v>
      </c>
      <c r="D42" s="25" t="n">
        <f aca="false">parametros_recargas!$E$80*'Plan mensual'!F53+parametros_recargas!$F$80*'Plan mensual'!F54+parametros_recargas!$G$80*'Plan mensual'!F55+parametros_recargas!$H$80*'Plan mensual'!F56+parametros_recargas!$I$80*'Plan mensual'!F57+parametros_recargas!$J$80*'Plan mensual'!F58+parametros_recargas!$K$80*'Plan mensual'!F59+parametros_recargas!$L$80*'Plan mensual'!F60</f>
        <v>533.099080844082</v>
      </c>
      <c r="E42" s="25" t="n">
        <f aca="false">parametros_recargas!$E$80*'Plan mensual'!G53+parametros_recargas!$F$80*'Plan mensual'!G54+parametros_recargas!$G$80*'Plan mensual'!G55+parametros_recargas!$H$80*'Plan mensual'!G56+parametros_recargas!$I$80*'Plan mensual'!G57+parametros_recargas!$J$80*'Plan mensual'!G58+parametros_recargas!$K$80*'Plan mensual'!G59+parametros_recargas!$L$80*'Plan mensual'!G60</f>
        <v>564.850051355987</v>
      </c>
      <c r="F42" s="25" t="n">
        <f aca="false">parametros_recargas!$E$80*'Plan mensual'!H53+parametros_recargas!$F$80*'Plan mensual'!H54+parametros_recargas!$G$80*'Plan mensual'!H55+parametros_recargas!$H$80*'Plan mensual'!H56+parametros_recargas!$I$80*'Plan mensual'!H57+parametros_recargas!$J$80*'Plan mensual'!H58+parametros_recargas!$K$80*'Plan mensual'!H59+parametros_recargas!$L$80*'Plan mensual'!H60</f>
        <v>598.496232803676</v>
      </c>
      <c r="G42" s="25" t="n">
        <f aca="false">parametros_recargas!$E$80*'Plan mensual'!I53+parametros_recargas!$F$80*'Plan mensual'!I54+parametros_recargas!$G$80*'Plan mensual'!I55+parametros_recargas!$H$80*'Plan mensual'!I56+parametros_recargas!$I$80*'Plan mensual'!I57+parametros_recargas!$J$80*'Plan mensual'!I58+parametros_recargas!$K$80*'Plan mensual'!I59+parametros_recargas!$L$80*'Plan mensual'!I60</f>
        <v>634.150750059658</v>
      </c>
      <c r="H42" s="25" t="n">
        <f aca="false">parametros_recargas!$E$80*'Plan mensual'!J53+parametros_recargas!$F$80*'Plan mensual'!J54+parametros_recargas!$G$80*'Plan mensual'!J55+parametros_recargas!$H$80*'Plan mensual'!J56+parametros_recargas!$I$80*'Plan mensual'!J57+parametros_recargas!$J$80*'Plan mensual'!J58+parametros_recargas!$K$80*'Plan mensual'!J59+parametros_recargas!$L$80*'Plan mensual'!J60</f>
        <v>671.933480404066</v>
      </c>
      <c r="I42" s="25" t="n">
        <f aca="false">parametros_recargas!$E$80*'Plan mensual'!K53+parametros_recargas!$F$80*'Plan mensual'!K54+parametros_recargas!$G$80*'Plan mensual'!K55+parametros_recargas!$H$80*'Plan mensual'!K56+parametros_recargas!$I$80*'Plan mensual'!K57+parametros_recargas!$J$80*'Plan mensual'!K58+parametros_recargas!$K$80*'Plan mensual'!K59+parametros_recargas!$L$80*'Plan mensual'!K60</f>
        <v>711.97145657492</v>
      </c>
      <c r="J42" s="25" t="n">
        <f aca="false">parametros_recargas!$E$80*'Plan mensual'!L53+parametros_recargas!$F$80*'Plan mensual'!L54+parametros_recargas!$G$80*'Plan mensual'!L55+parametros_recargas!$H$80*'Plan mensual'!L56+parametros_recargas!$I$80*'Plan mensual'!L57+parametros_recargas!$J$80*'Plan mensual'!L58+parametros_recargas!$K$80*'Plan mensual'!L59+parametros_recargas!$L$80*'Plan mensual'!L60</f>
        <v>754.399293876389</v>
      </c>
      <c r="K42" s="25" t="n">
        <f aca="false">parametros_recargas!$E$80*'Plan mensual'!M53+parametros_recargas!$F$80*'Plan mensual'!M54+parametros_recargas!$G$80*'Plan mensual'!M55+parametros_recargas!$H$80*'Plan mensual'!M56+parametros_recargas!$I$80*'Plan mensual'!M57+parametros_recargas!$J$80*'Plan mensual'!M58+parametros_recargas!$K$80*'Plan mensual'!M59+parametros_recargas!$L$80*'Plan mensual'!M60</f>
        <v>799.359642781096</v>
      </c>
      <c r="L42" s="25" t="n">
        <f aca="false">parametros_recargas!$E$80*'Plan mensual'!N53+parametros_recargas!$F$80*'Plan mensual'!N54+parametros_recargas!$G$80*'Plan mensual'!N55+parametros_recargas!$H$80*'Plan mensual'!N56+parametros_recargas!$I$80*'Plan mensual'!N57+parametros_recargas!$J$80*'Plan mensual'!N58+parametros_recargas!$K$80*'Plan mensual'!N59+parametros_recargas!$L$80*'Plan mensual'!N60</f>
        <v>847.003668548185</v>
      </c>
      <c r="M42" s="25" t="n">
        <f aca="false">parametros_recargas!$E$80*'Plan mensual'!O53+parametros_recargas!$F$80*'Plan mensual'!O54+parametros_recargas!$G$80*'Plan mensual'!O55+parametros_recargas!$H$80*'Plan mensual'!O56+parametros_recargas!$I$80*'Plan mensual'!O57+parametros_recargas!$J$80*'Plan mensual'!O58+parametros_recargas!$K$80*'Plan mensual'!O59+parametros_recargas!$L$80*'Plan mensual'!O60</f>
        <v>897.491559469718</v>
      </c>
      <c r="N42" s="7" t="n">
        <f aca="false">SUM(B42:M42)</f>
        <v>7990.75355968907</v>
      </c>
      <c r="O42" s="26" t="n">
        <f aca="false">MAX(B42:M42)</f>
        <v>897.491559469718</v>
      </c>
      <c r="P42" s="15" t="n">
        <f aca="false">O42/parametros_recargas!$B$6</f>
        <v>5.98327706313145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25" t="n">
        <f aca="false">parametros_recargas!$E$81*'Plan mensual'!D53+parametros_recargas!$F$81*'Plan mensual'!D54+parametros_recargas!$G$81*'Plan mensual'!D55+parametros_recargas!$H$81*'Plan mensual'!D56+parametros_recargas!$I$81*'Plan mensual'!D57+parametros_recargas!$J$81*'Plan mensual'!D58+parametros_recargas!$K$81*'Plan mensual'!D59+parametros_recargas!$L$81*'Plan mensual'!D60</f>
        <v>34.8479031754688</v>
      </c>
      <c r="C43" s="25" t="n">
        <f aca="false">parametros_recargas!$E$81*'Plan mensual'!E53+parametros_recargas!$F$81*'Plan mensual'!E54+parametros_recargas!$G$81*'Plan mensual'!E55+parametros_recargas!$H$81*'Plan mensual'!E56+parametros_recargas!$I$81*'Plan mensual'!E57+parametros_recargas!$J$81*'Plan mensual'!E58+parametros_recargas!$K$81*'Plan mensual'!E59+parametros_recargas!$L$81*'Plan mensual'!E60</f>
        <v>36.8943940382159</v>
      </c>
      <c r="D43" s="25" t="n">
        <f aca="false">parametros_recargas!$E$81*'Plan mensual'!F53+parametros_recargas!$F$81*'Plan mensual'!F54+parametros_recargas!$G$81*'Plan mensual'!F55+parametros_recargas!$H$81*'Plan mensual'!F56+parametros_recargas!$I$81*'Plan mensual'!F57+parametros_recargas!$J$81*'Plan mensual'!F58+parametros_recargas!$K$81*'Plan mensual'!F59+parametros_recargas!$L$81*'Plan mensual'!F60</f>
        <v>39.0630396508975</v>
      </c>
      <c r="E43" s="25" t="n">
        <f aca="false">parametros_recargas!$E$81*'Plan mensual'!G53+parametros_recargas!$F$81*'Plan mensual'!G54+parametros_recargas!$G$81*'Plan mensual'!G55+parametros_recargas!$H$81*'Plan mensual'!G56+parametros_recargas!$I$81*'Plan mensual'!G57+parametros_recargas!$J$81*'Plan mensual'!G58+parametros_recargas!$K$81*'Plan mensual'!G59+parametros_recargas!$L$81*'Plan mensual'!G60</f>
        <v>41.3611314132475</v>
      </c>
      <c r="F43" s="25" t="n">
        <f aca="false">parametros_recargas!$E$81*'Plan mensual'!H53+parametros_recargas!$F$81*'Plan mensual'!H54+parametros_recargas!$G$81*'Plan mensual'!H55+parametros_recargas!$H$81*'Plan mensual'!H56+parametros_recargas!$I$81*'Plan mensual'!H57+parametros_recargas!$J$81*'Plan mensual'!H58+parametros_recargas!$K$81*'Plan mensual'!H59+parametros_recargas!$L$81*'Plan mensual'!H60</f>
        <v>43.7963959476175</v>
      </c>
      <c r="G43" s="25" t="n">
        <f aca="false">parametros_recargas!$E$81*'Plan mensual'!I53+parametros_recargas!$F$81*'Plan mensual'!I54+parametros_recargas!$G$81*'Plan mensual'!I55+parametros_recargas!$H$81*'Plan mensual'!I56+parametros_recargas!$I$81*'Plan mensual'!I57+parametros_recargas!$J$81*'Plan mensual'!I58+parametros_recargas!$K$81*'Plan mensual'!I59+parametros_recargas!$L$81*'Plan mensual'!I60</f>
        <v>46.3770210773537</v>
      </c>
      <c r="H43" s="25" t="n">
        <f aca="false">parametros_recargas!$E$81*'Plan mensual'!J53+parametros_recargas!$F$81*'Plan mensual'!J54+parametros_recargas!$G$81*'Plan mensual'!J55+parametros_recargas!$H$81*'Plan mensual'!J56+parametros_recargas!$I$81*'Plan mensual'!J57+parametros_recargas!$J$81*'Plan mensual'!J58+parametros_recargas!$K$81*'Plan mensual'!J59+parametros_recargas!$L$81*'Plan mensual'!J60</f>
        <v>49.1116833558192</v>
      </c>
      <c r="I43" s="25" t="n">
        <f aca="false">parametros_recargas!$E$81*'Plan mensual'!K53+parametros_recargas!$F$81*'Plan mensual'!K54+parametros_recargas!$G$81*'Plan mensual'!K55+parametros_recargas!$H$81*'Plan mensual'!K56+parametros_recargas!$I$81*'Plan mensual'!K57+parametros_recargas!$J$81*'Plan mensual'!K58+parametros_recargas!$K$81*'Plan mensual'!K59+parametros_recargas!$L$81*'Plan mensual'!K60</f>
        <v>52.009577238619</v>
      </c>
      <c r="J43" s="25" t="n">
        <f aca="false">parametros_recargas!$E$81*'Plan mensual'!L53+parametros_recargas!$F$81*'Plan mensual'!L54+parametros_recargas!$G$81*'Plan mensual'!L55+parametros_recargas!$H$81*'Plan mensual'!L56+parametros_recargas!$I$81*'Plan mensual'!L57+parametros_recargas!$J$81*'Plan mensual'!L58+parametros_recargas!$K$81*'Plan mensual'!L59+parametros_recargas!$L$81*'Plan mensual'!L60</f>
        <v>55.0804459971117</v>
      </c>
      <c r="K43" s="25" t="n">
        <f aca="false">parametros_recargas!$E$81*'Plan mensual'!M53+parametros_recargas!$F$81*'Plan mensual'!M54+parametros_recargas!$G$81*'Plan mensual'!M55+parametros_recargas!$H$81*'Plan mensual'!M56+parametros_recargas!$I$81*'Plan mensual'!M57+parametros_recargas!$J$81*'Plan mensual'!M58+parametros_recargas!$K$81*'Plan mensual'!M59+parametros_recargas!$L$81*'Plan mensual'!M60</f>
        <v>58.3346144771445</v>
      </c>
      <c r="L43" s="25" t="n">
        <f aca="false">parametros_recargas!$E$81*'Plan mensual'!N53+parametros_recargas!$F$81*'Plan mensual'!N54+parametros_recargas!$G$81*'Plan mensual'!N55+parametros_recargas!$H$81*'Plan mensual'!N56+parametros_recargas!$I$81*'Plan mensual'!N57+parametros_recargas!$J$81*'Plan mensual'!N58+parametros_recargas!$K$81*'Plan mensual'!N59+parametros_recargas!$L$81*'Plan mensual'!N60</f>
        <v>61.7830238131515</v>
      </c>
      <c r="M43" s="25" t="n">
        <f aca="false">parametros_recargas!$E$81*'Plan mensual'!O53+parametros_recargas!$F$81*'Plan mensual'!O54+parametros_recargas!$G$81*'Plan mensual'!O55+parametros_recargas!$H$81*'Plan mensual'!O56+parametros_recargas!$I$81*'Plan mensual'!O57+parametros_recargas!$J$81*'Plan mensual'!O58+parametros_recargas!$K$81*'Plan mensual'!O59+parametros_recargas!$L$81*'Plan mensual'!O60</f>
        <v>65.4372682143329</v>
      </c>
      <c r="N43" s="7" t="n">
        <f aca="false">SUM(B43:M43)</f>
        <v>584.09649839898</v>
      </c>
      <c r="O43" s="26" t="n">
        <f aca="false">MAX(B43:M43)</f>
        <v>65.4372682143329</v>
      </c>
      <c r="P43" s="15" t="n">
        <f aca="false">O43/parametros_recargas!$B$6</f>
        <v>0.436248454762219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25" t="n">
        <f aca="false">parametros_recargas!$E$82*'Plan mensual'!D53+parametros_recargas!$F$82*'Plan mensual'!D54+parametros_recargas!$G$82*'Plan mensual'!D55+parametros_recargas!$H$82*'Plan mensual'!D56+parametros_recargas!$I$82*'Plan mensual'!D57+parametros_recargas!$J$82*'Plan mensual'!D58+parametros_recargas!$K$82*'Plan mensual'!D59+parametros_recargas!$L$82*'Plan mensual'!D60</f>
        <v>0.473972701748467</v>
      </c>
      <c r="C44" s="25" t="n">
        <f aca="false">parametros_recargas!$E$82*'Plan mensual'!E53+parametros_recargas!$F$82*'Plan mensual'!E54+parametros_recargas!$G$82*'Plan mensual'!E55+parametros_recargas!$H$82*'Plan mensual'!E56+parametros_recargas!$I$82*'Plan mensual'!E57+parametros_recargas!$J$82*'Plan mensual'!E58+parametros_recargas!$K$82*'Plan mensual'!E59+parametros_recargas!$L$82*'Plan mensual'!E60</f>
        <v>0.502199401215843</v>
      </c>
      <c r="D44" s="25" t="n">
        <f aca="false">parametros_recargas!$E$82*'Plan mensual'!F53+parametros_recargas!$F$82*'Plan mensual'!F54+parametros_recargas!$G$82*'Plan mensual'!F55+parametros_recargas!$H$82*'Plan mensual'!F56+parametros_recargas!$I$82*'Plan mensual'!F57+parametros_recargas!$J$82*'Plan mensual'!F58+parametros_recargas!$K$82*'Plan mensual'!F59+parametros_recargas!$L$82*'Plan mensual'!F60</f>
        <v>0.532110948379186</v>
      </c>
      <c r="E44" s="25" t="n">
        <f aca="false">parametros_recargas!$E$82*'Plan mensual'!G53+parametros_recargas!$F$82*'Plan mensual'!G54+parametros_recargas!$G$82*'Plan mensual'!G55+parametros_recargas!$H$82*'Plan mensual'!G56+parametros_recargas!$I$82*'Plan mensual'!G57+parametros_recargas!$J$82*'Plan mensual'!G58+parametros_recargas!$K$82*'Plan mensual'!G59+parametros_recargas!$L$82*'Plan mensual'!G60</f>
        <v>0.563807911558994</v>
      </c>
      <c r="F44" s="25" t="n">
        <f aca="false">parametros_recargas!$E$82*'Plan mensual'!H53+parametros_recargas!$F$82*'Plan mensual'!H54+parametros_recargas!$G$82*'Plan mensual'!H55+parametros_recargas!$H$82*'Plan mensual'!H56+parametros_recargas!$I$82*'Plan mensual'!H57+parametros_recargas!$J$82*'Plan mensual'!H58+parametros_recargas!$K$82*'Plan mensual'!H59+parametros_recargas!$L$82*'Plan mensual'!H60</f>
        <v>0.597396861984578</v>
      </c>
      <c r="G44" s="25" t="n">
        <f aca="false">parametros_recargas!$E$82*'Plan mensual'!I53+parametros_recargas!$F$82*'Plan mensual'!I54+parametros_recargas!$G$82*'Plan mensual'!I55+parametros_recargas!$H$82*'Plan mensual'!I56+parametros_recargas!$I$82*'Plan mensual'!I57+parametros_recargas!$J$82*'Plan mensual'!I58+parametros_recargas!$K$82*'Plan mensual'!I59+parametros_recargas!$L$82*'Plan mensual'!I60</f>
        <v>0.632990732106845</v>
      </c>
      <c r="H44" s="25" t="n">
        <f aca="false">parametros_recargas!$E$82*'Plan mensual'!J53+parametros_recargas!$F$82*'Plan mensual'!J54+parametros_recargas!$G$82*'Plan mensual'!J55+parametros_recargas!$H$82*'Plan mensual'!J56+parametros_recargas!$I$82*'Plan mensual'!J57+parametros_recargas!$J$82*'Plan mensual'!J58+parametros_recargas!$K$82*'Plan mensual'!J59+parametros_recargas!$L$82*'Plan mensual'!J60</f>
        <v>0.670709195298712</v>
      </c>
      <c r="I44" s="25" t="n">
        <f aca="false">parametros_recargas!$E$82*'Plan mensual'!K53+parametros_recargas!$F$82*'Plan mensual'!K54+parametros_recargas!$G$82*'Plan mensual'!K55+parametros_recargas!$H$82*'Plan mensual'!K56+parametros_recargas!$I$82*'Plan mensual'!K57+parametros_recargas!$J$82*'Plan mensual'!K58+parametros_recargas!$K$82*'Plan mensual'!K59+parametros_recargas!$L$82*'Plan mensual'!K60</f>
        <v>0.710679068219786</v>
      </c>
      <c r="J44" s="25" t="n">
        <f aca="false">parametros_recargas!$E$82*'Plan mensual'!L53+parametros_recargas!$F$82*'Plan mensual'!L54+parametros_recargas!$G$82*'Plan mensual'!L55+parametros_recargas!$H$82*'Plan mensual'!L56+parametros_recargas!$I$82*'Plan mensual'!L57+parametros_recargas!$J$82*'Plan mensual'!L58+parametros_recargas!$K$82*'Plan mensual'!L59+parametros_recargas!$L$82*'Plan mensual'!L60</f>
        <v>0.753034737198135</v>
      </c>
      <c r="K44" s="25" t="n">
        <f aca="false">parametros_recargas!$E$82*'Plan mensual'!M53+parametros_recargas!$F$82*'Plan mensual'!M54+parametros_recargas!$G$82*'Plan mensual'!M55+parametros_recargas!$H$82*'Plan mensual'!M56+parametros_recargas!$I$82*'Plan mensual'!M57+parametros_recargas!$J$82*'Plan mensual'!M58+parametros_recargas!$K$82*'Plan mensual'!M59+parametros_recargas!$L$82*'Plan mensual'!M60</f>
        <v>0.79791861006273</v>
      </c>
      <c r="L44" s="25" t="n">
        <f aca="false">parametros_recargas!$E$82*'Plan mensual'!N53+parametros_recargas!$F$82*'Plan mensual'!N54+parametros_recargas!$G$82*'Plan mensual'!N55+parametros_recargas!$H$82*'Plan mensual'!N56+parametros_recargas!$I$82*'Plan mensual'!N57+parametros_recargas!$J$82*'Plan mensual'!N58+parametros_recargas!$K$82*'Plan mensual'!N59+parametros_recargas!$L$82*'Plan mensual'!N60</f>
        <v>0.845481594945696</v>
      </c>
      <c r="M44" s="25" t="n">
        <f aca="false">parametros_recargas!$E$82*'Plan mensual'!O53+parametros_recargas!$F$82*'Plan mensual'!O54+parametros_recargas!$G$82*'Plan mensual'!O55+parametros_recargas!$H$82*'Plan mensual'!O56+parametros_recargas!$I$82*'Plan mensual'!O57+parametros_recargas!$J$82*'Plan mensual'!O58+parametros_recargas!$K$82*'Plan mensual'!O59+parametros_recargas!$L$82*'Plan mensual'!O60</f>
        <v>0.895883607664204</v>
      </c>
      <c r="N44" s="7" t="n">
        <f aca="false">SUM(B44:M44)</f>
        <v>7.97618537038318</v>
      </c>
      <c r="O44" s="26" t="n">
        <f aca="false">MAX(B44:M44)</f>
        <v>0.895883607664204</v>
      </c>
      <c r="P44" s="15" t="n">
        <f aca="false">O44/parametros_recargas!$B$6</f>
        <v>0.00597255738442803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25" t="n">
        <f aca="false">parametros_recargas!$E$83*'Plan mensual'!D53+parametros_recargas!$F$83*'Plan mensual'!D54+parametros_recargas!$G$83*'Plan mensual'!D55+parametros_recargas!$H$83*'Plan mensual'!D56+parametros_recargas!$I$83*'Plan mensual'!D57+parametros_recargas!$J$83*'Plan mensual'!D58+parametros_recargas!$K$83*'Plan mensual'!D59+parametros_recargas!$L$83*'Plan mensual'!D60</f>
        <v>115.563968393259</v>
      </c>
      <c r="C45" s="25" t="n">
        <f aca="false">parametros_recargas!$E$83*'Plan mensual'!E53+parametros_recargas!$F$83*'Plan mensual'!E54+parametros_recargas!$G$83*'Plan mensual'!E55+parametros_recargas!$H$83*'Plan mensual'!E56+parametros_recargas!$I$83*'Plan mensual'!E57+parametros_recargas!$J$83*'Plan mensual'!E58+parametros_recargas!$K$83*'Plan mensual'!E59+parametros_recargas!$L$83*'Plan mensual'!E60</f>
        <v>122.430130718413</v>
      </c>
      <c r="D45" s="25" t="n">
        <f aca="false">parametros_recargas!$E$83*'Plan mensual'!F53+parametros_recargas!$F$83*'Plan mensual'!F54+parametros_recargas!$G$83*'Plan mensual'!F55+parametros_recargas!$H$83*'Plan mensual'!F56+parametros_recargas!$I$83*'Plan mensual'!F57+parametros_recargas!$J$83*'Plan mensual'!F58+parametros_recargas!$K$83*'Plan mensual'!F59+parametros_recargas!$L$83*'Plan mensual'!F60</f>
        <v>129.706133300911</v>
      </c>
      <c r="E45" s="25" t="n">
        <f aca="false">parametros_recargas!$E$83*'Plan mensual'!G53+parametros_recargas!$F$83*'Plan mensual'!G54+parametros_recargas!$G$83*'Plan mensual'!G55+parametros_recargas!$H$83*'Plan mensual'!G56+parametros_recargas!$I$83*'Plan mensual'!G57+parametros_recargas!$J$83*'Plan mensual'!G58+parametros_recargas!$K$83*'Plan mensual'!G59+parametros_recargas!$L$83*'Plan mensual'!G60</f>
        <v>137.416439447704</v>
      </c>
      <c r="F45" s="25" t="n">
        <f aca="false">parametros_recargas!$E$83*'Plan mensual'!H53+parametros_recargas!$F$83*'Plan mensual'!H54+parametros_recargas!$G$83*'Plan mensual'!H55+parametros_recargas!$H$83*'Plan mensual'!H56+parametros_recargas!$I$83*'Plan mensual'!H57+parametros_recargas!$J$83*'Plan mensual'!H58+parametros_recargas!$K$83*'Plan mensual'!H59+parametros_recargas!$L$83*'Plan mensual'!H60</f>
        <v>145.586972677074</v>
      </c>
      <c r="G45" s="25" t="n">
        <f aca="false">parametros_recargas!$E$83*'Plan mensual'!I53+parametros_recargas!$F$83*'Plan mensual'!I54+parametros_recargas!$G$83*'Plan mensual'!I55+parametros_recargas!$H$83*'Plan mensual'!I56+parametros_recargas!$I$83*'Plan mensual'!I57+parametros_recargas!$J$83*'Plan mensual'!I58+parametros_recargas!$K$83*'Plan mensual'!I59+parametros_recargas!$L$83*'Plan mensual'!I60</f>
        <v>154.245203878437</v>
      </c>
      <c r="H45" s="25" t="n">
        <f aca="false">parametros_recargas!$E$83*'Plan mensual'!J53+parametros_recargas!$F$83*'Plan mensual'!J54+parametros_recargas!$G$83*'Plan mensual'!J55+parametros_recargas!$H$83*'Plan mensual'!J56+parametros_recargas!$I$83*'Plan mensual'!J57+parametros_recargas!$J$83*'Plan mensual'!J58+parametros_recargas!$K$83*'Plan mensual'!J59+parametros_recargas!$L$83*'Plan mensual'!J60</f>
        <v>163.420243674713</v>
      </c>
      <c r="I45" s="25" t="n">
        <f aca="false">parametros_recargas!$E$83*'Plan mensual'!K53+parametros_recargas!$F$83*'Plan mensual'!K54+parametros_recargas!$G$83*'Plan mensual'!K55+parametros_recargas!$H$83*'Plan mensual'!K56+parametros_recargas!$I$83*'Plan mensual'!K57+parametros_recargas!$J$83*'Plan mensual'!K58+parametros_recargas!$K$83*'Plan mensual'!K59+parametros_recargas!$L$83*'Plan mensual'!K60</f>
        <v>173.142940297784</v>
      </c>
      <c r="J45" s="25" t="n">
        <f aca="false">parametros_recargas!$E$83*'Plan mensual'!L53+parametros_recargas!$F$83*'Plan mensual'!L54+parametros_recargas!$G$83*'Plan mensual'!L55+parametros_recargas!$H$83*'Plan mensual'!L56+parametros_recargas!$I$83*'Plan mensual'!L57+parametros_recargas!$J$83*'Plan mensual'!L58+parametros_recargas!$K$83*'Plan mensual'!L59+parametros_recargas!$L$83*'Plan mensual'!L60</f>
        <v>183.445983306123</v>
      </c>
      <c r="K45" s="25" t="n">
        <f aca="false">parametros_recargas!$E$83*'Plan mensual'!M53+parametros_recargas!$F$83*'Plan mensual'!M54+parametros_recargas!$G$83*'Plan mensual'!M55+parametros_recargas!$H$83*'Plan mensual'!M56+parametros_recargas!$I$83*'Plan mensual'!M57+parametros_recargas!$J$83*'Plan mensual'!M58+parametros_recargas!$K$83*'Plan mensual'!M59+parametros_recargas!$L$83*'Plan mensual'!M60</f>
        <v>194.364013493325</v>
      </c>
      <c r="L45" s="25" t="n">
        <f aca="false">parametros_recargas!$E$83*'Plan mensual'!N53+parametros_recargas!$F$83*'Plan mensual'!N54+parametros_recargas!$G$83*'Plan mensual'!N55+parametros_recargas!$H$83*'Plan mensual'!N56+parametros_recargas!$I$83*'Plan mensual'!N57+parametros_recargas!$J$83*'Plan mensual'!N58+parametros_recargas!$K$83*'Plan mensual'!N59+parametros_recargas!$L$83*'Plan mensual'!N60</f>
        <v>205.93373935705</v>
      </c>
      <c r="M45" s="25" t="n">
        <f aca="false">parametros_recargas!$E$83*'Plan mensual'!O53+parametros_recargas!$F$83*'Plan mensual'!O54+parametros_recargas!$G$83*'Plan mensual'!O55+parametros_recargas!$H$83*'Plan mensual'!O56+parametros_recargas!$I$83*'Plan mensual'!O57+parametros_recargas!$J$83*'Plan mensual'!O58+parametros_recargas!$K$83*'Plan mensual'!O59+parametros_recargas!$L$83*'Plan mensual'!O60</f>
        <v>218.194060519988</v>
      </c>
      <c r="N45" s="7" t="n">
        <f aca="false">SUM(B45:M45)</f>
        <v>1943.44982906478</v>
      </c>
      <c r="O45" s="26" t="n">
        <f aca="false">MAX(B45:M45)</f>
        <v>218.194060519988</v>
      </c>
      <c r="P45" s="15" t="n">
        <f aca="false">O45/parametros_recargas!$B$6</f>
        <v>1.45462707013325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25" t="n">
        <f aca="false">parametros_recargas!$E$84*'Plan mensual'!D53+parametros_recargas!$F$84*'Plan mensual'!D54+parametros_recargas!$G$84*'Plan mensual'!D55+parametros_recargas!$H$84*'Plan mensual'!D56+parametros_recargas!$I$84*'Plan mensual'!D57+parametros_recargas!$J$84*'Plan mensual'!D58+parametros_recargas!$K$84*'Plan mensual'!D59+parametros_recargas!$L$84*'Plan mensual'!D60</f>
        <v>108.168071054695</v>
      </c>
      <c r="C46" s="25" t="n">
        <f aca="false">parametros_recargas!$E$84*'Plan mensual'!E53+parametros_recargas!$F$84*'Plan mensual'!E54+parametros_recargas!$G$84*'Plan mensual'!E55+parametros_recargas!$H$84*'Plan mensual'!E56+parametros_recargas!$I$84*'Plan mensual'!E57+parametros_recargas!$J$84*'Plan mensual'!E58+parametros_recargas!$K$84*'Plan mensual'!E59+parametros_recargas!$L$84*'Plan mensual'!E60</f>
        <v>114.606999397467</v>
      </c>
      <c r="D46" s="25" t="n">
        <f aca="false">parametros_recargas!$E$84*'Plan mensual'!F53+parametros_recargas!$F$84*'Plan mensual'!F54+parametros_recargas!$G$84*'Plan mensual'!F55+parametros_recargas!$H$84*'Plan mensual'!F56+parametros_recargas!$I$84*'Plan mensual'!F57+parametros_recargas!$J$84*'Plan mensual'!F58+parametros_recargas!$K$84*'Plan mensual'!F59+parametros_recargas!$L$84*'Plan mensual'!F60</f>
        <v>121.430266461646</v>
      </c>
      <c r="E46" s="25" t="n">
        <f aca="false">parametros_recargas!$E$84*'Plan mensual'!G53+parametros_recargas!$F$84*'Plan mensual'!G54+parametros_recargas!$G$84*'Plan mensual'!G55+parametros_recargas!$H$84*'Plan mensual'!G56+parametros_recargas!$I$84*'Plan mensual'!G57+parametros_recargas!$J$84*'Plan mensual'!G58+parametros_recargas!$K$84*'Plan mensual'!G59+parametros_recargas!$L$84*'Plan mensual'!G60</f>
        <v>128.660813371112</v>
      </c>
      <c r="F46" s="25" t="n">
        <f aca="false">parametros_recargas!$E$84*'Plan mensual'!H53+parametros_recargas!$F$84*'Plan mensual'!H54+parametros_recargas!$G$84*'Plan mensual'!H55+parametros_recargas!$H$84*'Plan mensual'!H56+parametros_recargas!$I$84*'Plan mensual'!H57+parametros_recargas!$J$84*'Plan mensual'!H58+parametros_recargas!$K$84*'Plan mensual'!H59+parametros_recargas!$L$84*'Plan mensual'!H60</f>
        <v>136.322950602184</v>
      </c>
      <c r="G46" s="25" t="n">
        <f aca="false">parametros_recargas!$E$84*'Plan mensual'!I53+parametros_recargas!$F$84*'Plan mensual'!I54+parametros_recargas!$G$84*'Plan mensual'!I55+parametros_recargas!$H$84*'Plan mensual'!I56+parametros_recargas!$I$84*'Plan mensual'!I57+parametros_recargas!$J$84*'Plan mensual'!I58+parametros_recargas!$K$84*'Plan mensual'!I59+parametros_recargas!$L$84*'Plan mensual'!I60</f>
        <v>144.442439720071</v>
      </c>
      <c r="H46" s="25" t="n">
        <f aca="false">parametros_recargas!$E$84*'Plan mensual'!J53+parametros_recargas!$F$84*'Plan mensual'!J54+parametros_recargas!$G$84*'Plan mensual'!J55+parametros_recargas!$H$84*'Plan mensual'!J56+parametros_recargas!$I$84*'Plan mensual'!J57+parametros_recargas!$J$84*'Plan mensual'!J58+parametros_recargas!$K$84*'Plan mensual'!J59+parametros_recargas!$L$84*'Plan mensual'!J60</f>
        <v>153.046579994162</v>
      </c>
      <c r="I46" s="25" t="n">
        <f aca="false">parametros_recargas!$E$84*'Plan mensual'!K53+parametros_recargas!$F$84*'Plan mensual'!K54+parametros_recargas!$G$84*'Plan mensual'!K55+parametros_recargas!$H$84*'Plan mensual'!K56+parametros_recargas!$I$84*'Plan mensual'!K57+parametros_recargas!$J$84*'Plan mensual'!K58+parametros_recargas!$K$84*'Plan mensual'!K59+parametros_recargas!$L$84*'Plan mensual'!K60</f>
        <v>162.164300183373</v>
      </c>
      <c r="J46" s="25" t="n">
        <f aca="false">parametros_recargas!$E$84*'Plan mensual'!L53+parametros_recargas!$F$84*'Plan mensual'!L54+parametros_recargas!$G$84*'Plan mensual'!L55+parametros_recargas!$H$84*'Plan mensual'!L56+parametros_recargas!$I$84*'Plan mensual'!L57+parametros_recargas!$J$84*'Plan mensual'!L58+parametros_recargas!$K$84*'Plan mensual'!L59+parametros_recargas!$L$84*'Plan mensual'!L60</f>
        <v>171.826255800146</v>
      </c>
      <c r="K46" s="25" t="n">
        <f aca="false">parametros_recargas!$E$84*'Plan mensual'!M53+parametros_recargas!$F$84*'Plan mensual'!M54+parametros_recargas!$G$84*'Plan mensual'!M55+parametros_recargas!$H$84*'Plan mensual'!M56+parametros_recargas!$I$84*'Plan mensual'!M57+parametros_recargas!$J$84*'Plan mensual'!M58+parametros_recargas!$K$84*'Plan mensual'!M59+parametros_recargas!$L$84*'Plan mensual'!M60</f>
        <v>182.064932180119</v>
      </c>
      <c r="L46" s="25" t="n">
        <f aca="false">parametros_recargas!$E$84*'Plan mensual'!N53+parametros_recargas!$F$84*'Plan mensual'!N54+parametros_recargas!$G$84*'Plan mensual'!N55+parametros_recargas!$H$84*'Plan mensual'!N56+parametros_recargas!$I$84*'Plan mensual'!N57+parametros_recargas!$J$84*'Plan mensual'!N58+parametros_recargas!$K$84*'Plan mensual'!N59+parametros_recargas!$L$84*'Plan mensual'!N60</f>
        <v>192.914753704018</v>
      </c>
      <c r="M46" s="25" t="n">
        <f aca="false">parametros_recargas!$E$84*'Plan mensual'!O53+parametros_recargas!$F$84*'Plan mensual'!O54+parametros_recargas!$G$84*'Plan mensual'!O55+parametros_recargas!$H$84*'Plan mensual'!O56+parametros_recargas!$I$84*'Plan mensual'!O57+parametros_recargas!$J$84*'Plan mensual'!O58+parametros_recargas!$K$84*'Plan mensual'!O59+parametros_recargas!$L$84*'Plan mensual'!O60</f>
        <v>204.412199538982</v>
      </c>
      <c r="N46" s="7" t="n">
        <f aca="false">SUM(B46:M46)</f>
        <v>1820.06056200798</v>
      </c>
      <c r="O46" s="26" t="n">
        <f aca="false">MAX(B46:M46)</f>
        <v>204.412199538982</v>
      </c>
      <c r="P46" s="15" t="n">
        <f aca="false">O46/parametros_recargas!$B$6</f>
        <v>1.36274799692655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25" t="n">
        <f aca="false">parametros_recargas!$E$85*'Plan mensual'!D53+parametros_recargas!$F$85*'Plan mensual'!D54+parametros_recargas!$G$85*'Plan mensual'!D55+parametros_recargas!$H$85*'Plan mensual'!D56+parametros_recargas!$I$85*'Plan mensual'!D57+parametros_recargas!$J$85*'Plan mensual'!D58+parametros_recargas!$K$85*'Plan mensual'!D59+parametros_recargas!$L$85*'Plan mensual'!D60</f>
        <v>108.168071054695</v>
      </c>
      <c r="C47" s="25" t="n">
        <f aca="false">parametros_recargas!$E$85*'Plan mensual'!E53+parametros_recargas!$F$85*'Plan mensual'!E54+parametros_recargas!$G$85*'Plan mensual'!E55+parametros_recargas!$H$85*'Plan mensual'!E56+parametros_recargas!$I$85*'Plan mensual'!E57+parametros_recargas!$J$85*'Plan mensual'!E58+parametros_recargas!$K$85*'Plan mensual'!E59+parametros_recargas!$L$85*'Plan mensual'!E60</f>
        <v>114.606999397467</v>
      </c>
      <c r="D47" s="25" t="n">
        <f aca="false">parametros_recargas!$E$85*'Plan mensual'!F53+parametros_recargas!$F$85*'Plan mensual'!F54+parametros_recargas!$G$85*'Plan mensual'!F55+parametros_recargas!$H$85*'Plan mensual'!F56+parametros_recargas!$I$85*'Plan mensual'!F57+parametros_recargas!$J$85*'Plan mensual'!F58+parametros_recargas!$K$85*'Plan mensual'!F59+parametros_recargas!$L$85*'Plan mensual'!F60</f>
        <v>121.430266461646</v>
      </c>
      <c r="E47" s="25" t="n">
        <f aca="false">parametros_recargas!$E$85*'Plan mensual'!G53+parametros_recargas!$F$85*'Plan mensual'!G54+parametros_recargas!$G$85*'Plan mensual'!G55+parametros_recargas!$H$85*'Plan mensual'!G56+parametros_recargas!$I$85*'Plan mensual'!G57+parametros_recargas!$J$85*'Plan mensual'!G58+parametros_recargas!$K$85*'Plan mensual'!G59+parametros_recargas!$L$85*'Plan mensual'!G60</f>
        <v>128.660813371112</v>
      </c>
      <c r="F47" s="25" t="n">
        <f aca="false">parametros_recargas!$E$85*'Plan mensual'!H53+parametros_recargas!$F$85*'Plan mensual'!H54+parametros_recargas!$G$85*'Plan mensual'!H55+parametros_recargas!$H$85*'Plan mensual'!H56+parametros_recargas!$I$85*'Plan mensual'!H57+parametros_recargas!$J$85*'Plan mensual'!H58+parametros_recargas!$K$85*'Plan mensual'!H59+parametros_recargas!$L$85*'Plan mensual'!H60</f>
        <v>136.322950602184</v>
      </c>
      <c r="G47" s="25" t="n">
        <f aca="false">parametros_recargas!$E$85*'Plan mensual'!I53+parametros_recargas!$F$85*'Plan mensual'!I54+parametros_recargas!$G$85*'Plan mensual'!I55+parametros_recargas!$H$85*'Plan mensual'!I56+parametros_recargas!$I$85*'Plan mensual'!I57+parametros_recargas!$J$85*'Plan mensual'!I58+parametros_recargas!$K$85*'Plan mensual'!I59+parametros_recargas!$L$85*'Plan mensual'!I60</f>
        <v>144.442439720071</v>
      </c>
      <c r="H47" s="25" t="n">
        <f aca="false">parametros_recargas!$E$85*'Plan mensual'!J53+parametros_recargas!$F$85*'Plan mensual'!J54+parametros_recargas!$G$85*'Plan mensual'!J55+parametros_recargas!$H$85*'Plan mensual'!J56+parametros_recargas!$I$85*'Plan mensual'!J57+parametros_recargas!$J$85*'Plan mensual'!J58+parametros_recargas!$K$85*'Plan mensual'!J59+parametros_recargas!$L$85*'Plan mensual'!J60</f>
        <v>153.046579994162</v>
      </c>
      <c r="I47" s="25" t="n">
        <f aca="false">parametros_recargas!$E$85*'Plan mensual'!K53+parametros_recargas!$F$85*'Plan mensual'!K54+parametros_recargas!$G$85*'Plan mensual'!K55+parametros_recargas!$H$85*'Plan mensual'!K56+parametros_recargas!$I$85*'Plan mensual'!K57+parametros_recargas!$J$85*'Plan mensual'!K58+parametros_recargas!$K$85*'Plan mensual'!K59+parametros_recargas!$L$85*'Plan mensual'!K60</f>
        <v>162.164300183373</v>
      </c>
      <c r="J47" s="25" t="n">
        <f aca="false">parametros_recargas!$E$85*'Plan mensual'!L53+parametros_recargas!$F$85*'Plan mensual'!L54+parametros_recargas!$G$85*'Plan mensual'!L55+parametros_recargas!$H$85*'Plan mensual'!L56+parametros_recargas!$I$85*'Plan mensual'!L57+parametros_recargas!$J$85*'Plan mensual'!L58+parametros_recargas!$K$85*'Plan mensual'!L59+parametros_recargas!$L$85*'Plan mensual'!L60</f>
        <v>171.826255800146</v>
      </c>
      <c r="K47" s="25" t="n">
        <f aca="false">parametros_recargas!$E$85*'Plan mensual'!M53+parametros_recargas!$F$85*'Plan mensual'!M54+parametros_recargas!$G$85*'Plan mensual'!M55+parametros_recargas!$H$85*'Plan mensual'!M56+parametros_recargas!$I$85*'Plan mensual'!M57+parametros_recargas!$J$85*'Plan mensual'!M58+parametros_recargas!$K$85*'Plan mensual'!M59+parametros_recargas!$L$85*'Plan mensual'!M60</f>
        <v>182.064932180119</v>
      </c>
      <c r="L47" s="25" t="n">
        <f aca="false">parametros_recargas!$E$85*'Plan mensual'!N53+parametros_recargas!$F$85*'Plan mensual'!N54+parametros_recargas!$G$85*'Plan mensual'!N55+parametros_recargas!$H$85*'Plan mensual'!N56+parametros_recargas!$I$85*'Plan mensual'!N57+parametros_recargas!$J$85*'Plan mensual'!N58+parametros_recargas!$K$85*'Plan mensual'!N59+parametros_recargas!$L$85*'Plan mensual'!N60</f>
        <v>192.914753704018</v>
      </c>
      <c r="M47" s="25" t="n">
        <f aca="false">parametros_recargas!$E$85*'Plan mensual'!O53+parametros_recargas!$F$85*'Plan mensual'!O54+parametros_recargas!$G$85*'Plan mensual'!O55+parametros_recargas!$H$85*'Plan mensual'!O56+parametros_recargas!$I$85*'Plan mensual'!O57+parametros_recargas!$J$85*'Plan mensual'!O58+parametros_recargas!$K$85*'Plan mensual'!O59+parametros_recargas!$L$85*'Plan mensual'!O60</f>
        <v>204.412199538982</v>
      </c>
      <c r="N47" s="7" t="n">
        <f aca="false">SUM(B47:M47)</f>
        <v>1820.06056200798</v>
      </c>
      <c r="O47" s="26" t="n">
        <f aca="false">MAX(B47:M47)</f>
        <v>204.412199538982</v>
      </c>
      <c r="P47" s="15" t="n">
        <f aca="false">O47/parametros_recargas!$B$6</f>
        <v>1.36274799692655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25" t="n">
        <f aca="false">parametros_recargas!$E$86*'Plan mensual'!D53+parametros_recargas!$F$86*'Plan mensual'!D54+parametros_recargas!$G$86*'Plan mensual'!D55+parametros_recargas!$H$86*'Plan mensual'!D56+parametros_recargas!$I$86*'Plan mensual'!D57+parametros_recargas!$J$86*'Plan mensual'!D58+parametros_recargas!$K$86*'Plan mensual'!D59+parametros_recargas!$L$86*'Plan mensual'!D60</f>
        <v>54.1386296715137</v>
      </c>
      <c r="C48" s="25" t="n">
        <f aca="false">parametros_recargas!$E$86*'Plan mensual'!E53+parametros_recargas!$F$86*'Plan mensual'!E54+parametros_recargas!$G$86*'Plan mensual'!E55+parametros_recargas!$H$86*'Plan mensual'!E56+parametros_recargas!$I$86*'Plan mensual'!E57+parametros_recargas!$J$86*'Plan mensual'!E58+parametros_recargas!$K$86*'Plan mensual'!E59+parametros_recargas!$L$86*'Plan mensual'!E60</f>
        <v>57.3587162575557</v>
      </c>
      <c r="D48" s="25" t="n">
        <f aca="false">parametros_recargas!$E$86*'Plan mensual'!F53+parametros_recargas!$F$86*'Plan mensual'!F54+parametros_recargas!$G$86*'Plan mensual'!F55+parametros_recargas!$H$86*'Plan mensual'!F56+parametros_recargas!$I$86*'Plan mensual'!F57+parametros_recargas!$J$86*'Plan mensual'!F58+parametros_recargas!$K$86*'Plan mensual'!F59+parametros_recargas!$L$86*'Plan mensual'!F60</f>
        <v>60.7710093561438</v>
      </c>
      <c r="E48" s="25" t="n">
        <f aca="false">parametros_recargas!$E$86*'Plan mensual'!G53+parametros_recargas!$F$86*'Plan mensual'!G54+parametros_recargas!$G$86*'Plan mensual'!G55+parametros_recargas!$H$86*'Plan mensual'!G56+parametros_recargas!$I$86*'Plan mensual'!G57+parametros_recargas!$J$86*'Plan mensual'!G58+parametros_recargas!$K$86*'Plan mensual'!G59+parametros_recargas!$L$86*'Plan mensual'!G60</f>
        <v>64.3869817468065</v>
      </c>
      <c r="F48" s="25" t="n">
        <f aca="false">parametros_recargas!$E$86*'Plan mensual'!H53+parametros_recargas!$F$86*'Plan mensual'!H54+parametros_recargas!$G$86*'Plan mensual'!H55+parametros_recargas!$H$86*'Plan mensual'!H56+parametros_recargas!$I$86*'Plan mensual'!H57+parametros_recargas!$J$86*'Plan mensual'!H58+parametros_recargas!$K$86*'Plan mensual'!H59+parametros_recargas!$L$86*'Plan mensual'!H60</f>
        <v>68.2187910176589</v>
      </c>
      <c r="G48" s="25" t="n">
        <f aca="false">parametros_recargas!$E$86*'Plan mensual'!I53+parametros_recargas!$F$86*'Plan mensual'!I54+parametros_recargas!$G$86*'Plan mensual'!I55+parametros_recargas!$H$86*'Plan mensual'!I56+parametros_recargas!$I$86*'Plan mensual'!I57+parametros_recargas!$J$86*'Plan mensual'!I58+parametros_recargas!$K$86*'Plan mensual'!I59+parametros_recargas!$L$86*'Plan mensual'!I60</f>
        <v>72.2793204415296</v>
      </c>
      <c r="H48" s="25" t="n">
        <f aca="false">parametros_recargas!$E$86*'Plan mensual'!J53+parametros_recargas!$F$86*'Plan mensual'!J54+parametros_recargas!$G$86*'Plan mensual'!J55+parametros_recargas!$H$86*'Plan mensual'!J56+parametros_recargas!$I$86*'Plan mensual'!J57+parametros_recargas!$J$86*'Plan mensual'!J58+parametros_recargas!$K$86*'Plan mensual'!J59+parametros_recargas!$L$86*'Plan mensual'!J60</f>
        <v>76.582222291979</v>
      </c>
      <c r="I48" s="25" t="n">
        <f aca="false">parametros_recargas!$E$86*'Plan mensual'!K53+parametros_recargas!$F$86*'Plan mensual'!K54+parametros_recargas!$G$86*'Plan mensual'!K55+parametros_recargas!$H$86*'Plan mensual'!K56+parametros_recargas!$I$86*'Plan mensual'!K57+parametros_recargas!$J$86*'Plan mensual'!K58+parametros_recargas!$K$86*'Plan mensual'!K59+parametros_recargas!$L$86*'Plan mensual'!K60</f>
        <v>81.141963744844</v>
      </c>
      <c r="J48" s="25" t="n">
        <f aca="false">parametros_recargas!$E$86*'Plan mensual'!L53+parametros_recargas!$F$86*'Plan mensual'!L54+parametros_recargas!$G$86*'Plan mensual'!L55+parametros_recargas!$H$86*'Plan mensual'!L56+parametros_recargas!$I$86*'Plan mensual'!L57+parametros_recargas!$J$86*'Plan mensual'!L58+parametros_recargas!$K$86*'Plan mensual'!L59+parametros_recargas!$L$86*'Plan mensual'!L60</f>
        <v>85.9738755196391</v>
      </c>
      <c r="K48" s="25" t="n">
        <f aca="false">parametros_recargas!$E$86*'Plan mensual'!M53+parametros_recargas!$F$86*'Plan mensual'!M54+parametros_recargas!$G$86*'Plan mensual'!M55+parametros_recargas!$H$86*'Plan mensual'!M56+parametros_recargas!$I$86*'Plan mensual'!M57+parametros_recargas!$J$86*'Plan mensual'!M58+parametros_recargas!$K$86*'Plan mensual'!M59+parametros_recargas!$L$86*'Plan mensual'!M60</f>
        <v>91.0942034243573</v>
      </c>
      <c r="L48" s="25" t="n">
        <f aca="false">parametros_recargas!$E$86*'Plan mensual'!N53+parametros_recargas!$F$86*'Plan mensual'!N54+parametros_recargas!$G$86*'Plan mensual'!N55+parametros_recargas!$H$86*'Plan mensual'!N56+parametros_recargas!$I$86*'Plan mensual'!N57+parametros_recargas!$J$86*'Plan mensual'!N58+parametros_recargas!$K$86*'Plan mensual'!N59+parametros_recargas!$L$86*'Plan mensual'!N60</f>
        <v>96.5201629769708</v>
      </c>
      <c r="M48" s="25" t="n">
        <f aca="false">parametros_recargas!$E$86*'Plan mensual'!O53+parametros_recargas!$F$86*'Plan mensual'!O54+parametros_recargas!$G$86*'Plan mensual'!O55+parametros_recargas!$H$86*'Plan mensual'!O56+parametros_recargas!$I$86*'Plan mensual'!O57+parametros_recargas!$J$86*'Plan mensual'!O58+parametros_recargas!$K$86*'Plan mensual'!O59+parametros_recargas!$L$86*'Plan mensual'!O60</f>
        <v>102.269997287283</v>
      </c>
      <c r="N48" s="7" t="n">
        <f aca="false">SUM(B48:M48)</f>
        <v>910.735873736281</v>
      </c>
      <c r="O48" s="26" t="n">
        <f aca="false">MAX(B48:M48)</f>
        <v>102.269997287283</v>
      </c>
      <c r="P48" s="15" t="n">
        <f aca="false">O48/parametros_recargas!$B$6</f>
        <v>0.68179998191522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25" t="n">
        <f aca="false">parametros_recargas!$E$87*'Plan mensual'!D53+parametros_recargas!$F$87*'Plan mensual'!D54+parametros_recargas!$G$87*'Plan mensual'!D55+parametros_recargas!$H$87*'Plan mensual'!D56+parametros_recargas!$I$87*'Plan mensual'!D57+parametros_recargas!$J$87*'Plan mensual'!D58+parametros_recargas!$K$87*'Plan mensual'!D59+parametros_recargas!$L$87*'Plan mensual'!D60</f>
        <v>473.083628981356</v>
      </c>
      <c r="C49" s="25" t="n">
        <f aca="false">parametros_recargas!$E$87*'Plan mensual'!E53+parametros_recargas!$F$87*'Plan mensual'!E54+parametros_recargas!$G$87*'Plan mensual'!E55+parametros_recargas!$H$87*'Plan mensual'!E56+parametros_recargas!$I$87*'Plan mensual'!E57+parametros_recargas!$J$87*'Plan mensual'!E58+parametros_recargas!$K$87*'Plan mensual'!E59+parametros_recargas!$L$87*'Plan mensual'!E60</f>
        <v>501.262233975975</v>
      </c>
      <c r="D49" s="25" t="n">
        <f aca="false">parametros_recargas!$E$87*'Plan mensual'!F53+parametros_recargas!$F$87*'Plan mensual'!F54+parametros_recargas!$G$87*'Plan mensual'!F55+parametros_recargas!$H$87*'Plan mensual'!F56+parametros_recargas!$I$87*'Plan mensual'!F57+parametros_recargas!$J$87*'Plan mensual'!F58+parametros_recargas!$K$87*'Plan mensual'!F59+parametros_recargas!$L$87*'Plan mensual'!F60</f>
        <v>531.12281591429</v>
      </c>
      <c r="E49" s="25" t="n">
        <f aca="false">parametros_recargas!$E$87*'Plan mensual'!G53+parametros_recargas!$F$87*'Plan mensual'!G54+parametros_recargas!$G$87*'Plan mensual'!G55+parametros_recargas!$H$87*'Plan mensual'!G56+parametros_recargas!$I$87*'Plan mensual'!G57+parametros_recargas!$J$87*'Plan mensual'!G58+parametros_recargas!$K$87*'Plan mensual'!G59+parametros_recargas!$L$87*'Plan mensual'!G60</f>
        <v>562.765771762001</v>
      </c>
      <c r="F49" s="25" t="n">
        <f aca="false">parametros_recargas!$E$87*'Plan mensual'!H53+parametros_recargas!$F$87*'Plan mensual'!H54+parametros_recargas!$G$87*'Plan mensual'!H55+parametros_recargas!$H$87*'Plan mensual'!H56+parametros_recargas!$I$87*'Plan mensual'!H57+parametros_recargas!$J$87*'Plan mensual'!H58+parametros_recargas!$K$87*'Plan mensual'!H59+parametros_recargas!$L$87*'Plan mensual'!H60</f>
        <v>596.29749116548</v>
      </c>
      <c r="G49" s="25" t="n">
        <f aca="false">parametros_recargas!$E$87*'Plan mensual'!I53+parametros_recargas!$F$87*'Plan mensual'!I54+parametros_recargas!$G$87*'Plan mensual'!I55+parametros_recargas!$H$87*'Plan mensual'!I56+parametros_recargas!$I$87*'Plan mensual'!I57+parametros_recargas!$J$87*'Plan mensual'!I58+parametros_recargas!$K$87*'Plan mensual'!I59+parametros_recargas!$L$87*'Plan mensual'!I60</f>
        <v>631.830714154033</v>
      </c>
      <c r="H49" s="25" t="n">
        <f aca="false">parametros_recargas!$E$87*'Plan mensual'!J53+parametros_recargas!$F$87*'Plan mensual'!J54+parametros_recargas!$G$87*'Plan mensual'!J55+parametros_recargas!$H$87*'Plan mensual'!J56+parametros_recargas!$I$87*'Plan mensual'!J57+parametros_recargas!$J$87*'Plan mensual'!J58+parametros_recargas!$K$87*'Plan mensual'!J59+parametros_recargas!$L$87*'Plan mensual'!J60</f>
        <v>669.484910193359</v>
      </c>
      <c r="I49" s="25" t="n">
        <f aca="false">parametros_recargas!$E$87*'Plan mensual'!K53+parametros_recargas!$F$87*'Plan mensual'!K54+parametros_recargas!$G$87*'Plan mensual'!K55+parametros_recargas!$H$87*'Plan mensual'!K56+parametros_recargas!$I$87*'Plan mensual'!K57+parametros_recargas!$J$87*'Plan mensual'!K58+parametros_recargas!$K$87*'Plan mensual'!K59+parametros_recargas!$L$87*'Plan mensual'!K60</f>
        <v>709.386679864652</v>
      </c>
      <c r="J49" s="25" t="n">
        <f aca="false">parametros_recargas!$E$87*'Plan mensual'!L53+parametros_recargas!$F$87*'Plan mensual'!L54+parametros_recargas!$G$87*'Plan mensual'!L55+parametros_recargas!$H$87*'Plan mensual'!L56+parametros_recargas!$I$87*'Plan mensual'!L57+parametros_recargas!$J$87*'Plan mensual'!L58+parametros_recargas!$K$87*'Plan mensual'!L59+parametros_recargas!$L$87*'Plan mensual'!L60</f>
        <v>751.67018051988</v>
      </c>
      <c r="K49" s="25" t="n">
        <f aca="false">parametros_recargas!$E$87*'Plan mensual'!M53+parametros_recargas!$F$87*'Plan mensual'!M54+parametros_recargas!$G$87*'Plan mensual'!M55+parametros_recargas!$H$87*'Plan mensual'!M56+parametros_recargas!$I$87*'Plan mensual'!M57+parametros_recargas!$J$87*'Plan mensual'!M58+parametros_recargas!$K$87*'Plan mensual'!M59+parametros_recargas!$L$87*'Plan mensual'!M60</f>
        <v>796.477577344363</v>
      </c>
      <c r="L49" s="25" t="n">
        <f aca="false">parametros_recargas!$E$87*'Plan mensual'!N53+parametros_recargas!$F$87*'Plan mensual'!N54+parametros_recargas!$G$87*'Plan mensual'!N55+parametros_recargas!$H$87*'Plan mensual'!N56+parametros_recargas!$I$87*'Plan mensual'!N57+parametros_recargas!$J$87*'Plan mensual'!N58+parametros_recargas!$K$87*'Plan mensual'!N59+parametros_recargas!$L$87*'Plan mensual'!N60</f>
        <v>843.959521343207</v>
      </c>
      <c r="M49" s="25" t="n">
        <f aca="false">parametros_recargas!$E$87*'Plan mensual'!O53+parametros_recargas!$F$87*'Plan mensual'!O54+parametros_recargas!$G$87*'Plan mensual'!O55+parametros_recargas!$H$87*'Plan mensual'!O56+parametros_recargas!$I$87*'Plan mensual'!O57+parametros_recargas!$J$87*'Plan mensual'!O58+parametros_recargas!$K$87*'Plan mensual'!O59+parametros_recargas!$L$87*'Plan mensual'!O60</f>
        <v>894.275655858691</v>
      </c>
      <c r="N49" s="7" t="n">
        <f aca="false">SUM(B49:M49)</f>
        <v>7961.61718107728</v>
      </c>
      <c r="O49" s="26" t="n">
        <f aca="false">MAX(B49:M49)</f>
        <v>894.275655858691</v>
      </c>
      <c r="P49" s="15" t="n">
        <f aca="false">O49/parametros_recargas!$B$6</f>
        <v>5.9618377057246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25" t="n">
        <f aca="false">parametros_recargas!$E$88*'Plan mensual'!D53+parametros_recargas!$F$88*'Plan mensual'!D54+parametros_recargas!$G$88*'Plan mensual'!D55+parametros_recargas!$H$88*'Plan mensual'!D56+parametros_recargas!$I$88*'Plan mensual'!D57+parametros_recargas!$J$88*'Plan mensual'!D58+parametros_recargas!$K$88*'Plan mensual'!D59+parametros_recargas!$L$88*'Plan mensual'!D60</f>
        <v>0.889072767111026</v>
      </c>
      <c r="C50" s="25" t="n">
        <f aca="false">parametros_recargas!$E$88*'Plan mensual'!E53+parametros_recargas!$F$88*'Plan mensual'!E54+parametros_recargas!$G$88*'Plan mensual'!E55+parametros_recargas!$H$88*'Plan mensual'!E56+parametros_recargas!$I$88*'Plan mensual'!E57+parametros_recargas!$J$88*'Plan mensual'!E58+parametros_recargas!$K$88*'Plan mensual'!E59+parametros_recargas!$L$88*'Plan mensual'!E60</f>
        <v>0.9371672398679</v>
      </c>
      <c r="D50" s="25" t="n">
        <f aca="false">parametros_recargas!$E$88*'Plan mensual'!F53+parametros_recargas!$F$88*'Plan mensual'!F54+parametros_recargas!$G$88*'Plan mensual'!F55+parametros_recargas!$H$88*'Plan mensual'!F56+parametros_recargas!$I$88*'Plan mensual'!F57+parametros_recargas!$J$88*'Plan mensual'!F58+parametros_recargas!$K$88*'Plan mensual'!F59+parametros_recargas!$L$88*'Plan mensual'!F60</f>
        <v>0.988132464896282</v>
      </c>
      <c r="E50" s="25" t="n">
        <f aca="false">parametros_recargas!$E$88*'Plan mensual'!G53+parametros_recargas!$F$88*'Plan mensual'!G54+parametros_recargas!$G$88*'Plan mensual'!G55+parametros_recargas!$H$88*'Plan mensual'!G56+parametros_recargas!$I$88*'Plan mensual'!G57+parametros_recargas!$J$88*'Plan mensual'!G58+parametros_recargas!$K$88*'Plan mensual'!G59+parametros_recargas!$L$88*'Plan mensual'!G60</f>
        <v>1.04213979699293</v>
      </c>
      <c r="F50" s="25" t="n">
        <f aca="false">parametros_recargas!$E$88*'Plan mensual'!H53+parametros_recargas!$F$88*'Plan mensual'!H54+parametros_recargas!$G$88*'Plan mensual'!H55+parametros_recargas!$H$88*'Plan mensual'!H56+parametros_recargas!$I$88*'Plan mensual'!H57+parametros_recargas!$J$88*'Plan mensual'!H58+parametros_recargas!$K$88*'Plan mensual'!H59+parametros_recargas!$L$88*'Plan mensual'!H60</f>
        <v>1.09937081909817</v>
      </c>
      <c r="G50" s="25" t="n">
        <f aca="false">parametros_recargas!$E$88*'Plan mensual'!I53+parametros_recargas!$F$88*'Plan mensual'!I54+parametros_recargas!$G$88*'Plan mensual'!I55+parametros_recargas!$H$88*'Plan mensual'!I56+parametros_recargas!$I$88*'Plan mensual'!I57+parametros_recargas!$J$88*'Plan mensual'!I58+parametros_recargas!$K$88*'Plan mensual'!I59+parametros_recargas!$L$88*'Plan mensual'!I60</f>
        <v>1.16001795281232</v>
      </c>
      <c r="H50" s="25" t="n">
        <f aca="false">parametros_recargas!$E$88*'Plan mensual'!J53+parametros_recargas!$F$88*'Plan mensual'!J54+parametros_recargas!$G$88*'Plan mensual'!J55+parametros_recargas!$H$88*'Plan mensual'!J56+parametros_recargas!$I$88*'Plan mensual'!J57+parametros_recargas!$J$88*'Plan mensual'!J58+parametros_recargas!$K$88*'Plan mensual'!J59+parametros_recargas!$L$88*'Plan mensual'!J60</f>
        <v>1.2242851053538</v>
      </c>
      <c r="I50" s="25" t="n">
        <f aca="false">parametros_recargas!$E$88*'Plan mensual'!K53+parametros_recargas!$F$88*'Plan mensual'!K54+parametros_recargas!$G$88*'Plan mensual'!K55+parametros_recargas!$H$88*'Plan mensual'!K56+parametros_recargas!$I$88*'Plan mensual'!K57+parametros_recargas!$J$88*'Plan mensual'!K58+parametros_recargas!$K$88*'Plan mensual'!K59+parametros_recargas!$L$88*'Plan mensual'!K60</f>
        <v>1.29238835513403</v>
      </c>
      <c r="J50" s="25" t="n">
        <f aca="false">parametros_recargas!$E$88*'Plan mensual'!L53+parametros_recargas!$F$88*'Plan mensual'!L54+parametros_recargas!$G$88*'Plan mensual'!L55+parametros_recargas!$H$88*'Plan mensual'!L56+parametros_recargas!$I$88*'Plan mensual'!L57+parametros_recargas!$J$88*'Plan mensual'!L58+parametros_recargas!$K$88*'Plan mensual'!L59+parametros_recargas!$L$88*'Plan mensual'!L60</f>
        <v>1.36455667825423</v>
      </c>
      <c r="K50" s="25" t="n">
        <f aca="false">parametros_recargas!$E$88*'Plan mensual'!M53+parametros_recargas!$F$88*'Plan mensual'!M54+parametros_recargas!$G$88*'Plan mensual'!M55+parametros_recargas!$H$88*'Plan mensual'!M56+parametros_recargas!$I$88*'Plan mensual'!M57+parametros_recargas!$J$88*'Plan mensual'!M58+parametros_recargas!$K$88*'Plan mensual'!M59+parametros_recargas!$L$88*'Plan mensual'!M60</f>
        <v>1.44103271836668</v>
      </c>
      <c r="L50" s="25" t="n">
        <f aca="false">parametros_recargas!$E$88*'Plan mensual'!N53+parametros_recargas!$F$88*'Plan mensual'!N54+parametros_recargas!$G$88*'Plan mensual'!N55+parametros_recargas!$H$88*'Plan mensual'!N56+parametros_recargas!$I$88*'Plan mensual'!N57+parametros_recargas!$J$88*'Plan mensual'!N58+parametros_recargas!$K$88*'Plan mensual'!N59+parametros_recargas!$L$88*'Plan mensual'!N60</f>
        <v>1.52207360248894</v>
      </c>
      <c r="M50" s="25" t="n">
        <f aca="false">parametros_recargas!$E$88*'Plan mensual'!O53+parametros_recargas!$F$88*'Plan mensual'!O54+parametros_recargas!$G$88*'Plan mensual'!O55+parametros_recargas!$H$88*'Plan mensual'!O56+parametros_recargas!$I$88*'Plan mensual'!O57+parametros_recargas!$J$88*'Plan mensual'!O58+parametros_recargas!$K$88*'Plan mensual'!O59+parametros_recargas!$L$88*'Plan mensual'!O60</f>
        <v>1.60795180551383</v>
      </c>
      <c r="N50" s="7" t="n">
        <f aca="false">SUM(B50:M50)</f>
        <v>14.5681893058901</v>
      </c>
      <c r="O50" s="26" t="n">
        <f aca="false">MAX(B50:M50)</f>
        <v>1.60795180551383</v>
      </c>
      <c r="P50" s="15" t="n">
        <f aca="false">O50/parametros_recargas!$B$6</f>
        <v>0.0107196787034255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25" t="n">
        <f aca="false">parametros_recargas!$E$89*'Plan mensual'!D53+parametros_recargas!$F$89*'Plan mensual'!D54+parametros_recargas!$G$89*'Plan mensual'!D55+parametros_recargas!$H$89*'Plan mensual'!D56+parametros_recargas!$I$89*'Plan mensual'!D57+parametros_recargas!$J$89*'Plan mensual'!D58+parametros_recargas!$K$89*'Plan mensual'!D59+parametros_recargas!$L$89*'Plan mensual'!D60</f>
        <v>0.889072767111026</v>
      </c>
      <c r="C51" s="25" t="n">
        <f aca="false">parametros_recargas!$E$89*'Plan mensual'!E53+parametros_recargas!$F$89*'Plan mensual'!E54+parametros_recargas!$G$89*'Plan mensual'!E55+parametros_recargas!$H$89*'Plan mensual'!E56+parametros_recargas!$I$89*'Plan mensual'!E57+parametros_recargas!$J$89*'Plan mensual'!E58+parametros_recargas!$K$89*'Plan mensual'!E59+parametros_recargas!$L$89*'Plan mensual'!E60</f>
        <v>0.9371672398679</v>
      </c>
      <c r="D51" s="25" t="n">
        <f aca="false">parametros_recargas!$E$89*'Plan mensual'!F53+parametros_recargas!$F$89*'Plan mensual'!F54+parametros_recargas!$G$89*'Plan mensual'!F55+parametros_recargas!$H$89*'Plan mensual'!F56+parametros_recargas!$I$89*'Plan mensual'!F57+parametros_recargas!$J$89*'Plan mensual'!F58+parametros_recargas!$K$89*'Plan mensual'!F59+parametros_recargas!$L$89*'Plan mensual'!F60</f>
        <v>0.988132464896282</v>
      </c>
      <c r="E51" s="25" t="n">
        <f aca="false">parametros_recargas!$E$89*'Plan mensual'!G53+parametros_recargas!$F$89*'Plan mensual'!G54+parametros_recargas!$G$89*'Plan mensual'!G55+parametros_recargas!$H$89*'Plan mensual'!G56+parametros_recargas!$I$89*'Plan mensual'!G57+parametros_recargas!$J$89*'Plan mensual'!G58+parametros_recargas!$K$89*'Plan mensual'!G59+parametros_recargas!$L$89*'Plan mensual'!G60</f>
        <v>1.04213979699293</v>
      </c>
      <c r="F51" s="25" t="n">
        <f aca="false">parametros_recargas!$E$89*'Plan mensual'!H53+parametros_recargas!$F$89*'Plan mensual'!H54+parametros_recargas!$G$89*'Plan mensual'!H55+parametros_recargas!$H$89*'Plan mensual'!H56+parametros_recargas!$I$89*'Plan mensual'!H57+parametros_recargas!$J$89*'Plan mensual'!H58+parametros_recargas!$K$89*'Plan mensual'!H59+parametros_recargas!$L$89*'Plan mensual'!H60</f>
        <v>1.09937081909817</v>
      </c>
      <c r="G51" s="25" t="n">
        <f aca="false">parametros_recargas!$E$89*'Plan mensual'!I53+parametros_recargas!$F$89*'Plan mensual'!I54+parametros_recargas!$G$89*'Plan mensual'!I55+parametros_recargas!$H$89*'Plan mensual'!I56+parametros_recargas!$I$89*'Plan mensual'!I57+parametros_recargas!$J$89*'Plan mensual'!I58+parametros_recargas!$K$89*'Plan mensual'!I59+parametros_recargas!$L$89*'Plan mensual'!I60</f>
        <v>1.16001795281232</v>
      </c>
      <c r="H51" s="25" t="n">
        <f aca="false">parametros_recargas!$E$89*'Plan mensual'!J53+parametros_recargas!$F$89*'Plan mensual'!J54+parametros_recargas!$G$89*'Plan mensual'!J55+parametros_recargas!$H$89*'Plan mensual'!J56+parametros_recargas!$I$89*'Plan mensual'!J57+parametros_recargas!$J$89*'Plan mensual'!J58+parametros_recargas!$K$89*'Plan mensual'!J59+parametros_recargas!$L$89*'Plan mensual'!J60</f>
        <v>1.2242851053538</v>
      </c>
      <c r="I51" s="25" t="n">
        <f aca="false">parametros_recargas!$E$89*'Plan mensual'!K53+parametros_recargas!$F$89*'Plan mensual'!K54+parametros_recargas!$G$89*'Plan mensual'!K55+parametros_recargas!$H$89*'Plan mensual'!K56+parametros_recargas!$I$89*'Plan mensual'!K57+parametros_recargas!$J$89*'Plan mensual'!K58+parametros_recargas!$K$89*'Plan mensual'!K59+parametros_recargas!$L$89*'Plan mensual'!K60</f>
        <v>1.29238835513403</v>
      </c>
      <c r="J51" s="25" t="n">
        <f aca="false">parametros_recargas!$E$89*'Plan mensual'!L53+parametros_recargas!$F$89*'Plan mensual'!L54+parametros_recargas!$G$89*'Plan mensual'!L55+parametros_recargas!$H$89*'Plan mensual'!L56+parametros_recargas!$I$89*'Plan mensual'!L57+parametros_recargas!$J$89*'Plan mensual'!L58+parametros_recargas!$K$89*'Plan mensual'!L59+parametros_recargas!$L$89*'Plan mensual'!L60</f>
        <v>1.36455667825423</v>
      </c>
      <c r="K51" s="25" t="n">
        <f aca="false">parametros_recargas!$E$89*'Plan mensual'!M53+parametros_recargas!$F$89*'Plan mensual'!M54+parametros_recargas!$G$89*'Plan mensual'!M55+parametros_recargas!$H$89*'Plan mensual'!M56+parametros_recargas!$I$89*'Plan mensual'!M57+parametros_recargas!$J$89*'Plan mensual'!M58+parametros_recargas!$K$89*'Plan mensual'!M59+parametros_recargas!$L$89*'Plan mensual'!M60</f>
        <v>1.44103271836668</v>
      </c>
      <c r="L51" s="25" t="n">
        <f aca="false">parametros_recargas!$E$89*'Plan mensual'!N53+parametros_recargas!$F$89*'Plan mensual'!N54+parametros_recargas!$G$89*'Plan mensual'!N55+parametros_recargas!$H$89*'Plan mensual'!N56+parametros_recargas!$I$89*'Plan mensual'!N57+parametros_recargas!$J$89*'Plan mensual'!N58+parametros_recargas!$K$89*'Plan mensual'!N59+parametros_recargas!$L$89*'Plan mensual'!N60</f>
        <v>1.52207360248894</v>
      </c>
      <c r="M51" s="25" t="n">
        <f aca="false">parametros_recargas!$E$89*'Plan mensual'!O53+parametros_recargas!$F$89*'Plan mensual'!O54+parametros_recargas!$G$89*'Plan mensual'!O55+parametros_recargas!$H$89*'Plan mensual'!O56+parametros_recargas!$I$89*'Plan mensual'!O57+parametros_recargas!$J$89*'Plan mensual'!O58+parametros_recargas!$K$89*'Plan mensual'!O59+parametros_recargas!$L$89*'Plan mensual'!O60</f>
        <v>1.60795180551383</v>
      </c>
      <c r="N51" s="7" t="n">
        <f aca="false">SUM(B51:M51)</f>
        <v>14.5681893058901</v>
      </c>
      <c r="O51" s="26" t="n">
        <f aca="false">MAX(B51:M51)</f>
        <v>1.60795180551383</v>
      </c>
      <c r="P51" s="15" t="n">
        <f aca="false">O51/parametros_recargas!$B$6</f>
        <v>0.0107196787034255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25" t="n">
        <f aca="false">parametros_recargas!$E$90*'Plan mensual'!D53+parametros_recargas!$F$90*'Plan mensual'!D54+parametros_recargas!$G$90*'Plan mensual'!D55+parametros_recargas!$H$90*'Plan mensual'!D56+parametros_recargas!$I$90*'Plan mensual'!D57+parametros_recargas!$J$90*'Plan mensual'!D58+parametros_recargas!$K$90*'Plan mensual'!D59+parametros_recargas!$L$90*'Plan mensual'!D60</f>
        <v>24.2890301674388</v>
      </c>
      <c r="C52" s="25" t="n">
        <f aca="false">parametros_recargas!$E$90*'Plan mensual'!E53+parametros_recargas!$F$90*'Plan mensual'!E54+parametros_recargas!$G$90*'Plan mensual'!E55+parametros_recargas!$H$90*'Plan mensual'!E56+parametros_recargas!$I$90*'Plan mensual'!E57+parametros_recargas!$J$90*'Plan mensual'!E58+parametros_recargas!$K$90*'Plan mensual'!E59+parametros_recargas!$L$90*'Plan mensual'!E60</f>
        <v>25.7089940110057</v>
      </c>
      <c r="D52" s="25" t="n">
        <f aca="false">parametros_recargas!$E$90*'Plan mensual'!F53+parametros_recargas!$F$90*'Plan mensual'!F54+parametros_recargas!$G$90*'Plan mensual'!F55+parametros_recargas!$H$90*'Plan mensual'!F56+parametros_recargas!$I$90*'Plan mensual'!F57+parametros_recargas!$J$90*'Plan mensual'!F58+parametros_recargas!$K$90*'Plan mensual'!F59+parametros_recargas!$L$90*'Plan mensual'!F60</f>
        <v>27.2137152954116</v>
      </c>
      <c r="E52" s="25" t="n">
        <f aca="false">parametros_recargas!$E$90*'Plan mensual'!G53+parametros_recargas!$F$90*'Plan mensual'!G54+parametros_recargas!$G$90*'Plan mensual'!G55+parametros_recargas!$H$90*'Plan mensual'!G56+parametros_recargas!$I$90*'Plan mensual'!G57+parametros_recargas!$J$90*'Plan mensual'!G58+parametros_recargas!$K$90*'Plan mensual'!G59+parametros_recargas!$L$90*'Plan mensual'!G60</f>
        <v>28.8082531803037</v>
      </c>
      <c r="F52" s="25" t="n">
        <f aca="false">parametros_recargas!$E$90*'Plan mensual'!H53+parametros_recargas!$F$90*'Plan mensual'!H54+parametros_recargas!$G$90*'Plan mensual'!H55+parametros_recargas!$H$90*'Plan mensual'!H56+parametros_recargas!$I$90*'Plan mensual'!H57+parametros_recargas!$J$90*'Plan mensual'!H58+parametros_recargas!$K$90*'Plan mensual'!H59+parametros_recargas!$L$90*'Plan mensual'!H60</f>
        <v>30.4979688058523</v>
      </c>
      <c r="G52" s="25" t="n">
        <f aca="false">parametros_recargas!$E$90*'Plan mensual'!I53+parametros_recargas!$F$90*'Plan mensual'!I54+parametros_recargas!$G$90*'Plan mensual'!I55+parametros_recargas!$H$90*'Plan mensual'!I56+parametros_recargas!$I$90*'Plan mensual'!I57+parametros_recargas!$J$90*'Plan mensual'!I58+parametros_recargas!$K$90*'Plan mensual'!I59+parametros_recargas!$L$90*'Plan mensual'!I60</f>
        <v>32.2885433179255</v>
      </c>
      <c r="H52" s="25" t="n">
        <f aca="false">parametros_recargas!$E$90*'Plan mensual'!J53+parametros_recargas!$F$90*'Plan mensual'!J54+parametros_recargas!$G$90*'Plan mensual'!J55+parametros_recargas!$H$90*'Plan mensual'!J56+parametros_recargas!$I$90*'Plan mensual'!J57+parametros_recargas!$J$90*'Plan mensual'!J58+parametros_recargas!$K$90*'Plan mensual'!J59+parametros_recargas!$L$90*'Plan mensual'!J60</f>
        <v>34.1859969691842</v>
      </c>
      <c r="I52" s="25" t="n">
        <f aca="false">parametros_recargas!$E$90*'Plan mensual'!K53+parametros_recargas!$F$90*'Plan mensual'!K54+parametros_recargas!$G$90*'Plan mensual'!K55+parametros_recargas!$H$90*'Plan mensual'!K56+parametros_recargas!$I$90*'Plan mensual'!K57+parametros_recargas!$J$90*'Plan mensual'!K58+parametros_recargas!$K$90*'Plan mensual'!K59+parametros_recargas!$L$90*'Plan mensual'!K60</f>
        <v>36.1967093603188</v>
      </c>
      <c r="J52" s="25" t="n">
        <f aca="false">parametros_recargas!$E$90*'Plan mensual'!L53+parametros_recargas!$F$90*'Plan mensual'!L54+parametros_recargas!$G$90*'Plan mensual'!L55+parametros_recargas!$H$90*'Plan mensual'!L56+parametros_recargas!$I$90*'Plan mensual'!L57+parametros_recargas!$J$90*'Plan mensual'!L58+parametros_recargas!$K$90*'Plan mensual'!L59+parametros_recargas!$L$90*'Plan mensual'!L60</f>
        <v>38.3274408894816</v>
      </c>
      <c r="K52" s="25" t="n">
        <f aca="false">parametros_recargas!$E$90*'Plan mensual'!M53+parametros_recargas!$F$90*'Plan mensual'!M54+parametros_recargas!$G$90*'Plan mensual'!M55+parametros_recargas!$H$90*'Plan mensual'!M56+parametros_recargas!$I$90*'Plan mensual'!M57+parametros_recargas!$J$90*'Plan mensual'!M58+parametros_recargas!$K$90*'Plan mensual'!M59+parametros_recargas!$L$90*'Plan mensual'!M60</f>
        <v>40.5853554820338</v>
      </c>
      <c r="L52" s="25" t="n">
        <f aca="false">parametros_recargas!$E$90*'Plan mensual'!N53+parametros_recargas!$F$90*'Plan mensual'!N54+parametros_recargas!$G$90*'Plan mensual'!N55+parametros_recargas!$H$90*'Plan mensual'!N56+parametros_recargas!$I$90*'Plan mensual'!N57+parametros_recargas!$J$90*'Plan mensual'!N58+parametros_recargas!$K$90*'Plan mensual'!N59+parametros_recargas!$L$90*'Plan mensual'!N60</f>
        <v>42.9780446770276</v>
      </c>
      <c r="M52" s="25" t="n">
        <f aca="false">parametros_recargas!$E$90*'Plan mensual'!O53+parametros_recargas!$F$90*'Plan mensual'!O54+parametros_recargas!$G$90*'Plan mensual'!O55+parametros_recargas!$H$90*'Plan mensual'!O56+parametros_recargas!$I$90*'Plan mensual'!O57+parametros_recargas!$J$90*'Plan mensual'!O58+parametros_recargas!$K$90*'Plan mensual'!O59+parametros_recargas!$L$90*'Plan mensual'!O60</f>
        <v>45.5135531514065</v>
      </c>
      <c r="N52" s="7" t="n">
        <f aca="false">SUM(B52:M52)</f>
        <v>406.59360530739</v>
      </c>
      <c r="O52" s="26" t="n">
        <f aca="false">MAX(B52:M52)</f>
        <v>45.5135531514065</v>
      </c>
      <c r="P52" s="15" t="n">
        <f aca="false">O52/parametros_recargas!$B$6</f>
        <v>0.303423687676043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25" t="n">
        <f aca="false">parametros_recargas!$E$91*'Plan mensual'!D53+parametros_recargas!$F$91*'Plan mensual'!D54+parametros_recargas!$G$91*'Plan mensual'!D55+parametros_recargas!$H$91*'Plan mensual'!D56+parametros_recargas!$I$91*'Plan mensual'!D57+parametros_recargas!$J$91*'Plan mensual'!D58+parametros_recargas!$K$91*'Plan mensual'!D59+parametros_recargas!$L$91*'Plan mensual'!D60</f>
        <v>12.0701385249115</v>
      </c>
      <c r="C53" s="25" t="n">
        <f aca="false">parametros_recargas!$E$91*'Plan mensual'!E53+parametros_recargas!$F$91*'Plan mensual'!E54+parametros_recargas!$G$91*'Plan mensual'!E55+parametros_recargas!$H$91*'Plan mensual'!E56+parametros_recargas!$I$91*'Plan mensual'!E57+parametros_recargas!$J$91*'Plan mensual'!E58+parametros_recargas!$K$91*'Plan mensual'!E59+parametros_recargas!$L$91*'Plan mensual'!E60</f>
        <v>12.7876188921188</v>
      </c>
      <c r="D53" s="25" t="n">
        <f aca="false">parametros_recargas!$E$91*'Plan mensual'!F53+parametros_recargas!$F$91*'Plan mensual'!F54+parametros_recargas!$G$91*'Plan mensual'!F55+parametros_recargas!$H$91*'Plan mensual'!F56+parametros_recargas!$I$91*'Plan mensual'!F57+parametros_recargas!$J$91*'Plan mensual'!F58+parametros_recargas!$K$91*'Plan mensual'!F59+parametros_recargas!$L$91*'Plan mensual'!F60</f>
        <v>13.5479255608916</v>
      </c>
      <c r="E53" s="25" t="n">
        <f aca="false">parametros_recargas!$E$91*'Plan mensual'!G53+parametros_recargas!$F$91*'Plan mensual'!G54+parametros_recargas!$G$91*'Plan mensual'!G55+parametros_recargas!$H$91*'Plan mensual'!G56+parametros_recargas!$I$91*'Plan mensual'!G57+parametros_recargas!$J$91*'Plan mensual'!G58+parametros_recargas!$K$91*'Plan mensual'!G59+parametros_recargas!$L$91*'Plan mensual'!G60</f>
        <v>14.3536148271088</v>
      </c>
      <c r="F53" s="25" t="n">
        <f aca="false">parametros_recargas!$E$91*'Plan mensual'!H53+parametros_recargas!$F$91*'Plan mensual'!H54+parametros_recargas!$G$91*'Plan mensual'!H55+parametros_recargas!$H$91*'Plan mensual'!H56+parametros_recargas!$I$91*'Plan mensual'!H57+parametros_recargas!$J$91*'Plan mensual'!H58+parametros_recargas!$K$91*'Plan mensual'!H59+parametros_recargas!$L$91*'Plan mensual'!H60</f>
        <v>15.2073955715883</v>
      </c>
      <c r="G53" s="25" t="n">
        <f aca="false">parametros_recargas!$E$91*'Plan mensual'!I53+parametros_recargas!$F$91*'Plan mensual'!I54+parametros_recargas!$G$91*'Plan mensual'!I55+parametros_recargas!$H$91*'Plan mensual'!I56+parametros_recargas!$I$91*'Plan mensual'!I57+parametros_recargas!$J$91*'Plan mensual'!I58+parametros_recargas!$K$91*'Plan mensual'!I59+parametros_recargas!$L$91*'Plan mensual'!I60</f>
        <v>16.1121383678607</v>
      </c>
      <c r="H53" s="25" t="n">
        <f aca="false">parametros_recargas!$E$91*'Plan mensual'!J53+parametros_recargas!$F$91*'Plan mensual'!J54+parametros_recargas!$G$91*'Plan mensual'!J55+parametros_recargas!$H$91*'Plan mensual'!J56+parametros_recargas!$I$91*'Plan mensual'!J57+parametros_recargas!$J$91*'Plan mensual'!J58+parametros_recargas!$K$91*'Plan mensual'!J59+parametros_recargas!$L$91*'Plan mensual'!J60</f>
        <v>17.0708851335841</v>
      </c>
      <c r="I53" s="25" t="n">
        <f aca="false">parametros_recargas!$E$91*'Plan mensual'!K53+parametros_recargas!$F$91*'Plan mensual'!K54+parametros_recargas!$G$91*'Plan mensual'!K55+parametros_recargas!$H$91*'Plan mensual'!K56+parametros_recargas!$I$91*'Plan mensual'!K57+parametros_recargas!$J$91*'Plan mensual'!K58+parametros_recargas!$K$91*'Plan mensual'!K59+parametros_recargas!$L$91*'Plan mensual'!K60</f>
        <v>18.0868593580515</v>
      </c>
      <c r="J53" s="25" t="n">
        <f aca="false">parametros_recargas!$E$91*'Plan mensual'!L53+parametros_recargas!$F$91*'Plan mensual'!L54+parametros_recargas!$G$91*'Plan mensual'!L55+parametros_recargas!$H$91*'Plan mensual'!L56+parametros_recargas!$I$91*'Plan mensual'!L57+parametros_recargas!$J$91*'Plan mensual'!L58+parametros_recargas!$K$91*'Plan mensual'!L59+parametros_recargas!$L$91*'Plan mensual'!L60</f>
        <v>19.163476940175</v>
      </c>
      <c r="K53" s="25" t="n">
        <f aca="false">parametros_recargas!$E$91*'Plan mensual'!M53+parametros_recargas!$F$91*'Plan mensual'!M54+parametros_recargas!$G$91*'Plan mensual'!M55+parametros_recargas!$H$91*'Plan mensual'!M56+parametros_recargas!$I$91*'Plan mensual'!M57+parametros_recargas!$J$91*'Plan mensual'!M58+parametros_recargas!$K$91*'Plan mensual'!M59+parametros_recargas!$L$91*'Plan mensual'!M60</f>
        <v>20.3043576733899</v>
      </c>
      <c r="L53" s="25" t="n">
        <f aca="false">parametros_recargas!$E$91*'Plan mensual'!N53+parametros_recargas!$F$91*'Plan mensual'!N54+parametros_recargas!$G$91*'Plan mensual'!N55+parametros_recargas!$H$91*'Plan mensual'!N56+parametros_recargas!$I$91*'Plan mensual'!N57+parametros_recargas!$J$91*'Plan mensual'!N58+parametros_recargas!$K$91*'Plan mensual'!N59+parametros_recargas!$L$91*'Plan mensual'!N60</f>
        <v>21.5133374160886</v>
      </c>
      <c r="M53" s="25" t="n">
        <f aca="false">parametros_recargas!$E$91*'Plan mensual'!O53+parametros_recargas!$F$91*'Plan mensual'!O54+parametros_recargas!$G$91*'Plan mensual'!O55+parametros_recargas!$H$91*'Plan mensual'!O56+parametros_recargas!$I$91*'Plan mensual'!O57+parametros_recargas!$J$91*'Plan mensual'!O58+parametros_recargas!$K$91*'Plan mensual'!O59+parametros_recargas!$L$91*'Plan mensual'!O60</f>
        <v>22.7944809885087</v>
      </c>
      <c r="N53" s="7" t="n">
        <f aca="false">SUM(B53:M53)</f>
        <v>203.012229254278</v>
      </c>
      <c r="O53" s="26" t="n">
        <f aca="false">MAX(B53:M53)</f>
        <v>22.7944809885087</v>
      </c>
      <c r="P53" s="15" t="n">
        <f aca="false">O53/parametros_recargas!$B$6</f>
        <v>0.151963206590058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25" t="n">
        <f aca="false">parametros_recargas!$E$92*'Plan mensual'!D53+parametros_recargas!$F$92*'Plan mensual'!D54+parametros_recargas!$G$92*'Plan mensual'!D55+parametros_recargas!$H$92*'Plan mensual'!D56+parametros_recargas!$I$92*'Plan mensual'!D57+parametros_recargas!$J$92*'Plan mensual'!D58+parametros_recargas!$K$92*'Plan mensual'!D59+parametros_recargas!$L$92*'Plan mensual'!D60</f>
        <v>474.861774515578</v>
      </c>
      <c r="C54" s="25" t="n">
        <f aca="false">parametros_recargas!$E$92*'Plan mensual'!E53+parametros_recargas!$F$92*'Plan mensual'!E54+parametros_recargas!$G$92*'Plan mensual'!E55+parametros_recargas!$H$92*'Plan mensual'!E56+parametros_recargas!$I$92*'Plan mensual'!E57+parametros_recargas!$J$92*'Plan mensual'!E58+parametros_recargas!$K$92*'Plan mensual'!E59+parametros_recargas!$L$92*'Plan mensual'!E60</f>
        <v>503.136568455711</v>
      </c>
      <c r="D54" s="25" t="n">
        <f aca="false">parametros_recargas!$E$92*'Plan mensual'!F53+parametros_recargas!$F$92*'Plan mensual'!F54+parametros_recargas!$G$92*'Plan mensual'!F55+parametros_recargas!$H$92*'Plan mensual'!F56+parametros_recargas!$I$92*'Plan mensual'!F57+parametros_recargas!$J$92*'Plan mensual'!F58+parametros_recargas!$K$92*'Plan mensual'!F59+parametros_recargas!$L$92*'Plan mensual'!F60</f>
        <v>533.099080844082</v>
      </c>
      <c r="E54" s="25" t="n">
        <f aca="false">parametros_recargas!$E$92*'Plan mensual'!G53+parametros_recargas!$F$92*'Plan mensual'!G54+parametros_recargas!$G$92*'Plan mensual'!G55+parametros_recargas!$H$92*'Plan mensual'!G56+parametros_recargas!$I$92*'Plan mensual'!G57+parametros_recargas!$J$92*'Plan mensual'!G58+parametros_recargas!$K$92*'Plan mensual'!G59+parametros_recargas!$L$92*'Plan mensual'!G60</f>
        <v>564.850051355987</v>
      </c>
      <c r="F54" s="25" t="n">
        <f aca="false">parametros_recargas!$E$92*'Plan mensual'!H53+parametros_recargas!$F$92*'Plan mensual'!H54+parametros_recargas!$G$92*'Plan mensual'!H55+parametros_recargas!$H$92*'Plan mensual'!H56+parametros_recargas!$I$92*'Plan mensual'!H57+parametros_recargas!$J$92*'Plan mensual'!H58+parametros_recargas!$K$92*'Plan mensual'!H59+parametros_recargas!$L$92*'Plan mensual'!H60</f>
        <v>598.496232803676</v>
      </c>
      <c r="G54" s="25" t="n">
        <f aca="false">parametros_recargas!$E$92*'Plan mensual'!I53+parametros_recargas!$F$92*'Plan mensual'!I54+parametros_recargas!$G$92*'Plan mensual'!I55+parametros_recargas!$H$92*'Plan mensual'!I56+parametros_recargas!$I$92*'Plan mensual'!I57+parametros_recargas!$J$92*'Plan mensual'!I58+parametros_recargas!$K$92*'Plan mensual'!I59+parametros_recargas!$L$92*'Plan mensual'!I60</f>
        <v>634.150750059658</v>
      </c>
      <c r="H54" s="25" t="n">
        <f aca="false">parametros_recargas!$E$92*'Plan mensual'!J53+parametros_recargas!$F$92*'Plan mensual'!J54+parametros_recargas!$G$92*'Plan mensual'!J55+parametros_recargas!$H$92*'Plan mensual'!J56+parametros_recargas!$I$92*'Plan mensual'!J57+parametros_recargas!$J$92*'Plan mensual'!J58+parametros_recargas!$K$92*'Plan mensual'!J59+parametros_recargas!$L$92*'Plan mensual'!J60</f>
        <v>671.933480404066</v>
      </c>
      <c r="I54" s="25" t="n">
        <f aca="false">parametros_recargas!$E$92*'Plan mensual'!K53+parametros_recargas!$F$92*'Plan mensual'!K54+parametros_recargas!$G$92*'Plan mensual'!K55+parametros_recargas!$H$92*'Plan mensual'!K56+parametros_recargas!$I$92*'Plan mensual'!K57+parametros_recargas!$J$92*'Plan mensual'!K58+parametros_recargas!$K$92*'Plan mensual'!K59+parametros_recargas!$L$92*'Plan mensual'!K60</f>
        <v>711.97145657492</v>
      </c>
      <c r="J54" s="25" t="n">
        <f aca="false">parametros_recargas!$E$92*'Plan mensual'!L53+parametros_recargas!$F$92*'Plan mensual'!L54+parametros_recargas!$G$92*'Plan mensual'!L55+parametros_recargas!$H$92*'Plan mensual'!L56+parametros_recargas!$I$92*'Plan mensual'!L57+parametros_recargas!$J$92*'Plan mensual'!L58+parametros_recargas!$K$92*'Plan mensual'!L59+parametros_recargas!$L$92*'Plan mensual'!L60</f>
        <v>754.399293876389</v>
      </c>
      <c r="K54" s="25" t="n">
        <f aca="false">parametros_recargas!$E$92*'Plan mensual'!M53+parametros_recargas!$F$92*'Plan mensual'!M54+parametros_recargas!$G$92*'Plan mensual'!M55+parametros_recargas!$H$92*'Plan mensual'!M56+parametros_recargas!$I$92*'Plan mensual'!M57+parametros_recargas!$J$92*'Plan mensual'!M58+parametros_recargas!$K$92*'Plan mensual'!M59+parametros_recargas!$L$92*'Plan mensual'!M60</f>
        <v>799.359642781096</v>
      </c>
      <c r="L54" s="25" t="n">
        <f aca="false">parametros_recargas!$E$92*'Plan mensual'!N53+parametros_recargas!$F$92*'Plan mensual'!N54+parametros_recargas!$G$92*'Plan mensual'!N55+parametros_recargas!$H$92*'Plan mensual'!N56+parametros_recargas!$I$92*'Plan mensual'!N57+parametros_recargas!$J$92*'Plan mensual'!N58+parametros_recargas!$K$92*'Plan mensual'!N59+parametros_recargas!$L$92*'Plan mensual'!N60</f>
        <v>847.003668548185</v>
      </c>
      <c r="M54" s="25" t="n">
        <f aca="false">parametros_recargas!$E$92*'Plan mensual'!O53+parametros_recargas!$F$92*'Plan mensual'!O54+parametros_recargas!$G$92*'Plan mensual'!O55+parametros_recargas!$H$92*'Plan mensual'!O56+parametros_recargas!$I$92*'Plan mensual'!O57+parametros_recargas!$J$92*'Plan mensual'!O58+parametros_recargas!$K$92*'Plan mensual'!O59+parametros_recargas!$L$92*'Plan mensual'!O60</f>
        <v>897.491559469718</v>
      </c>
      <c r="N54" s="7" t="n">
        <f aca="false">SUM(B54:M54)</f>
        <v>7990.75355968907</v>
      </c>
      <c r="O54" s="26" t="n">
        <f aca="false">MAX(B54:M54)</f>
        <v>897.491559469718</v>
      </c>
      <c r="P54" s="15" t="n">
        <f aca="false">O54/parametros_recargas!$B$6</f>
        <v>5.98327706313145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25" t="n">
        <f aca="false">parametros_recargas!$E$93*'Plan mensual'!D53+parametros_recargas!$F$93*'Plan mensual'!D54+parametros_recargas!$G$93*'Plan mensual'!D55+parametros_recargas!$H$93*'Plan mensual'!D56+parametros_recargas!$I$93*'Plan mensual'!D57+parametros_recargas!$J$93*'Plan mensual'!D58+parametros_recargas!$K$93*'Plan mensual'!D59+parametros_recargas!$L$93*'Plan mensual'!D60</f>
        <v>474.861774515578</v>
      </c>
      <c r="C55" s="25" t="n">
        <f aca="false">parametros_recargas!$E$93*'Plan mensual'!E53+parametros_recargas!$F$93*'Plan mensual'!E54+parametros_recargas!$G$93*'Plan mensual'!E55+parametros_recargas!$H$93*'Plan mensual'!E56+parametros_recargas!$I$93*'Plan mensual'!E57+parametros_recargas!$J$93*'Plan mensual'!E58+parametros_recargas!$K$93*'Plan mensual'!E59+parametros_recargas!$L$93*'Plan mensual'!E60</f>
        <v>503.136568455711</v>
      </c>
      <c r="D55" s="25" t="n">
        <f aca="false">parametros_recargas!$E$93*'Plan mensual'!F53+parametros_recargas!$F$93*'Plan mensual'!F54+parametros_recargas!$G$93*'Plan mensual'!F55+parametros_recargas!$H$93*'Plan mensual'!F56+parametros_recargas!$I$93*'Plan mensual'!F57+parametros_recargas!$J$93*'Plan mensual'!F58+parametros_recargas!$K$93*'Plan mensual'!F59+parametros_recargas!$L$93*'Plan mensual'!F60</f>
        <v>533.099080844082</v>
      </c>
      <c r="E55" s="25" t="n">
        <f aca="false">parametros_recargas!$E$93*'Plan mensual'!G53+parametros_recargas!$F$93*'Plan mensual'!G54+parametros_recargas!$G$93*'Plan mensual'!G55+parametros_recargas!$H$93*'Plan mensual'!G56+parametros_recargas!$I$93*'Plan mensual'!G57+parametros_recargas!$J$93*'Plan mensual'!G58+parametros_recargas!$K$93*'Plan mensual'!G59+parametros_recargas!$L$93*'Plan mensual'!G60</f>
        <v>564.850051355987</v>
      </c>
      <c r="F55" s="25" t="n">
        <f aca="false">parametros_recargas!$E$93*'Plan mensual'!H53+parametros_recargas!$F$93*'Plan mensual'!H54+parametros_recargas!$G$93*'Plan mensual'!H55+parametros_recargas!$H$93*'Plan mensual'!H56+parametros_recargas!$I$93*'Plan mensual'!H57+parametros_recargas!$J$93*'Plan mensual'!H58+parametros_recargas!$K$93*'Plan mensual'!H59+parametros_recargas!$L$93*'Plan mensual'!H60</f>
        <v>598.496232803676</v>
      </c>
      <c r="G55" s="25" t="n">
        <f aca="false">parametros_recargas!$E$93*'Plan mensual'!I53+parametros_recargas!$F$93*'Plan mensual'!I54+parametros_recargas!$G$93*'Plan mensual'!I55+parametros_recargas!$H$93*'Plan mensual'!I56+parametros_recargas!$I$93*'Plan mensual'!I57+parametros_recargas!$J$93*'Plan mensual'!I58+parametros_recargas!$K$93*'Plan mensual'!I59+parametros_recargas!$L$93*'Plan mensual'!I60</f>
        <v>634.150750059658</v>
      </c>
      <c r="H55" s="25" t="n">
        <f aca="false">parametros_recargas!$E$93*'Plan mensual'!J53+parametros_recargas!$F$93*'Plan mensual'!J54+parametros_recargas!$G$93*'Plan mensual'!J55+parametros_recargas!$H$93*'Plan mensual'!J56+parametros_recargas!$I$93*'Plan mensual'!J57+parametros_recargas!$J$93*'Plan mensual'!J58+parametros_recargas!$K$93*'Plan mensual'!J59+parametros_recargas!$L$93*'Plan mensual'!J60</f>
        <v>671.933480404066</v>
      </c>
      <c r="I55" s="25" t="n">
        <f aca="false">parametros_recargas!$E$93*'Plan mensual'!K53+parametros_recargas!$F$93*'Plan mensual'!K54+parametros_recargas!$G$93*'Plan mensual'!K55+parametros_recargas!$H$93*'Plan mensual'!K56+parametros_recargas!$I$93*'Plan mensual'!K57+parametros_recargas!$J$93*'Plan mensual'!K58+parametros_recargas!$K$93*'Plan mensual'!K59+parametros_recargas!$L$93*'Plan mensual'!K60</f>
        <v>711.97145657492</v>
      </c>
      <c r="J55" s="25" t="n">
        <f aca="false">parametros_recargas!$E$93*'Plan mensual'!L53+parametros_recargas!$F$93*'Plan mensual'!L54+parametros_recargas!$G$93*'Plan mensual'!L55+parametros_recargas!$H$93*'Plan mensual'!L56+parametros_recargas!$I$93*'Plan mensual'!L57+parametros_recargas!$J$93*'Plan mensual'!L58+parametros_recargas!$K$93*'Plan mensual'!L59+parametros_recargas!$L$93*'Plan mensual'!L60</f>
        <v>754.399293876389</v>
      </c>
      <c r="K55" s="25" t="n">
        <f aca="false">parametros_recargas!$E$93*'Plan mensual'!M53+parametros_recargas!$F$93*'Plan mensual'!M54+parametros_recargas!$G$93*'Plan mensual'!M55+parametros_recargas!$H$93*'Plan mensual'!M56+parametros_recargas!$I$93*'Plan mensual'!M57+parametros_recargas!$J$93*'Plan mensual'!M58+parametros_recargas!$K$93*'Plan mensual'!M59+parametros_recargas!$L$93*'Plan mensual'!M60</f>
        <v>799.359642781096</v>
      </c>
      <c r="L55" s="25" t="n">
        <f aca="false">parametros_recargas!$E$93*'Plan mensual'!N53+parametros_recargas!$F$93*'Plan mensual'!N54+parametros_recargas!$G$93*'Plan mensual'!N55+parametros_recargas!$H$93*'Plan mensual'!N56+parametros_recargas!$I$93*'Plan mensual'!N57+parametros_recargas!$J$93*'Plan mensual'!N58+parametros_recargas!$K$93*'Plan mensual'!N59+parametros_recargas!$L$93*'Plan mensual'!N60</f>
        <v>847.003668548185</v>
      </c>
      <c r="M55" s="25" t="n">
        <f aca="false">parametros_recargas!$E$93*'Plan mensual'!O53+parametros_recargas!$F$93*'Plan mensual'!O54+parametros_recargas!$G$93*'Plan mensual'!O55+parametros_recargas!$H$93*'Plan mensual'!O56+parametros_recargas!$I$93*'Plan mensual'!O57+parametros_recargas!$J$93*'Plan mensual'!O58+parametros_recargas!$K$93*'Plan mensual'!O59+parametros_recargas!$L$93*'Plan mensual'!O60</f>
        <v>897.491559469718</v>
      </c>
      <c r="N55" s="7" t="n">
        <f aca="false">SUM(B55:M55)</f>
        <v>7990.75355968907</v>
      </c>
      <c r="O55" s="26" t="n">
        <f aca="false">MAX(B55:M55)</f>
        <v>897.491559469718</v>
      </c>
      <c r="P55" s="15" t="n">
        <f aca="false">O55/parametros_recargas!$B$6</f>
        <v>5.98327706313145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25" t="n">
        <f aca="false">parametros_recargas!$E$94*'Plan mensual'!D53+parametros_recargas!$F$94*'Plan mensual'!D54+parametros_recargas!$G$94*'Plan mensual'!D55+parametros_recargas!$H$94*'Plan mensual'!D56+parametros_recargas!$I$94*'Plan mensual'!D57+parametros_recargas!$J$94*'Plan mensual'!D58+parametros_recargas!$K$94*'Plan mensual'!D59+parametros_recargas!$L$94*'Plan mensual'!D60</f>
        <v>34.8479031754688</v>
      </c>
      <c r="C56" s="25" t="n">
        <f aca="false">parametros_recargas!$E$94*'Plan mensual'!E53+parametros_recargas!$F$94*'Plan mensual'!E54+parametros_recargas!$G$94*'Plan mensual'!E55+parametros_recargas!$H$94*'Plan mensual'!E56+parametros_recargas!$I$94*'Plan mensual'!E57+parametros_recargas!$J$94*'Plan mensual'!E58+parametros_recargas!$K$94*'Plan mensual'!E59+parametros_recargas!$L$94*'Plan mensual'!E60</f>
        <v>36.8943940382159</v>
      </c>
      <c r="D56" s="25" t="n">
        <f aca="false">parametros_recargas!$E$94*'Plan mensual'!F53+parametros_recargas!$F$94*'Plan mensual'!F54+parametros_recargas!$G$94*'Plan mensual'!F55+parametros_recargas!$H$94*'Plan mensual'!F56+parametros_recargas!$I$94*'Plan mensual'!F57+parametros_recargas!$J$94*'Plan mensual'!F58+parametros_recargas!$K$94*'Plan mensual'!F59+parametros_recargas!$L$94*'Plan mensual'!F60</f>
        <v>39.0630396508975</v>
      </c>
      <c r="E56" s="25" t="n">
        <f aca="false">parametros_recargas!$E$94*'Plan mensual'!G53+parametros_recargas!$F$94*'Plan mensual'!G54+parametros_recargas!$G$94*'Plan mensual'!G55+parametros_recargas!$H$94*'Plan mensual'!G56+parametros_recargas!$I$94*'Plan mensual'!G57+parametros_recargas!$J$94*'Plan mensual'!G58+parametros_recargas!$K$94*'Plan mensual'!G59+parametros_recargas!$L$94*'Plan mensual'!G60</f>
        <v>41.3611314132475</v>
      </c>
      <c r="F56" s="25" t="n">
        <f aca="false">parametros_recargas!$E$94*'Plan mensual'!H53+parametros_recargas!$F$94*'Plan mensual'!H54+parametros_recargas!$G$94*'Plan mensual'!H55+parametros_recargas!$H$94*'Plan mensual'!H56+parametros_recargas!$I$94*'Plan mensual'!H57+parametros_recargas!$J$94*'Plan mensual'!H58+parametros_recargas!$K$94*'Plan mensual'!H59+parametros_recargas!$L$94*'Plan mensual'!H60</f>
        <v>43.7963959476175</v>
      </c>
      <c r="G56" s="25" t="n">
        <f aca="false">parametros_recargas!$E$94*'Plan mensual'!I53+parametros_recargas!$F$94*'Plan mensual'!I54+parametros_recargas!$G$94*'Plan mensual'!I55+parametros_recargas!$H$94*'Plan mensual'!I56+parametros_recargas!$I$94*'Plan mensual'!I57+parametros_recargas!$J$94*'Plan mensual'!I58+parametros_recargas!$K$94*'Plan mensual'!I59+parametros_recargas!$L$94*'Plan mensual'!I60</f>
        <v>46.3770210773537</v>
      </c>
      <c r="H56" s="25" t="n">
        <f aca="false">parametros_recargas!$E$94*'Plan mensual'!J53+parametros_recargas!$F$94*'Plan mensual'!J54+parametros_recargas!$G$94*'Plan mensual'!J55+parametros_recargas!$H$94*'Plan mensual'!J56+parametros_recargas!$I$94*'Plan mensual'!J57+parametros_recargas!$J$94*'Plan mensual'!J58+parametros_recargas!$K$94*'Plan mensual'!J59+parametros_recargas!$L$94*'Plan mensual'!J60</f>
        <v>49.1116833558192</v>
      </c>
      <c r="I56" s="25" t="n">
        <f aca="false">parametros_recargas!$E$94*'Plan mensual'!K53+parametros_recargas!$F$94*'Plan mensual'!K54+parametros_recargas!$G$94*'Plan mensual'!K55+parametros_recargas!$H$94*'Plan mensual'!K56+parametros_recargas!$I$94*'Plan mensual'!K57+parametros_recargas!$J$94*'Plan mensual'!K58+parametros_recargas!$K$94*'Plan mensual'!K59+parametros_recargas!$L$94*'Plan mensual'!K60</f>
        <v>52.009577238619</v>
      </c>
      <c r="J56" s="25" t="n">
        <f aca="false">parametros_recargas!$E$94*'Plan mensual'!L53+parametros_recargas!$F$94*'Plan mensual'!L54+parametros_recargas!$G$94*'Plan mensual'!L55+parametros_recargas!$H$94*'Plan mensual'!L56+parametros_recargas!$I$94*'Plan mensual'!L57+parametros_recargas!$J$94*'Plan mensual'!L58+parametros_recargas!$K$94*'Plan mensual'!L59+parametros_recargas!$L$94*'Plan mensual'!L60</f>
        <v>55.0804459971117</v>
      </c>
      <c r="K56" s="25" t="n">
        <f aca="false">parametros_recargas!$E$94*'Plan mensual'!M53+parametros_recargas!$F$94*'Plan mensual'!M54+parametros_recargas!$G$94*'Plan mensual'!M55+parametros_recargas!$H$94*'Plan mensual'!M56+parametros_recargas!$I$94*'Plan mensual'!M57+parametros_recargas!$J$94*'Plan mensual'!M58+parametros_recargas!$K$94*'Plan mensual'!M59+parametros_recargas!$L$94*'Plan mensual'!M60</f>
        <v>58.3346144771445</v>
      </c>
      <c r="L56" s="25" t="n">
        <f aca="false">parametros_recargas!$E$94*'Plan mensual'!N53+parametros_recargas!$F$94*'Plan mensual'!N54+parametros_recargas!$G$94*'Plan mensual'!N55+parametros_recargas!$H$94*'Plan mensual'!N56+parametros_recargas!$I$94*'Plan mensual'!N57+parametros_recargas!$J$94*'Plan mensual'!N58+parametros_recargas!$K$94*'Plan mensual'!N59+parametros_recargas!$L$94*'Plan mensual'!N60</f>
        <v>61.7830238131515</v>
      </c>
      <c r="M56" s="25" t="n">
        <f aca="false">parametros_recargas!$E$94*'Plan mensual'!O53+parametros_recargas!$F$94*'Plan mensual'!O54+parametros_recargas!$G$94*'Plan mensual'!O55+parametros_recargas!$H$94*'Plan mensual'!O56+parametros_recargas!$I$94*'Plan mensual'!O57+parametros_recargas!$J$94*'Plan mensual'!O58+parametros_recargas!$K$94*'Plan mensual'!O59+parametros_recargas!$L$94*'Plan mensual'!O60</f>
        <v>65.4372682143329</v>
      </c>
      <c r="N56" s="7" t="n">
        <f aca="false">SUM(B56:M56)</f>
        <v>584.09649839898</v>
      </c>
      <c r="O56" s="26" t="n">
        <f aca="false">MAX(B56:M56)</f>
        <v>65.4372682143329</v>
      </c>
      <c r="P56" s="15" t="n">
        <f aca="false">O56/parametros_recargas!$B$6</f>
        <v>0.436248454762219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25" t="n">
        <f aca="false">parametros_recargas!$E$95*'Plan mensual'!D53+parametros_recargas!$F$95*'Plan mensual'!D54+parametros_recargas!$G$95*'Plan mensual'!D55+parametros_recargas!$H$95*'Plan mensual'!D56+parametros_recargas!$I$95*'Plan mensual'!D57+parametros_recargas!$J$95*'Plan mensual'!D58+parametros_recargas!$K$95*'Plan mensual'!D59+parametros_recargas!$L$95*'Plan mensual'!D60</f>
        <v>0.500424237270414</v>
      </c>
      <c r="C57" s="25" t="n">
        <f aca="false">parametros_recargas!$E$95*'Plan mensual'!E53+parametros_recargas!$F$95*'Plan mensual'!E54+parametros_recargas!$G$95*'Plan mensual'!E55+parametros_recargas!$H$95*'Plan mensual'!E56+parametros_recargas!$I$95*'Plan mensual'!E57+parametros_recargas!$J$95*'Plan mensual'!E58+parametros_recargas!$K$95*'Plan mensual'!E59+parametros_recargas!$L$95*'Plan mensual'!E60</f>
        <v>0.529050950444552</v>
      </c>
      <c r="D57" s="25" t="n">
        <f aca="false">parametros_recargas!$E$95*'Plan mensual'!F53+parametros_recargas!$F$95*'Plan mensual'!F54+parametros_recargas!$G$95*'Plan mensual'!F55+parametros_recargas!$H$95*'Plan mensual'!F56+parametros_recargas!$I$95*'Plan mensual'!F57+parametros_recargas!$J$95*'Plan mensual'!F58+parametros_recargas!$K$95*'Plan mensual'!F59+parametros_recargas!$L$95*'Plan mensual'!F60</f>
        <v>0.559386388076196</v>
      </c>
      <c r="E57" s="25" t="n">
        <f aca="false">parametros_recargas!$E$95*'Plan mensual'!G53+parametros_recargas!$F$95*'Plan mensual'!G54+parametros_recargas!$G$95*'Plan mensual'!G55+parametros_recargas!$H$95*'Plan mensual'!G56+parametros_recargas!$I$95*'Plan mensual'!G57+parametros_recargas!$J$95*'Plan mensual'!G58+parametros_recargas!$K$95*'Plan mensual'!G59+parametros_recargas!$L$95*'Plan mensual'!G60</f>
        <v>0.591532543686358</v>
      </c>
      <c r="F57" s="25" t="n">
        <f aca="false">parametros_recargas!$E$95*'Plan mensual'!H53+parametros_recargas!$F$95*'Plan mensual'!H54+parametros_recargas!$G$95*'Plan mensual'!H55+parametros_recargas!$H$95*'Plan mensual'!H56+parametros_recargas!$I$95*'Plan mensual'!H57+parametros_recargas!$J$95*'Plan mensual'!H58+parametros_recargas!$K$95*'Plan mensual'!H59+parametros_recargas!$L$95*'Plan mensual'!H60</f>
        <v>0.625597498774886</v>
      </c>
      <c r="G57" s="25" t="n">
        <f aca="false">parametros_recargas!$E$95*'Plan mensual'!I53+parametros_recargas!$F$95*'Plan mensual'!I54+parametros_recargas!$G$95*'Plan mensual'!I55+parametros_recargas!$H$95*'Plan mensual'!I56+parametros_recargas!$I$95*'Plan mensual'!I57+parametros_recargas!$J$95*'Plan mensual'!I58+parametros_recargas!$K$95*'Plan mensual'!I59+parametros_recargas!$L$95*'Plan mensual'!I60</f>
        <v>0.661695786211054</v>
      </c>
      <c r="H57" s="25" t="n">
        <f aca="false">parametros_recargas!$E$95*'Plan mensual'!J53+parametros_recargas!$F$95*'Plan mensual'!J54+parametros_recargas!$G$95*'Plan mensual'!J55+parametros_recargas!$H$95*'Plan mensual'!J56+parametros_recargas!$I$95*'Plan mensual'!J57+parametros_recargas!$J$95*'Plan mensual'!J58+parametros_recargas!$K$95*'Plan mensual'!J59+parametros_recargas!$L$95*'Plan mensual'!J60</f>
        <v>0.699948775314892</v>
      </c>
      <c r="I57" s="25" t="n">
        <f aca="false">parametros_recargas!$E$95*'Plan mensual'!K53+parametros_recargas!$F$95*'Plan mensual'!K54+parametros_recargas!$G$95*'Plan mensual'!K55+parametros_recargas!$H$95*'Plan mensual'!K56+parametros_recargas!$I$95*'Plan mensual'!K57+parametros_recargas!$J$95*'Plan mensual'!K58+parametros_recargas!$K$95*'Plan mensual'!K59+parametros_recargas!$L$95*'Plan mensual'!K60</f>
        <v>0.740485079923964</v>
      </c>
      <c r="J57" s="25" t="n">
        <f aca="false">parametros_recargas!$E$95*'Plan mensual'!L53+parametros_recargas!$F$95*'Plan mensual'!L54+parametros_recargas!$G$95*'Plan mensual'!L55+parametros_recargas!$H$95*'Plan mensual'!L56+parametros_recargas!$I$95*'Plan mensual'!L57+parametros_recargas!$J$95*'Plan mensual'!L58+parametros_recargas!$K$95*'Plan mensual'!L59+parametros_recargas!$L$95*'Plan mensual'!L60</f>
        <v>0.783440990817596</v>
      </c>
      <c r="K57" s="25" t="n">
        <f aca="false">parametros_recargas!$E$95*'Plan mensual'!M53+parametros_recargas!$F$95*'Plan mensual'!M54+parametros_recargas!$G$95*'Plan mensual'!M55+parametros_recargas!$H$95*'Plan mensual'!M56+parametros_recargas!$I$95*'Plan mensual'!M57+parametros_recargas!$J$95*'Plan mensual'!M58+parametros_recargas!$K$95*'Plan mensual'!M59+parametros_recargas!$L$95*'Plan mensual'!M60</f>
        <v>0.828960933952437</v>
      </c>
      <c r="L57" s="25" t="n">
        <f aca="false">parametros_recargas!$E$95*'Plan mensual'!N53+parametros_recargas!$F$95*'Plan mensual'!N54+parametros_recargas!$G$95*'Plan mensual'!N55+parametros_recargas!$H$95*'Plan mensual'!N56+parametros_recargas!$I$95*'Plan mensual'!N57+parametros_recargas!$J$95*'Plan mensual'!N58+parametros_recargas!$K$95*'Plan mensual'!N59+parametros_recargas!$L$95*'Plan mensual'!N60</f>
        <v>0.877197956050051</v>
      </c>
      <c r="M57" s="25" t="n">
        <f aca="false">parametros_recargas!$E$95*'Plan mensual'!O53+parametros_recargas!$F$95*'Plan mensual'!O54+parametros_recargas!$G$95*'Plan mensual'!O55+parametros_recargas!$H$95*'Plan mensual'!O56+parametros_recargas!$I$95*'Plan mensual'!O57+parametros_recargas!$J$95*'Plan mensual'!O58+parametros_recargas!$K$95*'Plan mensual'!O59+parametros_recargas!$L$95*'Plan mensual'!O60</f>
        <v>0.928314239169146</v>
      </c>
      <c r="N57" s="7" t="n">
        <f aca="false">SUM(B57:M57)</f>
        <v>8.32603537969155</v>
      </c>
      <c r="O57" s="26" t="n">
        <f aca="false">MAX(B57:M57)</f>
        <v>0.928314239169146</v>
      </c>
      <c r="P57" s="15" t="n">
        <f aca="false">O57/parametros_recargas!$B$6</f>
        <v>0.00618876159446097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25" t="n">
        <f aca="false">parametros_recargas!$E$96*'Plan mensual'!D53+parametros_recargas!$F$96*'Plan mensual'!D54+parametros_recargas!$G$96*'Plan mensual'!D55+parametros_recargas!$H$96*'Plan mensual'!D56+parametros_recargas!$I$96*'Plan mensual'!D57+parametros_recargas!$J$96*'Plan mensual'!D58+parametros_recargas!$K$96*'Plan mensual'!D59+parametros_recargas!$L$96*'Plan mensual'!D60</f>
        <v>29.6649292699381</v>
      </c>
      <c r="C58" s="25" t="n">
        <f aca="false">parametros_recargas!$E$96*'Plan mensual'!E53+parametros_recargas!$F$96*'Plan mensual'!E54+parametros_recargas!$G$96*'Plan mensual'!E55+parametros_recargas!$H$96*'Plan mensual'!E56+parametros_recargas!$I$96*'Plan mensual'!E57+parametros_recargas!$J$96*'Plan mensual'!E58+parametros_recargas!$K$96*'Plan mensual'!E59+parametros_recargas!$L$96*'Plan mensual'!E60</f>
        <v>31.4249302662775</v>
      </c>
      <c r="D58" s="25" t="n">
        <f aca="false">parametros_recargas!$E$96*'Plan mensual'!F53+parametros_recargas!$F$96*'Plan mensual'!F54+parametros_recargas!$G$96*'Plan mensual'!F55+parametros_recargas!$H$96*'Plan mensual'!F56+parametros_recargas!$I$96*'Plan mensual'!F57+parametros_recargas!$J$96*'Plan mensual'!F58+parametros_recargas!$K$96*'Plan mensual'!F59+parametros_recargas!$L$96*'Plan mensual'!F60</f>
        <v>33.2899854729758</v>
      </c>
      <c r="E58" s="25" t="n">
        <f aca="false">parametros_recargas!$E$96*'Plan mensual'!G53+parametros_recargas!$F$96*'Plan mensual'!G54+parametros_recargas!$G$96*'Plan mensual'!G55+parametros_recargas!$H$96*'Plan mensual'!G56+parametros_recargas!$I$96*'Plan mensual'!G57+parametros_recargas!$J$96*'Plan mensual'!G58+parametros_recargas!$K$96*'Plan mensual'!G59+parametros_recargas!$L$96*'Plan mensual'!G60</f>
        <v>35.2663655609797</v>
      </c>
      <c r="F58" s="25" t="n">
        <f aca="false">parametros_recargas!$E$96*'Plan mensual'!H53+parametros_recargas!$F$96*'Plan mensual'!H54+parametros_recargas!$G$96*'Plan mensual'!H55+parametros_recargas!$H$96*'Plan mensual'!H56+parametros_recargas!$I$96*'Plan mensual'!H57+parametros_recargas!$J$96*'Plan mensual'!H58+parametros_recargas!$K$96*'Plan mensual'!H59+parametros_recargas!$L$96*'Plan mensual'!H60</f>
        <v>37.3607154966974</v>
      </c>
      <c r="G58" s="25" t="n">
        <f aca="false">parametros_recargas!$E$96*'Plan mensual'!I53+parametros_recargas!$F$96*'Plan mensual'!I54+parametros_recargas!$G$96*'Plan mensual'!I55+parametros_recargas!$H$96*'Plan mensual'!I56+parametros_recargas!$I$96*'Plan mensual'!I57+parametros_recargas!$J$96*'Plan mensual'!I58+parametros_recargas!$K$96*'Plan mensual'!I59+parametros_recargas!$L$96*'Plan mensual'!I60</f>
        <v>39.5800768836414</v>
      </c>
      <c r="H58" s="25" t="n">
        <f aca="false">parametros_recargas!$E$96*'Plan mensual'!J53+parametros_recargas!$F$96*'Plan mensual'!J54+parametros_recargas!$G$96*'Plan mensual'!J55+parametros_recargas!$H$96*'Plan mensual'!J56+parametros_recargas!$I$96*'Plan mensual'!J57+parametros_recargas!$J$96*'Plan mensual'!J58+parametros_recargas!$K$96*'Plan mensual'!J59+parametros_recargas!$L$96*'Plan mensual'!J60</f>
        <v>41.931911637641</v>
      </c>
      <c r="I58" s="25" t="n">
        <f aca="false">parametros_recargas!$E$96*'Plan mensual'!K53+parametros_recargas!$F$96*'Plan mensual'!K54+parametros_recargas!$G$96*'Plan mensual'!K55+parametros_recargas!$H$96*'Plan mensual'!K56+parametros_recargas!$I$96*'Plan mensual'!K57+parametros_recargas!$J$96*'Plan mensual'!K58+parametros_recargas!$K$96*'Plan mensual'!K59+parametros_recargas!$L$96*'Plan mensual'!K60</f>
        <v>44.4241270752253</v>
      </c>
      <c r="J58" s="25" t="n">
        <f aca="false">parametros_recargas!$E$96*'Plan mensual'!L53+parametros_recargas!$F$96*'Plan mensual'!L54+parametros_recargas!$G$96*'Plan mensual'!L55+parametros_recargas!$H$96*'Plan mensual'!L56+parametros_recargas!$I$96*'Plan mensual'!L57+parametros_recargas!$J$96*'Plan mensual'!L58+parametros_recargas!$K$96*'Plan mensual'!L59+parametros_recargas!$L$96*'Plan mensual'!L60</f>
        <v>47.0651024995279</v>
      </c>
      <c r="K58" s="25" t="n">
        <f aca="false">parametros_recargas!$E$96*'Plan mensual'!M53+parametros_recargas!$F$96*'Plan mensual'!M54+parametros_recargas!$G$96*'Plan mensual'!M55+parametros_recargas!$H$96*'Plan mensual'!M56+parametros_recargas!$I$96*'Plan mensual'!M57+parametros_recargas!$J$96*'Plan mensual'!M58+parametros_recargas!$K$96*'Plan mensual'!M59+parametros_recargas!$L$96*'Plan mensual'!M60</f>
        <v>49.8637173731003</v>
      </c>
      <c r="L58" s="25" t="n">
        <f aca="false">parametros_recargas!$E$96*'Plan mensual'!N53+parametros_recargas!$F$96*'Plan mensual'!N54+parametros_recargas!$G$96*'Plan mensual'!N55+parametros_recargas!$H$96*'Plan mensual'!N56+parametros_recargas!$I$96*'Plan mensual'!N57+parametros_recargas!$J$96*'Plan mensual'!N58+parametros_recargas!$K$96*'Plan mensual'!N59+parametros_recargas!$L$96*'Plan mensual'!N60</f>
        <v>52.829381172357</v>
      </c>
      <c r="M58" s="25" t="n">
        <f aca="false">parametros_recargas!$E$96*'Plan mensual'!O53+parametros_recargas!$F$96*'Plan mensual'!O54+parametros_recargas!$G$96*'Plan mensual'!O55+parametros_recargas!$H$96*'Plan mensual'!O56+parametros_recargas!$I$96*'Plan mensual'!O57+parametros_recargas!$J$96*'Plan mensual'!O58+parametros_recargas!$K$96*'Plan mensual'!O59+parametros_recargas!$L$96*'Plan mensual'!O60</f>
        <v>55.9720650240277</v>
      </c>
      <c r="N58" s="7" t="n">
        <f aca="false">SUM(B58:M58)</f>
        <v>498.673307732389</v>
      </c>
      <c r="O58" s="26" t="n">
        <f aca="false">MAX(B58:M58)</f>
        <v>55.9720650240277</v>
      </c>
      <c r="P58" s="15" t="n">
        <f aca="false">O58/parametros_recargas!$B$6</f>
        <v>0.373147100160185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25" t="n">
        <f aca="false">parametros_recargas!$E$97*'Plan mensual'!D53+parametros_recargas!$F$97*'Plan mensual'!D54+parametros_recargas!$G$97*'Plan mensual'!D55+parametros_recargas!$H$97*'Plan mensual'!D56+parametros_recargas!$I$97*'Plan mensual'!D57+parametros_recargas!$J$97*'Plan mensual'!D58+parametros_recargas!$K$97*'Plan mensual'!D59+parametros_recargas!$L$97*'Plan mensual'!D60</f>
        <v>541.386296715136</v>
      </c>
      <c r="C59" s="25" t="n">
        <f aca="false">parametros_recargas!$E$97*'Plan mensual'!E53+parametros_recargas!$F$97*'Plan mensual'!E54+parametros_recargas!$G$97*'Plan mensual'!E55+parametros_recargas!$H$97*'Plan mensual'!E56+parametros_recargas!$I$97*'Plan mensual'!E57+parametros_recargas!$J$97*'Plan mensual'!E58+parametros_recargas!$K$97*'Plan mensual'!E59+parametros_recargas!$L$97*'Plan mensual'!E60</f>
        <v>573.587162575557</v>
      </c>
      <c r="D59" s="25" t="n">
        <f aca="false">parametros_recargas!$E$97*'Plan mensual'!F53+parametros_recargas!$F$97*'Plan mensual'!F54+parametros_recargas!$G$97*'Plan mensual'!F55+parametros_recargas!$H$97*'Plan mensual'!F56+parametros_recargas!$I$97*'Plan mensual'!F57+parametros_recargas!$J$97*'Plan mensual'!F58+parametros_recargas!$K$97*'Plan mensual'!F59+parametros_recargas!$L$97*'Plan mensual'!F60</f>
        <v>607.710093561438</v>
      </c>
      <c r="E59" s="25" t="n">
        <f aca="false">parametros_recargas!$E$97*'Plan mensual'!G53+parametros_recargas!$F$97*'Plan mensual'!G54+parametros_recargas!$G$97*'Plan mensual'!G55+parametros_recargas!$H$97*'Plan mensual'!G56+parametros_recargas!$I$97*'Plan mensual'!G57+parametros_recargas!$J$97*'Plan mensual'!G58+parametros_recargas!$K$97*'Plan mensual'!G59+parametros_recargas!$L$97*'Plan mensual'!G60</f>
        <v>643.869817468065</v>
      </c>
      <c r="F59" s="25" t="n">
        <f aca="false">parametros_recargas!$E$97*'Plan mensual'!H53+parametros_recargas!$F$97*'Plan mensual'!H54+parametros_recargas!$G$97*'Plan mensual'!H55+parametros_recargas!$H$97*'Plan mensual'!H56+parametros_recargas!$I$97*'Plan mensual'!H57+parametros_recargas!$J$97*'Plan mensual'!H58+parametros_recargas!$K$97*'Plan mensual'!H59+parametros_recargas!$L$97*'Plan mensual'!H60</f>
        <v>682.187910176589</v>
      </c>
      <c r="G59" s="25" t="n">
        <f aca="false">parametros_recargas!$E$97*'Plan mensual'!I53+parametros_recargas!$F$97*'Plan mensual'!I54+parametros_recargas!$G$97*'Plan mensual'!I55+parametros_recargas!$H$97*'Plan mensual'!I56+parametros_recargas!$I$97*'Plan mensual'!I57+parametros_recargas!$J$97*'Plan mensual'!I58+parametros_recargas!$K$97*'Plan mensual'!I59+parametros_recargas!$L$97*'Plan mensual'!I60</f>
        <v>722.793204415296</v>
      </c>
      <c r="H59" s="25" t="n">
        <f aca="false">parametros_recargas!$E$97*'Plan mensual'!J53+parametros_recargas!$F$97*'Plan mensual'!J54+parametros_recargas!$G$97*'Plan mensual'!J55+parametros_recargas!$H$97*'Plan mensual'!J56+parametros_recargas!$I$97*'Plan mensual'!J57+parametros_recargas!$J$97*'Plan mensual'!J58+parametros_recargas!$K$97*'Plan mensual'!J59+parametros_recargas!$L$97*'Plan mensual'!J60</f>
        <v>765.82222291979</v>
      </c>
      <c r="I59" s="25" t="n">
        <f aca="false">parametros_recargas!$E$97*'Plan mensual'!K53+parametros_recargas!$F$97*'Plan mensual'!K54+parametros_recargas!$G$97*'Plan mensual'!K55+parametros_recargas!$H$97*'Plan mensual'!K56+parametros_recargas!$I$97*'Plan mensual'!K57+parametros_recargas!$J$97*'Plan mensual'!K58+parametros_recargas!$K$97*'Plan mensual'!K59+parametros_recargas!$L$97*'Plan mensual'!K60</f>
        <v>811.419637448439</v>
      </c>
      <c r="J59" s="25" t="n">
        <f aca="false">parametros_recargas!$E$97*'Plan mensual'!L53+parametros_recargas!$F$97*'Plan mensual'!L54+parametros_recargas!$G$97*'Plan mensual'!L55+parametros_recargas!$H$97*'Plan mensual'!L56+parametros_recargas!$I$97*'Plan mensual'!L57+parametros_recargas!$J$97*'Plan mensual'!L58+parametros_recargas!$K$97*'Plan mensual'!L59+parametros_recargas!$L$97*'Plan mensual'!L60</f>
        <v>859.738755196391</v>
      </c>
      <c r="K59" s="25" t="n">
        <f aca="false">parametros_recargas!$E$97*'Plan mensual'!M53+parametros_recargas!$F$97*'Plan mensual'!M54+parametros_recargas!$G$97*'Plan mensual'!M55+parametros_recargas!$H$97*'Plan mensual'!M56+parametros_recargas!$I$97*'Plan mensual'!M57+parametros_recargas!$J$97*'Plan mensual'!M58+parametros_recargas!$K$97*'Plan mensual'!M59+parametros_recargas!$L$97*'Plan mensual'!M60</f>
        <v>910.942034243573</v>
      </c>
      <c r="L59" s="25" t="n">
        <f aca="false">parametros_recargas!$E$97*'Plan mensual'!N53+parametros_recargas!$F$97*'Plan mensual'!N54+parametros_recargas!$G$97*'Plan mensual'!N55+parametros_recargas!$H$97*'Plan mensual'!N56+parametros_recargas!$I$97*'Plan mensual'!N57+parametros_recargas!$J$97*'Plan mensual'!N58+parametros_recargas!$K$97*'Plan mensual'!N59+parametros_recargas!$L$97*'Plan mensual'!N60</f>
        <v>965.201629769708</v>
      </c>
      <c r="M59" s="25" t="n">
        <f aca="false">parametros_recargas!$E$97*'Plan mensual'!O53+parametros_recargas!$F$97*'Plan mensual'!O54+parametros_recargas!$G$97*'Plan mensual'!O55+parametros_recargas!$H$97*'Plan mensual'!O56+parametros_recargas!$I$97*'Plan mensual'!O57+parametros_recargas!$J$97*'Plan mensual'!O58+parametros_recargas!$K$97*'Plan mensual'!O59+parametros_recargas!$L$97*'Plan mensual'!O60</f>
        <v>1022.69997287283</v>
      </c>
      <c r="N59" s="7" t="n">
        <f aca="false">SUM(B59:M59)</f>
        <v>9107.35873736281</v>
      </c>
      <c r="O59" s="26" t="n">
        <f aca="false">MAX(B59:M59)</f>
        <v>1022.69997287283</v>
      </c>
      <c r="P59" s="15" t="n">
        <f aca="false">O59/parametros_recargas!$B$6</f>
        <v>6.8179998191522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25" t="n">
        <f aca="false">parametros_recargas!$E$98*'Plan mensual'!D53+parametros_recargas!$F$98*'Plan mensual'!D54+parametros_recargas!$G$98*'Plan mensual'!D55+parametros_recargas!$H$98*'Plan mensual'!D56+parametros_recargas!$I$98*'Plan mensual'!D57+parametros_recargas!$J$98*'Plan mensual'!D58+parametros_recargas!$K$98*'Plan mensual'!D59+parametros_recargas!$L$98*'Plan mensual'!D60</f>
        <v>541.386296715136</v>
      </c>
      <c r="C60" s="25" t="n">
        <f aca="false">parametros_recargas!$E$98*'Plan mensual'!E53+parametros_recargas!$F$98*'Plan mensual'!E54+parametros_recargas!$G$98*'Plan mensual'!E55+parametros_recargas!$H$98*'Plan mensual'!E56+parametros_recargas!$I$98*'Plan mensual'!E57+parametros_recargas!$J$98*'Plan mensual'!E58+parametros_recargas!$K$98*'Plan mensual'!E59+parametros_recargas!$L$98*'Plan mensual'!E60</f>
        <v>573.587162575557</v>
      </c>
      <c r="D60" s="25" t="n">
        <f aca="false">parametros_recargas!$E$98*'Plan mensual'!F53+parametros_recargas!$F$98*'Plan mensual'!F54+parametros_recargas!$G$98*'Plan mensual'!F55+parametros_recargas!$H$98*'Plan mensual'!F56+parametros_recargas!$I$98*'Plan mensual'!F57+parametros_recargas!$J$98*'Plan mensual'!F58+parametros_recargas!$K$98*'Plan mensual'!F59+parametros_recargas!$L$98*'Plan mensual'!F60</f>
        <v>607.710093561438</v>
      </c>
      <c r="E60" s="25" t="n">
        <f aca="false">parametros_recargas!$E$98*'Plan mensual'!G53+parametros_recargas!$F$98*'Plan mensual'!G54+parametros_recargas!$G$98*'Plan mensual'!G55+parametros_recargas!$H$98*'Plan mensual'!G56+parametros_recargas!$I$98*'Plan mensual'!G57+parametros_recargas!$J$98*'Plan mensual'!G58+parametros_recargas!$K$98*'Plan mensual'!G59+parametros_recargas!$L$98*'Plan mensual'!G60</f>
        <v>643.869817468065</v>
      </c>
      <c r="F60" s="25" t="n">
        <f aca="false">parametros_recargas!$E$98*'Plan mensual'!H53+parametros_recargas!$F$98*'Plan mensual'!H54+parametros_recargas!$G$98*'Plan mensual'!H55+parametros_recargas!$H$98*'Plan mensual'!H56+parametros_recargas!$I$98*'Plan mensual'!H57+parametros_recargas!$J$98*'Plan mensual'!H58+parametros_recargas!$K$98*'Plan mensual'!H59+parametros_recargas!$L$98*'Plan mensual'!H60</f>
        <v>682.187910176589</v>
      </c>
      <c r="G60" s="25" t="n">
        <f aca="false">parametros_recargas!$E$98*'Plan mensual'!I53+parametros_recargas!$F$98*'Plan mensual'!I54+parametros_recargas!$G$98*'Plan mensual'!I55+parametros_recargas!$H$98*'Plan mensual'!I56+parametros_recargas!$I$98*'Plan mensual'!I57+parametros_recargas!$J$98*'Plan mensual'!I58+parametros_recargas!$K$98*'Plan mensual'!I59+parametros_recargas!$L$98*'Plan mensual'!I60</f>
        <v>722.793204415296</v>
      </c>
      <c r="H60" s="25" t="n">
        <f aca="false">parametros_recargas!$E$98*'Plan mensual'!J53+parametros_recargas!$F$98*'Plan mensual'!J54+parametros_recargas!$G$98*'Plan mensual'!J55+parametros_recargas!$H$98*'Plan mensual'!J56+parametros_recargas!$I$98*'Plan mensual'!J57+parametros_recargas!$J$98*'Plan mensual'!J58+parametros_recargas!$K$98*'Plan mensual'!J59+parametros_recargas!$L$98*'Plan mensual'!J60</f>
        <v>765.82222291979</v>
      </c>
      <c r="I60" s="25" t="n">
        <f aca="false">parametros_recargas!$E$98*'Plan mensual'!K53+parametros_recargas!$F$98*'Plan mensual'!K54+parametros_recargas!$G$98*'Plan mensual'!K55+parametros_recargas!$H$98*'Plan mensual'!K56+parametros_recargas!$I$98*'Plan mensual'!K57+parametros_recargas!$J$98*'Plan mensual'!K58+parametros_recargas!$K$98*'Plan mensual'!K59+parametros_recargas!$L$98*'Plan mensual'!K60</f>
        <v>811.419637448439</v>
      </c>
      <c r="J60" s="25" t="n">
        <f aca="false">parametros_recargas!$E$98*'Plan mensual'!L53+parametros_recargas!$F$98*'Plan mensual'!L54+parametros_recargas!$G$98*'Plan mensual'!L55+parametros_recargas!$H$98*'Plan mensual'!L56+parametros_recargas!$I$98*'Plan mensual'!L57+parametros_recargas!$J$98*'Plan mensual'!L58+parametros_recargas!$K$98*'Plan mensual'!L59+parametros_recargas!$L$98*'Plan mensual'!L60</f>
        <v>859.738755196391</v>
      </c>
      <c r="K60" s="25" t="n">
        <f aca="false">parametros_recargas!$E$98*'Plan mensual'!M53+parametros_recargas!$F$98*'Plan mensual'!M54+parametros_recargas!$G$98*'Plan mensual'!M55+parametros_recargas!$H$98*'Plan mensual'!M56+parametros_recargas!$I$98*'Plan mensual'!M57+parametros_recargas!$J$98*'Plan mensual'!M58+parametros_recargas!$K$98*'Plan mensual'!M59+parametros_recargas!$L$98*'Plan mensual'!M60</f>
        <v>910.942034243573</v>
      </c>
      <c r="L60" s="25" t="n">
        <f aca="false">parametros_recargas!$E$98*'Plan mensual'!N53+parametros_recargas!$F$98*'Plan mensual'!N54+parametros_recargas!$G$98*'Plan mensual'!N55+parametros_recargas!$H$98*'Plan mensual'!N56+parametros_recargas!$I$98*'Plan mensual'!N57+parametros_recargas!$J$98*'Plan mensual'!N58+parametros_recargas!$K$98*'Plan mensual'!N59+parametros_recargas!$L$98*'Plan mensual'!N60</f>
        <v>965.201629769708</v>
      </c>
      <c r="M60" s="25" t="n">
        <f aca="false">parametros_recargas!$E$98*'Plan mensual'!O53+parametros_recargas!$F$98*'Plan mensual'!O54+parametros_recargas!$G$98*'Plan mensual'!O55+parametros_recargas!$H$98*'Plan mensual'!O56+parametros_recargas!$I$98*'Plan mensual'!O57+parametros_recargas!$J$98*'Plan mensual'!O58+parametros_recargas!$K$98*'Plan mensual'!O59+parametros_recargas!$L$98*'Plan mensual'!O60</f>
        <v>1022.69997287283</v>
      </c>
      <c r="N60" s="7" t="n">
        <f aca="false">SUM(B60:M60)</f>
        <v>9107.35873736281</v>
      </c>
      <c r="O60" s="26" t="n">
        <f aca="false">MAX(B60:M60)</f>
        <v>1022.69997287283</v>
      </c>
      <c r="P60" s="15" t="n">
        <f aca="false">O60/parametros_recargas!$B$6</f>
        <v>6.8179998191522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25" t="n">
        <f aca="false">parametros_recargas!$E$99*'Plan mensual'!D53+parametros_recargas!$F$99*'Plan mensual'!D54+parametros_recargas!$G$99*'Plan mensual'!D55+parametros_recargas!$H$99*'Plan mensual'!D56+parametros_recargas!$I$99*'Plan mensual'!D57+parametros_recargas!$J$99*'Plan mensual'!D58+parametros_recargas!$K$99*'Plan mensual'!D59+parametros_recargas!$L$99*'Plan mensual'!D60</f>
        <v>42.6403404858269</v>
      </c>
      <c r="C61" s="25" t="n">
        <f aca="false">parametros_recargas!$E$99*'Plan mensual'!E53+parametros_recargas!$F$99*'Plan mensual'!E54+parametros_recargas!$G$99*'Plan mensual'!E55+parametros_recargas!$H$99*'Plan mensual'!E56+parametros_recargas!$I$99*'Plan mensual'!E57+parametros_recargas!$J$99*'Plan mensual'!E58+parametros_recargas!$K$99*'Plan mensual'!E59+parametros_recargas!$L$99*'Plan mensual'!E60</f>
        <v>45.1765497342602</v>
      </c>
      <c r="D61" s="25" t="n">
        <f aca="false">parametros_recargas!$E$99*'Plan mensual'!F53+parametros_recargas!$F$99*'Plan mensual'!F54+parametros_recargas!$G$99*'Plan mensual'!F55+parametros_recargas!$H$99*'Plan mensual'!F56+parametros_recargas!$I$99*'Plan mensual'!F57+parametros_recargas!$J$99*'Plan mensual'!F58+parametros_recargas!$K$99*'Plan mensual'!F59+parametros_recargas!$L$99*'Plan mensual'!F60</f>
        <v>47.8641449537544</v>
      </c>
      <c r="E61" s="25" t="n">
        <f aca="false">parametros_recargas!$E$99*'Plan mensual'!G53+parametros_recargas!$F$99*'Plan mensual'!G54+parametros_recargas!$G$99*'Plan mensual'!G55+parametros_recargas!$H$99*'Plan mensual'!G56+parametros_recargas!$I$99*'Plan mensual'!G57+parametros_recargas!$J$99*'Plan mensual'!G58+parametros_recargas!$K$99*'Plan mensual'!G59+parametros_recargas!$L$99*'Plan mensual'!G60</f>
        <v>50.7121623514947</v>
      </c>
      <c r="F61" s="25" t="n">
        <f aca="false">parametros_recargas!$E$99*'Plan mensual'!H53+parametros_recargas!$F$99*'Plan mensual'!H54+parametros_recargas!$G$99*'Plan mensual'!H55+parametros_recargas!$H$99*'Plan mensual'!H56+parametros_recargas!$I$99*'Plan mensual'!H57+parametros_recargas!$J$99*'Plan mensual'!H58+parametros_recargas!$K$99*'Plan mensual'!H59+parametros_recargas!$L$99*'Plan mensual'!H60</f>
        <v>53.7301775045944</v>
      </c>
      <c r="G61" s="25" t="n">
        <f aca="false">parametros_recargas!$E$99*'Plan mensual'!I53+parametros_recargas!$F$99*'Plan mensual'!I54+parametros_recargas!$G$99*'Plan mensual'!I55+parametros_recargas!$H$99*'Plan mensual'!I56+parametros_recargas!$I$99*'Plan mensual'!I57+parametros_recargas!$J$99*'Plan mensual'!I58+parametros_recargas!$K$99*'Plan mensual'!I59+parametros_recargas!$L$99*'Plan mensual'!I60</f>
        <v>56.9283375550092</v>
      </c>
      <c r="H61" s="25" t="n">
        <f aca="false">parametros_recargas!$E$99*'Plan mensual'!J53+parametros_recargas!$F$99*'Plan mensual'!J54+parametros_recargas!$G$99*'Plan mensual'!J55+parametros_recargas!$H$99*'Plan mensual'!J56+parametros_recargas!$I$99*'Plan mensual'!J57+parametros_recargas!$J$99*'Plan mensual'!J58+parametros_recargas!$K$99*'Plan mensual'!J59+parametros_recargas!$L$99*'Plan mensual'!J60</f>
        <v>60.3173953261619</v>
      </c>
      <c r="I61" s="25" t="n">
        <f aca="false">parametros_recargas!$E$99*'Plan mensual'!K53+parametros_recargas!$F$99*'Plan mensual'!K54+parametros_recargas!$G$99*'Plan mensual'!K55+parametros_recargas!$H$99*'Plan mensual'!K56+parametros_recargas!$I$99*'Plan mensual'!K57+parametros_recargas!$J$99*'Plan mensual'!K58+parametros_recargas!$K$99*'Plan mensual'!K59+parametros_recargas!$L$99*'Plan mensual'!K60</f>
        <v>63.9087454759834</v>
      </c>
      <c r="J61" s="25" t="n">
        <f aca="false">parametros_recargas!$E$99*'Plan mensual'!L53+parametros_recargas!$F$99*'Plan mensual'!L54+parametros_recargas!$G$99*'Plan mensual'!L55+parametros_recargas!$H$99*'Plan mensual'!L56+parametros_recargas!$I$99*'Plan mensual'!L57+parametros_recargas!$J$99*'Plan mensual'!L58+parametros_recargas!$K$99*'Plan mensual'!L59+parametros_recargas!$L$99*'Plan mensual'!L60</f>
        <v>67.7144628079238</v>
      </c>
      <c r="K61" s="25" t="n">
        <f aca="false">parametros_recargas!$E$99*'Plan mensual'!M53+parametros_recargas!$F$99*'Plan mensual'!M54+parametros_recargas!$G$99*'Plan mensual'!M55+parametros_recargas!$H$99*'Plan mensual'!M56+parametros_recargas!$I$99*'Plan mensual'!M57+parametros_recargas!$J$99*'Plan mensual'!M58+parametros_recargas!$K$99*'Plan mensual'!M59+parametros_recargas!$L$99*'Plan mensual'!M60</f>
        <v>71.7473428687419</v>
      </c>
      <c r="L61" s="25" t="n">
        <f aca="false">parametros_recargas!$E$99*'Plan mensual'!N53+parametros_recargas!$F$99*'Plan mensual'!N54+parametros_recargas!$G$99*'Plan mensual'!N55+parametros_recargas!$H$99*'Plan mensual'!N56+parametros_recargas!$I$99*'Plan mensual'!N57+parametros_recargas!$J$99*'Plan mensual'!N58+parametros_recargas!$K$99*'Plan mensual'!N59+parametros_recargas!$L$99*'Plan mensual'!N60</f>
        <v>76.0209449695717</v>
      </c>
      <c r="M61" s="25" t="n">
        <f aca="false">parametros_recargas!$E$99*'Plan mensual'!O53+parametros_recargas!$F$99*'Plan mensual'!O54+parametros_recargas!$G$99*'Plan mensual'!O55+parametros_recargas!$H$99*'Plan mensual'!O56+parametros_recargas!$I$99*'Plan mensual'!O57+parametros_recargas!$J$99*'Plan mensual'!O58+parametros_recargas!$K$99*'Plan mensual'!O59+parametros_recargas!$L$99*'Plan mensual'!O60</f>
        <v>80.5496377749093</v>
      </c>
      <c r="N61" s="7" t="n">
        <f aca="false">SUM(B61:M61)</f>
        <v>717.310241808232</v>
      </c>
      <c r="O61" s="26" t="n">
        <f aca="false">MAX(B61:M61)</f>
        <v>80.5496377749093</v>
      </c>
      <c r="P61" s="15" t="n">
        <f aca="false">O61/parametros_recargas!$B$6</f>
        <v>0.536997585166062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25" t="n">
        <f aca="false">'Plan mensual'!D61</f>
        <v>18.7453879492228</v>
      </c>
      <c r="C62" s="25" t="n">
        <f aca="false">'Plan mensual'!E61</f>
        <v>19.8394267283096</v>
      </c>
      <c r="D62" s="25" t="n">
        <f aca="false">'Plan mensual'!F61</f>
        <v>20.9987685272685</v>
      </c>
      <c r="E62" s="25" t="n">
        <f aca="false">'Plan mensual'!G61</f>
        <v>22.2273112741127</v>
      </c>
      <c r="F62" s="25" t="n">
        <f aca="false">'Plan mensual'!H61</f>
        <v>23.5291855636266</v>
      </c>
      <c r="G62" s="25" t="n">
        <f aca="false">'Plan mensual'!I61</f>
        <v>24.9087685452127</v>
      </c>
      <c r="H62" s="25" t="n">
        <f aca="false">'Plan mensual'!J61</f>
        <v>26.3706986397019</v>
      </c>
      <c r="I62" s="25" t="n">
        <f aca="false">'Plan mensual'!K61</f>
        <v>27.9198911346079</v>
      </c>
      <c r="J62" s="25" t="n">
        <f aca="false">'Plan mensual'!L61</f>
        <v>29.5615547102602</v>
      </c>
      <c r="K62" s="25" t="n">
        <f aca="false">'Plan mensual'!M61</f>
        <v>31.3012089523802</v>
      </c>
      <c r="L62" s="25" t="n">
        <f aca="false">'Plan mensual'!N61</f>
        <v>33.1447029099797</v>
      </c>
      <c r="M62" s="25" t="n">
        <f aca="false">'Plan mensual'!O61</f>
        <v>35.0982347609779</v>
      </c>
      <c r="N62" s="7" t="n">
        <f aca="false">SUM(B62:M62)</f>
        <v>313.645139695661</v>
      </c>
      <c r="O62" s="26" t="n">
        <f aca="false">MAX(B62:M62)</f>
        <v>35.0982347609779</v>
      </c>
      <c r="P62" s="15" t="n">
        <f aca="false">O62/parametros_recargas!$B$6</f>
        <v>0.233988231739853</v>
      </c>
    </row>
    <row r="65" customFormat="false" ht="23.85" hidden="false" customHeight="false" outlineLevel="0" collapsed="false">
      <c r="A65" s="3" t="s">
        <v>281</v>
      </c>
      <c r="B65" s="3" t="s">
        <v>124</v>
      </c>
      <c r="C65" s="3" t="s">
        <v>125</v>
      </c>
      <c r="D65" s="3" t="s">
        <v>126</v>
      </c>
      <c r="E65" s="3" t="s">
        <v>127</v>
      </c>
      <c r="F65" s="3" t="s">
        <v>128</v>
      </c>
      <c r="G65" s="3" t="s">
        <v>129</v>
      </c>
      <c r="H65" s="3" t="s">
        <v>130</v>
      </c>
      <c r="I65" s="3" t="s">
        <v>131</v>
      </c>
      <c r="J65" s="3" t="s">
        <v>132</v>
      </c>
      <c r="K65" s="3" t="s">
        <v>133</v>
      </c>
      <c r="L65" s="3" t="s">
        <v>134</v>
      </c>
      <c r="M65" s="3" t="s">
        <v>135</v>
      </c>
      <c r="N65" s="3" t="s">
        <v>277</v>
      </c>
      <c r="O65" s="3" t="s">
        <v>278</v>
      </c>
      <c r="P65" s="3" t="s">
        <v>279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25" t="n">
        <f aca="false">parametros_recargas!$E$72*'Plan mensual'!D85+parametros_recargas!$F$72*'Plan mensual'!D86+parametros_recargas!$G$72*'Plan mensual'!D87+parametros_recargas!$H$72*'Plan mensual'!D88+parametros_recargas!$I$72*'Plan mensual'!D89+parametros_recargas!$J$72*'Plan mensual'!D90+parametros_recargas!$K$72*'Plan mensual'!D91+parametros_recargas!$L$72*'Plan mensual'!D92</f>
        <v>1130.69046332248</v>
      </c>
      <c r="C66" s="25" t="n">
        <f aca="false">parametros_recargas!$E$72*'Plan mensual'!E85+parametros_recargas!$F$72*'Plan mensual'!E86+parametros_recargas!$G$72*'Plan mensual'!E87+parametros_recargas!$H$72*'Plan mensual'!E88+parametros_recargas!$I$72*'Plan mensual'!E89+parametros_recargas!$J$72*'Plan mensual'!E90+parametros_recargas!$K$72*'Plan mensual'!E91+parametros_recargas!$L$72*'Plan mensual'!E92</f>
        <v>1190.27633807218</v>
      </c>
      <c r="D66" s="25" t="n">
        <f aca="false">parametros_recargas!$E$72*'Plan mensual'!F85+parametros_recargas!$F$72*'Plan mensual'!F86+parametros_recargas!$G$72*'Plan mensual'!F87+parametros_recargas!$H$72*'Plan mensual'!F88+parametros_recargas!$I$72*'Plan mensual'!F89+parametros_recargas!$J$72*'Plan mensual'!F90+parametros_recargas!$K$72*'Plan mensual'!F91+parametros_recargas!$L$72*'Plan mensual'!F92</f>
        <v>1253.0106623168</v>
      </c>
      <c r="E66" s="25" t="n">
        <f aca="false">parametros_recargas!$E$72*'Plan mensual'!G85+parametros_recargas!$F$72*'Plan mensual'!G86+parametros_recargas!$G$72*'Plan mensual'!G87+parametros_recargas!$H$72*'Plan mensual'!G88+parametros_recargas!$I$72*'Plan mensual'!G89+parametros_recargas!$J$72*'Plan mensual'!G90+parametros_recargas!$K$72*'Plan mensual'!G91+parametros_recargas!$L$72*'Plan mensual'!G92</f>
        <v>1319.05979652792</v>
      </c>
      <c r="F66" s="25" t="n">
        <f aca="false">parametros_recargas!$E$72*'Plan mensual'!H85+parametros_recargas!$F$72*'Plan mensual'!H86+parametros_recargas!$G$72*'Plan mensual'!H87+parametros_recargas!$H$72*'Plan mensual'!H88+parametros_recargas!$I$72*'Plan mensual'!H89+parametros_recargas!$J$72*'Plan mensual'!H90+parametros_recargas!$K$72*'Plan mensual'!H91+parametros_recargas!$L$72*'Plan mensual'!H92</f>
        <v>1388.59889147422</v>
      </c>
      <c r="G66" s="25" t="n">
        <f aca="false">parametros_recargas!$E$72*'Plan mensual'!I85+parametros_recargas!$F$72*'Plan mensual'!I86+parametros_recargas!$G$72*'Plan mensual'!I87+parametros_recargas!$H$72*'Plan mensual'!I88+parametros_recargas!$I$72*'Plan mensual'!I89+parametros_recargas!$J$72*'Plan mensual'!I90+parametros_recargas!$K$72*'Plan mensual'!I91+parametros_recargas!$L$72*'Plan mensual'!I92</f>
        <v>1461.81235269074</v>
      </c>
      <c r="H66" s="25" t="n">
        <f aca="false">parametros_recargas!$E$72*'Plan mensual'!J85+parametros_recargas!$F$72*'Plan mensual'!J86+parametros_recargas!$G$72*'Plan mensual'!J87+parametros_recargas!$H$72*'Plan mensual'!J88+parametros_recargas!$I$72*'Plan mensual'!J89+parametros_recargas!$J$72*'Plan mensual'!J90+parametros_recargas!$K$72*'Plan mensual'!J91+parametros_recargas!$L$72*'Plan mensual'!J92</f>
        <v>1538.89432949014</v>
      </c>
      <c r="I66" s="25" t="n">
        <f aca="false">parametros_recargas!$E$72*'Plan mensual'!K85+parametros_recargas!$F$72*'Plan mensual'!K86+parametros_recargas!$G$72*'Plan mensual'!K87+parametros_recargas!$H$72*'Plan mensual'!K88+parametros_recargas!$I$72*'Plan mensual'!K89+parametros_recargas!$J$72*'Plan mensual'!K90+parametros_recargas!$K$72*'Plan mensual'!K91+parametros_recargas!$L$72*'Plan mensual'!K92</f>
        <v>1620.04922981281</v>
      </c>
      <c r="J66" s="25" t="n">
        <f aca="false">parametros_recargas!$E$72*'Plan mensual'!L85+parametros_recargas!$F$72*'Plan mensual'!L86+parametros_recargas!$G$72*'Plan mensual'!L87+parametros_recargas!$H$72*'Plan mensual'!L88+parametros_recargas!$I$72*'Plan mensual'!L89+parametros_recargas!$J$72*'Plan mensual'!L90+parametros_recargas!$K$72*'Plan mensual'!L91+parametros_recargas!$L$72*'Plan mensual'!L92</f>
        <v>1705.49226228099</v>
      </c>
      <c r="K66" s="25" t="n">
        <f aca="false">parametros_recargas!$E$72*'Plan mensual'!M85+parametros_recargas!$F$72*'Plan mensual'!M86+parametros_recargas!$G$72*'Plan mensual'!M87+parametros_recargas!$H$72*'Plan mensual'!M88+parametros_recargas!$I$72*'Plan mensual'!M89+parametros_recargas!$J$72*'Plan mensual'!M90+parametros_recargas!$K$72*'Plan mensual'!M91+parametros_recargas!$L$72*'Plan mensual'!M92</f>
        <v>1795.45000689445</v>
      </c>
      <c r="L66" s="25" t="n">
        <f aca="false">parametros_recargas!$E$72*'Plan mensual'!N85+parametros_recargas!$F$72*'Plan mensual'!N86+parametros_recargas!$G$72*'Plan mensual'!N87+parametros_recargas!$H$72*'Plan mensual'!N88+parametros_recargas!$I$72*'Plan mensual'!N89+parametros_recargas!$J$72*'Plan mensual'!N90+parametros_recargas!$K$72*'Plan mensual'!N91+parametros_recargas!$L$72*'Plan mensual'!N92</f>
        <v>1890.1610158811</v>
      </c>
      <c r="M66" s="25" t="n">
        <f aca="false">parametros_recargas!$E$72*'Plan mensual'!O85+parametros_recargas!$F$72*'Plan mensual'!O86+parametros_recargas!$G$72*'Plan mensual'!O87+parametros_recargas!$H$72*'Plan mensual'!O88+parametros_recargas!$I$72*'Plan mensual'!O89+parametros_recargas!$J$72*'Plan mensual'!O90+parametros_recargas!$K$72*'Plan mensual'!O91+parametros_recargas!$L$72*'Plan mensual'!O92</f>
        <v>1989.87644629584</v>
      </c>
      <c r="N66" s="7" t="n">
        <f aca="false">SUM(B66:M66)</f>
        <v>18283.3717950597</v>
      </c>
      <c r="O66" s="26" t="n">
        <f aca="false">MAX(B66:M66)</f>
        <v>1989.87644629584</v>
      </c>
      <c r="P66" s="15" t="n">
        <f aca="false">O66/parametros_recargas!$B$6</f>
        <v>13.2658429753056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25" t="n">
        <f aca="false">parametros_recargas!$E$73*'Plan mensual'!D85+parametros_recargas!$F$73*'Plan mensual'!D86+parametros_recargas!$G$73*'Plan mensual'!D87+parametros_recargas!$H$73*'Plan mensual'!D88+parametros_recargas!$I$73*'Plan mensual'!D89+parametros_recargas!$J$73*'Plan mensual'!D90+parametros_recargas!$K$73*'Plan mensual'!D91+parametros_recargas!$L$73*'Plan mensual'!D92</f>
        <v>1130.69046332248</v>
      </c>
      <c r="C67" s="25" t="n">
        <f aca="false">parametros_recargas!$E$73*'Plan mensual'!E85+parametros_recargas!$F$73*'Plan mensual'!E86+parametros_recargas!$G$73*'Plan mensual'!E87+parametros_recargas!$H$73*'Plan mensual'!E88+parametros_recargas!$I$73*'Plan mensual'!E89+parametros_recargas!$J$73*'Plan mensual'!E90+parametros_recargas!$K$73*'Plan mensual'!E91+parametros_recargas!$L$73*'Plan mensual'!E92</f>
        <v>1190.27633807218</v>
      </c>
      <c r="D67" s="25" t="n">
        <f aca="false">parametros_recargas!$E$73*'Plan mensual'!F85+parametros_recargas!$F$73*'Plan mensual'!F86+parametros_recargas!$G$73*'Plan mensual'!F87+parametros_recargas!$H$73*'Plan mensual'!F88+parametros_recargas!$I$73*'Plan mensual'!F89+parametros_recargas!$J$73*'Plan mensual'!F90+parametros_recargas!$K$73*'Plan mensual'!F91+parametros_recargas!$L$73*'Plan mensual'!F92</f>
        <v>1253.0106623168</v>
      </c>
      <c r="E67" s="25" t="n">
        <f aca="false">parametros_recargas!$E$73*'Plan mensual'!G85+parametros_recargas!$F$73*'Plan mensual'!G86+parametros_recargas!$G$73*'Plan mensual'!G87+parametros_recargas!$H$73*'Plan mensual'!G88+parametros_recargas!$I$73*'Plan mensual'!G89+parametros_recargas!$J$73*'Plan mensual'!G90+parametros_recargas!$K$73*'Plan mensual'!G91+parametros_recargas!$L$73*'Plan mensual'!G92</f>
        <v>1319.05979652792</v>
      </c>
      <c r="F67" s="25" t="n">
        <f aca="false">parametros_recargas!$E$73*'Plan mensual'!H85+parametros_recargas!$F$73*'Plan mensual'!H86+parametros_recargas!$G$73*'Plan mensual'!H87+parametros_recargas!$H$73*'Plan mensual'!H88+parametros_recargas!$I$73*'Plan mensual'!H89+parametros_recargas!$J$73*'Plan mensual'!H90+parametros_recargas!$K$73*'Plan mensual'!H91+parametros_recargas!$L$73*'Plan mensual'!H92</f>
        <v>1388.59889147422</v>
      </c>
      <c r="G67" s="25" t="n">
        <f aca="false">parametros_recargas!$E$73*'Plan mensual'!I85+parametros_recargas!$F$73*'Plan mensual'!I86+parametros_recargas!$G$73*'Plan mensual'!I87+parametros_recargas!$H$73*'Plan mensual'!I88+parametros_recargas!$I$73*'Plan mensual'!I89+parametros_recargas!$J$73*'Plan mensual'!I90+parametros_recargas!$K$73*'Plan mensual'!I91+parametros_recargas!$L$73*'Plan mensual'!I92</f>
        <v>1461.81235269074</v>
      </c>
      <c r="H67" s="25" t="n">
        <f aca="false">parametros_recargas!$E$73*'Plan mensual'!J85+parametros_recargas!$F$73*'Plan mensual'!J86+parametros_recargas!$G$73*'Plan mensual'!J87+parametros_recargas!$H$73*'Plan mensual'!J88+parametros_recargas!$I$73*'Plan mensual'!J89+parametros_recargas!$J$73*'Plan mensual'!J90+parametros_recargas!$K$73*'Plan mensual'!J91+parametros_recargas!$L$73*'Plan mensual'!J92</f>
        <v>1538.89432949014</v>
      </c>
      <c r="I67" s="25" t="n">
        <f aca="false">parametros_recargas!$E$73*'Plan mensual'!K85+parametros_recargas!$F$73*'Plan mensual'!K86+parametros_recargas!$G$73*'Plan mensual'!K87+parametros_recargas!$H$73*'Plan mensual'!K88+parametros_recargas!$I$73*'Plan mensual'!K89+parametros_recargas!$J$73*'Plan mensual'!K90+parametros_recargas!$K$73*'Plan mensual'!K91+parametros_recargas!$L$73*'Plan mensual'!K92</f>
        <v>1620.04922981281</v>
      </c>
      <c r="J67" s="25" t="n">
        <f aca="false">parametros_recargas!$E$73*'Plan mensual'!L85+parametros_recargas!$F$73*'Plan mensual'!L86+parametros_recargas!$G$73*'Plan mensual'!L87+parametros_recargas!$H$73*'Plan mensual'!L88+parametros_recargas!$I$73*'Plan mensual'!L89+parametros_recargas!$J$73*'Plan mensual'!L90+parametros_recargas!$K$73*'Plan mensual'!L91+parametros_recargas!$L$73*'Plan mensual'!L92</f>
        <v>1705.49226228099</v>
      </c>
      <c r="K67" s="25" t="n">
        <f aca="false">parametros_recargas!$E$73*'Plan mensual'!M85+parametros_recargas!$F$73*'Plan mensual'!M86+parametros_recargas!$G$73*'Plan mensual'!M87+parametros_recargas!$H$73*'Plan mensual'!M88+parametros_recargas!$I$73*'Plan mensual'!M89+parametros_recargas!$J$73*'Plan mensual'!M90+parametros_recargas!$K$73*'Plan mensual'!M91+parametros_recargas!$L$73*'Plan mensual'!M92</f>
        <v>1795.45000689445</v>
      </c>
      <c r="L67" s="25" t="n">
        <f aca="false">parametros_recargas!$E$73*'Plan mensual'!N85+parametros_recargas!$F$73*'Plan mensual'!N86+parametros_recargas!$G$73*'Plan mensual'!N87+parametros_recargas!$H$73*'Plan mensual'!N88+parametros_recargas!$I$73*'Plan mensual'!N89+parametros_recargas!$J$73*'Plan mensual'!N90+parametros_recargas!$K$73*'Plan mensual'!N91+parametros_recargas!$L$73*'Plan mensual'!N92</f>
        <v>1890.1610158811</v>
      </c>
      <c r="M67" s="25" t="n">
        <f aca="false">parametros_recargas!$E$73*'Plan mensual'!O85+parametros_recargas!$F$73*'Plan mensual'!O86+parametros_recargas!$G$73*'Plan mensual'!O87+parametros_recargas!$H$73*'Plan mensual'!O88+parametros_recargas!$I$73*'Plan mensual'!O89+parametros_recargas!$J$73*'Plan mensual'!O90+parametros_recargas!$K$73*'Plan mensual'!O91+parametros_recargas!$L$73*'Plan mensual'!O92</f>
        <v>1989.87644629584</v>
      </c>
      <c r="N67" s="7" t="n">
        <f aca="false">SUM(B67:M67)</f>
        <v>18283.3717950597</v>
      </c>
      <c r="O67" s="26" t="n">
        <f aca="false">MAX(B67:M67)</f>
        <v>1989.87644629584</v>
      </c>
      <c r="P67" s="15" t="n">
        <f aca="false">O67/parametros_recargas!$B$6</f>
        <v>13.2658429753056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25" t="n">
        <f aca="false">parametros_recargas!$E$74*'Plan mensual'!D85+parametros_recargas!$F$74*'Plan mensual'!D86+parametros_recargas!$G$74*'Plan mensual'!D87+parametros_recargas!$H$74*'Plan mensual'!D88+parametros_recargas!$I$74*'Plan mensual'!D89+parametros_recargas!$J$74*'Plan mensual'!D90+parametros_recargas!$K$74*'Plan mensual'!D91+parametros_recargas!$L$74*'Plan mensual'!D92</f>
        <v>827.301447778681</v>
      </c>
      <c r="C68" s="25" t="n">
        <f aca="false">parametros_recargas!$E$74*'Plan mensual'!E85+parametros_recargas!$F$74*'Plan mensual'!E86+parametros_recargas!$G$74*'Plan mensual'!E87+parametros_recargas!$H$74*'Plan mensual'!E88+parametros_recargas!$I$74*'Plan mensual'!E89+parametros_recargas!$J$74*'Plan mensual'!E90+parametros_recargas!$K$74*'Plan mensual'!E91+parametros_recargas!$L$74*'Plan mensual'!E92</f>
        <v>870.932769841828</v>
      </c>
      <c r="D68" s="25" t="n">
        <f aca="false">parametros_recargas!$E$74*'Plan mensual'!F85+parametros_recargas!$F$74*'Plan mensual'!F86+parametros_recargas!$G$74*'Plan mensual'!F87+parametros_recargas!$H$74*'Plan mensual'!F88+parametros_recargas!$I$74*'Plan mensual'!F89+parametros_recargas!$J$74*'Plan mensual'!F90+parametros_recargas!$K$74*'Plan mensual'!F91+parametros_recargas!$L$74*'Plan mensual'!F92</f>
        <v>916.869521077407</v>
      </c>
      <c r="E68" s="25" t="n">
        <f aca="false">parametros_recargas!$E$74*'Plan mensual'!G85+parametros_recargas!$F$74*'Plan mensual'!G86+parametros_recargas!$G$74*'Plan mensual'!G87+parametros_recargas!$H$74*'Plan mensual'!G88+parametros_recargas!$I$74*'Plan mensual'!G89+parametros_recargas!$J$74*'Plan mensual'!G90+parametros_recargas!$K$74*'Plan mensual'!G91+parametros_recargas!$L$74*'Plan mensual'!G92</f>
        <v>965.233517727004</v>
      </c>
      <c r="F68" s="25" t="n">
        <f aca="false">parametros_recargas!$E$74*'Plan mensual'!H85+parametros_recargas!$F$74*'Plan mensual'!H86+parametros_recargas!$G$74*'Plan mensual'!H87+parametros_recargas!$H$74*'Plan mensual'!H88+parametros_recargas!$I$74*'Plan mensual'!H89+parametros_recargas!$J$74*'Plan mensual'!H90+parametros_recargas!$K$74*'Plan mensual'!H91+parametros_recargas!$L$74*'Plan mensual'!H92</f>
        <v>1016.15301266313</v>
      </c>
      <c r="G68" s="25" t="n">
        <f aca="false">parametros_recargas!$E$74*'Plan mensual'!I85+parametros_recargas!$F$74*'Plan mensual'!I86+parametros_recargas!$G$74*'Plan mensual'!I87+parametros_recargas!$H$74*'Plan mensual'!I88+parametros_recargas!$I$74*'Plan mensual'!I89+parametros_recargas!$J$74*'Plan mensual'!I90+parametros_recargas!$K$74*'Plan mensual'!I91+parametros_recargas!$L$74*'Plan mensual'!I92</f>
        <v>1069.76303549345</v>
      </c>
      <c r="H68" s="25" t="n">
        <f aca="false">parametros_recargas!$E$74*'Plan mensual'!J85+parametros_recargas!$F$74*'Plan mensual'!J86+parametros_recargas!$G$74*'Plan mensual'!J87+parametros_recargas!$H$74*'Plan mensual'!J88+parametros_recargas!$I$74*'Plan mensual'!J89+parametros_recargas!$J$74*'Plan mensual'!J90+parametros_recargas!$K$74*'Plan mensual'!J91+parametros_recargas!$L$74*'Plan mensual'!J92</f>
        <v>1126.2057506357</v>
      </c>
      <c r="I68" s="25" t="n">
        <f aca="false">parametros_recargas!$E$74*'Plan mensual'!K85+parametros_recargas!$F$74*'Plan mensual'!K86+parametros_recargas!$G$74*'Plan mensual'!K87+parametros_recargas!$H$74*'Plan mensual'!K88+parametros_recargas!$I$74*'Plan mensual'!K89+parametros_recargas!$J$74*'Plan mensual'!K90+parametros_recargas!$K$74*'Plan mensual'!K91+parametros_recargas!$L$74*'Plan mensual'!K92</f>
        <v>1185.63083431292</v>
      </c>
      <c r="J68" s="25" t="n">
        <f aca="false">parametros_recargas!$E$74*'Plan mensual'!L85+parametros_recargas!$F$74*'Plan mensual'!L86+parametros_recargas!$G$74*'Plan mensual'!L87+parametros_recargas!$H$74*'Plan mensual'!L88+parametros_recargas!$I$74*'Plan mensual'!L89+parametros_recargas!$J$74*'Plan mensual'!L90+parametros_recargas!$K$74*'Plan mensual'!L91+parametros_recargas!$L$74*'Plan mensual'!L92</f>
        <v>1248.19587146865</v>
      </c>
      <c r="K68" s="25" t="n">
        <f aca="false">parametros_recargas!$E$74*'Plan mensual'!M85+parametros_recargas!$F$74*'Plan mensual'!M86+parametros_recargas!$G$74*'Plan mensual'!M87+parametros_recargas!$H$74*'Plan mensual'!M88+parametros_recargas!$I$74*'Plan mensual'!M89+parametros_recargas!$J$74*'Plan mensual'!M90+parametros_recargas!$K$74*'Plan mensual'!M91+parametros_recargas!$L$74*'Plan mensual'!M92</f>
        <v>1314.06677365464</v>
      </c>
      <c r="L68" s="25" t="n">
        <f aca="false">parametros_recargas!$E$74*'Plan mensual'!N85+parametros_recargas!$F$74*'Plan mensual'!N86+parametros_recargas!$G$74*'Plan mensual'!N87+parametros_recargas!$H$74*'Plan mensual'!N88+parametros_recargas!$I$74*'Plan mensual'!N89+parametros_recargas!$J$74*'Plan mensual'!N90+parametros_recargas!$K$74*'Plan mensual'!N91+parametros_recargas!$L$74*'Plan mensual'!N92</f>
        <v>1383.41821899939</v>
      </c>
      <c r="M68" s="25" t="n">
        <f aca="false">parametros_recargas!$E$74*'Plan mensual'!O85+parametros_recargas!$F$74*'Plan mensual'!O86+parametros_recargas!$G$74*'Plan mensual'!O87+parametros_recargas!$H$74*'Plan mensual'!O88+parametros_recargas!$I$74*'Plan mensual'!O89+parametros_recargas!$J$74*'Plan mensual'!O90+parametros_recargas!$K$74*'Plan mensual'!O91+parametros_recargas!$L$74*'Plan mensual'!O92</f>
        <v>1456.43411542395</v>
      </c>
      <c r="N68" s="7" t="n">
        <f aca="false">SUM(B68:M68)</f>
        <v>13380.2048690768</v>
      </c>
      <c r="O68" s="26" t="n">
        <f aca="false">MAX(B68:M68)</f>
        <v>1456.43411542395</v>
      </c>
      <c r="P68" s="15" t="n">
        <f aca="false">O68/parametros_recargas!$B$6</f>
        <v>9.70956076949302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25" t="n">
        <f aca="false">parametros_recargas!$E$75*'Plan mensual'!D85+parametros_recargas!$F$75*'Plan mensual'!D86+parametros_recargas!$G$75*'Plan mensual'!D87+parametros_recargas!$H$75*'Plan mensual'!D88+parametros_recargas!$I$75*'Plan mensual'!D89+parametros_recargas!$J$75*'Plan mensual'!D90+parametros_recargas!$K$75*'Plan mensual'!D91+parametros_recargas!$L$75*'Plan mensual'!D92</f>
        <v>97.3295820916096</v>
      </c>
      <c r="C69" s="25" t="n">
        <f aca="false">parametros_recargas!$E$75*'Plan mensual'!E85+parametros_recargas!$F$75*'Plan mensual'!E86+parametros_recargas!$G$75*'Plan mensual'!E87+parametros_recargas!$H$75*'Plan mensual'!E88+parametros_recargas!$I$75*'Plan mensual'!E89+parametros_recargas!$J$75*'Plan mensual'!E90+parametros_recargas!$K$75*'Plan mensual'!E91+parametros_recargas!$L$75*'Plan mensual'!E92</f>
        <v>102.462678804921</v>
      </c>
      <c r="D69" s="25" t="n">
        <f aca="false">parametros_recargas!$E$75*'Plan mensual'!F85+parametros_recargas!$F$75*'Plan mensual'!F86+parametros_recargas!$G$75*'Plan mensual'!F87+parametros_recargas!$H$75*'Plan mensual'!F88+parametros_recargas!$I$75*'Plan mensual'!F89+parametros_recargas!$J$75*'Plan mensual'!F90+parametros_recargas!$K$75*'Plan mensual'!F91+parametros_recargas!$L$75*'Plan mensual'!F92</f>
        <v>107.867002479695</v>
      </c>
      <c r="E69" s="25" t="n">
        <f aca="false">parametros_recargas!$E$75*'Plan mensual'!G85+parametros_recargas!$F$75*'Plan mensual'!G86+parametros_recargas!$G$75*'Plan mensual'!G87+parametros_recargas!$H$75*'Plan mensual'!G88+parametros_recargas!$I$75*'Plan mensual'!G89+parametros_recargas!$J$75*'Plan mensual'!G90+parametros_recargas!$K$75*'Plan mensual'!G91+parametros_recargas!$L$75*'Plan mensual'!G92</f>
        <v>113.556884438471</v>
      </c>
      <c r="F69" s="25" t="n">
        <f aca="false">parametros_recargas!$E$75*'Plan mensual'!H85+parametros_recargas!$F$75*'Plan mensual'!H86+parametros_recargas!$G$75*'Plan mensual'!H87+parametros_recargas!$H$75*'Plan mensual'!H88+parametros_recargas!$I$75*'Plan mensual'!H89+parametros_recargas!$J$75*'Plan mensual'!H90+parametros_recargas!$K$75*'Plan mensual'!H91+parametros_recargas!$L$75*'Plan mensual'!H92</f>
        <v>119.547413254486</v>
      </c>
      <c r="G69" s="25" t="n">
        <f aca="false">parametros_recargas!$E$75*'Plan mensual'!I85+parametros_recargas!$F$75*'Plan mensual'!I86+parametros_recargas!$G$75*'Plan mensual'!I87+parametros_recargas!$H$75*'Plan mensual'!I88+parametros_recargas!$I$75*'Plan mensual'!I89+parametros_recargas!$J$75*'Plan mensual'!I90+parametros_recargas!$K$75*'Plan mensual'!I91+parametros_recargas!$L$75*'Plan mensual'!I92</f>
        <v>125.854474763935</v>
      </c>
      <c r="H69" s="25" t="n">
        <f aca="false">parametros_recargas!$E$75*'Plan mensual'!J85+parametros_recargas!$F$75*'Plan mensual'!J86+parametros_recargas!$G$75*'Plan mensual'!J87+parametros_recargas!$H$75*'Plan mensual'!J88+parametros_recargas!$I$75*'Plan mensual'!J89+parametros_recargas!$J$75*'Plan mensual'!J90+parametros_recargas!$K$75*'Plan mensual'!J91+parametros_recargas!$L$75*'Plan mensual'!J92</f>
        <v>132.494794192435</v>
      </c>
      <c r="I69" s="25" t="n">
        <f aca="false">parametros_recargas!$E$75*'Plan mensual'!K85+parametros_recargas!$F$75*'Plan mensual'!K86+parametros_recargas!$G$75*'Plan mensual'!K87+parametros_recargas!$H$75*'Plan mensual'!K88+parametros_recargas!$I$75*'Plan mensual'!K89+parametros_recargas!$J$75*'Plan mensual'!K90+parametros_recargas!$K$75*'Plan mensual'!K91+parametros_recargas!$L$75*'Plan mensual'!K92</f>
        <v>139.485980507403</v>
      </c>
      <c r="J69" s="25" t="n">
        <f aca="false">parametros_recargas!$E$75*'Plan mensual'!L85+parametros_recargas!$F$75*'Plan mensual'!L86+parametros_recargas!$G$75*'Plan mensual'!L87+parametros_recargas!$H$75*'Plan mensual'!L88+parametros_recargas!$I$75*'Plan mensual'!L89+parametros_recargas!$J$75*'Plan mensual'!L90+parametros_recargas!$K$75*'Plan mensual'!L91+parametros_recargas!$L$75*'Plan mensual'!L92</f>
        <v>146.846573113958</v>
      </c>
      <c r="K69" s="25" t="n">
        <f aca="false">parametros_recargas!$E$75*'Plan mensual'!M85+parametros_recargas!$F$75*'Plan mensual'!M86+parametros_recargas!$G$75*'Plan mensual'!M87+parametros_recargas!$H$75*'Plan mensual'!M88+parametros_recargas!$I$75*'Plan mensual'!M89+parametros_recargas!$J$75*'Plan mensual'!M90+parametros_recargas!$K$75*'Plan mensual'!M91+parametros_recargas!$L$75*'Plan mensual'!M92</f>
        <v>154.596091018193</v>
      </c>
      <c r="L69" s="25" t="n">
        <f aca="false">parametros_recargas!$E$75*'Plan mensual'!N85+parametros_recargas!$F$75*'Plan mensual'!N86+parametros_recargas!$G$75*'Plan mensual'!N87+parametros_recargas!$H$75*'Plan mensual'!N88+parametros_recargas!$I$75*'Plan mensual'!N89+parametros_recargas!$J$75*'Plan mensual'!N90+parametros_recargas!$K$75*'Plan mensual'!N91+parametros_recargas!$L$75*'Plan mensual'!N92</f>
        <v>162.755084588163</v>
      </c>
      <c r="M69" s="25" t="n">
        <f aca="false">parametros_recargas!$E$75*'Plan mensual'!O85+parametros_recargas!$F$75*'Plan mensual'!O86+parametros_recargas!$G$75*'Plan mensual'!O87+parametros_recargas!$H$75*'Plan mensual'!O88+parametros_recargas!$I$75*'Plan mensual'!O89+parametros_recargas!$J$75*'Plan mensual'!O90+parametros_recargas!$K$75*'Plan mensual'!O91+parametros_recargas!$L$75*'Plan mensual'!O92</f>
        <v>171.345190049877</v>
      </c>
      <c r="N69" s="7" t="n">
        <f aca="false">SUM(B69:M69)</f>
        <v>1574.14174930315</v>
      </c>
      <c r="O69" s="26" t="n">
        <f aca="false">MAX(B69:M69)</f>
        <v>171.345190049877</v>
      </c>
      <c r="P69" s="15" t="n">
        <f aca="false">O69/parametros_recargas!$B$6</f>
        <v>1.14230126699918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25" t="n">
        <f aca="false">parametros_recargas!$E$76*'Plan mensual'!D85+parametros_recargas!$F$76*'Plan mensual'!D86+parametros_recargas!$G$76*'Plan mensual'!D87+parametros_recargas!$H$76*'Plan mensual'!D88+parametros_recargas!$I$76*'Plan mensual'!D89+parametros_recargas!$J$76*'Plan mensual'!D90+parametros_recargas!$K$76*'Plan mensual'!D91+parametros_recargas!$L$76*'Plan mensual'!D92</f>
        <v>1.66673061049812</v>
      </c>
      <c r="C70" s="25" t="n">
        <f aca="false">parametros_recargas!$E$76*'Plan mensual'!E85+parametros_recargas!$F$76*'Plan mensual'!E86+parametros_recargas!$G$76*'Plan mensual'!E87+parametros_recargas!$H$76*'Plan mensual'!E88+parametros_recargas!$I$76*'Plan mensual'!E89+parametros_recargas!$J$76*'Plan mensual'!E90+parametros_recargas!$K$76*'Plan mensual'!E91+parametros_recargas!$L$76*'Plan mensual'!E92</f>
        <v>1.75039551226395</v>
      </c>
      <c r="D70" s="25" t="n">
        <f aca="false">parametros_recargas!$E$76*'Plan mensual'!F85+parametros_recargas!$F$76*'Plan mensual'!F86+parametros_recargas!$G$76*'Plan mensual'!F87+parametros_recargas!$H$76*'Plan mensual'!F88+parametros_recargas!$I$76*'Plan mensual'!F89+parametros_recargas!$J$76*'Plan mensual'!F90+parametros_recargas!$K$76*'Plan mensual'!F91+parametros_recargas!$L$76*'Plan mensual'!F92</f>
        <v>1.83848117178177</v>
      </c>
      <c r="E70" s="25" t="n">
        <f aca="false">parametros_recargas!$E$76*'Plan mensual'!G85+parametros_recargas!$F$76*'Plan mensual'!G86+parametros_recargas!$G$76*'Plan mensual'!G87+parametros_recargas!$H$76*'Plan mensual'!G88+parametros_recargas!$I$76*'Plan mensual'!G89+parametros_recargas!$J$76*'Plan mensual'!G90+parametros_recargas!$K$76*'Plan mensual'!G91+parametros_recargas!$L$76*'Plan mensual'!G92</f>
        <v>1.93122117683675</v>
      </c>
      <c r="F70" s="25" t="n">
        <f aca="false">parametros_recargas!$E$76*'Plan mensual'!H85+parametros_recargas!$F$76*'Plan mensual'!H86+parametros_recargas!$G$76*'Plan mensual'!H87+parametros_recargas!$H$76*'Plan mensual'!H88+parametros_recargas!$I$76*'Plan mensual'!H89+parametros_recargas!$J$76*'Plan mensual'!H90+parametros_recargas!$K$76*'Plan mensual'!H91+parametros_recargas!$L$76*'Plan mensual'!H92</f>
        <v>2.02886145772559</v>
      </c>
      <c r="G70" s="25" t="n">
        <f aca="false">parametros_recargas!$E$76*'Plan mensual'!I85+parametros_recargas!$F$76*'Plan mensual'!I86+parametros_recargas!$G$76*'Plan mensual'!I87+parametros_recargas!$H$76*'Plan mensual'!I88+parametros_recargas!$I$76*'Plan mensual'!I89+parametros_recargas!$J$76*'Plan mensual'!I90+parametros_recargas!$K$76*'Plan mensual'!I91+parametros_recargas!$L$76*'Plan mensual'!I92</f>
        <v>2.13166093942068</v>
      </c>
      <c r="H70" s="25" t="n">
        <f aca="false">parametros_recargas!$E$76*'Plan mensual'!J85+parametros_recargas!$F$76*'Plan mensual'!J86+parametros_recargas!$G$76*'Plan mensual'!J87+parametros_recargas!$H$76*'Plan mensual'!J88+parametros_recargas!$I$76*'Plan mensual'!J89+parametros_recargas!$J$76*'Plan mensual'!J90+parametros_recargas!$K$76*'Plan mensual'!J91+parametros_recargas!$L$76*'Plan mensual'!J92</f>
        <v>2.23989222819389</v>
      </c>
      <c r="I70" s="25" t="n">
        <f aca="false">parametros_recargas!$E$76*'Plan mensual'!K85+parametros_recargas!$F$76*'Plan mensual'!K86+parametros_recargas!$G$76*'Plan mensual'!K87+parametros_recargas!$H$76*'Plan mensual'!K88+parametros_recargas!$I$76*'Plan mensual'!K89+parametros_recargas!$J$76*'Plan mensual'!K90+parametros_recargas!$K$76*'Plan mensual'!K91+parametros_recargas!$L$76*'Plan mensual'!K92</f>
        <v>2.35384233452085</v>
      </c>
      <c r="J70" s="25" t="n">
        <f aca="false">parametros_recargas!$E$76*'Plan mensual'!L85+parametros_recargas!$F$76*'Plan mensual'!L86+parametros_recargas!$G$76*'Plan mensual'!L87+parametros_recargas!$H$76*'Plan mensual'!L88+parametros_recargas!$I$76*'Plan mensual'!L89+parametros_recargas!$J$76*'Plan mensual'!L90+parametros_recargas!$K$76*'Plan mensual'!L91+parametros_recargas!$L$76*'Plan mensual'!L92</f>
        <v>2.47381343418255</v>
      </c>
      <c r="K70" s="25" t="n">
        <f aca="false">parametros_recargas!$E$76*'Plan mensual'!M85+parametros_recargas!$F$76*'Plan mensual'!M86+parametros_recargas!$G$76*'Plan mensual'!M87+parametros_recargas!$H$76*'Plan mensual'!M88+parametros_recargas!$I$76*'Plan mensual'!M89+parametros_recargas!$J$76*'Plan mensual'!M90+parametros_recargas!$K$76*'Plan mensual'!M91+parametros_recargas!$L$76*'Plan mensual'!M92</f>
        <v>2.60012366958276</v>
      </c>
      <c r="L70" s="25" t="n">
        <f aca="false">parametros_recargas!$E$76*'Plan mensual'!N85+parametros_recargas!$F$76*'Plan mensual'!N86+parametros_recargas!$G$76*'Plan mensual'!N87+parametros_recargas!$H$76*'Plan mensual'!N88+parametros_recargas!$I$76*'Plan mensual'!N89+parametros_recargas!$J$76*'Plan mensual'!N90+parametros_recargas!$K$76*'Plan mensual'!N91+parametros_recargas!$L$76*'Plan mensual'!N92</f>
        <v>2.73310799340613</v>
      </c>
      <c r="M70" s="25" t="n">
        <f aca="false">parametros_recargas!$E$76*'Plan mensual'!O85+parametros_recargas!$F$76*'Plan mensual'!O86+parametros_recargas!$G$76*'Plan mensual'!O87+parametros_recargas!$H$76*'Plan mensual'!O88+parametros_recargas!$I$76*'Plan mensual'!O89+parametros_recargas!$J$76*'Plan mensual'!O90+parametros_recargas!$K$76*'Plan mensual'!O91+parametros_recargas!$L$76*'Plan mensual'!O92</f>
        <v>2.87311905685418</v>
      </c>
      <c r="N70" s="7" t="n">
        <f aca="false">SUM(B70:M70)</f>
        <v>26.6212495852672</v>
      </c>
      <c r="O70" s="26" t="n">
        <f aca="false">MAX(B70:M70)</f>
        <v>2.87311905685418</v>
      </c>
      <c r="P70" s="15" t="n">
        <f aca="false">O70/parametros_recargas!$B$6</f>
        <v>0.0191541270456945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25" t="n">
        <f aca="false">parametros_recargas!$E$77*'Plan mensual'!D85+parametros_recargas!$F$77*'Plan mensual'!D86+parametros_recargas!$G$77*'Plan mensual'!D87+parametros_recargas!$H$77*'Plan mensual'!D88+parametros_recargas!$I$77*'Plan mensual'!D89+parametros_recargas!$J$77*'Plan mensual'!D90+parametros_recargas!$K$77*'Plan mensual'!D91+parametros_recargas!$L$77*'Plan mensual'!D92</f>
        <v>54.5740083239489</v>
      </c>
      <c r="C71" s="25" t="n">
        <f aca="false">parametros_recargas!$E$77*'Plan mensual'!E85+parametros_recargas!$F$77*'Plan mensual'!E86+parametros_recargas!$G$77*'Plan mensual'!E87+parametros_recargas!$H$77*'Plan mensual'!E88+parametros_recargas!$I$77*'Plan mensual'!E89+parametros_recargas!$J$77*'Plan mensual'!E90+parametros_recargas!$K$77*'Plan mensual'!E91+parametros_recargas!$L$77*'Plan mensual'!E92</f>
        <v>57.4268138608192</v>
      </c>
      <c r="D71" s="25" t="n">
        <f aca="false">parametros_recargas!$E$77*'Plan mensual'!F85+parametros_recargas!$F$77*'Plan mensual'!F86+parametros_recargas!$G$77*'Plan mensual'!F87+parametros_recargas!$H$77*'Plan mensual'!F88+parametros_recargas!$I$77*'Plan mensual'!F89+parametros_recargas!$J$77*'Plan mensual'!F90+parametros_recargas!$K$77*'Plan mensual'!F91+parametros_recargas!$L$77*'Plan mensual'!F92</f>
        <v>60.4303583805345</v>
      </c>
      <c r="E71" s="25" t="n">
        <f aca="false">parametros_recargas!$E$77*'Plan mensual'!G85+parametros_recargas!$F$77*'Plan mensual'!G86+parametros_recargas!$G$77*'Plan mensual'!G87+parametros_recargas!$H$77*'Plan mensual'!G88+parametros_recargas!$I$77*'Plan mensual'!G89+parametros_recargas!$J$77*'Plan mensual'!G90+parametros_recargas!$K$77*'Plan mensual'!G91+parametros_recargas!$L$77*'Plan mensual'!G92</f>
        <v>63.5926067586024</v>
      </c>
      <c r="F71" s="25" t="n">
        <f aca="false">parametros_recargas!$E$77*'Plan mensual'!H85+parametros_recargas!$F$77*'Plan mensual'!H86+parametros_recargas!$G$77*'Plan mensual'!H87+parametros_recargas!$H$77*'Plan mensual'!H88+parametros_recargas!$I$77*'Plan mensual'!H89+parametros_recargas!$J$77*'Plan mensual'!H90+parametros_recargas!$K$77*'Plan mensual'!H91+parametros_recargas!$L$77*'Plan mensual'!H92</f>
        <v>66.9219447254463</v>
      </c>
      <c r="G71" s="25" t="n">
        <f aca="false">parametros_recargas!$E$77*'Plan mensual'!I85+parametros_recargas!$F$77*'Plan mensual'!I86+parametros_recargas!$G$77*'Plan mensual'!I87+parametros_recargas!$H$77*'Plan mensual'!I88+parametros_recargas!$I$77*'Plan mensual'!I89+parametros_recargas!$J$77*'Plan mensual'!I90+parametros_recargas!$K$77*'Plan mensual'!I91+parametros_recargas!$L$77*'Plan mensual'!I92</f>
        <v>70.4272011038968</v>
      </c>
      <c r="H71" s="25" t="n">
        <f aca="false">parametros_recargas!$E$77*'Plan mensual'!J85+parametros_recargas!$F$77*'Plan mensual'!J86+parametros_recargas!$G$77*'Plan mensual'!J87+parametros_recargas!$H$77*'Plan mensual'!J88+parametros_recargas!$I$77*'Plan mensual'!J89+parametros_recargas!$J$77*'Plan mensual'!J90+parametros_recargas!$K$77*'Plan mensual'!J91+parametros_recargas!$L$77*'Plan mensual'!J92</f>
        <v>74.117671221689</v>
      </c>
      <c r="I71" s="25" t="n">
        <f aca="false">parametros_recargas!$E$77*'Plan mensual'!K85+parametros_recargas!$F$77*'Plan mensual'!K86+parametros_recargas!$G$77*'Plan mensual'!K87+parametros_recargas!$H$77*'Plan mensual'!K88+parametros_recargas!$I$77*'Plan mensual'!K89+parametros_recargas!$J$77*'Plan mensual'!K90+parametros_recargas!$K$77*'Plan mensual'!K91+parametros_recargas!$L$77*'Plan mensual'!K92</f>
        <v>78.0031415610477</v>
      </c>
      <c r="J71" s="25" t="n">
        <f aca="false">parametros_recargas!$E$77*'Plan mensual'!L85+parametros_recargas!$F$77*'Plan mensual'!L86+parametros_recargas!$G$77*'Plan mensual'!L87+parametros_recargas!$H$77*'Plan mensual'!L88+parametros_recargas!$I$77*'Plan mensual'!L89+parametros_recargas!$J$77*'Plan mensual'!L90+parametros_recargas!$K$77*'Plan mensual'!L91+parametros_recargas!$L$77*'Plan mensual'!L92</f>
        <v>82.0939157107291</v>
      </c>
      <c r="K71" s="25" t="n">
        <f aca="false">parametros_recargas!$E$77*'Plan mensual'!M85+parametros_recargas!$F$77*'Plan mensual'!M86+parametros_recargas!$G$77*'Plan mensual'!M87+parametros_recargas!$H$77*'Plan mensual'!M88+parametros_recargas!$I$77*'Plan mensual'!M89+parametros_recargas!$J$77*'Plan mensual'!M90+parametros_recargas!$K$77*'Plan mensual'!M91+parametros_recargas!$L$77*'Plan mensual'!M92</f>
        <v>86.4008416893388</v>
      </c>
      <c r="L71" s="25" t="n">
        <f aca="false">parametros_recargas!$E$77*'Plan mensual'!N85+parametros_recargas!$F$77*'Plan mensual'!N86+parametros_recargas!$G$77*'Plan mensual'!N87+parametros_recargas!$H$77*'Plan mensual'!N88+parametros_recargas!$I$77*'Plan mensual'!N89+parametros_recargas!$J$77*'Plan mensual'!N90+parametros_recargas!$K$77*'Plan mensual'!N91+parametros_recargas!$L$77*'Plan mensual'!N92</f>
        <v>90.9353407123826</v>
      </c>
      <c r="M71" s="25" t="n">
        <f aca="false">parametros_recargas!$E$77*'Plan mensual'!O85+parametros_recargas!$F$77*'Plan mensual'!O86+parametros_recargas!$G$77*'Plan mensual'!O87+parametros_recargas!$H$77*'Plan mensual'!O88+parametros_recargas!$I$77*'Plan mensual'!O89+parametros_recargas!$J$77*'Plan mensual'!O90+parametros_recargas!$K$77*'Plan mensual'!O91+parametros_recargas!$L$77*'Plan mensual'!O92</f>
        <v>95.7094374793354</v>
      </c>
      <c r="N71" s="7" t="n">
        <f aca="false">SUM(B71:M71)</f>
        <v>880.633281527771</v>
      </c>
      <c r="O71" s="26" t="n">
        <f aca="false">MAX(B71:M71)</f>
        <v>95.7094374793354</v>
      </c>
      <c r="P71" s="15" t="n">
        <f aca="false">O71/parametros_recargas!$B$6</f>
        <v>0.638062916528903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25" t="n">
        <f aca="false">parametros_recargas!$E$78*'Plan mensual'!D85+parametros_recargas!$F$78*'Plan mensual'!D86+parametros_recargas!$G$78*'Plan mensual'!D87+parametros_recargas!$H$78*'Plan mensual'!D88+parametros_recargas!$I$78*'Plan mensual'!D89+parametros_recargas!$J$78*'Plan mensual'!D90+parametros_recargas!$K$78*'Plan mensual'!D91+parametros_recargas!$L$78*'Plan mensual'!D92</f>
        <v>23.8229055668614</v>
      </c>
      <c r="C72" s="25" t="n">
        <f aca="false">parametros_recargas!$E$78*'Plan mensual'!E85+parametros_recargas!$F$78*'Plan mensual'!E86+parametros_recargas!$G$78*'Plan mensual'!E87+parametros_recargas!$H$78*'Plan mensual'!E88+parametros_recargas!$I$78*'Plan mensual'!E89+parametros_recargas!$J$78*'Plan mensual'!E90+parametros_recargas!$K$78*'Plan mensual'!E91+parametros_recargas!$L$78*'Plan mensual'!E92</f>
        <v>25.0772774213069</v>
      </c>
      <c r="D72" s="25" t="n">
        <f aca="false">parametros_recargas!$E$78*'Plan mensual'!F85+parametros_recargas!$F$78*'Plan mensual'!F86+parametros_recargas!$G$78*'Plan mensual'!F87+parametros_recargas!$H$78*'Plan mensual'!F88+parametros_recargas!$I$78*'Plan mensual'!F89+parametros_recargas!$J$78*'Plan mensual'!F90+parametros_recargas!$K$78*'Plan mensual'!F91+parametros_recargas!$L$78*'Plan mensual'!F92</f>
        <v>26.3979288503692</v>
      </c>
      <c r="E72" s="25" t="n">
        <f aca="false">parametros_recargas!$E$78*'Plan mensual'!G85+parametros_recargas!$F$78*'Plan mensual'!G86+parametros_recargas!$G$78*'Plan mensual'!G87+parametros_recargas!$H$78*'Plan mensual'!G88+parametros_recargas!$I$78*'Plan mensual'!G89+parametros_recargas!$J$78*'Plan mensual'!G90+parametros_recargas!$K$78*'Plan mensual'!G91+parametros_recargas!$L$78*'Plan mensual'!G92</f>
        <v>27.7883619909912</v>
      </c>
      <c r="F72" s="25" t="n">
        <f aca="false">parametros_recargas!$E$78*'Plan mensual'!H85+parametros_recargas!$F$78*'Plan mensual'!H86+parametros_recargas!$G$78*'Plan mensual'!H87+parametros_recargas!$H$78*'Plan mensual'!H88+parametros_recargas!$I$78*'Plan mensual'!H89+parametros_recargas!$J$78*'Plan mensual'!H90+parametros_recargas!$K$78*'Plan mensual'!H91+parametros_recargas!$L$78*'Plan mensual'!H92</f>
        <v>29.2522640290275</v>
      </c>
      <c r="G72" s="25" t="n">
        <f aca="false">parametros_recargas!$E$78*'Plan mensual'!I85+parametros_recargas!$F$78*'Plan mensual'!I86+parametros_recargas!$G$78*'Plan mensual'!I87+parametros_recargas!$H$78*'Plan mensual'!I88+parametros_recargas!$I$78*'Plan mensual'!I89+parametros_recargas!$J$78*'Plan mensual'!I90+parametros_recargas!$K$78*'Plan mensual'!I91+parametros_recargas!$L$78*'Plan mensual'!I92</f>
        <v>30.7935169770176</v>
      </c>
      <c r="H72" s="25" t="n">
        <f aca="false">parametros_recargas!$E$78*'Plan mensual'!J85+parametros_recargas!$F$78*'Plan mensual'!J86+parametros_recargas!$G$78*'Plan mensual'!J87+parametros_recargas!$H$78*'Plan mensual'!J88+parametros_recargas!$I$78*'Plan mensual'!J89+parametros_recargas!$J$78*'Plan mensual'!J90+parametros_recargas!$K$78*'Plan mensual'!J91+parametros_recargas!$L$78*'Plan mensual'!J92</f>
        <v>32.4162079686052</v>
      </c>
      <c r="I72" s="25" t="n">
        <f aca="false">parametros_recargas!$E$78*'Plan mensual'!K85+parametros_recargas!$F$78*'Plan mensual'!K86+parametros_recargas!$G$78*'Plan mensual'!K87+parametros_recargas!$H$78*'Plan mensual'!K88+parametros_recargas!$I$78*'Plan mensual'!K89+parametros_recargas!$J$78*'Plan mensual'!K90+parametros_recargas!$K$78*'Plan mensual'!K91+parametros_recargas!$L$78*'Plan mensual'!K92</f>
        <v>34.1246400969027</v>
      </c>
      <c r="J72" s="25" t="n">
        <f aca="false">parametros_recargas!$E$78*'Plan mensual'!L85+parametros_recargas!$F$78*'Plan mensual'!L86+parametros_recargas!$G$78*'Plan mensual'!L87+parametros_recargas!$H$78*'Plan mensual'!L88+parametros_recargas!$I$78*'Plan mensual'!L89+parametros_recargas!$J$78*'Plan mensual'!L90+parametros_recargas!$K$78*'Plan mensual'!L91+parametros_recargas!$L$78*'Plan mensual'!L92</f>
        <v>35.9233438255427</v>
      </c>
      <c r="K72" s="25" t="n">
        <f aca="false">parametros_recargas!$E$78*'Plan mensual'!M85+parametros_recargas!$F$78*'Plan mensual'!M86+parametros_recargas!$G$78*'Plan mensual'!M87+parametros_recargas!$H$78*'Plan mensual'!M88+parametros_recargas!$I$78*'Plan mensual'!M89+parametros_recargas!$J$78*'Plan mensual'!M90+parametros_recargas!$K$78*'Plan mensual'!M91+parametros_recargas!$L$78*'Plan mensual'!M92</f>
        <v>37.8170890026762</v>
      </c>
      <c r="L72" s="25" t="n">
        <f aca="false">parametros_recargas!$E$78*'Plan mensual'!N85+parametros_recargas!$F$78*'Plan mensual'!N86+parametros_recargas!$G$78*'Plan mensual'!N87+parametros_recargas!$H$78*'Plan mensual'!N88+parametros_recargas!$I$78*'Plan mensual'!N89+parametros_recargas!$J$78*'Plan mensual'!N90+parametros_recargas!$K$78*'Plan mensual'!N91+parametros_recargas!$L$78*'Plan mensual'!N92</f>
        <v>39.8108975097772</v>
      </c>
      <c r="M72" s="25" t="n">
        <f aca="false">parametros_recargas!$E$78*'Plan mensual'!O85+parametros_recargas!$F$78*'Plan mensual'!O86+parametros_recargas!$G$78*'Plan mensual'!O87+parametros_recargas!$H$78*'Plan mensual'!O88+parametros_recargas!$I$78*'Plan mensual'!O89+parametros_recargas!$J$78*'Plan mensual'!O90+parametros_recargas!$K$78*'Plan mensual'!O91+parametros_recargas!$L$78*'Plan mensual'!O92</f>
        <v>41.9100565787947</v>
      </c>
      <c r="N72" s="7" t="n">
        <f aca="false">SUM(B72:M72)</f>
        <v>385.134489817873</v>
      </c>
      <c r="O72" s="26" t="n">
        <f aca="false">MAX(B72:M72)</f>
        <v>41.9100565787947</v>
      </c>
      <c r="P72" s="15" t="n">
        <f aca="false">O72/parametros_recargas!$B$6</f>
        <v>0.279400377191965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25" t="n">
        <f aca="false">parametros_recargas!$E$79*'Plan mensual'!D85+parametros_recargas!$F$79*'Plan mensual'!D86+parametros_recargas!$G$79*'Plan mensual'!D87+parametros_recargas!$H$79*'Plan mensual'!D88+parametros_recargas!$I$79*'Plan mensual'!D89+parametros_recargas!$J$79*'Plan mensual'!D90+parametros_recargas!$K$79*'Plan mensual'!D91+parametros_recargas!$L$79*'Plan mensual'!D92</f>
        <v>1.04888764849893</v>
      </c>
      <c r="C73" s="25" t="n">
        <f aca="false">parametros_recargas!$E$79*'Plan mensual'!E85+parametros_recargas!$F$79*'Plan mensual'!E86+parametros_recargas!$G$79*'Plan mensual'!E87+parametros_recargas!$H$79*'Plan mensual'!E88+parametros_recargas!$I$79*'Plan mensual'!E89+parametros_recargas!$J$79*'Plan mensual'!E90+parametros_recargas!$K$79*'Plan mensual'!E91+parametros_recargas!$L$79*'Plan mensual'!E92</f>
        <v>1.10320886309789</v>
      </c>
      <c r="D73" s="25" t="n">
        <f aca="false">parametros_recargas!$E$79*'Plan mensual'!F85+parametros_recargas!$F$79*'Plan mensual'!F86+parametros_recargas!$G$79*'Plan mensual'!F87+parametros_recargas!$H$79*'Plan mensual'!F88+parametros_recargas!$I$79*'Plan mensual'!F89+parametros_recargas!$J$79*'Plan mensual'!F90+parametros_recargas!$K$79*'Plan mensual'!F91+parametros_recargas!$L$79*'Plan mensual'!F92</f>
        <v>1.1604003485687</v>
      </c>
      <c r="E73" s="25" t="n">
        <f aca="false">parametros_recargas!$E$79*'Plan mensual'!G85+parametros_recargas!$F$79*'Plan mensual'!G86+parametros_recargas!$G$79*'Plan mensual'!G87+parametros_recargas!$H$79*'Plan mensual'!G88+parametros_recargas!$I$79*'Plan mensual'!G89+parametros_recargas!$J$79*'Plan mensual'!G90+parametros_recargas!$K$79*'Plan mensual'!G91+parametros_recargas!$L$79*'Plan mensual'!G92</f>
        <v>1.22061376674255</v>
      </c>
      <c r="F73" s="25" t="n">
        <f aca="false">parametros_recargas!$E$79*'Plan mensual'!H85+parametros_recargas!$F$79*'Plan mensual'!H86+parametros_recargas!$G$79*'Plan mensual'!H87+parametros_recargas!$H$79*'Plan mensual'!H88+parametros_recargas!$I$79*'Plan mensual'!H89+parametros_recargas!$J$79*'Plan mensual'!H90+parametros_recargas!$K$79*'Plan mensual'!H91+parametros_recargas!$L$79*'Plan mensual'!H92</f>
        <v>1.28400879308836</v>
      </c>
      <c r="G73" s="25" t="n">
        <f aca="false">parametros_recargas!$E$79*'Plan mensual'!I85+parametros_recargas!$F$79*'Plan mensual'!I86+parametros_recargas!$G$79*'Plan mensual'!I87+parametros_recargas!$H$79*'Plan mensual'!I88+parametros_recargas!$I$79*'Plan mensual'!I89+parametros_recargas!$J$79*'Plan mensual'!I90+parametros_recargas!$K$79*'Plan mensual'!I91+parametros_recargas!$L$79*'Plan mensual'!I92</f>
        <v>1.3507535401443</v>
      </c>
      <c r="H73" s="25" t="n">
        <f aca="false">parametros_recargas!$E$79*'Plan mensual'!J85+parametros_recargas!$F$79*'Plan mensual'!J86+parametros_recargas!$G$79*'Plan mensual'!J87+parametros_recargas!$H$79*'Plan mensual'!J88+parametros_recargas!$I$79*'Plan mensual'!J89+parametros_recargas!$J$79*'Plan mensual'!J90+parametros_recargas!$K$79*'Plan mensual'!J91+parametros_recargas!$L$79*'Plan mensual'!J92</f>
        <v>1.42102500332281</v>
      </c>
      <c r="I73" s="25" t="n">
        <f aca="false">parametros_recargas!$E$79*'Plan mensual'!K85+parametros_recargas!$F$79*'Plan mensual'!K86+parametros_recargas!$G$79*'Plan mensual'!K87+parametros_recargas!$H$79*'Plan mensual'!K88+parametros_recargas!$I$79*'Plan mensual'!K89+parametros_recargas!$J$79*'Plan mensual'!K90+parametros_recargas!$K$79*'Plan mensual'!K91+parametros_recargas!$L$79*'Plan mensual'!K92</f>
        <v>1.49500953027158</v>
      </c>
      <c r="J73" s="25" t="n">
        <f aca="false">parametros_recargas!$E$79*'Plan mensual'!L85+parametros_recargas!$F$79*'Plan mensual'!L86+parametros_recargas!$G$79*'Plan mensual'!L87+parametros_recargas!$H$79*'Plan mensual'!L88+parametros_recargas!$I$79*'Plan mensual'!L89+parametros_recargas!$J$79*'Plan mensual'!L90+parametros_recargas!$K$79*'Plan mensual'!L91+parametros_recargas!$L$79*'Plan mensual'!L92</f>
        <v>1.57290331503495</v>
      </c>
      <c r="K73" s="25" t="n">
        <f aca="false">parametros_recargas!$E$79*'Plan mensual'!M85+parametros_recargas!$F$79*'Plan mensual'!M86+parametros_recargas!$G$79*'Plan mensual'!M87+parametros_recargas!$H$79*'Plan mensual'!M88+parametros_recargas!$I$79*'Plan mensual'!M89+parametros_recargas!$J$79*'Plan mensual'!M90+parametros_recargas!$K$79*'Plan mensual'!M91+parametros_recargas!$L$79*'Plan mensual'!M92</f>
        <v>1.65491291832622</v>
      </c>
      <c r="L73" s="25" t="n">
        <f aca="false">parametros_recargas!$E$79*'Plan mensual'!N85+parametros_recargas!$F$79*'Plan mensual'!N86+parametros_recargas!$G$79*'Plan mensual'!N87+parametros_recargas!$H$79*'Plan mensual'!N88+parametros_recargas!$I$79*'Plan mensual'!N89+parametros_recargas!$J$79*'Plan mensual'!N90+parametros_recargas!$K$79*'Plan mensual'!N91+parametros_recargas!$L$79*'Plan mensual'!N92</f>
        <v>1.74125581529065</v>
      </c>
      <c r="M73" s="25" t="n">
        <f aca="false">parametros_recargas!$E$79*'Plan mensual'!O85+parametros_recargas!$F$79*'Plan mensual'!O86+parametros_recargas!$G$79*'Plan mensual'!O87+parametros_recargas!$H$79*'Plan mensual'!O88+parametros_recargas!$I$79*'Plan mensual'!O89+parametros_recargas!$J$79*'Plan mensual'!O90+parametros_recargas!$K$79*'Plan mensual'!O91+parametros_recargas!$L$79*'Plan mensual'!O92</f>
        <v>1.83216097221149</v>
      </c>
      <c r="N73" s="7" t="n">
        <f aca="false">SUM(B73:M73)</f>
        <v>16.8851405145984</v>
      </c>
      <c r="O73" s="26" t="n">
        <f aca="false">MAX(B73:M73)</f>
        <v>1.83216097221149</v>
      </c>
      <c r="P73" s="15" t="n">
        <f aca="false">O73/parametros_recargas!$B$6</f>
        <v>0.0122144064814099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25" t="n">
        <f aca="false">parametros_recargas!$E$80*'Plan mensual'!D85+parametros_recargas!$F$80*'Plan mensual'!D86+parametros_recargas!$G$80*'Plan mensual'!D87+parametros_recargas!$H$80*'Plan mensual'!D88+parametros_recargas!$I$80*'Plan mensual'!D89+parametros_recargas!$J$80*'Plan mensual'!D90+parametros_recargas!$K$80*'Plan mensual'!D91+parametros_recargas!$L$80*'Plan mensual'!D92</f>
        <v>976.629282137092</v>
      </c>
      <c r="C74" s="25" t="n">
        <f aca="false">parametros_recargas!$E$80*'Plan mensual'!E85+parametros_recargas!$F$80*'Plan mensual'!E86+parametros_recargas!$G$80*'Plan mensual'!E87+parametros_recargas!$H$80*'Plan mensual'!E88+parametros_recargas!$I$80*'Plan mensual'!E89+parametros_recargas!$J$80*'Plan mensual'!E90+parametros_recargas!$K$80*'Plan mensual'!E91+parametros_recargas!$L$80*'Plan mensual'!E92</f>
        <v>1028.12757907374</v>
      </c>
      <c r="D74" s="25" t="n">
        <f aca="false">parametros_recargas!$E$80*'Plan mensual'!F85+parametros_recargas!$F$80*'Plan mensual'!F86+parametros_recargas!$G$80*'Plan mensual'!F87+parametros_recargas!$H$80*'Plan mensual'!F88+parametros_recargas!$I$80*'Plan mensual'!F89+parametros_recargas!$J$80*'Plan mensual'!F90+parametros_recargas!$K$80*'Plan mensual'!F91+parametros_recargas!$L$80*'Plan mensual'!F92</f>
        <v>1082.34698714051</v>
      </c>
      <c r="E74" s="25" t="n">
        <f aca="false">parametros_recargas!$E$80*'Plan mensual'!G85+parametros_recargas!$F$80*'Plan mensual'!G86+parametros_recargas!$G$80*'Plan mensual'!G87+parametros_recargas!$H$80*'Plan mensual'!G88+parametros_recargas!$I$80*'Plan mensual'!G89+parametros_recargas!$J$80*'Plan mensual'!G90+parametros_recargas!$K$80*'Plan mensual'!G91+parametros_recargas!$L$80*'Plan mensual'!G92</f>
        <v>1139.43128673838</v>
      </c>
      <c r="F74" s="25" t="n">
        <f aca="false">parametros_recargas!$E$80*'Plan mensual'!H85+parametros_recargas!$F$80*'Plan mensual'!H86+parametros_recargas!$G$80*'Plan mensual'!H87+parametros_recargas!$H$80*'Plan mensual'!H88+parametros_recargas!$I$80*'Plan mensual'!H89+parametros_recargas!$J$80*'Plan mensual'!H90+parametros_recargas!$K$80*'Plan mensual'!H91+parametros_recargas!$L$80*'Plan mensual'!H92</f>
        <v>1199.53185546031</v>
      </c>
      <c r="G74" s="25" t="n">
        <f aca="false">parametros_recargas!$E$80*'Plan mensual'!I85+parametros_recargas!$F$80*'Plan mensual'!I86+parametros_recargas!$G$80*'Plan mensual'!I87+parametros_recargas!$H$80*'Plan mensual'!I88+parametros_recargas!$I$80*'Plan mensual'!I89+parametros_recargas!$J$80*'Plan mensual'!I90+parametros_recargas!$K$80*'Plan mensual'!I91+parametros_recargas!$L$80*'Plan mensual'!I92</f>
        <v>1262.80806951819</v>
      </c>
      <c r="H74" s="25" t="n">
        <f aca="false">parametros_recargas!$E$80*'Plan mensual'!J85+parametros_recargas!$F$80*'Plan mensual'!J86+parametros_recargas!$G$80*'Plan mensual'!J87+parametros_recargas!$H$80*'Plan mensual'!J88+parametros_recargas!$I$80*'Plan mensual'!J89+parametros_recargas!$J$80*'Plan mensual'!J90+parametros_recargas!$K$80*'Plan mensual'!J91+parametros_recargas!$L$80*'Plan mensual'!J92</f>
        <v>1329.42772638074</v>
      </c>
      <c r="I74" s="25" t="n">
        <f aca="false">parametros_recargas!$E$80*'Plan mensual'!K85+parametros_recargas!$F$80*'Plan mensual'!K86+parametros_recargas!$G$80*'Plan mensual'!K87+parametros_recargas!$H$80*'Plan mensual'!K88+parametros_recargas!$I$80*'Plan mensual'!K89+parametros_recargas!$J$80*'Plan mensual'!K90+parametros_recargas!$K$80*'Plan mensual'!K91+parametros_recargas!$L$80*'Plan mensual'!K92</f>
        <v>1399.56748974307</v>
      </c>
      <c r="J74" s="25" t="n">
        <f aca="false">parametros_recargas!$E$80*'Plan mensual'!L85+parametros_recargas!$F$80*'Plan mensual'!L86+parametros_recargas!$G$80*'Plan mensual'!L87+parametros_recargas!$H$80*'Plan mensual'!L88+parametros_recargas!$I$80*'Plan mensual'!L89+parametros_recargas!$J$80*'Plan mensual'!L90+parametros_recargas!$K$80*'Plan mensual'!L91+parametros_recargas!$L$80*'Plan mensual'!L92</f>
        <v>1473.41335800795</v>
      </c>
      <c r="K74" s="25" t="n">
        <f aca="false">parametros_recargas!$E$80*'Plan mensual'!M85+parametros_recargas!$F$80*'Plan mensual'!M86+parametros_recargas!$G$80*'Plan mensual'!M87+parametros_recargas!$H$80*'Plan mensual'!M88+parametros_recargas!$I$80*'Plan mensual'!M89+parametros_recargas!$J$80*'Plan mensual'!M90+parametros_recargas!$K$80*'Plan mensual'!M91+parametros_recargas!$L$80*'Plan mensual'!M92</f>
        <v>1551.1611575211</v>
      </c>
      <c r="L74" s="25" t="n">
        <f aca="false">parametros_recargas!$E$80*'Plan mensual'!N85+parametros_recargas!$F$80*'Plan mensual'!N86+parametros_recargas!$G$80*'Plan mensual'!N87+parametros_recargas!$H$80*'Plan mensual'!N88+parametros_recargas!$I$80*'Plan mensual'!N89+parametros_recargas!$J$80*'Plan mensual'!N90+parametros_recargas!$K$80*'Plan mensual'!N91+parametros_recargas!$L$80*'Plan mensual'!N92</f>
        <v>1633.01706186845</v>
      </c>
      <c r="M74" s="25" t="n">
        <f aca="false">parametros_recargas!$E$80*'Plan mensual'!O85+parametros_recargas!$F$80*'Plan mensual'!O86+parametros_recargas!$G$80*'Plan mensual'!O87+parametros_recargas!$H$80*'Plan mensual'!O88+parametros_recargas!$I$80*'Plan mensual'!O89+parametros_recargas!$J$80*'Plan mensual'!O90+parametros_recargas!$K$80*'Plan mensual'!O91+parametros_recargas!$L$80*'Plan mensual'!O92</f>
        <v>1719.19813861248</v>
      </c>
      <c r="N74" s="7" t="n">
        <f aca="false">SUM(B74:M74)</f>
        <v>15794.659992202</v>
      </c>
      <c r="O74" s="26" t="n">
        <f aca="false">MAX(B74:M74)</f>
        <v>1719.19813861248</v>
      </c>
      <c r="P74" s="15" t="n">
        <f aca="false">O74/parametros_recargas!$B$6</f>
        <v>11.4613209240832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25" t="n">
        <f aca="false">parametros_recargas!$E$81*'Plan mensual'!D85+parametros_recargas!$F$81*'Plan mensual'!D86+parametros_recargas!$G$81*'Plan mensual'!D87+parametros_recargas!$H$81*'Plan mensual'!D88+parametros_recargas!$I$81*'Plan mensual'!D89+parametros_recargas!$J$81*'Plan mensual'!D90+parametros_recargas!$K$81*'Plan mensual'!D91+parametros_recargas!$L$81*'Plan mensual'!D92</f>
        <v>79.4458015393093</v>
      </c>
      <c r="C75" s="25" t="n">
        <f aca="false">parametros_recargas!$E$81*'Plan mensual'!E85+parametros_recargas!$F$81*'Plan mensual'!E86+parametros_recargas!$G$81*'Plan mensual'!E87+parametros_recargas!$H$81*'Plan mensual'!E88+parametros_recargas!$I$81*'Plan mensual'!E89+parametros_recargas!$J$81*'Plan mensual'!E90+parametros_recargas!$K$81*'Plan mensual'!E91+parametros_recargas!$L$81*'Plan mensual'!E92</f>
        <v>83.607300145224</v>
      </c>
      <c r="D75" s="25" t="n">
        <f aca="false">parametros_recargas!$E$81*'Plan mensual'!F85+parametros_recargas!$F$81*'Plan mensual'!F86+parametros_recargas!$G$81*'Plan mensual'!F87+parametros_recargas!$H$81*'Plan mensual'!F88+parametros_recargas!$I$81*'Plan mensual'!F89+parametros_recargas!$J$81*'Plan mensual'!F90+parametros_recargas!$K$81*'Plan mensual'!F91+parametros_recargas!$L$81*'Plan mensual'!F92</f>
        <v>87.9886875794724</v>
      </c>
      <c r="E75" s="25" t="n">
        <f aca="false">parametros_recargas!$E$81*'Plan mensual'!G85+parametros_recargas!$F$81*'Plan mensual'!G86+parametros_recargas!$G$81*'Plan mensual'!G87+parametros_recargas!$H$81*'Plan mensual'!G88+parametros_recargas!$I$81*'Plan mensual'!G89+parametros_recargas!$J$81*'Plan mensual'!G90+parametros_recargas!$K$81*'Plan mensual'!G91+parametros_recargas!$L$81*'Plan mensual'!G92</f>
        <v>92.6015825163362</v>
      </c>
      <c r="F75" s="25" t="n">
        <f aca="false">parametros_recargas!$E$81*'Plan mensual'!H85+parametros_recargas!$F$81*'Plan mensual'!H86+parametros_recargas!$G$81*'Plan mensual'!H87+parametros_recargas!$H$81*'Plan mensual'!H88+parametros_recargas!$I$81*'Plan mensual'!H89+parametros_recargas!$J$81*'Plan mensual'!H90+parametros_recargas!$K$81*'Plan mensual'!H91+parametros_recargas!$L$81*'Plan mensual'!H92</f>
        <v>97.4582175475621</v>
      </c>
      <c r="G75" s="25" t="n">
        <f aca="false">parametros_recargas!$E$81*'Plan mensual'!I85+parametros_recargas!$F$81*'Plan mensual'!I86+parametros_recargas!$G$81*'Plan mensual'!I87+parametros_recargas!$H$81*'Plan mensual'!I88+parametros_recargas!$I$81*'Plan mensual'!I89+parametros_recargas!$J$81*'Plan mensual'!I90+parametros_recargas!$K$81*'Plan mensual'!I91+parametros_recargas!$L$81*'Plan mensual'!I92</f>
        <v>102.571471621059</v>
      </c>
      <c r="H75" s="25" t="n">
        <f aca="false">parametros_recargas!$E$81*'Plan mensual'!J85+parametros_recargas!$F$81*'Plan mensual'!J86+parametros_recargas!$G$81*'Plan mensual'!J87+parametros_recargas!$H$81*'Plan mensual'!J88+parametros_recargas!$I$81*'Plan mensual'!J89+parametros_recargas!$J$81*'Plan mensual'!J90+parametros_recargas!$K$81*'Plan mensual'!J91+parametros_recargas!$L$81*'Plan mensual'!J92</f>
        <v>107.954904193617</v>
      </c>
      <c r="I75" s="25" t="n">
        <f aca="false">parametros_recargas!$E$81*'Plan mensual'!K85+parametros_recargas!$F$81*'Plan mensual'!K86+parametros_recargas!$G$81*'Plan mensual'!K87+parametros_recargas!$H$81*'Plan mensual'!K88+parametros_recargas!$I$81*'Plan mensual'!K89+parametros_recargas!$J$81*'Plan mensual'!K90+parametros_recargas!$K$81*'Plan mensual'!K91+parametros_recargas!$L$81*'Plan mensual'!K92</f>
        <v>113.622791188222</v>
      </c>
      <c r="J75" s="25" t="n">
        <f aca="false">parametros_recargas!$E$81*'Plan mensual'!L85+parametros_recargas!$F$81*'Plan mensual'!L86+parametros_recargas!$G$81*'Plan mensual'!L87+parametros_recargas!$H$81*'Plan mensual'!L88+parametros_recargas!$I$81*'Plan mensual'!L89+parametros_recargas!$J$81*'Plan mensual'!L90+parametros_recargas!$K$81*'Plan mensual'!L91+parametros_recargas!$L$81*'Plan mensual'!L92</f>
        <v>119.590162851307</v>
      </c>
      <c r="K75" s="25" t="n">
        <f aca="false">parametros_recargas!$E$81*'Plan mensual'!M85+parametros_recargas!$F$81*'Plan mensual'!M86+parametros_recargas!$G$81*'Plan mensual'!M87+parametros_recargas!$H$81*'Plan mensual'!M88+parametros_recargas!$I$81*'Plan mensual'!M89+parametros_recargas!$J$81*'Plan mensual'!M90+parametros_recargas!$K$81*'Plan mensual'!M91+parametros_recargas!$L$81*'Plan mensual'!M92</f>
        <v>125.872843610341</v>
      </c>
      <c r="L75" s="25" t="n">
        <f aca="false">parametros_recargas!$E$81*'Plan mensual'!N85+parametros_recargas!$F$81*'Plan mensual'!N86+parametros_recargas!$G$81*'Plan mensual'!N87+parametros_recargas!$H$81*'Plan mensual'!N88+parametros_recargas!$I$81*'Plan mensual'!N89+parametros_recargas!$J$81*'Plan mensual'!N90+parametros_recargas!$K$81*'Plan mensual'!N91+parametros_recargas!$L$81*'Plan mensual'!N92</f>
        <v>132.48749403745</v>
      </c>
      <c r="M75" s="25" t="n">
        <f aca="false">parametros_recargas!$E$81*'Plan mensual'!O85+parametros_recargas!$F$81*'Plan mensual'!O86+parametros_recargas!$G$81*'Plan mensual'!O87+parametros_recargas!$H$81*'Plan mensual'!O88+parametros_recargas!$I$81*'Plan mensual'!O89+parametros_recargas!$J$81*'Plan mensual'!O90+parametros_recargas!$K$81*'Plan mensual'!O91+parametros_recargas!$L$81*'Plan mensual'!O92</f>
        <v>139.451655030342</v>
      </c>
      <c r="N75" s="7" t="n">
        <f aca="false">SUM(B75:M75)</f>
        <v>1282.65291186024</v>
      </c>
      <c r="O75" s="26" t="n">
        <f aca="false">MAX(B75:M75)</f>
        <v>139.451655030342</v>
      </c>
      <c r="P75" s="15" t="n">
        <f aca="false">O75/parametros_recargas!$B$6</f>
        <v>0.929677700202278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25" t="n">
        <f aca="false">parametros_recargas!$E$82*'Plan mensual'!D85+parametros_recargas!$F$82*'Plan mensual'!D86+parametros_recargas!$G$82*'Plan mensual'!D87+parametros_recargas!$H$82*'Plan mensual'!D88+parametros_recargas!$I$82*'Plan mensual'!D89+parametros_recargas!$J$82*'Plan mensual'!D90+parametros_recargas!$K$82*'Plan mensual'!D91+parametros_recargas!$L$82*'Plan mensual'!D92</f>
        <v>0.974962551526594</v>
      </c>
      <c r="C76" s="25" t="n">
        <f aca="false">parametros_recargas!$E$82*'Plan mensual'!E85+parametros_recargas!$F$82*'Plan mensual'!E86+parametros_recargas!$G$82*'Plan mensual'!E87+parametros_recargas!$H$82*'Plan mensual'!E88+parametros_recargas!$I$82*'Plan mensual'!E89+parametros_recargas!$J$82*'Plan mensual'!E90+parametros_recargas!$K$82*'Plan mensual'!E91+parametros_recargas!$L$82*'Plan mensual'!E92</f>
        <v>1.02637718356147</v>
      </c>
      <c r="D76" s="25" t="n">
        <f aca="false">parametros_recargas!$E$82*'Plan mensual'!F85+parametros_recargas!$F$82*'Plan mensual'!F86+parametros_recargas!$G$82*'Plan mensual'!F87+parametros_recargas!$H$82*'Plan mensual'!F88+parametros_recargas!$I$82*'Plan mensual'!F89+parametros_recargas!$J$82*'Plan mensual'!F90+parametros_recargas!$K$82*'Plan mensual'!F91+parametros_recargas!$L$82*'Plan mensual'!F92</f>
        <v>1.08050850596873</v>
      </c>
      <c r="E76" s="25" t="n">
        <f aca="false">parametros_recargas!$E$82*'Plan mensual'!G85+parametros_recargas!$F$82*'Plan mensual'!G86+parametros_recargas!$G$82*'Plan mensual'!G87+parametros_recargas!$H$82*'Plan mensual'!G88+parametros_recargas!$I$82*'Plan mensual'!G89+parametros_recargas!$J$82*'Plan mensual'!G90+parametros_recargas!$K$82*'Plan mensual'!G91+parametros_recargas!$L$82*'Plan mensual'!G92</f>
        <v>1.13750006556155</v>
      </c>
      <c r="F76" s="25" t="n">
        <f aca="false">parametros_recargas!$E$82*'Plan mensual'!H85+parametros_recargas!$F$82*'Plan mensual'!H86+parametros_recargas!$G$82*'Plan mensual'!H87+parametros_recargas!$H$82*'Plan mensual'!H88+parametros_recargas!$I$82*'Plan mensual'!H89+parametros_recargas!$J$82*'Plan mensual'!H90+parametros_recargas!$K$82*'Plan mensual'!H91+parametros_recargas!$L$82*'Plan mensual'!H92</f>
        <v>1.19750299400259</v>
      </c>
      <c r="G76" s="25" t="n">
        <f aca="false">parametros_recargas!$E$82*'Plan mensual'!I85+parametros_recargas!$F$82*'Plan mensual'!I86+parametros_recargas!$G$82*'Plan mensual'!I87+parametros_recargas!$H$82*'Plan mensual'!I88+parametros_recargas!$I$82*'Plan mensual'!I89+parametros_recargas!$J$82*'Plan mensual'!I90+parametros_recargas!$K$82*'Plan mensual'!I91+parametros_recargas!$L$82*'Plan mensual'!I92</f>
        <v>1.26067640857877</v>
      </c>
      <c r="H76" s="25" t="n">
        <f aca="false">parametros_recargas!$E$82*'Plan mensual'!J85+parametros_recargas!$F$82*'Plan mensual'!J86+parametros_recargas!$G$82*'Plan mensual'!J87+parametros_recargas!$H$82*'Plan mensual'!J88+parametros_recargas!$I$82*'Plan mensual'!J89+parametros_recargas!$J$82*'Plan mensual'!J90+parametros_recargas!$K$82*'Plan mensual'!J91+parametros_recargas!$L$82*'Plan mensual'!J92</f>
        <v>1.32718783415255</v>
      </c>
      <c r="I76" s="25" t="n">
        <f aca="false">parametros_recargas!$E$82*'Plan mensual'!K85+parametros_recargas!$F$82*'Plan mensual'!K86+parametros_recargas!$G$82*'Plan mensual'!K87+parametros_recargas!$H$82*'Plan mensual'!K88+parametros_recargas!$I$82*'Plan mensual'!K89+parametros_recargas!$J$82*'Plan mensual'!K90+parametros_recargas!$K$82*'Plan mensual'!K91+parametros_recargas!$L$82*'Plan mensual'!K92</f>
        <v>1.39721364740855</v>
      </c>
      <c r="J76" s="25" t="n">
        <f aca="false">parametros_recargas!$E$82*'Plan mensual'!L85+parametros_recargas!$F$82*'Plan mensual'!L86+parametros_recargas!$G$82*'Plan mensual'!L87+parametros_recargas!$H$82*'Plan mensual'!L88+parametros_recargas!$I$82*'Plan mensual'!L89+parametros_recargas!$J$82*'Plan mensual'!L90+parametros_recargas!$K$82*'Plan mensual'!L91+parametros_recargas!$L$82*'Plan mensual'!L92</f>
        <v>1.47093954457377</v>
      </c>
      <c r="K76" s="25" t="n">
        <f aca="false">parametros_recargas!$E$82*'Plan mensual'!M85+parametros_recargas!$F$82*'Plan mensual'!M86+parametros_recargas!$G$82*'Plan mensual'!M87+parametros_recargas!$H$82*'Plan mensual'!M88+parametros_recargas!$I$82*'Plan mensual'!M89+parametros_recargas!$J$82*'Plan mensual'!M90+parametros_recargas!$K$82*'Plan mensual'!M91+parametros_recargas!$L$82*'Plan mensual'!M92</f>
        <v>1.54856103385152</v>
      </c>
      <c r="L76" s="25" t="n">
        <f aca="false">parametros_recargas!$E$82*'Plan mensual'!N85+parametros_recargas!$F$82*'Plan mensual'!N86+parametros_recargas!$G$82*'Plan mensual'!N87+parametros_recargas!$H$82*'Plan mensual'!N88+parametros_recargas!$I$82*'Plan mensual'!N89+parametros_recargas!$J$82*'Plan mensual'!N90+parametros_recargas!$K$82*'Plan mensual'!N91+parametros_recargas!$L$82*'Plan mensual'!N92</f>
        <v>1.63028395387504</v>
      </c>
      <c r="M76" s="25" t="n">
        <f aca="false">parametros_recargas!$E$82*'Plan mensual'!O85+parametros_recargas!$F$82*'Plan mensual'!O86+parametros_recargas!$G$82*'Plan mensual'!O87+parametros_recargas!$H$82*'Plan mensual'!O88+parametros_recargas!$I$82*'Plan mensual'!O89+parametros_recargas!$J$82*'Plan mensual'!O90+parametros_recargas!$K$82*'Plan mensual'!O91+parametros_recargas!$L$82*'Plan mensual'!O92</f>
        <v>1.71632501955562</v>
      </c>
      <c r="N76" s="7" t="n">
        <f aca="false">SUM(B76:M76)</f>
        <v>15.7680387426167</v>
      </c>
      <c r="O76" s="26" t="n">
        <f aca="false">MAX(B76:M76)</f>
        <v>1.71632501955562</v>
      </c>
      <c r="P76" s="15" t="n">
        <f aca="false">O76/parametros_recargas!$B$6</f>
        <v>0.0114421667970375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25" t="n">
        <f aca="false">parametros_recargas!$E$83*'Plan mensual'!D85+parametros_recargas!$F$83*'Plan mensual'!D86+parametros_recargas!$G$83*'Plan mensual'!D87+parametros_recargas!$H$83*'Plan mensual'!D88+parametros_recargas!$I$83*'Plan mensual'!D89+parametros_recargas!$J$83*'Plan mensual'!D90+parametros_recargas!$K$83*'Plan mensual'!D91+parametros_recargas!$L$83*'Plan mensual'!D92</f>
        <v>242.510295161681</v>
      </c>
      <c r="C77" s="25" t="n">
        <f aca="false">parametros_recargas!$E$83*'Plan mensual'!E85+parametros_recargas!$F$83*'Plan mensual'!E86+parametros_recargas!$G$83*'Plan mensual'!E87+parametros_recargas!$H$83*'Plan mensual'!E88+parametros_recargas!$I$83*'Plan mensual'!E89+parametros_recargas!$J$83*'Plan mensual'!E90+parametros_recargas!$K$83*'Plan mensual'!E91+parametros_recargas!$L$83*'Plan mensual'!E92</f>
        <v>255.283311772681</v>
      </c>
      <c r="D77" s="25" t="n">
        <f aca="false">parametros_recargas!$E$83*'Plan mensual'!F85+parametros_recargas!$F$83*'Plan mensual'!F86+parametros_recargas!$G$83*'Plan mensual'!F87+parametros_recargas!$H$83*'Plan mensual'!F88+parametros_recargas!$I$83*'Plan mensual'!F89+parametros_recargas!$J$83*'Plan mensual'!F90+parametros_recargas!$K$83*'Plan mensual'!F91+parametros_recargas!$L$83*'Plan mensual'!F92</f>
        <v>268.73123997752</v>
      </c>
      <c r="E77" s="25" t="n">
        <f aca="false">parametros_recargas!$E$83*'Plan mensual'!G85+parametros_recargas!$F$83*'Plan mensual'!G86+parametros_recargas!$G$83*'Plan mensual'!G87+parametros_recargas!$H$83*'Plan mensual'!G88+parametros_recargas!$I$83*'Plan mensual'!G89+parametros_recargas!$J$83*'Plan mensual'!G90+parametros_recargas!$K$83*'Plan mensual'!G91+parametros_recargas!$L$83*'Plan mensual'!G92</f>
        <v>282.889741333165</v>
      </c>
      <c r="F77" s="25" t="n">
        <f aca="false">parametros_recargas!$E$83*'Plan mensual'!H85+parametros_recargas!$F$83*'Plan mensual'!H86+parametros_recargas!$G$83*'Plan mensual'!H87+parametros_recargas!$H$83*'Plan mensual'!H88+parametros_recargas!$I$83*'Plan mensual'!H89+parametros_recargas!$J$83*'Plan mensual'!H90+parametros_recargas!$K$83*'Plan mensual'!H91+parametros_recargas!$L$83*'Plan mensual'!H92</f>
        <v>297.796361712478</v>
      </c>
      <c r="G77" s="25" t="n">
        <f aca="false">parametros_recargas!$E$83*'Plan mensual'!I85+parametros_recargas!$F$83*'Plan mensual'!I86+parametros_recargas!$G$83*'Plan mensual'!I87+parametros_recargas!$H$83*'Plan mensual'!I88+parametros_recargas!$I$83*'Plan mensual'!I89+parametros_recargas!$J$83*'Plan mensual'!I90+parametros_recargas!$K$83*'Plan mensual'!I91+parametros_recargas!$L$83*'Plan mensual'!I92</f>
        <v>313.490630869317</v>
      </c>
      <c r="H77" s="25" t="n">
        <f aca="false">parametros_recargas!$E$83*'Plan mensual'!J85+parametros_recargas!$F$83*'Plan mensual'!J86+parametros_recargas!$G$83*'Plan mensual'!J87+parametros_recargas!$H$83*'Plan mensual'!J88+parametros_recargas!$I$83*'Plan mensual'!J89+parametros_recargas!$J$83*'Plan mensual'!J90+parametros_recargas!$K$83*'Plan mensual'!J91+parametros_recargas!$L$83*'Plan mensual'!J92</f>
        <v>330.014167264535</v>
      </c>
      <c r="I77" s="25" t="n">
        <f aca="false">parametros_recargas!$E$83*'Plan mensual'!K85+parametros_recargas!$F$83*'Plan mensual'!K86+parametros_recargas!$G$83*'Plan mensual'!K87+parametros_recargas!$H$83*'Plan mensual'!K88+parametros_recargas!$I$83*'Plan mensual'!K89+parametros_recargas!$J$83*'Plan mensual'!K90+parametros_recargas!$K$83*'Plan mensual'!K91+parametros_recargas!$L$83*'Plan mensual'!K92</f>
        <v>347.410788430877</v>
      </c>
      <c r="J77" s="25" t="n">
        <f aca="false">parametros_recargas!$E$83*'Plan mensual'!L85+parametros_recargas!$F$83*'Plan mensual'!L86+parametros_recargas!$G$83*'Plan mensual'!L87+parametros_recargas!$H$83*'Plan mensual'!L88+parametros_recargas!$I$83*'Plan mensual'!L89+parametros_recargas!$J$83*'Plan mensual'!L90+parametros_recargas!$K$83*'Plan mensual'!L91+parametros_recargas!$L$83*'Plan mensual'!L92</f>
        <v>365.726627169417</v>
      </c>
      <c r="K77" s="25" t="n">
        <f aca="false">parametros_recargas!$E$83*'Plan mensual'!M85+parametros_recargas!$F$83*'Plan mensual'!M86+parametros_recargas!$G$83*'Plan mensual'!M87+parametros_recargas!$H$83*'Plan mensual'!M88+parametros_recargas!$I$83*'Plan mensual'!M89+parametros_recargas!$J$83*'Plan mensual'!M90+parametros_recargas!$K$83*'Plan mensual'!M91+parametros_recargas!$L$83*'Plan mensual'!M92</f>
        <v>385.010253885691</v>
      </c>
      <c r="L77" s="25" t="n">
        <f aca="false">parametros_recargas!$E$83*'Plan mensual'!N85+parametros_recargas!$F$83*'Plan mensual'!N86+parametros_recargas!$G$83*'Plan mensual'!N87+parametros_recargas!$H$83*'Plan mensual'!N88+parametros_recargas!$I$83*'Plan mensual'!N89+parametros_recargas!$J$83*'Plan mensual'!N90+parametros_recargas!$K$83*'Plan mensual'!N91+parametros_recargas!$L$83*'Plan mensual'!N92</f>
        <v>405.312805389935</v>
      </c>
      <c r="M77" s="25" t="n">
        <f aca="false">parametros_recargas!$E$83*'Plan mensual'!O85+parametros_recargas!$F$83*'Plan mensual'!O86+parametros_recargas!$G$83*'Plan mensual'!O87+parametros_recargas!$H$83*'Plan mensual'!O88+parametros_recargas!$I$83*'Plan mensual'!O89+parametros_recargas!$J$83*'Plan mensual'!O90+parametros_recargas!$K$83*'Plan mensual'!O91+parametros_recargas!$L$83*'Plan mensual'!O92</f>
        <v>426.688120502968</v>
      </c>
      <c r="N77" s="7" t="n">
        <f aca="false">SUM(B77:M77)</f>
        <v>3920.86434347026</v>
      </c>
      <c r="O77" s="26" t="n">
        <f aca="false">MAX(B77:M77)</f>
        <v>426.688120502968</v>
      </c>
      <c r="P77" s="15" t="n">
        <f aca="false">O77/parametros_recargas!$B$6</f>
        <v>2.84458747001979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25" t="n">
        <f aca="false">parametros_recargas!$E$84*'Plan mensual'!D85+parametros_recargas!$F$84*'Plan mensual'!D86+parametros_recargas!$G$84*'Plan mensual'!D87+parametros_recargas!$H$84*'Plan mensual'!D88+parametros_recargas!$I$84*'Plan mensual'!D89+parametros_recargas!$J$84*'Plan mensual'!D90+parametros_recargas!$K$84*'Plan mensual'!D91+parametros_recargas!$L$84*'Plan mensual'!D92</f>
        <v>224.989583821078</v>
      </c>
      <c r="C78" s="25" t="n">
        <f aca="false">parametros_recargas!$E$84*'Plan mensual'!E85+parametros_recargas!$F$84*'Plan mensual'!E86+parametros_recargas!$G$84*'Plan mensual'!E87+parametros_recargas!$H$84*'Plan mensual'!E88+parametros_recargas!$I$84*'Plan mensual'!E89+parametros_recargas!$J$84*'Plan mensual'!E90+parametros_recargas!$K$84*'Plan mensual'!E91+parametros_recargas!$L$84*'Plan mensual'!E92</f>
        <v>236.851180633009</v>
      </c>
      <c r="D78" s="25" t="n">
        <f aca="false">parametros_recargas!$E$84*'Plan mensual'!F85+parametros_recargas!$F$84*'Plan mensual'!F86+parametros_recargas!$G$84*'Plan mensual'!F87+parametros_recargas!$H$84*'Plan mensual'!F88+parametros_recargas!$I$84*'Plan mensual'!F89+parametros_recargas!$J$84*'Plan mensual'!F90+parametros_recargas!$K$84*'Plan mensual'!F91+parametros_recargas!$L$84*'Plan mensual'!F92</f>
        <v>249.339530658658</v>
      </c>
      <c r="E78" s="25" t="n">
        <f aca="false">parametros_recargas!$E$84*'Plan mensual'!G85+parametros_recargas!$F$84*'Plan mensual'!G86+parametros_recargas!$G$84*'Plan mensual'!G87+parametros_recargas!$H$84*'Plan mensual'!G88+parametros_recargas!$I$84*'Plan mensual'!G89+parametros_recargas!$J$84*'Plan mensual'!G90+parametros_recargas!$K$84*'Plan mensual'!G91+parametros_recargas!$L$84*'Plan mensual'!G92</f>
        <v>262.487750821248</v>
      </c>
      <c r="F78" s="25" t="n">
        <f aca="false">parametros_recargas!$E$84*'Plan mensual'!H85+parametros_recargas!$F$84*'Plan mensual'!H86+parametros_recargas!$G$84*'Plan mensual'!H87+parametros_recargas!$H$84*'Plan mensual'!H88+parametros_recargas!$I$84*'Plan mensual'!H89+parametros_recargas!$J$84*'Plan mensual'!H90+parametros_recargas!$K$84*'Plan mensual'!H91+parametros_recargas!$L$84*'Plan mensual'!H92</f>
        <v>276.330707904358</v>
      </c>
      <c r="G78" s="25" t="n">
        <f aca="false">parametros_recargas!$E$84*'Plan mensual'!I85+parametros_recargas!$F$84*'Plan mensual'!I86+parametros_recargas!$G$84*'Plan mensual'!I87+parametros_recargas!$H$84*'Plan mensual'!I88+parametros_recargas!$I$84*'Plan mensual'!I89+parametros_recargas!$J$84*'Plan mensual'!I90+parametros_recargas!$K$84*'Plan mensual'!I91+parametros_recargas!$L$84*'Plan mensual'!I92</f>
        <v>290.90511101255</v>
      </c>
      <c r="H78" s="25" t="n">
        <f aca="false">parametros_recargas!$E$84*'Plan mensual'!J85+parametros_recargas!$F$84*'Plan mensual'!J86+parametros_recargas!$G$84*'Plan mensual'!J87+parametros_recargas!$H$84*'Plan mensual'!J88+parametros_recargas!$I$84*'Plan mensual'!J89+parametros_recargas!$J$84*'Plan mensual'!J90+parametros_recargas!$K$84*'Plan mensual'!J91+parametros_recargas!$L$84*'Plan mensual'!J92</f>
        <v>306.249608917498</v>
      </c>
      <c r="I78" s="25" t="n">
        <f aca="false">parametros_recargas!$E$84*'Plan mensual'!K85+parametros_recargas!$F$84*'Plan mensual'!K86+parametros_recargas!$G$84*'Plan mensual'!K87+parametros_recargas!$H$84*'Plan mensual'!K88+parametros_recargas!$I$84*'Plan mensual'!K89+parametros_recargas!$J$84*'Plan mensual'!K90+parametros_recargas!$K$84*'Plan mensual'!K91+parametros_recargas!$L$84*'Plan mensual'!K92</f>
        <v>322.404892547784</v>
      </c>
      <c r="J78" s="25" t="n">
        <f aca="false">parametros_recargas!$E$84*'Plan mensual'!L85+parametros_recargas!$F$84*'Plan mensual'!L86+parametros_recargas!$G$84*'Plan mensual'!L87+parametros_recargas!$H$84*'Plan mensual'!L88+parametros_recargas!$I$84*'Plan mensual'!L89+parametros_recargas!$J$84*'Plan mensual'!L90+parametros_recargas!$K$84*'Plan mensual'!L91+parametros_recargas!$L$84*'Plan mensual'!L92</f>
        <v>339.413802894132</v>
      </c>
      <c r="K78" s="25" t="n">
        <f aca="false">parametros_recargas!$E$84*'Plan mensual'!M85+parametros_recargas!$F$84*'Plan mensual'!M86+parametros_recargas!$G$84*'Plan mensual'!M87+parametros_recargas!$H$84*'Plan mensual'!M88+parametros_recargas!$I$84*'Plan mensual'!M89+parametros_recargas!$J$84*'Plan mensual'!M90+parametros_recargas!$K$84*'Plan mensual'!M91+parametros_recargas!$L$84*'Plan mensual'!M92</f>
        <v>357.321444616233</v>
      </c>
      <c r="L78" s="25" t="n">
        <f aca="false">parametros_recargas!$E$84*'Plan mensual'!N85+parametros_recargas!$F$84*'Plan mensual'!N86+parametros_recargas!$G$84*'Plan mensual'!N87+parametros_recargas!$H$84*'Plan mensual'!N88+parametros_recargas!$I$84*'Plan mensual'!N89+parametros_recargas!$J$84*'Plan mensual'!N90+parametros_recargas!$K$84*'Plan mensual'!N91+parametros_recargas!$L$84*'Plan mensual'!N92</f>
        <v>376.175305652428</v>
      </c>
      <c r="M78" s="25" t="n">
        <f aca="false">parametros_recargas!$E$84*'Plan mensual'!O85+parametros_recargas!$F$84*'Plan mensual'!O86+parametros_recargas!$G$84*'Plan mensual'!O87+parametros_recargas!$H$84*'Plan mensual'!O88+parametros_recargas!$I$84*'Plan mensual'!O89+parametros_recargas!$J$84*'Plan mensual'!O90+parametros_recargas!$K$84*'Plan mensual'!O91+parametros_recargas!$L$84*'Plan mensual'!O92</f>
        <v>396.025383149425</v>
      </c>
      <c r="N78" s="7" t="n">
        <f aca="false">SUM(B78:M78)</f>
        <v>3638.4943026284</v>
      </c>
      <c r="O78" s="26" t="n">
        <f aca="false">MAX(B78:M78)</f>
        <v>396.025383149425</v>
      </c>
      <c r="P78" s="15" t="n">
        <f aca="false">O78/parametros_recargas!$B$6</f>
        <v>2.64016922099617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25" t="n">
        <f aca="false">parametros_recargas!$E$85*'Plan mensual'!D85+parametros_recargas!$F$85*'Plan mensual'!D86+parametros_recargas!$G$85*'Plan mensual'!D87+parametros_recargas!$H$85*'Plan mensual'!D88+parametros_recargas!$I$85*'Plan mensual'!D89+parametros_recargas!$J$85*'Plan mensual'!D90+parametros_recargas!$K$85*'Plan mensual'!D91+parametros_recargas!$L$85*'Plan mensual'!D92</f>
        <v>224.989583821078</v>
      </c>
      <c r="C79" s="25" t="n">
        <f aca="false">parametros_recargas!$E$85*'Plan mensual'!E85+parametros_recargas!$F$85*'Plan mensual'!E86+parametros_recargas!$G$85*'Plan mensual'!E87+parametros_recargas!$H$85*'Plan mensual'!E88+parametros_recargas!$I$85*'Plan mensual'!E89+parametros_recargas!$J$85*'Plan mensual'!E90+parametros_recargas!$K$85*'Plan mensual'!E91+parametros_recargas!$L$85*'Plan mensual'!E92</f>
        <v>236.851180633009</v>
      </c>
      <c r="D79" s="25" t="n">
        <f aca="false">parametros_recargas!$E$85*'Plan mensual'!F85+parametros_recargas!$F$85*'Plan mensual'!F86+parametros_recargas!$G$85*'Plan mensual'!F87+parametros_recargas!$H$85*'Plan mensual'!F88+parametros_recargas!$I$85*'Plan mensual'!F89+parametros_recargas!$J$85*'Plan mensual'!F90+parametros_recargas!$K$85*'Plan mensual'!F91+parametros_recargas!$L$85*'Plan mensual'!F92</f>
        <v>249.339530658658</v>
      </c>
      <c r="E79" s="25" t="n">
        <f aca="false">parametros_recargas!$E$85*'Plan mensual'!G85+parametros_recargas!$F$85*'Plan mensual'!G86+parametros_recargas!$G$85*'Plan mensual'!G87+parametros_recargas!$H$85*'Plan mensual'!G88+parametros_recargas!$I$85*'Plan mensual'!G89+parametros_recargas!$J$85*'Plan mensual'!G90+parametros_recargas!$K$85*'Plan mensual'!G91+parametros_recargas!$L$85*'Plan mensual'!G92</f>
        <v>262.487750821248</v>
      </c>
      <c r="F79" s="25" t="n">
        <f aca="false">parametros_recargas!$E$85*'Plan mensual'!H85+parametros_recargas!$F$85*'Plan mensual'!H86+parametros_recargas!$G$85*'Plan mensual'!H87+parametros_recargas!$H$85*'Plan mensual'!H88+parametros_recargas!$I$85*'Plan mensual'!H89+parametros_recargas!$J$85*'Plan mensual'!H90+parametros_recargas!$K$85*'Plan mensual'!H91+parametros_recargas!$L$85*'Plan mensual'!H92</f>
        <v>276.330707904358</v>
      </c>
      <c r="G79" s="25" t="n">
        <f aca="false">parametros_recargas!$E$85*'Plan mensual'!I85+parametros_recargas!$F$85*'Plan mensual'!I86+parametros_recargas!$G$85*'Plan mensual'!I87+parametros_recargas!$H$85*'Plan mensual'!I88+parametros_recargas!$I$85*'Plan mensual'!I89+parametros_recargas!$J$85*'Plan mensual'!I90+parametros_recargas!$K$85*'Plan mensual'!I91+parametros_recargas!$L$85*'Plan mensual'!I92</f>
        <v>290.90511101255</v>
      </c>
      <c r="H79" s="25" t="n">
        <f aca="false">parametros_recargas!$E$85*'Plan mensual'!J85+parametros_recargas!$F$85*'Plan mensual'!J86+parametros_recargas!$G$85*'Plan mensual'!J87+parametros_recargas!$H$85*'Plan mensual'!J88+parametros_recargas!$I$85*'Plan mensual'!J89+parametros_recargas!$J$85*'Plan mensual'!J90+parametros_recargas!$K$85*'Plan mensual'!J91+parametros_recargas!$L$85*'Plan mensual'!J92</f>
        <v>306.249608917498</v>
      </c>
      <c r="I79" s="25" t="n">
        <f aca="false">parametros_recargas!$E$85*'Plan mensual'!K85+parametros_recargas!$F$85*'Plan mensual'!K86+parametros_recargas!$G$85*'Plan mensual'!K87+parametros_recargas!$H$85*'Plan mensual'!K88+parametros_recargas!$I$85*'Plan mensual'!K89+parametros_recargas!$J$85*'Plan mensual'!K90+parametros_recargas!$K$85*'Plan mensual'!K91+parametros_recargas!$L$85*'Plan mensual'!K92</f>
        <v>322.404892547784</v>
      </c>
      <c r="J79" s="25" t="n">
        <f aca="false">parametros_recargas!$E$85*'Plan mensual'!L85+parametros_recargas!$F$85*'Plan mensual'!L86+parametros_recargas!$G$85*'Plan mensual'!L87+parametros_recargas!$H$85*'Plan mensual'!L88+parametros_recargas!$I$85*'Plan mensual'!L89+parametros_recargas!$J$85*'Plan mensual'!L90+parametros_recargas!$K$85*'Plan mensual'!L91+parametros_recargas!$L$85*'Plan mensual'!L92</f>
        <v>339.413802894132</v>
      </c>
      <c r="K79" s="25" t="n">
        <f aca="false">parametros_recargas!$E$85*'Plan mensual'!M85+parametros_recargas!$F$85*'Plan mensual'!M86+parametros_recargas!$G$85*'Plan mensual'!M87+parametros_recargas!$H$85*'Plan mensual'!M88+parametros_recargas!$I$85*'Plan mensual'!M89+parametros_recargas!$J$85*'Plan mensual'!M90+parametros_recargas!$K$85*'Plan mensual'!M91+parametros_recargas!$L$85*'Plan mensual'!M92</f>
        <v>357.321444616233</v>
      </c>
      <c r="L79" s="25" t="n">
        <f aca="false">parametros_recargas!$E$85*'Plan mensual'!N85+parametros_recargas!$F$85*'Plan mensual'!N86+parametros_recargas!$G$85*'Plan mensual'!N87+parametros_recargas!$H$85*'Plan mensual'!N88+parametros_recargas!$I$85*'Plan mensual'!N89+parametros_recargas!$J$85*'Plan mensual'!N90+parametros_recargas!$K$85*'Plan mensual'!N91+parametros_recargas!$L$85*'Plan mensual'!N92</f>
        <v>376.175305652428</v>
      </c>
      <c r="M79" s="25" t="n">
        <f aca="false">parametros_recargas!$E$85*'Plan mensual'!O85+parametros_recargas!$F$85*'Plan mensual'!O86+parametros_recargas!$G$85*'Plan mensual'!O87+parametros_recargas!$H$85*'Plan mensual'!O88+parametros_recargas!$I$85*'Plan mensual'!O89+parametros_recargas!$J$85*'Plan mensual'!O90+parametros_recargas!$K$85*'Plan mensual'!O91+parametros_recargas!$L$85*'Plan mensual'!O92</f>
        <v>396.025383149425</v>
      </c>
      <c r="N79" s="7" t="n">
        <f aca="false">SUM(B79:M79)</f>
        <v>3638.4943026284</v>
      </c>
      <c r="O79" s="26" t="n">
        <f aca="false">MAX(B79:M79)</f>
        <v>396.025383149425</v>
      </c>
      <c r="P79" s="15" t="n">
        <f aca="false">O79/parametros_recargas!$B$6</f>
        <v>2.64016922099617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25" t="n">
        <f aca="false">parametros_recargas!$E$86*'Plan mensual'!D85+parametros_recargas!$F$86*'Plan mensual'!D86+parametros_recargas!$G$86*'Plan mensual'!D87+parametros_recargas!$H$86*'Plan mensual'!D88+parametros_recargas!$I$86*'Plan mensual'!D89+parametros_recargas!$J$86*'Plan mensual'!D90+parametros_recargas!$K$86*'Plan mensual'!D91+parametros_recargas!$L$86*'Plan mensual'!D92</f>
        <v>113.069046332248</v>
      </c>
      <c r="C80" s="25" t="n">
        <f aca="false">parametros_recargas!$E$86*'Plan mensual'!E85+parametros_recargas!$F$86*'Plan mensual'!E86+parametros_recargas!$G$86*'Plan mensual'!E87+parametros_recargas!$H$86*'Plan mensual'!E88+parametros_recargas!$I$86*'Plan mensual'!E89+parametros_recargas!$J$86*'Plan mensual'!E90+parametros_recargas!$K$86*'Plan mensual'!E91+parametros_recargas!$L$86*'Plan mensual'!E92</f>
        <v>119.027633807218</v>
      </c>
      <c r="D80" s="25" t="n">
        <f aca="false">parametros_recargas!$E$86*'Plan mensual'!F85+parametros_recargas!$F$86*'Plan mensual'!F86+parametros_recargas!$G$86*'Plan mensual'!F87+parametros_recargas!$H$86*'Plan mensual'!F88+parametros_recargas!$I$86*'Plan mensual'!F89+parametros_recargas!$J$86*'Plan mensual'!F90+parametros_recargas!$K$86*'Plan mensual'!F91+parametros_recargas!$L$86*'Plan mensual'!F92</f>
        <v>125.30106623168</v>
      </c>
      <c r="E80" s="25" t="n">
        <f aca="false">parametros_recargas!$E$86*'Plan mensual'!G85+parametros_recargas!$F$86*'Plan mensual'!G86+parametros_recargas!$G$86*'Plan mensual'!G87+parametros_recargas!$H$86*'Plan mensual'!G88+parametros_recargas!$I$86*'Plan mensual'!G89+parametros_recargas!$J$86*'Plan mensual'!G90+parametros_recargas!$K$86*'Plan mensual'!G91+parametros_recargas!$L$86*'Plan mensual'!G92</f>
        <v>131.905979652792</v>
      </c>
      <c r="F80" s="25" t="n">
        <f aca="false">parametros_recargas!$E$86*'Plan mensual'!H85+parametros_recargas!$F$86*'Plan mensual'!H86+parametros_recargas!$G$86*'Plan mensual'!H87+parametros_recargas!$H$86*'Plan mensual'!H88+parametros_recargas!$I$86*'Plan mensual'!H89+parametros_recargas!$J$86*'Plan mensual'!H90+parametros_recargas!$K$86*'Plan mensual'!H91+parametros_recargas!$L$86*'Plan mensual'!H92</f>
        <v>138.859889147422</v>
      </c>
      <c r="G80" s="25" t="n">
        <f aca="false">parametros_recargas!$E$86*'Plan mensual'!I85+parametros_recargas!$F$86*'Plan mensual'!I86+parametros_recargas!$G$86*'Plan mensual'!I87+parametros_recargas!$H$86*'Plan mensual'!I88+parametros_recargas!$I$86*'Plan mensual'!I89+parametros_recargas!$J$86*'Plan mensual'!I90+parametros_recargas!$K$86*'Plan mensual'!I91+parametros_recargas!$L$86*'Plan mensual'!I92</f>
        <v>146.181235269074</v>
      </c>
      <c r="H80" s="25" t="n">
        <f aca="false">parametros_recargas!$E$86*'Plan mensual'!J85+parametros_recargas!$F$86*'Plan mensual'!J86+parametros_recargas!$G$86*'Plan mensual'!J87+parametros_recargas!$H$86*'Plan mensual'!J88+parametros_recargas!$I$86*'Plan mensual'!J89+parametros_recargas!$J$86*'Plan mensual'!J90+parametros_recargas!$K$86*'Plan mensual'!J91+parametros_recargas!$L$86*'Plan mensual'!J92</f>
        <v>153.889432949014</v>
      </c>
      <c r="I80" s="25" t="n">
        <f aca="false">parametros_recargas!$E$86*'Plan mensual'!K85+parametros_recargas!$F$86*'Plan mensual'!K86+parametros_recargas!$G$86*'Plan mensual'!K87+parametros_recargas!$H$86*'Plan mensual'!K88+parametros_recargas!$I$86*'Plan mensual'!K89+parametros_recargas!$J$86*'Plan mensual'!K90+parametros_recargas!$K$86*'Plan mensual'!K91+parametros_recargas!$L$86*'Plan mensual'!K92</f>
        <v>162.004922981281</v>
      </c>
      <c r="J80" s="25" t="n">
        <f aca="false">parametros_recargas!$E$86*'Plan mensual'!L85+parametros_recargas!$F$86*'Plan mensual'!L86+parametros_recargas!$G$86*'Plan mensual'!L87+parametros_recargas!$H$86*'Plan mensual'!L88+parametros_recargas!$I$86*'Plan mensual'!L89+parametros_recargas!$J$86*'Plan mensual'!L90+parametros_recargas!$K$86*'Plan mensual'!L91+parametros_recargas!$L$86*'Plan mensual'!L92</f>
        <v>170.549226228099</v>
      </c>
      <c r="K80" s="25" t="n">
        <f aca="false">parametros_recargas!$E$86*'Plan mensual'!M85+parametros_recargas!$F$86*'Plan mensual'!M86+parametros_recargas!$G$86*'Plan mensual'!M87+parametros_recargas!$H$86*'Plan mensual'!M88+parametros_recargas!$I$86*'Plan mensual'!M89+parametros_recargas!$J$86*'Plan mensual'!M90+parametros_recargas!$K$86*'Plan mensual'!M91+parametros_recargas!$L$86*'Plan mensual'!M92</f>
        <v>179.545000689445</v>
      </c>
      <c r="L80" s="25" t="n">
        <f aca="false">parametros_recargas!$E$86*'Plan mensual'!N85+parametros_recargas!$F$86*'Plan mensual'!N86+parametros_recargas!$G$86*'Plan mensual'!N87+parametros_recargas!$H$86*'Plan mensual'!N88+parametros_recargas!$I$86*'Plan mensual'!N89+parametros_recargas!$J$86*'Plan mensual'!N90+parametros_recargas!$K$86*'Plan mensual'!N91+parametros_recargas!$L$86*'Plan mensual'!N92</f>
        <v>189.01610158811</v>
      </c>
      <c r="M80" s="25" t="n">
        <f aca="false">parametros_recargas!$E$86*'Plan mensual'!O85+parametros_recargas!$F$86*'Plan mensual'!O86+parametros_recargas!$G$86*'Plan mensual'!O87+parametros_recargas!$H$86*'Plan mensual'!O88+parametros_recargas!$I$86*'Plan mensual'!O89+parametros_recargas!$J$86*'Plan mensual'!O90+parametros_recargas!$K$86*'Plan mensual'!O91+parametros_recargas!$L$86*'Plan mensual'!O92</f>
        <v>198.987644629584</v>
      </c>
      <c r="N80" s="7" t="n">
        <f aca="false">SUM(B80:M80)</f>
        <v>1828.33717950597</v>
      </c>
      <c r="O80" s="26" t="n">
        <f aca="false">MAX(B80:M80)</f>
        <v>198.987644629584</v>
      </c>
      <c r="P80" s="15" t="n">
        <f aca="false">O80/parametros_recargas!$B$6</f>
        <v>1.32658429753056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25" t="n">
        <f aca="false">parametros_recargas!$E$87*'Plan mensual'!D85+parametros_recargas!$F$87*'Plan mensual'!D86+parametros_recargas!$G$87*'Plan mensual'!D87+parametros_recargas!$H$87*'Plan mensual'!D88+parametros_recargas!$I$87*'Plan mensual'!D89+parametros_recargas!$J$87*'Plan mensual'!D90+parametros_recargas!$K$87*'Plan mensual'!D91+parametros_recargas!$L$87*'Plan mensual'!D92</f>
        <v>973.295820916096</v>
      </c>
      <c r="C81" s="25" t="n">
        <f aca="false">parametros_recargas!$E$87*'Plan mensual'!E85+parametros_recargas!$F$87*'Plan mensual'!E86+parametros_recargas!$G$87*'Plan mensual'!E87+parametros_recargas!$H$87*'Plan mensual'!E88+parametros_recargas!$I$87*'Plan mensual'!E89+parametros_recargas!$J$87*'Plan mensual'!E90+parametros_recargas!$K$87*'Plan mensual'!E91+parametros_recargas!$L$87*'Plan mensual'!E92</f>
        <v>1024.62678804921</v>
      </c>
      <c r="D81" s="25" t="n">
        <f aca="false">parametros_recargas!$E$87*'Plan mensual'!F85+parametros_recargas!$F$87*'Plan mensual'!F86+parametros_recargas!$G$87*'Plan mensual'!F87+parametros_recargas!$H$87*'Plan mensual'!F88+parametros_recargas!$I$87*'Plan mensual'!F89+parametros_recargas!$J$87*'Plan mensual'!F90+parametros_recargas!$K$87*'Plan mensual'!F91+parametros_recargas!$L$87*'Plan mensual'!F92</f>
        <v>1078.67002479695</v>
      </c>
      <c r="E81" s="25" t="n">
        <f aca="false">parametros_recargas!$E$87*'Plan mensual'!G85+parametros_recargas!$F$87*'Plan mensual'!G86+parametros_recargas!$G$87*'Plan mensual'!G87+parametros_recargas!$H$87*'Plan mensual'!G88+parametros_recargas!$I$87*'Plan mensual'!G89+parametros_recargas!$J$87*'Plan mensual'!G90+parametros_recargas!$K$87*'Plan mensual'!G91+parametros_recargas!$L$87*'Plan mensual'!G92</f>
        <v>1135.56884438471</v>
      </c>
      <c r="F81" s="25" t="n">
        <f aca="false">parametros_recargas!$E$87*'Plan mensual'!H85+parametros_recargas!$F$87*'Plan mensual'!H86+parametros_recargas!$G$87*'Plan mensual'!H87+parametros_recargas!$H$87*'Plan mensual'!H88+parametros_recargas!$I$87*'Plan mensual'!H89+parametros_recargas!$J$87*'Plan mensual'!H90+parametros_recargas!$K$87*'Plan mensual'!H91+parametros_recargas!$L$87*'Plan mensual'!H92</f>
        <v>1195.47413254486</v>
      </c>
      <c r="G81" s="25" t="n">
        <f aca="false">parametros_recargas!$E$87*'Plan mensual'!I85+parametros_recargas!$F$87*'Plan mensual'!I86+parametros_recargas!$G$87*'Plan mensual'!I87+parametros_recargas!$H$87*'Plan mensual'!I88+parametros_recargas!$I$87*'Plan mensual'!I89+parametros_recargas!$J$87*'Plan mensual'!I90+parametros_recargas!$K$87*'Plan mensual'!I91+parametros_recargas!$L$87*'Plan mensual'!I92</f>
        <v>1258.54474763935</v>
      </c>
      <c r="H81" s="25" t="n">
        <f aca="false">parametros_recargas!$E$87*'Plan mensual'!J85+parametros_recargas!$F$87*'Plan mensual'!J86+parametros_recargas!$G$87*'Plan mensual'!J87+parametros_recargas!$H$87*'Plan mensual'!J88+parametros_recargas!$I$87*'Plan mensual'!J89+parametros_recargas!$J$87*'Plan mensual'!J90+parametros_recargas!$K$87*'Plan mensual'!J91+parametros_recargas!$L$87*'Plan mensual'!J92</f>
        <v>1324.94794192435</v>
      </c>
      <c r="I81" s="25" t="n">
        <f aca="false">parametros_recargas!$E$87*'Plan mensual'!K85+parametros_recargas!$F$87*'Plan mensual'!K86+parametros_recargas!$G$87*'Plan mensual'!K87+parametros_recargas!$H$87*'Plan mensual'!K88+parametros_recargas!$I$87*'Plan mensual'!K89+parametros_recargas!$J$87*'Plan mensual'!K90+parametros_recargas!$K$87*'Plan mensual'!K91+parametros_recargas!$L$87*'Plan mensual'!K92</f>
        <v>1394.85980507403</v>
      </c>
      <c r="J81" s="25" t="n">
        <f aca="false">parametros_recargas!$E$87*'Plan mensual'!L85+parametros_recargas!$F$87*'Plan mensual'!L86+parametros_recargas!$G$87*'Plan mensual'!L87+parametros_recargas!$H$87*'Plan mensual'!L88+parametros_recargas!$I$87*'Plan mensual'!L89+parametros_recargas!$J$87*'Plan mensual'!L90+parametros_recargas!$K$87*'Plan mensual'!L91+parametros_recargas!$L$87*'Plan mensual'!L92</f>
        <v>1468.46573113958</v>
      </c>
      <c r="K81" s="25" t="n">
        <f aca="false">parametros_recargas!$E$87*'Plan mensual'!M85+parametros_recargas!$F$87*'Plan mensual'!M86+parametros_recargas!$G$87*'Plan mensual'!M87+parametros_recargas!$H$87*'Plan mensual'!M88+parametros_recargas!$I$87*'Plan mensual'!M89+parametros_recargas!$J$87*'Plan mensual'!M90+parametros_recargas!$K$87*'Plan mensual'!M91+parametros_recargas!$L$87*'Plan mensual'!M92</f>
        <v>1545.96091018193</v>
      </c>
      <c r="L81" s="25" t="n">
        <f aca="false">parametros_recargas!$E$87*'Plan mensual'!N85+parametros_recargas!$F$87*'Plan mensual'!N86+parametros_recargas!$G$87*'Plan mensual'!N87+parametros_recargas!$H$87*'Plan mensual'!N88+parametros_recargas!$I$87*'Plan mensual'!N89+parametros_recargas!$J$87*'Plan mensual'!N90+parametros_recargas!$K$87*'Plan mensual'!N91+parametros_recargas!$L$87*'Plan mensual'!N92</f>
        <v>1627.55084588163</v>
      </c>
      <c r="M81" s="25" t="n">
        <f aca="false">parametros_recargas!$E$87*'Plan mensual'!O85+parametros_recargas!$F$87*'Plan mensual'!O86+parametros_recargas!$G$87*'Plan mensual'!O87+parametros_recargas!$H$87*'Plan mensual'!O88+parametros_recargas!$I$87*'Plan mensual'!O89+parametros_recargas!$J$87*'Plan mensual'!O90+parametros_recargas!$K$87*'Plan mensual'!O91+parametros_recargas!$L$87*'Plan mensual'!O92</f>
        <v>1713.45190049877</v>
      </c>
      <c r="N81" s="7" t="n">
        <f aca="false">SUM(B81:M81)</f>
        <v>15741.4174930315</v>
      </c>
      <c r="O81" s="26" t="n">
        <f aca="false">MAX(B81:M81)</f>
        <v>1713.45190049877</v>
      </c>
      <c r="P81" s="15" t="n">
        <f aca="false">O81/parametros_recargas!$B$6</f>
        <v>11.4230126699918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25" t="n">
        <f aca="false">parametros_recargas!$E$88*'Plan mensual'!D85+parametros_recargas!$F$88*'Plan mensual'!D86+parametros_recargas!$G$88*'Plan mensual'!D87+parametros_recargas!$H$88*'Plan mensual'!D88+parametros_recargas!$I$88*'Plan mensual'!D89+parametros_recargas!$J$88*'Plan mensual'!D90+parametros_recargas!$K$88*'Plan mensual'!D91+parametros_recargas!$L$88*'Plan mensual'!D92</f>
        <v>1.66673061049812</v>
      </c>
      <c r="C82" s="25" t="n">
        <f aca="false">parametros_recargas!$E$88*'Plan mensual'!E85+parametros_recargas!$F$88*'Plan mensual'!E86+parametros_recargas!$G$88*'Plan mensual'!E87+parametros_recargas!$H$88*'Plan mensual'!E88+parametros_recargas!$I$88*'Plan mensual'!E89+parametros_recargas!$J$88*'Plan mensual'!E90+parametros_recargas!$K$88*'Plan mensual'!E91+parametros_recargas!$L$88*'Plan mensual'!E92</f>
        <v>1.75039551226395</v>
      </c>
      <c r="D82" s="25" t="n">
        <f aca="false">parametros_recargas!$E$88*'Plan mensual'!F85+parametros_recargas!$F$88*'Plan mensual'!F86+parametros_recargas!$G$88*'Plan mensual'!F87+parametros_recargas!$H$88*'Plan mensual'!F88+parametros_recargas!$I$88*'Plan mensual'!F89+parametros_recargas!$J$88*'Plan mensual'!F90+parametros_recargas!$K$88*'Plan mensual'!F91+parametros_recargas!$L$88*'Plan mensual'!F92</f>
        <v>1.83848117178177</v>
      </c>
      <c r="E82" s="25" t="n">
        <f aca="false">parametros_recargas!$E$88*'Plan mensual'!G85+parametros_recargas!$F$88*'Plan mensual'!G86+parametros_recargas!$G$88*'Plan mensual'!G87+parametros_recargas!$H$88*'Plan mensual'!G88+parametros_recargas!$I$88*'Plan mensual'!G89+parametros_recargas!$J$88*'Plan mensual'!G90+parametros_recargas!$K$88*'Plan mensual'!G91+parametros_recargas!$L$88*'Plan mensual'!G92</f>
        <v>1.93122117683675</v>
      </c>
      <c r="F82" s="25" t="n">
        <f aca="false">parametros_recargas!$E$88*'Plan mensual'!H85+parametros_recargas!$F$88*'Plan mensual'!H86+parametros_recargas!$G$88*'Plan mensual'!H87+parametros_recargas!$H$88*'Plan mensual'!H88+parametros_recargas!$I$88*'Plan mensual'!H89+parametros_recargas!$J$88*'Plan mensual'!H90+parametros_recargas!$K$88*'Plan mensual'!H91+parametros_recargas!$L$88*'Plan mensual'!H92</f>
        <v>2.02886145772559</v>
      </c>
      <c r="G82" s="25" t="n">
        <f aca="false">parametros_recargas!$E$88*'Plan mensual'!I85+parametros_recargas!$F$88*'Plan mensual'!I86+parametros_recargas!$G$88*'Plan mensual'!I87+parametros_recargas!$H$88*'Plan mensual'!I88+parametros_recargas!$I$88*'Plan mensual'!I89+parametros_recargas!$J$88*'Plan mensual'!I90+parametros_recargas!$K$88*'Plan mensual'!I91+parametros_recargas!$L$88*'Plan mensual'!I92</f>
        <v>2.13166093942068</v>
      </c>
      <c r="H82" s="25" t="n">
        <f aca="false">parametros_recargas!$E$88*'Plan mensual'!J85+parametros_recargas!$F$88*'Plan mensual'!J86+parametros_recargas!$G$88*'Plan mensual'!J87+parametros_recargas!$H$88*'Plan mensual'!J88+parametros_recargas!$I$88*'Plan mensual'!J89+parametros_recargas!$J$88*'Plan mensual'!J90+parametros_recargas!$K$88*'Plan mensual'!J91+parametros_recargas!$L$88*'Plan mensual'!J92</f>
        <v>2.23989222819389</v>
      </c>
      <c r="I82" s="25" t="n">
        <f aca="false">parametros_recargas!$E$88*'Plan mensual'!K85+parametros_recargas!$F$88*'Plan mensual'!K86+parametros_recargas!$G$88*'Plan mensual'!K87+parametros_recargas!$H$88*'Plan mensual'!K88+parametros_recargas!$I$88*'Plan mensual'!K89+parametros_recargas!$J$88*'Plan mensual'!K90+parametros_recargas!$K$88*'Plan mensual'!K91+parametros_recargas!$L$88*'Plan mensual'!K92</f>
        <v>2.35384233452085</v>
      </c>
      <c r="J82" s="25" t="n">
        <f aca="false">parametros_recargas!$E$88*'Plan mensual'!L85+parametros_recargas!$F$88*'Plan mensual'!L86+parametros_recargas!$G$88*'Plan mensual'!L87+parametros_recargas!$H$88*'Plan mensual'!L88+parametros_recargas!$I$88*'Plan mensual'!L89+parametros_recargas!$J$88*'Plan mensual'!L90+parametros_recargas!$K$88*'Plan mensual'!L91+parametros_recargas!$L$88*'Plan mensual'!L92</f>
        <v>2.47381343418255</v>
      </c>
      <c r="K82" s="25" t="n">
        <f aca="false">parametros_recargas!$E$88*'Plan mensual'!M85+parametros_recargas!$F$88*'Plan mensual'!M86+parametros_recargas!$G$88*'Plan mensual'!M87+parametros_recargas!$H$88*'Plan mensual'!M88+parametros_recargas!$I$88*'Plan mensual'!M89+parametros_recargas!$J$88*'Plan mensual'!M90+parametros_recargas!$K$88*'Plan mensual'!M91+parametros_recargas!$L$88*'Plan mensual'!M92</f>
        <v>2.60012366958276</v>
      </c>
      <c r="L82" s="25" t="n">
        <f aca="false">parametros_recargas!$E$88*'Plan mensual'!N85+parametros_recargas!$F$88*'Plan mensual'!N86+parametros_recargas!$G$88*'Plan mensual'!N87+parametros_recargas!$H$88*'Plan mensual'!N88+parametros_recargas!$I$88*'Plan mensual'!N89+parametros_recargas!$J$88*'Plan mensual'!N90+parametros_recargas!$K$88*'Plan mensual'!N91+parametros_recargas!$L$88*'Plan mensual'!N92</f>
        <v>2.73310799340613</v>
      </c>
      <c r="M82" s="25" t="n">
        <f aca="false">parametros_recargas!$E$88*'Plan mensual'!O85+parametros_recargas!$F$88*'Plan mensual'!O86+parametros_recargas!$G$88*'Plan mensual'!O87+parametros_recargas!$H$88*'Plan mensual'!O88+parametros_recargas!$I$88*'Plan mensual'!O89+parametros_recargas!$J$88*'Plan mensual'!O90+parametros_recargas!$K$88*'Plan mensual'!O91+parametros_recargas!$L$88*'Plan mensual'!O92</f>
        <v>2.87311905685418</v>
      </c>
      <c r="N82" s="7" t="n">
        <f aca="false">SUM(B82:M82)</f>
        <v>26.6212495852672</v>
      </c>
      <c r="O82" s="26" t="n">
        <f aca="false">MAX(B82:M82)</f>
        <v>2.87311905685418</v>
      </c>
      <c r="P82" s="15" t="n">
        <f aca="false">O82/parametros_recargas!$B$6</f>
        <v>0.0191541270456945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25" t="n">
        <f aca="false">parametros_recargas!$E$89*'Plan mensual'!D85+parametros_recargas!$F$89*'Plan mensual'!D86+parametros_recargas!$G$89*'Plan mensual'!D87+parametros_recargas!$H$89*'Plan mensual'!D88+parametros_recargas!$I$89*'Plan mensual'!D89+parametros_recargas!$J$89*'Plan mensual'!D90+parametros_recargas!$K$89*'Plan mensual'!D91+parametros_recargas!$L$89*'Plan mensual'!D92</f>
        <v>1.66673061049812</v>
      </c>
      <c r="C83" s="25" t="n">
        <f aca="false">parametros_recargas!$E$89*'Plan mensual'!E85+parametros_recargas!$F$89*'Plan mensual'!E86+parametros_recargas!$G$89*'Plan mensual'!E87+parametros_recargas!$H$89*'Plan mensual'!E88+parametros_recargas!$I$89*'Plan mensual'!E89+parametros_recargas!$J$89*'Plan mensual'!E90+parametros_recargas!$K$89*'Plan mensual'!E91+parametros_recargas!$L$89*'Plan mensual'!E92</f>
        <v>1.75039551226395</v>
      </c>
      <c r="D83" s="25" t="n">
        <f aca="false">parametros_recargas!$E$89*'Plan mensual'!F85+parametros_recargas!$F$89*'Plan mensual'!F86+parametros_recargas!$G$89*'Plan mensual'!F87+parametros_recargas!$H$89*'Plan mensual'!F88+parametros_recargas!$I$89*'Plan mensual'!F89+parametros_recargas!$J$89*'Plan mensual'!F90+parametros_recargas!$K$89*'Plan mensual'!F91+parametros_recargas!$L$89*'Plan mensual'!F92</f>
        <v>1.83848117178177</v>
      </c>
      <c r="E83" s="25" t="n">
        <f aca="false">parametros_recargas!$E$89*'Plan mensual'!G85+parametros_recargas!$F$89*'Plan mensual'!G86+parametros_recargas!$G$89*'Plan mensual'!G87+parametros_recargas!$H$89*'Plan mensual'!G88+parametros_recargas!$I$89*'Plan mensual'!G89+parametros_recargas!$J$89*'Plan mensual'!G90+parametros_recargas!$K$89*'Plan mensual'!G91+parametros_recargas!$L$89*'Plan mensual'!G92</f>
        <v>1.93122117683675</v>
      </c>
      <c r="F83" s="25" t="n">
        <f aca="false">parametros_recargas!$E$89*'Plan mensual'!H85+parametros_recargas!$F$89*'Plan mensual'!H86+parametros_recargas!$G$89*'Plan mensual'!H87+parametros_recargas!$H$89*'Plan mensual'!H88+parametros_recargas!$I$89*'Plan mensual'!H89+parametros_recargas!$J$89*'Plan mensual'!H90+parametros_recargas!$K$89*'Plan mensual'!H91+parametros_recargas!$L$89*'Plan mensual'!H92</f>
        <v>2.02886145772559</v>
      </c>
      <c r="G83" s="25" t="n">
        <f aca="false">parametros_recargas!$E$89*'Plan mensual'!I85+parametros_recargas!$F$89*'Plan mensual'!I86+parametros_recargas!$G$89*'Plan mensual'!I87+parametros_recargas!$H$89*'Plan mensual'!I88+parametros_recargas!$I$89*'Plan mensual'!I89+parametros_recargas!$J$89*'Plan mensual'!I90+parametros_recargas!$K$89*'Plan mensual'!I91+parametros_recargas!$L$89*'Plan mensual'!I92</f>
        <v>2.13166093942068</v>
      </c>
      <c r="H83" s="25" t="n">
        <f aca="false">parametros_recargas!$E$89*'Plan mensual'!J85+parametros_recargas!$F$89*'Plan mensual'!J86+parametros_recargas!$G$89*'Plan mensual'!J87+parametros_recargas!$H$89*'Plan mensual'!J88+parametros_recargas!$I$89*'Plan mensual'!J89+parametros_recargas!$J$89*'Plan mensual'!J90+parametros_recargas!$K$89*'Plan mensual'!J91+parametros_recargas!$L$89*'Plan mensual'!J92</f>
        <v>2.23989222819389</v>
      </c>
      <c r="I83" s="25" t="n">
        <f aca="false">parametros_recargas!$E$89*'Plan mensual'!K85+parametros_recargas!$F$89*'Plan mensual'!K86+parametros_recargas!$G$89*'Plan mensual'!K87+parametros_recargas!$H$89*'Plan mensual'!K88+parametros_recargas!$I$89*'Plan mensual'!K89+parametros_recargas!$J$89*'Plan mensual'!K90+parametros_recargas!$K$89*'Plan mensual'!K91+parametros_recargas!$L$89*'Plan mensual'!K92</f>
        <v>2.35384233452085</v>
      </c>
      <c r="J83" s="25" t="n">
        <f aca="false">parametros_recargas!$E$89*'Plan mensual'!L85+parametros_recargas!$F$89*'Plan mensual'!L86+parametros_recargas!$G$89*'Plan mensual'!L87+parametros_recargas!$H$89*'Plan mensual'!L88+parametros_recargas!$I$89*'Plan mensual'!L89+parametros_recargas!$J$89*'Plan mensual'!L90+parametros_recargas!$K$89*'Plan mensual'!L91+parametros_recargas!$L$89*'Plan mensual'!L92</f>
        <v>2.47381343418255</v>
      </c>
      <c r="K83" s="25" t="n">
        <f aca="false">parametros_recargas!$E$89*'Plan mensual'!M85+parametros_recargas!$F$89*'Plan mensual'!M86+parametros_recargas!$G$89*'Plan mensual'!M87+parametros_recargas!$H$89*'Plan mensual'!M88+parametros_recargas!$I$89*'Plan mensual'!M89+parametros_recargas!$J$89*'Plan mensual'!M90+parametros_recargas!$K$89*'Plan mensual'!M91+parametros_recargas!$L$89*'Plan mensual'!M92</f>
        <v>2.60012366958276</v>
      </c>
      <c r="L83" s="25" t="n">
        <f aca="false">parametros_recargas!$E$89*'Plan mensual'!N85+parametros_recargas!$F$89*'Plan mensual'!N86+parametros_recargas!$G$89*'Plan mensual'!N87+parametros_recargas!$H$89*'Plan mensual'!N88+parametros_recargas!$I$89*'Plan mensual'!N89+parametros_recargas!$J$89*'Plan mensual'!N90+parametros_recargas!$K$89*'Plan mensual'!N91+parametros_recargas!$L$89*'Plan mensual'!N92</f>
        <v>2.73310799340613</v>
      </c>
      <c r="M83" s="25" t="n">
        <f aca="false">parametros_recargas!$E$89*'Plan mensual'!O85+parametros_recargas!$F$89*'Plan mensual'!O86+parametros_recargas!$G$89*'Plan mensual'!O87+parametros_recargas!$H$89*'Plan mensual'!O88+parametros_recargas!$I$89*'Plan mensual'!O89+parametros_recargas!$J$89*'Plan mensual'!O90+parametros_recargas!$K$89*'Plan mensual'!O91+parametros_recargas!$L$89*'Plan mensual'!O92</f>
        <v>2.87311905685418</v>
      </c>
      <c r="N83" s="7" t="n">
        <f aca="false">SUM(B83:M83)</f>
        <v>26.6212495852672</v>
      </c>
      <c r="O83" s="26" t="n">
        <f aca="false">MAX(B83:M83)</f>
        <v>2.87311905685418</v>
      </c>
      <c r="P83" s="15" t="n">
        <f aca="false">O83/parametros_recargas!$B$6</f>
        <v>0.0191541270456945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25" t="n">
        <f aca="false">parametros_recargas!$E$90*'Plan mensual'!D85+parametros_recargas!$F$90*'Plan mensual'!D86+parametros_recargas!$G$90*'Plan mensual'!D87+parametros_recargas!$H$90*'Plan mensual'!D88+parametros_recargas!$I$90*'Plan mensual'!D89+parametros_recargas!$J$90*'Plan mensual'!D90+parametros_recargas!$K$90*'Plan mensual'!D91+parametros_recargas!$L$90*'Plan mensual'!D92</f>
        <v>54.5740083239489</v>
      </c>
      <c r="C84" s="25" t="n">
        <f aca="false">parametros_recargas!$E$90*'Plan mensual'!E85+parametros_recargas!$F$90*'Plan mensual'!E86+parametros_recargas!$G$90*'Plan mensual'!E87+parametros_recargas!$H$90*'Plan mensual'!E88+parametros_recargas!$I$90*'Plan mensual'!E89+parametros_recargas!$J$90*'Plan mensual'!E90+parametros_recargas!$K$90*'Plan mensual'!E91+parametros_recargas!$L$90*'Plan mensual'!E92</f>
        <v>57.4268138608192</v>
      </c>
      <c r="D84" s="25" t="n">
        <f aca="false">parametros_recargas!$E$90*'Plan mensual'!F85+parametros_recargas!$F$90*'Plan mensual'!F86+parametros_recargas!$G$90*'Plan mensual'!F87+parametros_recargas!$H$90*'Plan mensual'!F88+parametros_recargas!$I$90*'Plan mensual'!F89+parametros_recargas!$J$90*'Plan mensual'!F90+parametros_recargas!$K$90*'Plan mensual'!F91+parametros_recargas!$L$90*'Plan mensual'!F92</f>
        <v>60.4303583805345</v>
      </c>
      <c r="E84" s="25" t="n">
        <f aca="false">parametros_recargas!$E$90*'Plan mensual'!G85+parametros_recargas!$F$90*'Plan mensual'!G86+parametros_recargas!$G$90*'Plan mensual'!G87+parametros_recargas!$H$90*'Plan mensual'!G88+parametros_recargas!$I$90*'Plan mensual'!G89+parametros_recargas!$J$90*'Plan mensual'!G90+parametros_recargas!$K$90*'Plan mensual'!G91+parametros_recargas!$L$90*'Plan mensual'!G92</f>
        <v>63.5926067586024</v>
      </c>
      <c r="F84" s="25" t="n">
        <f aca="false">parametros_recargas!$E$90*'Plan mensual'!H85+parametros_recargas!$F$90*'Plan mensual'!H86+parametros_recargas!$G$90*'Plan mensual'!H87+parametros_recargas!$H$90*'Plan mensual'!H88+parametros_recargas!$I$90*'Plan mensual'!H89+parametros_recargas!$J$90*'Plan mensual'!H90+parametros_recargas!$K$90*'Plan mensual'!H91+parametros_recargas!$L$90*'Plan mensual'!H92</f>
        <v>66.9219447254463</v>
      </c>
      <c r="G84" s="25" t="n">
        <f aca="false">parametros_recargas!$E$90*'Plan mensual'!I85+parametros_recargas!$F$90*'Plan mensual'!I86+parametros_recargas!$G$90*'Plan mensual'!I87+parametros_recargas!$H$90*'Plan mensual'!I88+parametros_recargas!$I$90*'Plan mensual'!I89+parametros_recargas!$J$90*'Plan mensual'!I90+parametros_recargas!$K$90*'Plan mensual'!I91+parametros_recargas!$L$90*'Plan mensual'!I92</f>
        <v>70.4272011038968</v>
      </c>
      <c r="H84" s="25" t="n">
        <f aca="false">parametros_recargas!$E$90*'Plan mensual'!J85+parametros_recargas!$F$90*'Plan mensual'!J86+parametros_recargas!$G$90*'Plan mensual'!J87+parametros_recargas!$H$90*'Plan mensual'!J88+parametros_recargas!$I$90*'Plan mensual'!J89+parametros_recargas!$J$90*'Plan mensual'!J90+parametros_recargas!$K$90*'Plan mensual'!J91+parametros_recargas!$L$90*'Plan mensual'!J92</f>
        <v>74.117671221689</v>
      </c>
      <c r="I84" s="25" t="n">
        <f aca="false">parametros_recargas!$E$90*'Plan mensual'!K85+parametros_recargas!$F$90*'Plan mensual'!K86+parametros_recargas!$G$90*'Plan mensual'!K87+parametros_recargas!$H$90*'Plan mensual'!K88+parametros_recargas!$I$90*'Plan mensual'!K89+parametros_recargas!$J$90*'Plan mensual'!K90+parametros_recargas!$K$90*'Plan mensual'!K91+parametros_recargas!$L$90*'Plan mensual'!K92</f>
        <v>78.0031415610477</v>
      </c>
      <c r="J84" s="25" t="n">
        <f aca="false">parametros_recargas!$E$90*'Plan mensual'!L85+parametros_recargas!$F$90*'Plan mensual'!L86+parametros_recargas!$G$90*'Plan mensual'!L87+parametros_recargas!$H$90*'Plan mensual'!L88+parametros_recargas!$I$90*'Plan mensual'!L89+parametros_recargas!$J$90*'Plan mensual'!L90+parametros_recargas!$K$90*'Plan mensual'!L91+parametros_recargas!$L$90*'Plan mensual'!L92</f>
        <v>82.0939157107291</v>
      </c>
      <c r="K84" s="25" t="n">
        <f aca="false">parametros_recargas!$E$90*'Plan mensual'!M85+parametros_recargas!$F$90*'Plan mensual'!M86+parametros_recargas!$G$90*'Plan mensual'!M87+parametros_recargas!$H$90*'Plan mensual'!M88+parametros_recargas!$I$90*'Plan mensual'!M89+parametros_recargas!$J$90*'Plan mensual'!M90+parametros_recargas!$K$90*'Plan mensual'!M91+parametros_recargas!$L$90*'Plan mensual'!M92</f>
        <v>86.4008416893388</v>
      </c>
      <c r="L84" s="25" t="n">
        <f aca="false">parametros_recargas!$E$90*'Plan mensual'!N85+parametros_recargas!$F$90*'Plan mensual'!N86+parametros_recargas!$G$90*'Plan mensual'!N87+parametros_recargas!$H$90*'Plan mensual'!N88+parametros_recargas!$I$90*'Plan mensual'!N89+parametros_recargas!$J$90*'Plan mensual'!N90+parametros_recargas!$K$90*'Plan mensual'!N91+parametros_recargas!$L$90*'Plan mensual'!N92</f>
        <v>90.9353407123826</v>
      </c>
      <c r="M84" s="25" t="n">
        <f aca="false">parametros_recargas!$E$90*'Plan mensual'!O85+parametros_recargas!$F$90*'Plan mensual'!O86+parametros_recargas!$G$90*'Plan mensual'!O87+parametros_recargas!$H$90*'Plan mensual'!O88+parametros_recargas!$I$90*'Plan mensual'!O89+parametros_recargas!$J$90*'Plan mensual'!O90+parametros_recargas!$K$90*'Plan mensual'!O91+parametros_recargas!$L$90*'Plan mensual'!O92</f>
        <v>95.7094374793354</v>
      </c>
      <c r="N84" s="7" t="n">
        <f aca="false">SUM(B84:M84)</f>
        <v>880.633281527771</v>
      </c>
      <c r="O84" s="26" t="n">
        <f aca="false">MAX(B84:M84)</f>
        <v>95.7094374793354</v>
      </c>
      <c r="P84" s="15" t="n">
        <f aca="false">O84/parametros_recargas!$B$6</f>
        <v>0.638062916528903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25" t="n">
        <f aca="false">parametros_recargas!$E$91*'Plan mensual'!D85+parametros_recargas!$F$91*'Plan mensual'!D86+parametros_recargas!$G$91*'Plan mensual'!D87+parametros_recargas!$H$91*'Plan mensual'!D88+parametros_recargas!$I$91*'Plan mensual'!D89+parametros_recargas!$J$91*'Plan mensual'!D90+parametros_recargas!$K$91*'Plan mensual'!D91+parametros_recargas!$L$91*'Plan mensual'!D92</f>
        <v>28.5874866802337</v>
      </c>
      <c r="C85" s="25" t="n">
        <f aca="false">parametros_recargas!$E$91*'Plan mensual'!E85+parametros_recargas!$F$91*'Plan mensual'!E86+parametros_recargas!$G$91*'Plan mensual'!E87+parametros_recargas!$H$91*'Plan mensual'!E88+parametros_recargas!$I$91*'Plan mensual'!E89+parametros_recargas!$J$91*'Plan mensual'!E90+parametros_recargas!$K$91*'Plan mensual'!E91+parametros_recargas!$L$91*'Plan mensual'!E92</f>
        <v>30.0927329055683</v>
      </c>
      <c r="D85" s="25" t="n">
        <f aca="false">parametros_recargas!$E$91*'Plan mensual'!F85+parametros_recargas!$F$91*'Plan mensual'!F86+parametros_recargas!$G$91*'Plan mensual'!F87+parametros_recargas!$H$91*'Plan mensual'!F88+parametros_recargas!$I$91*'Plan mensual'!F89+parametros_recargas!$J$91*'Plan mensual'!F90+parametros_recargas!$K$91*'Plan mensual'!F91+parametros_recargas!$L$91*'Plan mensual'!F92</f>
        <v>31.6775146204431</v>
      </c>
      <c r="E85" s="25" t="n">
        <f aca="false">parametros_recargas!$E$91*'Plan mensual'!G85+parametros_recargas!$F$91*'Plan mensual'!G86+parametros_recargas!$G$91*'Plan mensual'!G87+parametros_recargas!$H$91*'Plan mensual'!G88+parametros_recargas!$I$91*'Plan mensual'!G89+parametros_recargas!$J$91*'Plan mensual'!G90+parametros_recargas!$K$91*'Plan mensual'!G91+parametros_recargas!$L$91*'Plan mensual'!G92</f>
        <v>33.3460343891895</v>
      </c>
      <c r="F85" s="25" t="n">
        <f aca="false">parametros_recargas!$E$91*'Plan mensual'!H85+parametros_recargas!$F$91*'Plan mensual'!H86+parametros_recargas!$G$91*'Plan mensual'!H87+parametros_recargas!$H$91*'Plan mensual'!H88+parametros_recargas!$I$91*'Plan mensual'!H89+parametros_recargas!$J$91*'Plan mensual'!H90+parametros_recargas!$K$91*'Plan mensual'!H91+parametros_recargas!$L$91*'Plan mensual'!H92</f>
        <v>35.102716834833</v>
      </c>
      <c r="G85" s="25" t="n">
        <f aca="false">parametros_recargas!$E$91*'Plan mensual'!I85+parametros_recargas!$F$91*'Plan mensual'!I86+parametros_recargas!$G$91*'Plan mensual'!I87+parametros_recargas!$H$91*'Plan mensual'!I88+parametros_recargas!$I$91*'Plan mensual'!I89+parametros_recargas!$J$91*'Plan mensual'!I90+parametros_recargas!$K$91*'Plan mensual'!I91+parametros_recargas!$L$91*'Plan mensual'!I92</f>
        <v>36.9522203724211</v>
      </c>
      <c r="H85" s="25" t="n">
        <f aca="false">parametros_recargas!$E$91*'Plan mensual'!J85+parametros_recargas!$F$91*'Plan mensual'!J86+parametros_recargas!$G$91*'Plan mensual'!J87+parametros_recargas!$H$91*'Plan mensual'!J88+parametros_recargas!$I$91*'Plan mensual'!J89+parametros_recargas!$J$91*'Plan mensual'!J90+parametros_recargas!$K$91*'Plan mensual'!J91+parametros_recargas!$L$91*'Plan mensual'!J92</f>
        <v>38.8994495623262</v>
      </c>
      <c r="I85" s="25" t="n">
        <f aca="false">parametros_recargas!$E$91*'Plan mensual'!K85+parametros_recargas!$F$91*'Plan mensual'!K86+parametros_recargas!$G$91*'Plan mensual'!K87+parametros_recargas!$H$91*'Plan mensual'!K88+parametros_recargas!$I$91*'Plan mensual'!K89+parametros_recargas!$J$91*'Plan mensual'!K90+parametros_recargas!$K$91*'Plan mensual'!K91+parametros_recargas!$L$91*'Plan mensual'!K92</f>
        <v>40.9495681162832</v>
      </c>
      <c r="J85" s="25" t="n">
        <f aca="false">parametros_recargas!$E$91*'Plan mensual'!L85+parametros_recargas!$F$91*'Plan mensual'!L86+parametros_recargas!$G$91*'Plan mensual'!L87+parametros_recargas!$H$91*'Plan mensual'!L88+parametros_recargas!$I$91*'Plan mensual'!L89+parametros_recargas!$J$91*'Plan mensual'!L90+parametros_recargas!$K$91*'Plan mensual'!L91+parametros_recargas!$L$91*'Plan mensual'!L92</f>
        <v>43.1080125906512</v>
      </c>
      <c r="K85" s="25" t="n">
        <f aca="false">parametros_recargas!$E$91*'Plan mensual'!M85+parametros_recargas!$F$91*'Plan mensual'!M86+parametros_recargas!$G$91*'Plan mensual'!M87+parametros_recargas!$H$91*'Plan mensual'!M88+parametros_recargas!$I$91*'Plan mensual'!M89+parametros_recargas!$J$91*'Plan mensual'!M90+parametros_recargas!$K$91*'Plan mensual'!M91+parametros_recargas!$L$91*'Plan mensual'!M92</f>
        <v>45.3805068032115</v>
      </c>
      <c r="L85" s="25" t="n">
        <f aca="false">parametros_recargas!$E$91*'Plan mensual'!N85+parametros_recargas!$F$91*'Plan mensual'!N86+parametros_recargas!$G$91*'Plan mensual'!N87+parametros_recargas!$H$91*'Plan mensual'!N88+parametros_recargas!$I$91*'Plan mensual'!N89+parametros_recargas!$J$91*'Plan mensual'!N90+parametros_recargas!$K$91*'Plan mensual'!N91+parametros_recargas!$L$91*'Plan mensual'!N92</f>
        <v>47.7730770117326</v>
      </c>
      <c r="M85" s="25" t="n">
        <f aca="false">parametros_recargas!$E$91*'Plan mensual'!O85+parametros_recargas!$F$91*'Plan mensual'!O86+parametros_recargas!$G$91*'Plan mensual'!O87+parametros_recargas!$H$91*'Plan mensual'!O88+parametros_recargas!$I$91*'Plan mensual'!O89+parametros_recargas!$J$91*'Plan mensual'!O90+parametros_recargas!$K$91*'Plan mensual'!O91+parametros_recargas!$L$91*'Plan mensual'!O92</f>
        <v>50.2920678945537</v>
      </c>
      <c r="N85" s="7" t="n">
        <f aca="false">SUM(B85:M85)</f>
        <v>462.161387781447</v>
      </c>
      <c r="O85" s="26" t="n">
        <f aca="false">MAX(B85:M85)</f>
        <v>50.2920678945537</v>
      </c>
      <c r="P85" s="15" t="n">
        <f aca="false">O85/parametros_recargas!$B$6</f>
        <v>0.335280452630358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25" t="n">
        <f aca="false">parametros_recargas!$E$92*'Plan mensual'!D85+parametros_recargas!$F$92*'Plan mensual'!D86+parametros_recargas!$G$92*'Plan mensual'!D87+parametros_recargas!$H$92*'Plan mensual'!D88+parametros_recargas!$I$92*'Plan mensual'!D89+parametros_recargas!$J$92*'Plan mensual'!D90+parametros_recargas!$K$92*'Plan mensual'!D91+parametros_recargas!$L$92*'Plan mensual'!D92</f>
        <v>976.629282137092</v>
      </c>
      <c r="C86" s="25" t="n">
        <f aca="false">parametros_recargas!$E$92*'Plan mensual'!E85+parametros_recargas!$F$92*'Plan mensual'!E86+parametros_recargas!$G$92*'Plan mensual'!E87+parametros_recargas!$H$92*'Plan mensual'!E88+parametros_recargas!$I$92*'Plan mensual'!E89+parametros_recargas!$J$92*'Plan mensual'!E90+parametros_recargas!$K$92*'Plan mensual'!E91+parametros_recargas!$L$92*'Plan mensual'!E92</f>
        <v>1028.12757907374</v>
      </c>
      <c r="D86" s="25" t="n">
        <f aca="false">parametros_recargas!$E$92*'Plan mensual'!F85+parametros_recargas!$F$92*'Plan mensual'!F86+parametros_recargas!$G$92*'Plan mensual'!F87+parametros_recargas!$H$92*'Plan mensual'!F88+parametros_recargas!$I$92*'Plan mensual'!F89+parametros_recargas!$J$92*'Plan mensual'!F90+parametros_recargas!$K$92*'Plan mensual'!F91+parametros_recargas!$L$92*'Plan mensual'!F92</f>
        <v>1082.34698714051</v>
      </c>
      <c r="E86" s="25" t="n">
        <f aca="false">parametros_recargas!$E$92*'Plan mensual'!G85+parametros_recargas!$F$92*'Plan mensual'!G86+parametros_recargas!$G$92*'Plan mensual'!G87+parametros_recargas!$H$92*'Plan mensual'!G88+parametros_recargas!$I$92*'Plan mensual'!G89+parametros_recargas!$J$92*'Plan mensual'!G90+parametros_recargas!$K$92*'Plan mensual'!G91+parametros_recargas!$L$92*'Plan mensual'!G92</f>
        <v>1139.43128673838</v>
      </c>
      <c r="F86" s="25" t="n">
        <f aca="false">parametros_recargas!$E$92*'Plan mensual'!H85+parametros_recargas!$F$92*'Plan mensual'!H86+parametros_recargas!$G$92*'Plan mensual'!H87+parametros_recargas!$H$92*'Plan mensual'!H88+parametros_recargas!$I$92*'Plan mensual'!H89+parametros_recargas!$J$92*'Plan mensual'!H90+parametros_recargas!$K$92*'Plan mensual'!H91+parametros_recargas!$L$92*'Plan mensual'!H92</f>
        <v>1199.53185546031</v>
      </c>
      <c r="G86" s="25" t="n">
        <f aca="false">parametros_recargas!$E$92*'Plan mensual'!I85+parametros_recargas!$F$92*'Plan mensual'!I86+parametros_recargas!$G$92*'Plan mensual'!I87+parametros_recargas!$H$92*'Plan mensual'!I88+parametros_recargas!$I$92*'Plan mensual'!I89+parametros_recargas!$J$92*'Plan mensual'!I90+parametros_recargas!$K$92*'Plan mensual'!I91+parametros_recargas!$L$92*'Plan mensual'!I92</f>
        <v>1262.80806951819</v>
      </c>
      <c r="H86" s="25" t="n">
        <f aca="false">parametros_recargas!$E$92*'Plan mensual'!J85+parametros_recargas!$F$92*'Plan mensual'!J86+parametros_recargas!$G$92*'Plan mensual'!J87+parametros_recargas!$H$92*'Plan mensual'!J88+parametros_recargas!$I$92*'Plan mensual'!J89+parametros_recargas!$J$92*'Plan mensual'!J90+parametros_recargas!$K$92*'Plan mensual'!J91+parametros_recargas!$L$92*'Plan mensual'!J92</f>
        <v>1329.42772638074</v>
      </c>
      <c r="I86" s="25" t="n">
        <f aca="false">parametros_recargas!$E$92*'Plan mensual'!K85+parametros_recargas!$F$92*'Plan mensual'!K86+parametros_recargas!$G$92*'Plan mensual'!K87+parametros_recargas!$H$92*'Plan mensual'!K88+parametros_recargas!$I$92*'Plan mensual'!K89+parametros_recargas!$J$92*'Plan mensual'!K90+parametros_recargas!$K$92*'Plan mensual'!K91+parametros_recargas!$L$92*'Plan mensual'!K92</f>
        <v>1399.56748974307</v>
      </c>
      <c r="J86" s="25" t="n">
        <f aca="false">parametros_recargas!$E$92*'Plan mensual'!L85+parametros_recargas!$F$92*'Plan mensual'!L86+parametros_recargas!$G$92*'Plan mensual'!L87+parametros_recargas!$H$92*'Plan mensual'!L88+parametros_recargas!$I$92*'Plan mensual'!L89+parametros_recargas!$J$92*'Plan mensual'!L90+parametros_recargas!$K$92*'Plan mensual'!L91+parametros_recargas!$L$92*'Plan mensual'!L92</f>
        <v>1473.41335800795</v>
      </c>
      <c r="K86" s="25" t="n">
        <f aca="false">parametros_recargas!$E$92*'Plan mensual'!M85+parametros_recargas!$F$92*'Plan mensual'!M86+parametros_recargas!$G$92*'Plan mensual'!M87+parametros_recargas!$H$92*'Plan mensual'!M88+parametros_recargas!$I$92*'Plan mensual'!M89+parametros_recargas!$J$92*'Plan mensual'!M90+parametros_recargas!$K$92*'Plan mensual'!M91+parametros_recargas!$L$92*'Plan mensual'!M92</f>
        <v>1551.1611575211</v>
      </c>
      <c r="L86" s="25" t="n">
        <f aca="false">parametros_recargas!$E$92*'Plan mensual'!N85+parametros_recargas!$F$92*'Plan mensual'!N86+parametros_recargas!$G$92*'Plan mensual'!N87+parametros_recargas!$H$92*'Plan mensual'!N88+parametros_recargas!$I$92*'Plan mensual'!N89+parametros_recargas!$J$92*'Plan mensual'!N90+parametros_recargas!$K$92*'Plan mensual'!N91+parametros_recargas!$L$92*'Plan mensual'!N92</f>
        <v>1633.01706186845</v>
      </c>
      <c r="M86" s="25" t="n">
        <f aca="false">parametros_recargas!$E$92*'Plan mensual'!O85+parametros_recargas!$F$92*'Plan mensual'!O86+parametros_recargas!$G$92*'Plan mensual'!O87+parametros_recargas!$H$92*'Plan mensual'!O88+parametros_recargas!$I$92*'Plan mensual'!O89+parametros_recargas!$J$92*'Plan mensual'!O90+parametros_recargas!$K$92*'Plan mensual'!O91+parametros_recargas!$L$92*'Plan mensual'!O92</f>
        <v>1719.19813861248</v>
      </c>
      <c r="N86" s="7" t="n">
        <f aca="false">SUM(B86:M86)</f>
        <v>15794.659992202</v>
      </c>
      <c r="O86" s="26" t="n">
        <f aca="false">MAX(B86:M86)</f>
        <v>1719.19813861248</v>
      </c>
      <c r="P86" s="15" t="n">
        <f aca="false">O86/parametros_recargas!$B$6</f>
        <v>11.4613209240832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25" t="n">
        <f aca="false">parametros_recargas!$E$93*'Plan mensual'!D85+parametros_recargas!$F$93*'Plan mensual'!D86+parametros_recargas!$G$93*'Plan mensual'!D87+parametros_recargas!$H$93*'Plan mensual'!D88+parametros_recargas!$I$93*'Plan mensual'!D89+parametros_recargas!$J$93*'Plan mensual'!D90+parametros_recargas!$K$93*'Plan mensual'!D91+parametros_recargas!$L$93*'Plan mensual'!D92</f>
        <v>976.629282137092</v>
      </c>
      <c r="C87" s="25" t="n">
        <f aca="false">parametros_recargas!$E$93*'Plan mensual'!E85+parametros_recargas!$F$93*'Plan mensual'!E86+parametros_recargas!$G$93*'Plan mensual'!E87+parametros_recargas!$H$93*'Plan mensual'!E88+parametros_recargas!$I$93*'Plan mensual'!E89+parametros_recargas!$J$93*'Plan mensual'!E90+parametros_recargas!$K$93*'Plan mensual'!E91+parametros_recargas!$L$93*'Plan mensual'!E92</f>
        <v>1028.12757907374</v>
      </c>
      <c r="D87" s="25" t="n">
        <f aca="false">parametros_recargas!$E$93*'Plan mensual'!F85+parametros_recargas!$F$93*'Plan mensual'!F86+parametros_recargas!$G$93*'Plan mensual'!F87+parametros_recargas!$H$93*'Plan mensual'!F88+parametros_recargas!$I$93*'Plan mensual'!F89+parametros_recargas!$J$93*'Plan mensual'!F90+parametros_recargas!$K$93*'Plan mensual'!F91+parametros_recargas!$L$93*'Plan mensual'!F92</f>
        <v>1082.34698714051</v>
      </c>
      <c r="E87" s="25" t="n">
        <f aca="false">parametros_recargas!$E$93*'Plan mensual'!G85+parametros_recargas!$F$93*'Plan mensual'!G86+parametros_recargas!$G$93*'Plan mensual'!G87+parametros_recargas!$H$93*'Plan mensual'!G88+parametros_recargas!$I$93*'Plan mensual'!G89+parametros_recargas!$J$93*'Plan mensual'!G90+parametros_recargas!$K$93*'Plan mensual'!G91+parametros_recargas!$L$93*'Plan mensual'!G92</f>
        <v>1139.43128673838</v>
      </c>
      <c r="F87" s="25" t="n">
        <f aca="false">parametros_recargas!$E$93*'Plan mensual'!H85+parametros_recargas!$F$93*'Plan mensual'!H86+parametros_recargas!$G$93*'Plan mensual'!H87+parametros_recargas!$H$93*'Plan mensual'!H88+parametros_recargas!$I$93*'Plan mensual'!H89+parametros_recargas!$J$93*'Plan mensual'!H90+parametros_recargas!$K$93*'Plan mensual'!H91+parametros_recargas!$L$93*'Plan mensual'!H92</f>
        <v>1199.53185546031</v>
      </c>
      <c r="G87" s="25" t="n">
        <f aca="false">parametros_recargas!$E$93*'Plan mensual'!I85+parametros_recargas!$F$93*'Plan mensual'!I86+parametros_recargas!$G$93*'Plan mensual'!I87+parametros_recargas!$H$93*'Plan mensual'!I88+parametros_recargas!$I$93*'Plan mensual'!I89+parametros_recargas!$J$93*'Plan mensual'!I90+parametros_recargas!$K$93*'Plan mensual'!I91+parametros_recargas!$L$93*'Plan mensual'!I92</f>
        <v>1262.80806951819</v>
      </c>
      <c r="H87" s="25" t="n">
        <f aca="false">parametros_recargas!$E$93*'Plan mensual'!J85+parametros_recargas!$F$93*'Plan mensual'!J86+parametros_recargas!$G$93*'Plan mensual'!J87+parametros_recargas!$H$93*'Plan mensual'!J88+parametros_recargas!$I$93*'Plan mensual'!J89+parametros_recargas!$J$93*'Plan mensual'!J90+parametros_recargas!$K$93*'Plan mensual'!J91+parametros_recargas!$L$93*'Plan mensual'!J92</f>
        <v>1329.42772638074</v>
      </c>
      <c r="I87" s="25" t="n">
        <f aca="false">parametros_recargas!$E$93*'Plan mensual'!K85+parametros_recargas!$F$93*'Plan mensual'!K86+parametros_recargas!$G$93*'Plan mensual'!K87+parametros_recargas!$H$93*'Plan mensual'!K88+parametros_recargas!$I$93*'Plan mensual'!K89+parametros_recargas!$J$93*'Plan mensual'!K90+parametros_recargas!$K$93*'Plan mensual'!K91+parametros_recargas!$L$93*'Plan mensual'!K92</f>
        <v>1399.56748974307</v>
      </c>
      <c r="J87" s="25" t="n">
        <f aca="false">parametros_recargas!$E$93*'Plan mensual'!L85+parametros_recargas!$F$93*'Plan mensual'!L86+parametros_recargas!$G$93*'Plan mensual'!L87+parametros_recargas!$H$93*'Plan mensual'!L88+parametros_recargas!$I$93*'Plan mensual'!L89+parametros_recargas!$J$93*'Plan mensual'!L90+parametros_recargas!$K$93*'Plan mensual'!L91+parametros_recargas!$L$93*'Plan mensual'!L92</f>
        <v>1473.41335800795</v>
      </c>
      <c r="K87" s="25" t="n">
        <f aca="false">parametros_recargas!$E$93*'Plan mensual'!M85+parametros_recargas!$F$93*'Plan mensual'!M86+parametros_recargas!$G$93*'Plan mensual'!M87+parametros_recargas!$H$93*'Plan mensual'!M88+parametros_recargas!$I$93*'Plan mensual'!M89+parametros_recargas!$J$93*'Plan mensual'!M90+parametros_recargas!$K$93*'Plan mensual'!M91+parametros_recargas!$L$93*'Plan mensual'!M92</f>
        <v>1551.1611575211</v>
      </c>
      <c r="L87" s="25" t="n">
        <f aca="false">parametros_recargas!$E$93*'Plan mensual'!N85+parametros_recargas!$F$93*'Plan mensual'!N86+parametros_recargas!$G$93*'Plan mensual'!N87+parametros_recargas!$H$93*'Plan mensual'!N88+parametros_recargas!$I$93*'Plan mensual'!N89+parametros_recargas!$J$93*'Plan mensual'!N90+parametros_recargas!$K$93*'Plan mensual'!N91+parametros_recargas!$L$93*'Plan mensual'!N92</f>
        <v>1633.01706186845</v>
      </c>
      <c r="M87" s="25" t="n">
        <f aca="false">parametros_recargas!$E$93*'Plan mensual'!O85+parametros_recargas!$F$93*'Plan mensual'!O86+parametros_recargas!$G$93*'Plan mensual'!O87+parametros_recargas!$H$93*'Plan mensual'!O88+parametros_recargas!$I$93*'Plan mensual'!O89+parametros_recargas!$J$93*'Plan mensual'!O90+parametros_recargas!$K$93*'Plan mensual'!O91+parametros_recargas!$L$93*'Plan mensual'!O92</f>
        <v>1719.19813861248</v>
      </c>
      <c r="N87" s="7" t="n">
        <f aca="false">SUM(B87:M87)</f>
        <v>15794.659992202</v>
      </c>
      <c r="O87" s="26" t="n">
        <f aca="false">MAX(B87:M87)</f>
        <v>1719.19813861248</v>
      </c>
      <c r="P87" s="15" t="n">
        <f aca="false">O87/parametros_recargas!$B$6</f>
        <v>11.4613209240832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25" t="n">
        <f aca="false">parametros_recargas!$E$94*'Plan mensual'!D85+parametros_recargas!$F$94*'Plan mensual'!D86+parametros_recargas!$G$94*'Plan mensual'!D87+parametros_recargas!$H$94*'Plan mensual'!D88+parametros_recargas!$I$94*'Plan mensual'!D89+parametros_recargas!$J$94*'Plan mensual'!D90+parametros_recargas!$K$94*'Plan mensual'!D91+parametros_recargas!$L$94*'Plan mensual'!D92</f>
        <v>79.4458015393093</v>
      </c>
      <c r="C88" s="25" t="n">
        <f aca="false">parametros_recargas!$E$94*'Plan mensual'!E85+parametros_recargas!$F$94*'Plan mensual'!E86+parametros_recargas!$G$94*'Plan mensual'!E87+parametros_recargas!$H$94*'Plan mensual'!E88+parametros_recargas!$I$94*'Plan mensual'!E89+parametros_recargas!$J$94*'Plan mensual'!E90+parametros_recargas!$K$94*'Plan mensual'!E91+parametros_recargas!$L$94*'Plan mensual'!E92</f>
        <v>83.607300145224</v>
      </c>
      <c r="D88" s="25" t="n">
        <f aca="false">parametros_recargas!$E$94*'Plan mensual'!F85+parametros_recargas!$F$94*'Plan mensual'!F86+parametros_recargas!$G$94*'Plan mensual'!F87+parametros_recargas!$H$94*'Plan mensual'!F88+parametros_recargas!$I$94*'Plan mensual'!F89+parametros_recargas!$J$94*'Plan mensual'!F90+parametros_recargas!$K$94*'Plan mensual'!F91+parametros_recargas!$L$94*'Plan mensual'!F92</f>
        <v>87.9886875794724</v>
      </c>
      <c r="E88" s="25" t="n">
        <f aca="false">parametros_recargas!$E$94*'Plan mensual'!G85+parametros_recargas!$F$94*'Plan mensual'!G86+parametros_recargas!$G$94*'Plan mensual'!G87+parametros_recargas!$H$94*'Plan mensual'!G88+parametros_recargas!$I$94*'Plan mensual'!G89+parametros_recargas!$J$94*'Plan mensual'!G90+parametros_recargas!$K$94*'Plan mensual'!G91+parametros_recargas!$L$94*'Plan mensual'!G92</f>
        <v>92.6015825163362</v>
      </c>
      <c r="F88" s="25" t="n">
        <f aca="false">parametros_recargas!$E$94*'Plan mensual'!H85+parametros_recargas!$F$94*'Plan mensual'!H86+parametros_recargas!$G$94*'Plan mensual'!H87+parametros_recargas!$H$94*'Plan mensual'!H88+parametros_recargas!$I$94*'Plan mensual'!H89+parametros_recargas!$J$94*'Plan mensual'!H90+parametros_recargas!$K$94*'Plan mensual'!H91+parametros_recargas!$L$94*'Plan mensual'!H92</f>
        <v>97.4582175475621</v>
      </c>
      <c r="G88" s="25" t="n">
        <f aca="false">parametros_recargas!$E$94*'Plan mensual'!I85+parametros_recargas!$F$94*'Plan mensual'!I86+parametros_recargas!$G$94*'Plan mensual'!I87+parametros_recargas!$H$94*'Plan mensual'!I88+parametros_recargas!$I$94*'Plan mensual'!I89+parametros_recargas!$J$94*'Plan mensual'!I90+parametros_recargas!$K$94*'Plan mensual'!I91+parametros_recargas!$L$94*'Plan mensual'!I92</f>
        <v>102.571471621059</v>
      </c>
      <c r="H88" s="25" t="n">
        <f aca="false">parametros_recargas!$E$94*'Plan mensual'!J85+parametros_recargas!$F$94*'Plan mensual'!J86+parametros_recargas!$G$94*'Plan mensual'!J87+parametros_recargas!$H$94*'Plan mensual'!J88+parametros_recargas!$I$94*'Plan mensual'!J89+parametros_recargas!$J$94*'Plan mensual'!J90+parametros_recargas!$K$94*'Plan mensual'!J91+parametros_recargas!$L$94*'Plan mensual'!J92</f>
        <v>107.954904193617</v>
      </c>
      <c r="I88" s="25" t="n">
        <f aca="false">parametros_recargas!$E$94*'Plan mensual'!K85+parametros_recargas!$F$94*'Plan mensual'!K86+parametros_recargas!$G$94*'Plan mensual'!K87+parametros_recargas!$H$94*'Plan mensual'!K88+parametros_recargas!$I$94*'Plan mensual'!K89+parametros_recargas!$J$94*'Plan mensual'!K90+parametros_recargas!$K$94*'Plan mensual'!K91+parametros_recargas!$L$94*'Plan mensual'!K92</f>
        <v>113.622791188222</v>
      </c>
      <c r="J88" s="25" t="n">
        <f aca="false">parametros_recargas!$E$94*'Plan mensual'!L85+parametros_recargas!$F$94*'Plan mensual'!L86+parametros_recargas!$G$94*'Plan mensual'!L87+parametros_recargas!$H$94*'Plan mensual'!L88+parametros_recargas!$I$94*'Plan mensual'!L89+parametros_recargas!$J$94*'Plan mensual'!L90+parametros_recargas!$K$94*'Plan mensual'!L91+parametros_recargas!$L$94*'Plan mensual'!L92</f>
        <v>119.590162851307</v>
      </c>
      <c r="K88" s="25" t="n">
        <f aca="false">parametros_recargas!$E$94*'Plan mensual'!M85+parametros_recargas!$F$94*'Plan mensual'!M86+parametros_recargas!$G$94*'Plan mensual'!M87+parametros_recargas!$H$94*'Plan mensual'!M88+parametros_recargas!$I$94*'Plan mensual'!M89+parametros_recargas!$J$94*'Plan mensual'!M90+parametros_recargas!$K$94*'Plan mensual'!M91+parametros_recargas!$L$94*'Plan mensual'!M92</f>
        <v>125.872843610341</v>
      </c>
      <c r="L88" s="25" t="n">
        <f aca="false">parametros_recargas!$E$94*'Plan mensual'!N85+parametros_recargas!$F$94*'Plan mensual'!N86+parametros_recargas!$G$94*'Plan mensual'!N87+parametros_recargas!$H$94*'Plan mensual'!N88+parametros_recargas!$I$94*'Plan mensual'!N89+parametros_recargas!$J$94*'Plan mensual'!N90+parametros_recargas!$K$94*'Plan mensual'!N91+parametros_recargas!$L$94*'Plan mensual'!N92</f>
        <v>132.48749403745</v>
      </c>
      <c r="M88" s="25" t="n">
        <f aca="false">parametros_recargas!$E$94*'Plan mensual'!O85+parametros_recargas!$F$94*'Plan mensual'!O86+parametros_recargas!$G$94*'Plan mensual'!O87+parametros_recargas!$H$94*'Plan mensual'!O88+parametros_recargas!$I$94*'Plan mensual'!O89+parametros_recargas!$J$94*'Plan mensual'!O90+parametros_recargas!$K$94*'Plan mensual'!O91+parametros_recargas!$L$94*'Plan mensual'!O92</f>
        <v>139.451655030342</v>
      </c>
      <c r="N88" s="7" t="n">
        <f aca="false">SUM(B88:M88)</f>
        <v>1282.65291186024</v>
      </c>
      <c r="O88" s="26" t="n">
        <f aca="false">MAX(B88:M88)</f>
        <v>139.451655030342</v>
      </c>
      <c r="P88" s="15" t="n">
        <f aca="false">O88/parametros_recargas!$B$6</f>
        <v>0.929677700202278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25" t="n">
        <f aca="false">parametros_recargas!$E$95*'Plan mensual'!D85+parametros_recargas!$F$95*'Plan mensual'!D86+parametros_recargas!$G$95*'Plan mensual'!D87+parametros_recargas!$H$95*'Plan mensual'!D88+parametros_recargas!$I$95*'Plan mensual'!D89+parametros_recargas!$J$95*'Plan mensual'!D90+parametros_recargas!$K$95*'Plan mensual'!D91+parametros_recargas!$L$95*'Plan mensual'!D92</f>
        <v>1.04888764849893</v>
      </c>
      <c r="C89" s="25" t="n">
        <f aca="false">parametros_recargas!$E$95*'Plan mensual'!E85+parametros_recargas!$F$95*'Plan mensual'!E86+parametros_recargas!$G$95*'Plan mensual'!E87+parametros_recargas!$H$95*'Plan mensual'!E88+parametros_recargas!$I$95*'Plan mensual'!E89+parametros_recargas!$J$95*'Plan mensual'!E90+parametros_recargas!$K$95*'Plan mensual'!E91+parametros_recargas!$L$95*'Plan mensual'!E92</f>
        <v>1.10320886309789</v>
      </c>
      <c r="D89" s="25" t="n">
        <f aca="false">parametros_recargas!$E$95*'Plan mensual'!F85+parametros_recargas!$F$95*'Plan mensual'!F86+parametros_recargas!$G$95*'Plan mensual'!F87+parametros_recargas!$H$95*'Plan mensual'!F88+parametros_recargas!$I$95*'Plan mensual'!F89+parametros_recargas!$J$95*'Plan mensual'!F90+parametros_recargas!$K$95*'Plan mensual'!F91+parametros_recargas!$L$95*'Plan mensual'!F92</f>
        <v>1.1604003485687</v>
      </c>
      <c r="E89" s="25" t="n">
        <f aca="false">parametros_recargas!$E$95*'Plan mensual'!G85+parametros_recargas!$F$95*'Plan mensual'!G86+parametros_recargas!$G$95*'Plan mensual'!G87+parametros_recargas!$H$95*'Plan mensual'!G88+parametros_recargas!$I$95*'Plan mensual'!G89+parametros_recargas!$J$95*'Plan mensual'!G90+parametros_recargas!$K$95*'Plan mensual'!G91+parametros_recargas!$L$95*'Plan mensual'!G92</f>
        <v>1.22061376674255</v>
      </c>
      <c r="F89" s="25" t="n">
        <f aca="false">parametros_recargas!$E$95*'Plan mensual'!H85+parametros_recargas!$F$95*'Plan mensual'!H86+parametros_recargas!$G$95*'Plan mensual'!H87+parametros_recargas!$H$95*'Plan mensual'!H88+parametros_recargas!$I$95*'Plan mensual'!H89+parametros_recargas!$J$95*'Plan mensual'!H90+parametros_recargas!$K$95*'Plan mensual'!H91+parametros_recargas!$L$95*'Plan mensual'!H92</f>
        <v>1.28400879308836</v>
      </c>
      <c r="G89" s="25" t="n">
        <f aca="false">parametros_recargas!$E$95*'Plan mensual'!I85+parametros_recargas!$F$95*'Plan mensual'!I86+parametros_recargas!$G$95*'Plan mensual'!I87+parametros_recargas!$H$95*'Plan mensual'!I88+parametros_recargas!$I$95*'Plan mensual'!I89+parametros_recargas!$J$95*'Plan mensual'!I90+parametros_recargas!$K$95*'Plan mensual'!I91+parametros_recargas!$L$95*'Plan mensual'!I92</f>
        <v>1.3507535401443</v>
      </c>
      <c r="H89" s="25" t="n">
        <f aca="false">parametros_recargas!$E$95*'Plan mensual'!J85+parametros_recargas!$F$95*'Plan mensual'!J86+parametros_recargas!$G$95*'Plan mensual'!J87+parametros_recargas!$H$95*'Plan mensual'!J88+parametros_recargas!$I$95*'Plan mensual'!J89+parametros_recargas!$J$95*'Plan mensual'!J90+parametros_recargas!$K$95*'Plan mensual'!J91+parametros_recargas!$L$95*'Plan mensual'!J92</f>
        <v>1.42102500332281</v>
      </c>
      <c r="I89" s="25" t="n">
        <f aca="false">parametros_recargas!$E$95*'Plan mensual'!K85+parametros_recargas!$F$95*'Plan mensual'!K86+parametros_recargas!$G$95*'Plan mensual'!K87+parametros_recargas!$H$95*'Plan mensual'!K88+parametros_recargas!$I$95*'Plan mensual'!K89+parametros_recargas!$J$95*'Plan mensual'!K90+parametros_recargas!$K$95*'Plan mensual'!K91+parametros_recargas!$L$95*'Plan mensual'!K92</f>
        <v>1.49500953027158</v>
      </c>
      <c r="J89" s="25" t="n">
        <f aca="false">parametros_recargas!$E$95*'Plan mensual'!L85+parametros_recargas!$F$95*'Plan mensual'!L86+parametros_recargas!$G$95*'Plan mensual'!L87+parametros_recargas!$H$95*'Plan mensual'!L88+parametros_recargas!$I$95*'Plan mensual'!L89+parametros_recargas!$J$95*'Plan mensual'!L90+parametros_recargas!$K$95*'Plan mensual'!L91+parametros_recargas!$L$95*'Plan mensual'!L92</f>
        <v>1.57290331503495</v>
      </c>
      <c r="K89" s="25" t="n">
        <f aca="false">parametros_recargas!$E$95*'Plan mensual'!M85+parametros_recargas!$F$95*'Plan mensual'!M86+parametros_recargas!$G$95*'Plan mensual'!M87+parametros_recargas!$H$95*'Plan mensual'!M88+parametros_recargas!$I$95*'Plan mensual'!M89+parametros_recargas!$J$95*'Plan mensual'!M90+parametros_recargas!$K$95*'Plan mensual'!M91+parametros_recargas!$L$95*'Plan mensual'!M92</f>
        <v>1.65491291832622</v>
      </c>
      <c r="L89" s="25" t="n">
        <f aca="false">parametros_recargas!$E$95*'Plan mensual'!N85+parametros_recargas!$F$95*'Plan mensual'!N86+parametros_recargas!$G$95*'Plan mensual'!N87+parametros_recargas!$H$95*'Plan mensual'!N88+parametros_recargas!$I$95*'Plan mensual'!N89+parametros_recargas!$J$95*'Plan mensual'!N90+parametros_recargas!$K$95*'Plan mensual'!N91+parametros_recargas!$L$95*'Plan mensual'!N92</f>
        <v>1.74125581529065</v>
      </c>
      <c r="M89" s="25" t="n">
        <f aca="false">parametros_recargas!$E$95*'Plan mensual'!O85+parametros_recargas!$F$95*'Plan mensual'!O86+parametros_recargas!$G$95*'Plan mensual'!O87+parametros_recargas!$H$95*'Plan mensual'!O88+parametros_recargas!$I$95*'Plan mensual'!O89+parametros_recargas!$J$95*'Plan mensual'!O90+parametros_recargas!$K$95*'Plan mensual'!O91+parametros_recargas!$L$95*'Plan mensual'!O92</f>
        <v>1.83216097221149</v>
      </c>
      <c r="N89" s="7" t="n">
        <f aca="false">SUM(B89:M89)</f>
        <v>16.8851405145984</v>
      </c>
      <c r="O89" s="26" t="n">
        <f aca="false">MAX(B89:M89)</f>
        <v>1.83216097221149</v>
      </c>
      <c r="P89" s="15" t="n">
        <f aca="false">O89/parametros_recargas!$B$6</f>
        <v>0.0122144064814099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25" t="n">
        <f aca="false">parametros_recargas!$E$96*'Plan mensual'!D85+parametros_recargas!$F$96*'Plan mensual'!D86+parametros_recargas!$G$96*'Plan mensual'!D87+parametros_recargas!$H$96*'Plan mensual'!D88+parametros_recargas!$I$96*'Plan mensual'!D89+parametros_recargas!$J$96*'Plan mensual'!D90+parametros_recargas!$K$96*'Plan mensual'!D91+parametros_recargas!$L$96*'Plan mensual'!D92</f>
        <v>69.8507985327088</v>
      </c>
      <c r="C90" s="25" t="n">
        <f aca="false">parametros_recargas!$E$96*'Plan mensual'!E85+parametros_recargas!$F$96*'Plan mensual'!E86+parametros_recargas!$G$96*'Plan mensual'!E87+parametros_recargas!$H$96*'Plan mensual'!E88+parametros_recargas!$I$96*'Plan mensual'!E89+parametros_recargas!$J$96*'Plan mensual'!E90+parametros_recargas!$K$96*'Plan mensual'!E91+parametros_recargas!$L$96*'Plan mensual'!E92</f>
        <v>73.526003368953</v>
      </c>
      <c r="D90" s="25" t="n">
        <f aca="false">parametros_recargas!$E$96*'Plan mensual'!F85+parametros_recargas!$F$96*'Plan mensual'!F86+parametros_recargas!$G$96*'Plan mensual'!F87+parametros_recargas!$H$96*'Plan mensual'!F88+parametros_recargas!$I$96*'Plan mensual'!F89+parametros_recargas!$J$96*'Plan mensual'!F90+parametros_recargas!$K$96*'Plan mensual'!F91+parametros_recargas!$L$96*'Plan mensual'!F92</f>
        <v>77.39540182674</v>
      </c>
      <c r="E90" s="25" t="n">
        <f aca="false">parametros_recargas!$E$96*'Plan mensual'!G85+parametros_recargas!$F$96*'Plan mensual'!G86+parametros_recargas!$G$96*'Plan mensual'!G87+parametros_recargas!$H$96*'Plan mensual'!G88+parametros_recargas!$I$96*'Plan mensual'!G89+parametros_recargas!$J$96*'Plan mensual'!G90+parametros_recargas!$K$96*'Plan mensual'!G91+parametros_recargas!$L$96*'Plan mensual'!G92</f>
        <v>81.4692548750031</v>
      </c>
      <c r="F90" s="25" t="n">
        <f aca="false">parametros_recargas!$E$96*'Plan mensual'!H85+parametros_recargas!$F$96*'Plan mensual'!H86+parametros_recargas!$G$96*'Plan mensual'!H87+parametros_recargas!$H$96*'Plan mensual'!H88+parametros_recargas!$I$96*'Plan mensual'!H89+parametros_recargas!$J$96*'Plan mensual'!H90+parametros_recargas!$K$96*'Plan mensual'!H91+parametros_recargas!$L$96*'Plan mensual'!H92</f>
        <v>85.758365660542</v>
      </c>
      <c r="G90" s="25" t="n">
        <f aca="false">parametros_recargas!$E$96*'Plan mensual'!I85+parametros_recargas!$F$96*'Plan mensual'!I86+parametros_recargas!$G$96*'Plan mensual'!I87+parametros_recargas!$H$96*'Plan mensual'!I88+parametros_recargas!$I$96*'Plan mensual'!I89+parametros_recargas!$J$96*'Plan mensual'!I90+parametros_recargas!$K$96*'Plan mensual'!I91+parametros_recargas!$L$96*'Plan mensual'!I92</f>
        <v>90.2741081560822</v>
      </c>
      <c r="H90" s="25" t="n">
        <f aca="false">parametros_recargas!$E$96*'Plan mensual'!J85+parametros_recargas!$F$96*'Plan mensual'!J86+parametros_recargas!$G$96*'Plan mensual'!J87+parametros_recargas!$H$96*'Plan mensual'!J88+parametros_recargas!$I$96*'Plan mensual'!J89+parametros_recargas!$J$96*'Plan mensual'!J90+parametros_recargas!$K$96*'Plan mensual'!J91+parametros_recargas!$L$96*'Plan mensual'!J92</f>
        <v>95.0284573220629</v>
      </c>
      <c r="I90" s="25" t="n">
        <f aca="false">parametros_recargas!$E$96*'Plan mensual'!K85+parametros_recargas!$F$96*'Plan mensual'!K86+parametros_recargas!$G$96*'Plan mensual'!K87+parametros_recargas!$H$96*'Plan mensual'!K88+parametros_recargas!$I$96*'Plan mensual'!K89+parametros_recargas!$J$96*'Plan mensual'!K90+parametros_recargas!$K$96*'Plan mensual'!K91+parametros_recargas!$L$96*'Plan mensual'!K92</f>
        <v>100.034020862142</v>
      </c>
      <c r="J90" s="25" t="n">
        <f aca="false">parametros_recargas!$E$96*'Plan mensual'!L85+parametros_recargas!$F$96*'Plan mensual'!L86+parametros_recargas!$G$96*'Plan mensual'!L87+parametros_recargas!$H$96*'Plan mensual'!L88+parametros_recargas!$I$96*'Plan mensual'!L89+parametros_recargas!$J$96*'Plan mensual'!L90+parametros_recargas!$K$96*'Plan mensual'!L91+parametros_recargas!$L$96*'Plan mensual'!L92</f>
        <v>105.304072656624</v>
      </c>
      <c r="K90" s="25" t="n">
        <f aca="false">parametros_recargas!$E$96*'Plan mensual'!M85+parametros_recargas!$F$96*'Plan mensual'!M86+parametros_recargas!$G$96*'Plan mensual'!M87+parametros_recargas!$H$96*'Plan mensual'!M88+parametros_recargas!$I$96*'Plan mensual'!M89+parametros_recargas!$J$96*'Plan mensual'!M90+parametros_recargas!$K$96*'Plan mensual'!M91+parametros_recargas!$L$96*'Plan mensual'!M92</f>
        <v>110.852587962472</v>
      </c>
      <c r="L90" s="25" t="n">
        <f aca="false">parametros_recargas!$E$96*'Plan mensual'!N85+parametros_recargas!$F$96*'Plan mensual'!N86+parametros_recargas!$G$96*'Plan mensual'!N87+parametros_recargas!$H$96*'Plan mensual'!N88+parametros_recargas!$I$96*'Plan mensual'!N89+parametros_recargas!$J$96*'Plan mensual'!N90+parametros_recargas!$K$96*'Plan mensual'!N91+parametros_recargas!$L$96*'Plan mensual'!N92</f>
        <v>116.694280473248</v>
      </c>
      <c r="M90" s="25" t="n">
        <f aca="false">parametros_recargas!$E$96*'Plan mensual'!O85+parametros_recargas!$F$96*'Plan mensual'!O86+parametros_recargas!$G$96*'Plan mensual'!O87+parametros_recargas!$H$96*'Plan mensual'!O88+parametros_recargas!$I$96*'Plan mensual'!O89+parametros_recargas!$J$96*'Plan mensual'!O90+parametros_recargas!$K$96*'Plan mensual'!O91+parametros_recargas!$L$96*'Plan mensual'!O92</f>
        <v>122.84464133726</v>
      </c>
      <c r="N90" s="7" t="n">
        <f aca="false">SUM(B90:M90)</f>
        <v>1129.03199303384</v>
      </c>
      <c r="O90" s="26" t="n">
        <f aca="false">MAX(B90:M90)</f>
        <v>122.84464133726</v>
      </c>
      <c r="P90" s="15" t="n">
        <f aca="false">O90/parametros_recargas!$B$6</f>
        <v>0.818964275581731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25" t="n">
        <f aca="false">parametros_recargas!$E$97*'Plan mensual'!D85+parametros_recargas!$F$97*'Plan mensual'!D86+parametros_recargas!$G$97*'Plan mensual'!D87+parametros_recargas!$H$97*'Plan mensual'!D88+parametros_recargas!$I$97*'Plan mensual'!D89+parametros_recargas!$J$97*'Plan mensual'!D90+parametros_recargas!$K$97*'Plan mensual'!D91+parametros_recargas!$L$97*'Plan mensual'!D92</f>
        <v>1130.69046332248</v>
      </c>
      <c r="C91" s="25" t="n">
        <f aca="false">parametros_recargas!$E$97*'Plan mensual'!E85+parametros_recargas!$F$97*'Plan mensual'!E86+parametros_recargas!$G$97*'Plan mensual'!E87+parametros_recargas!$H$97*'Plan mensual'!E88+parametros_recargas!$I$97*'Plan mensual'!E89+parametros_recargas!$J$97*'Plan mensual'!E90+parametros_recargas!$K$97*'Plan mensual'!E91+parametros_recargas!$L$97*'Plan mensual'!E92</f>
        <v>1190.27633807218</v>
      </c>
      <c r="D91" s="25" t="n">
        <f aca="false">parametros_recargas!$E$97*'Plan mensual'!F85+parametros_recargas!$F$97*'Plan mensual'!F86+parametros_recargas!$G$97*'Plan mensual'!F87+parametros_recargas!$H$97*'Plan mensual'!F88+parametros_recargas!$I$97*'Plan mensual'!F89+parametros_recargas!$J$97*'Plan mensual'!F90+parametros_recargas!$K$97*'Plan mensual'!F91+parametros_recargas!$L$97*'Plan mensual'!F92</f>
        <v>1253.0106623168</v>
      </c>
      <c r="E91" s="25" t="n">
        <f aca="false">parametros_recargas!$E$97*'Plan mensual'!G85+parametros_recargas!$F$97*'Plan mensual'!G86+parametros_recargas!$G$97*'Plan mensual'!G87+parametros_recargas!$H$97*'Plan mensual'!G88+parametros_recargas!$I$97*'Plan mensual'!G89+parametros_recargas!$J$97*'Plan mensual'!G90+parametros_recargas!$K$97*'Plan mensual'!G91+parametros_recargas!$L$97*'Plan mensual'!G92</f>
        <v>1319.05979652792</v>
      </c>
      <c r="F91" s="25" t="n">
        <f aca="false">parametros_recargas!$E$97*'Plan mensual'!H85+parametros_recargas!$F$97*'Plan mensual'!H86+parametros_recargas!$G$97*'Plan mensual'!H87+parametros_recargas!$H$97*'Plan mensual'!H88+parametros_recargas!$I$97*'Plan mensual'!H89+parametros_recargas!$J$97*'Plan mensual'!H90+parametros_recargas!$K$97*'Plan mensual'!H91+parametros_recargas!$L$97*'Plan mensual'!H92</f>
        <v>1388.59889147422</v>
      </c>
      <c r="G91" s="25" t="n">
        <f aca="false">parametros_recargas!$E$97*'Plan mensual'!I85+parametros_recargas!$F$97*'Plan mensual'!I86+parametros_recargas!$G$97*'Plan mensual'!I87+parametros_recargas!$H$97*'Plan mensual'!I88+parametros_recargas!$I$97*'Plan mensual'!I89+parametros_recargas!$J$97*'Plan mensual'!I90+parametros_recargas!$K$97*'Plan mensual'!I91+parametros_recargas!$L$97*'Plan mensual'!I92</f>
        <v>1461.81235269074</v>
      </c>
      <c r="H91" s="25" t="n">
        <f aca="false">parametros_recargas!$E$97*'Plan mensual'!J85+parametros_recargas!$F$97*'Plan mensual'!J86+parametros_recargas!$G$97*'Plan mensual'!J87+parametros_recargas!$H$97*'Plan mensual'!J88+parametros_recargas!$I$97*'Plan mensual'!J89+parametros_recargas!$J$97*'Plan mensual'!J90+parametros_recargas!$K$97*'Plan mensual'!J91+parametros_recargas!$L$97*'Plan mensual'!J92</f>
        <v>1538.89432949014</v>
      </c>
      <c r="I91" s="25" t="n">
        <f aca="false">parametros_recargas!$E$97*'Plan mensual'!K85+parametros_recargas!$F$97*'Plan mensual'!K86+parametros_recargas!$G$97*'Plan mensual'!K87+parametros_recargas!$H$97*'Plan mensual'!K88+parametros_recargas!$I$97*'Plan mensual'!K89+parametros_recargas!$J$97*'Plan mensual'!K90+parametros_recargas!$K$97*'Plan mensual'!K91+parametros_recargas!$L$97*'Plan mensual'!K92</f>
        <v>1620.04922981281</v>
      </c>
      <c r="J91" s="25" t="n">
        <f aca="false">parametros_recargas!$E$97*'Plan mensual'!L85+parametros_recargas!$F$97*'Plan mensual'!L86+parametros_recargas!$G$97*'Plan mensual'!L87+parametros_recargas!$H$97*'Plan mensual'!L88+parametros_recargas!$I$97*'Plan mensual'!L89+parametros_recargas!$J$97*'Plan mensual'!L90+parametros_recargas!$K$97*'Plan mensual'!L91+parametros_recargas!$L$97*'Plan mensual'!L92</f>
        <v>1705.49226228099</v>
      </c>
      <c r="K91" s="25" t="n">
        <f aca="false">parametros_recargas!$E$97*'Plan mensual'!M85+parametros_recargas!$F$97*'Plan mensual'!M86+parametros_recargas!$G$97*'Plan mensual'!M87+parametros_recargas!$H$97*'Plan mensual'!M88+parametros_recargas!$I$97*'Plan mensual'!M89+parametros_recargas!$J$97*'Plan mensual'!M90+parametros_recargas!$K$97*'Plan mensual'!M91+parametros_recargas!$L$97*'Plan mensual'!M92</f>
        <v>1795.45000689445</v>
      </c>
      <c r="L91" s="25" t="n">
        <f aca="false">parametros_recargas!$E$97*'Plan mensual'!N85+parametros_recargas!$F$97*'Plan mensual'!N86+parametros_recargas!$G$97*'Plan mensual'!N87+parametros_recargas!$H$97*'Plan mensual'!N88+parametros_recargas!$I$97*'Plan mensual'!N89+parametros_recargas!$J$97*'Plan mensual'!N90+parametros_recargas!$K$97*'Plan mensual'!N91+parametros_recargas!$L$97*'Plan mensual'!N92</f>
        <v>1890.1610158811</v>
      </c>
      <c r="M91" s="25" t="n">
        <f aca="false">parametros_recargas!$E$97*'Plan mensual'!O85+parametros_recargas!$F$97*'Plan mensual'!O86+parametros_recargas!$G$97*'Plan mensual'!O87+parametros_recargas!$H$97*'Plan mensual'!O88+parametros_recargas!$I$97*'Plan mensual'!O89+parametros_recargas!$J$97*'Plan mensual'!O90+parametros_recargas!$K$97*'Plan mensual'!O91+parametros_recargas!$L$97*'Plan mensual'!O92</f>
        <v>1989.87644629584</v>
      </c>
      <c r="N91" s="7" t="n">
        <f aca="false">SUM(B91:M91)</f>
        <v>18283.3717950597</v>
      </c>
      <c r="O91" s="26" t="n">
        <f aca="false">MAX(B91:M91)</f>
        <v>1989.87644629584</v>
      </c>
      <c r="P91" s="15" t="n">
        <f aca="false">O91/parametros_recargas!$B$6</f>
        <v>13.2658429753056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25" t="n">
        <f aca="false">parametros_recargas!$E$98*'Plan mensual'!D85+parametros_recargas!$F$98*'Plan mensual'!D86+parametros_recargas!$G$98*'Plan mensual'!D87+parametros_recargas!$H$98*'Plan mensual'!D88+parametros_recargas!$I$98*'Plan mensual'!D89+parametros_recargas!$J$98*'Plan mensual'!D90+parametros_recargas!$K$98*'Plan mensual'!D91+parametros_recargas!$L$98*'Plan mensual'!D92</f>
        <v>1130.69046332248</v>
      </c>
      <c r="C92" s="25" t="n">
        <f aca="false">parametros_recargas!$E$98*'Plan mensual'!E85+parametros_recargas!$F$98*'Plan mensual'!E86+parametros_recargas!$G$98*'Plan mensual'!E87+parametros_recargas!$H$98*'Plan mensual'!E88+parametros_recargas!$I$98*'Plan mensual'!E89+parametros_recargas!$J$98*'Plan mensual'!E90+parametros_recargas!$K$98*'Plan mensual'!E91+parametros_recargas!$L$98*'Plan mensual'!E92</f>
        <v>1190.27633807218</v>
      </c>
      <c r="D92" s="25" t="n">
        <f aca="false">parametros_recargas!$E$98*'Plan mensual'!F85+parametros_recargas!$F$98*'Plan mensual'!F86+parametros_recargas!$G$98*'Plan mensual'!F87+parametros_recargas!$H$98*'Plan mensual'!F88+parametros_recargas!$I$98*'Plan mensual'!F89+parametros_recargas!$J$98*'Plan mensual'!F90+parametros_recargas!$K$98*'Plan mensual'!F91+parametros_recargas!$L$98*'Plan mensual'!F92</f>
        <v>1253.0106623168</v>
      </c>
      <c r="E92" s="25" t="n">
        <f aca="false">parametros_recargas!$E$98*'Plan mensual'!G85+parametros_recargas!$F$98*'Plan mensual'!G86+parametros_recargas!$G$98*'Plan mensual'!G87+parametros_recargas!$H$98*'Plan mensual'!G88+parametros_recargas!$I$98*'Plan mensual'!G89+parametros_recargas!$J$98*'Plan mensual'!G90+parametros_recargas!$K$98*'Plan mensual'!G91+parametros_recargas!$L$98*'Plan mensual'!G92</f>
        <v>1319.05979652792</v>
      </c>
      <c r="F92" s="25" t="n">
        <f aca="false">parametros_recargas!$E$98*'Plan mensual'!H85+parametros_recargas!$F$98*'Plan mensual'!H86+parametros_recargas!$G$98*'Plan mensual'!H87+parametros_recargas!$H$98*'Plan mensual'!H88+parametros_recargas!$I$98*'Plan mensual'!H89+parametros_recargas!$J$98*'Plan mensual'!H90+parametros_recargas!$K$98*'Plan mensual'!H91+parametros_recargas!$L$98*'Plan mensual'!H92</f>
        <v>1388.59889147422</v>
      </c>
      <c r="G92" s="25" t="n">
        <f aca="false">parametros_recargas!$E$98*'Plan mensual'!I85+parametros_recargas!$F$98*'Plan mensual'!I86+parametros_recargas!$G$98*'Plan mensual'!I87+parametros_recargas!$H$98*'Plan mensual'!I88+parametros_recargas!$I$98*'Plan mensual'!I89+parametros_recargas!$J$98*'Plan mensual'!I90+parametros_recargas!$K$98*'Plan mensual'!I91+parametros_recargas!$L$98*'Plan mensual'!I92</f>
        <v>1461.81235269074</v>
      </c>
      <c r="H92" s="25" t="n">
        <f aca="false">parametros_recargas!$E$98*'Plan mensual'!J85+parametros_recargas!$F$98*'Plan mensual'!J86+parametros_recargas!$G$98*'Plan mensual'!J87+parametros_recargas!$H$98*'Plan mensual'!J88+parametros_recargas!$I$98*'Plan mensual'!J89+parametros_recargas!$J$98*'Plan mensual'!J90+parametros_recargas!$K$98*'Plan mensual'!J91+parametros_recargas!$L$98*'Plan mensual'!J92</f>
        <v>1538.89432949014</v>
      </c>
      <c r="I92" s="25" t="n">
        <f aca="false">parametros_recargas!$E$98*'Plan mensual'!K85+parametros_recargas!$F$98*'Plan mensual'!K86+parametros_recargas!$G$98*'Plan mensual'!K87+parametros_recargas!$H$98*'Plan mensual'!K88+parametros_recargas!$I$98*'Plan mensual'!K89+parametros_recargas!$J$98*'Plan mensual'!K90+parametros_recargas!$K$98*'Plan mensual'!K91+parametros_recargas!$L$98*'Plan mensual'!K92</f>
        <v>1620.04922981281</v>
      </c>
      <c r="J92" s="25" t="n">
        <f aca="false">parametros_recargas!$E$98*'Plan mensual'!L85+parametros_recargas!$F$98*'Plan mensual'!L86+parametros_recargas!$G$98*'Plan mensual'!L87+parametros_recargas!$H$98*'Plan mensual'!L88+parametros_recargas!$I$98*'Plan mensual'!L89+parametros_recargas!$J$98*'Plan mensual'!L90+parametros_recargas!$K$98*'Plan mensual'!L91+parametros_recargas!$L$98*'Plan mensual'!L92</f>
        <v>1705.49226228099</v>
      </c>
      <c r="K92" s="25" t="n">
        <f aca="false">parametros_recargas!$E$98*'Plan mensual'!M85+parametros_recargas!$F$98*'Plan mensual'!M86+parametros_recargas!$G$98*'Plan mensual'!M87+parametros_recargas!$H$98*'Plan mensual'!M88+parametros_recargas!$I$98*'Plan mensual'!M89+parametros_recargas!$J$98*'Plan mensual'!M90+parametros_recargas!$K$98*'Plan mensual'!M91+parametros_recargas!$L$98*'Plan mensual'!M92</f>
        <v>1795.45000689445</v>
      </c>
      <c r="L92" s="25" t="n">
        <f aca="false">parametros_recargas!$E$98*'Plan mensual'!N85+parametros_recargas!$F$98*'Plan mensual'!N86+parametros_recargas!$G$98*'Plan mensual'!N87+parametros_recargas!$H$98*'Plan mensual'!N88+parametros_recargas!$I$98*'Plan mensual'!N89+parametros_recargas!$J$98*'Plan mensual'!N90+parametros_recargas!$K$98*'Plan mensual'!N91+parametros_recargas!$L$98*'Plan mensual'!N92</f>
        <v>1890.1610158811</v>
      </c>
      <c r="M92" s="25" t="n">
        <f aca="false">parametros_recargas!$E$98*'Plan mensual'!O85+parametros_recargas!$F$98*'Plan mensual'!O86+parametros_recargas!$G$98*'Plan mensual'!O87+parametros_recargas!$H$98*'Plan mensual'!O88+parametros_recargas!$I$98*'Plan mensual'!O89+parametros_recargas!$J$98*'Plan mensual'!O90+parametros_recargas!$K$98*'Plan mensual'!O91+parametros_recargas!$L$98*'Plan mensual'!O92</f>
        <v>1989.87644629584</v>
      </c>
      <c r="N92" s="7" t="n">
        <f aca="false">SUM(B92:M92)</f>
        <v>18283.3717950597</v>
      </c>
      <c r="O92" s="26" t="n">
        <f aca="false">MAX(B92:M92)</f>
        <v>1989.87644629584</v>
      </c>
      <c r="P92" s="15" t="n">
        <f aca="false">O92/parametros_recargas!$B$6</f>
        <v>13.2658429753056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25" t="n">
        <f aca="false">parametros_recargas!$E$99*'Plan mensual'!D85+parametros_recargas!$F$99*'Plan mensual'!D86+parametros_recargas!$G$99*'Plan mensual'!D87+parametros_recargas!$H$99*'Plan mensual'!D88+parametros_recargas!$I$99*'Plan mensual'!D89+parametros_recargas!$J$99*'Plan mensual'!D90+parametros_recargas!$K$99*'Plan mensual'!D91+parametros_recargas!$L$99*'Plan mensual'!D92</f>
        <v>88.8670433613412</v>
      </c>
      <c r="C93" s="25" t="n">
        <f aca="false">parametros_recargas!$E$99*'Plan mensual'!E85+parametros_recargas!$F$99*'Plan mensual'!E86+parametros_recargas!$G$99*'Plan mensual'!E87+parametros_recargas!$H$99*'Plan mensual'!E88+parametros_recargas!$I$99*'Plan mensual'!E89+parametros_recargas!$J$99*'Plan mensual'!E90+parametros_recargas!$K$99*'Plan mensual'!E91+parametros_recargas!$L$99*'Plan mensual'!E92</f>
        <v>93.5502885510202</v>
      </c>
      <c r="D93" s="25" t="n">
        <f aca="false">parametros_recargas!$E$99*'Plan mensual'!F85+parametros_recargas!$F$99*'Plan mensual'!F86+parametros_recargas!$G$99*'Plan mensual'!F87+parametros_recargas!$H$99*'Plan mensual'!F88+parametros_recargas!$I$99*'Plan mensual'!F89+parametros_recargas!$J$99*'Plan mensual'!F90+parametros_recargas!$K$99*'Plan mensual'!F91+parametros_recargas!$L$99*'Plan mensual'!F92</f>
        <v>98.480991061986</v>
      </c>
      <c r="E93" s="25" t="n">
        <f aca="false">parametros_recargas!$E$99*'Plan mensual'!G85+parametros_recargas!$F$99*'Plan mensual'!G86+parametros_recargas!$G$99*'Plan mensual'!G87+parametros_recargas!$H$99*'Plan mensual'!G88+parametros_recargas!$I$99*'Plan mensual'!G89+parametros_recargas!$J$99*'Plan mensual'!G90+parametros_recargas!$K$99*'Plan mensual'!G91+parametros_recargas!$L$99*'Plan mensual'!G92</f>
        <v>103.672226256168</v>
      </c>
      <c r="F93" s="25" t="n">
        <f aca="false">parametros_recargas!$E$99*'Plan mensual'!H85+parametros_recargas!$F$99*'Plan mensual'!H86+parametros_recargas!$G$99*'Plan mensual'!H87+parametros_recargas!$H$99*'Plan mensual'!H88+parametros_recargas!$I$99*'Plan mensual'!H89+parametros_recargas!$J$99*'Plan mensual'!H90+parametros_recargas!$K$99*'Plan mensual'!H91+parametros_recargas!$L$99*'Plan mensual'!H92</f>
        <v>109.137760382669</v>
      </c>
      <c r="G93" s="25" t="n">
        <f aca="false">parametros_recargas!$E$99*'Plan mensual'!I85+parametros_recargas!$F$99*'Plan mensual'!I86+parametros_recargas!$G$99*'Plan mensual'!I87+parametros_recargas!$H$99*'Plan mensual'!I88+parametros_recargas!$I$99*'Plan mensual'!I89+parametros_recargas!$J$99*'Plan mensual'!I90+parametros_recargas!$K$99*'Plan mensual'!I91+parametros_recargas!$L$99*'Plan mensual'!I92</f>
        <v>114.892087083458</v>
      </c>
      <c r="H93" s="25" t="n">
        <f aca="false">parametros_recargas!$E$99*'Plan mensual'!J85+parametros_recargas!$F$99*'Plan mensual'!J86+parametros_recargas!$G$99*'Plan mensual'!J87+parametros_recargas!$H$99*'Plan mensual'!J88+parametros_recargas!$I$99*'Plan mensual'!J89+parametros_recargas!$J$99*'Plan mensual'!J90+parametros_recargas!$K$99*'Plan mensual'!J91+parametros_recargas!$L$99*'Plan mensual'!J92</f>
        <v>120.950465827971</v>
      </c>
      <c r="I93" s="25" t="n">
        <f aca="false">parametros_recargas!$E$99*'Plan mensual'!K85+parametros_recargas!$F$99*'Plan mensual'!K86+parametros_recargas!$G$99*'Plan mensual'!K87+parametros_recargas!$H$99*'Plan mensual'!K88+parametros_recargas!$I$99*'Plan mensual'!K89+parametros_recargas!$J$99*'Plan mensual'!K90+parametros_recargas!$K$99*'Plan mensual'!K91+parametros_recargas!$L$99*'Plan mensual'!K92</f>
        <v>127.328962378565</v>
      </c>
      <c r="J93" s="25" t="n">
        <f aca="false">parametros_recargas!$E$99*'Plan mensual'!L85+parametros_recargas!$F$99*'Plan mensual'!L86+parametros_recargas!$G$99*'Plan mensual'!L87+parametros_recargas!$H$99*'Plan mensual'!L88+parametros_recargas!$I$99*'Plan mensual'!L89+parametros_recargas!$J$99*'Plan mensual'!L90+parametros_recargas!$K$99*'Plan mensual'!L91+parametros_recargas!$L$99*'Plan mensual'!L92</f>
        <v>134.04449139411</v>
      </c>
      <c r="K93" s="25" t="n">
        <f aca="false">parametros_recargas!$E$99*'Plan mensual'!M85+parametros_recargas!$F$99*'Plan mensual'!M86+parametros_recargas!$G$99*'Plan mensual'!M87+parametros_recargas!$H$99*'Plan mensual'!M88+parametros_recargas!$I$99*'Plan mensual'!M89+parametros_recargas!$J$99*'Plan mensual'!M90+parametros_recargas!$K$99*'Plan mensual'!M91+parametros_recargas!$L$99*'Plan mensual'!M92</f>
        <v>141.114861284711</v>
      </c>
      <c r="L93" s="25" t="n">
        <f aca="false">parametros_recargas!$E$99*'Plan mensual'!N85+parametros_recargas!$F$99*'Plan mensual'!N86+parametros_recargas!$G$99*'Plan mensual'!N87+parametros_recargas!$H$99*'Plan mensual'!N88+parametros_recargas!$I$99*'Plan mensual'!N89+parametros_recargas!$J$99*'Plan mensual'!N90+parametros_recargas!$K$99*'Plan mensual'!N91+parametros_recargas!$L$99*'Plan mensual'!N92</f>
        <v>148.558821436503</v>
      </c>
      <c r="M93" s="25" t="n">
        <f aca="false">parametros_recargas!$E$99*'Plan mensual'!O85+parametros_recargas!$F$99*'Plan mensual'!O86+parametros_recargas!$G$99*'Plan mensual'!O87+parametros_recargas!$H$99*'Plan mensual'!O88+parametros_recargas!$I$99*'Plan mensual'!O89+parametros_recargas!$J$99*'Plan mensual'!O90+parametros_recargas!$K$99*'Plan mensual'!O91+parametros_recargas!$L$99*'Plan mensual'!O92</f>
        <v>156.396111931747</v>
      </c>
      <c r="N93" s="7" t="n">
        <f aca="false">SUM(B93:M93)</f>
        <v>1436.99411095025</v>
      </c>
      <c r="O93" s="26" t="n">
        <f aca="false">MAX(B93:M93)</f>
        <v>156.396111931747</v>
      </c>
      <c r="P93" s="15" t="n">
        <f aca="false">O93/parametros_recargas!$B$6</f>
        <v>1.04264074621165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25" t="n">
        <f aca="false">'Plan mensual'!D93</f>
        <v>41.3319377503621</v>
      </c>
      <c r="C94" s="25" t="n">
        <f aca="false">'Plan mensual'!E93</f>
        <v>43.4850474182972</v>
      </c>
      <c r="D94" s="25" t="n">
        <f aca="false">'Plan mensual'!F93</f>
        <v>45.7519249393521</v>
      </c>
      <c r="E94" s="25" t="n">
        <f aca="false">'Plan mensual'!G93</f>
        <v>48.1385816768106</v>
      </c>
      <c r="F94" s="25" t="n">
        <f aca="false">'Plan mensual'!H93</f>
        <v>50.6513466275191</v>
      </c>
      <c r="G94" s="25" t="n">
        <f aca="false">'Plan mensual'!I93</f>
        <v>53.2968832052814</v>
      </c>
      <c r="H94" s="25" t="n">
        <f aca="false">'Plan mensual'!J93</f>
        <v>56.082206911068</v>
      </c>
      <c r="I94" s="25" t="n">
        <f aca="false">'Plan mensual'!K93</f>
        <v>59.0147039368996</v>
      </c>
      <c r="J94" s="25" t="n">
        <f aca="false">'Plan mensual'!L93</f>
        <v>62.1021507527386</v>
      </c>
      <c r="K94" s="25" t="n">
        <f aca="false">'Plan mensual'!M93</f>
        <v>65.3527347283288</v>
      </c>
      <c r="L94" s="25" t="n">
        <f aca="false">'Plan mensual'!N93</f>
        <v>68.7750758446703</v>
      </c>
      <c r="M94" s="25" t="n">
        <f aca="false">'Plan mensual'!O93</f>
        <v>72.3782495527039</v>
      </c>
      <c r="N94" s="7" t="n">
        <f aca="false">SUM(B94:M94)</f>
        <v>666.360843344032</v>
      </c>
      <c r="O94" s="26" t="n">
        <f aca="false">MAX(B94:M94)</f>
        <v>72.3782495527039</v>
      </c>
      <c r="P94" s="15" t="n">
        <f aca="false">O94/parametros_recargas!$B$6</f>
        <v>0.482521663684693</v>
      </c>
    </row>
    <row r="97" customFormat="false" ht="23.85" hidden="false" customHeight="false" outlineLevel="0" collapsed="false">
      <c r="A97" s="3" t="s">
        <v>282</v>
      </c>
      <c r="B97" s="3" t="s">
        <v>124</v>
      </c>
      <c r="C97" s="3" t="s">
        <v>125</v>
      </c>
      <c r="D97" s="3" t="s">
        <v>126</v>
      </c>
      <c r="E97" s="3" t="s">
        <v>127</v>
      </c>
      <c r="F97" s="3" t="s">
        <v>128</v>
      </c>
      <c r="G97" s="3" t="s">
        <v>129</v>
      </c>
      <c r="H97" s="3" t="s">
        <v>130</v>
      </c>
      <c r="I97" s="3" t="s">
        <v>131</v>
      </c>
      <c r="J97" s="3" t="s">
        <v>132</v>
      </c>
      <c r="K97" s="3" t="s">
        <v>133</v>
      </c>
      <c r="L97" s="3" t="s">
        <v>134</v>
      </c>
      <c r="M97" s="3" t="s">
        <v>135</v>
      </c>
      <c r="N97" s="3" t="s">
        <v>277</v>
      </c>
      <c r="O97" s="3" t="s">
        <v>278</v>
      </c>
      <c r="P97" s="3" t="s">
        <v>279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5" t="n">
        <f aca="false">parametros_recargas!$E$72*'Plan mensual'!D117+parametros_recargas!$F$72*'Plan mensual'!D118+parametros_recargas!$G$72*'Plan mensual'!D119+parametros_recargas!$H$72*'Plan mensual'!D120+parametros_recargas!$I$72*'Plan mensual'!D121+parametros_recargas!$J$72*'Plan mensual'!D122+parametros_recargas!$K$72*'Plan mensual'!D123+parametros_recargas!$L$72*'Plan mensual'!D124</f>
        <v>2350.81948056632</v>
      </c>
      <c r="C98" s="25" t="n">
        <f aca="false">parametros_recargas!$E$72*'Plan mensual'!E117+parametros_recargas!$F$72*'Plan mensual'!E118+parametros_recargas!$G$72*'Plan mensual'!E119+parametros_recargas!$H$72*'Plan mensual'!E120+parametros_recargas!$I$72*'Plan mensual'!E121+parametros_recargas!$J$72*'Plan mensual'!E122+parametros_recargas!$K$72*'Plan mensual'!E123+parametros_recargas!$L$72*'Plan mensual'!E124</f>
        <v>2427.60863050756</v>
      </c>
      <c r="D98" s="25" t="n">
        <f aca="false">parametros_recargas!$E$72*'Plan mensual'!F117+parametros_recargas!$F$72*'Plan mensual'!F118+parametros_recargas!$G$72*'Plan mensual'!F119+parametros_recargas!$H$72*'Plan mensual'!F120+parametros_recargas!$I$72*'Plan mensual'!F121+parametros_recargas!$J$72*'Plan mensual'!F122+parametros_recargas!$K$72*'Plan mensual'!F123+parametros_recargas!$L$72*'Plan mensual'!F124</f>
        <v>2506.91161093291</v>
      </c>
      <c r="E98" s="25" t="n">
        <f aca="false">parametros_recargas!$E$72*'Plan mensual'!G117+parametros_recargas!$F$72*'Plan mensual'!G118+parametros_recargas!$G$72*'Plan mensual'!G119+parametros_recargas!$H$72*'Plan mensual'!G120+parametros_recargas!$I$72*'Plan mensual'!G121+parametros_recargas!$J$72*'Plan mensual'!G122+parametros_recargas!$K$72*'Plan mensual'!G123+parametros_recargas!$L$72*'Plan mensual'!G124</f>
        <v>2588.81071658982</v>
      </c>
      <c r="F98" s="25" t="n">
        <f aca="false">parametros_recargas!$E$72*'Plan mensual'!H117+parametros_recargas!$F$72*'Plan mensual'!H118+parametros_recargas!$G$72*'Plan mensual'!H119+parametros_recargas!$H$72*'Plan mensual'!H120+parametros_recargas!$I$72*'Plan mensual'!H121+parametros_recargas!$J$72*'Plan mensual'!H122+parametros_recargas!$K$72*'Plan mensual'!H123+parametros_recargas!$L$72*'Plan mensual'!H124</f>
        <v>2673.39093629187</v>
      </c>
      <c r="G98" s="25" t="n">
        <f aca="false">parametros_recargas!$E$72*'Plan mensual'!I117+parametros_recargas!$F$72*'Plan mensual'!I118+parametros_recargas!$G$72*'Plan mensual'!I119+parametros_recargas!$H$72*'Plan mensual'!I120+parametros_recargas!$I$72*'Plan mensual'!I121+parametros_recargas!$J$72*'Plan mensual'!I122+parametros_recargas!$K$72*'Plan mensual'!I123+parametros_recargas!$L$72*'Plan mensual'!I124</f>
        <v>2760.74004111377</v>
      </c>
      <c r="H98" s="25" t="n">
        <f aca="false">parametros_recargas!$E$72*'Plan mensual'!J117+parametros_recargas!$F$72*'Plan mensual'!J118+parametros_recargas!$G$72*'Plan mensual'!J119+parametros_recargas!$H$72*'Plan mensual'!J120+parametros_recargas!$I$72*'Plan mensual'!J121+parametros_recargas!$J$72*'Plan mensual'!J122+parametros_recargas!$K$72*'Plan mensual'!J123+parametros_recargas!$L$72*'Plan mensual'!J124</f>
        <v>2850.94867547374</v>
      </c>
      <c r="I98" s="25" t="n">
        <f aca="false">parametros_recargas!$E$72*'Plan mensual'!K117+parametros_recargas!$F$72*'Plan mensual'!K118+parametros_recargas!$G$72*'Plan mensual'!K119+parametros_recargas!$H$72*'Plan mensual'!K120+parametros_recargas!$I$72*'Plan mensual'!K121+parametros_recargas!$J$72*'Plan mensual'!K122+parametros_recargas!$K$72*'Plan mensual'!K123+parametros_recargas!$L$72*'Plan mensual'!K124</f>
        <v>2944.11045119753</v>
      </c>
      <c r="J98" s="25" t="n">
        <f aca="false">parametros_recargas!$E$72*'Plan mensual'!L117+parametros_recargas!$F$72*'Plan mensual'!L118+parametros_recargas!$G$72*'Plan mensual'!L119+parametros_recargas!$H$72*'Plan mensual'!L120+parametros_recargas!$I$72*'Plan mensual'!L121+parametros_recargas!$J$72*'Plan mensual'!L122+parametros_recargas!$K$72*'Plan mensual'!L123+parametros_recargas!$L$72*'Plan mensual'!L124</f>
        <v>3040.32204466179</v>
      </c>
      <c r="K98" s="25" t="n">
        <f aca="false">parametros_recargas!$E$72*'Plan mensual'!M117+parametros_recargas!$F$72*'Plan mensual'!M118+parametros_recargas!$G$72*'Plan mensual'!M119+parametros_recargas!$H$72*'Plan mensual'!M120+parametros_recargas!$I$72*'Plan mensual'!M121+parametros_recargas!$J$72*'Plan mensual'!M122+parametros_recargas!$K$72*'Plan mensual'!M123+parametros_recargas!$L$72*'Plan mensual'!M124</f>
        <v>3139.68329711772</v>
      </c>
      <c r="L98" s="25" t="n">
        <f aca="false">parametros_recargas!$E$72*'Plan mensual'!N117+parametros_recargas!$F$72*'Plan mensual'!N118+parametros_recargas!$G$72*'Plan mensual'!N119+parametros_recargas!$H$72*'Plan mensual'!N120+parametros_recargas!$I$72*'Plan mensual'!N121+parametros_recargas!$J$72*'Plan mensual'!N122+parametros_recargas!$K$72*'Plan mensual'!N123+parametros_recargas!$L$72*'Plan mensual'!N124</f>
        <v>3242.29731829883</v>
      </c>
      <c r="M98" s="25" t="n">
        <f aca="false">parametros_recargas!$E$72*'Plan mensual'!O117+parametros_recargas!$F$72*'Plan mensual'!O118+parametros_recargas!$G$72*'Plan mensual'!O119+parametros_recargas!$H$72*'Plan mensual'!O120+parametros_recargas!$I$72*'Plan mensual'!O121+parametros_recargas!$J$72*'Plan mensual'!O122+parametros_recargas!$K$72*'Plan mensual'!O123+parametros_recargas!$L$72*'Plan mensual'!O124</f>
        <v>3348.27059342061</v>
      </c>
      <c r="N98" s="7" t="n">
        <f aca="false">SUM(B98:M98)</f>
        <v>33873.9137961725</v>
      </c>
      <c r="O98" s="26" t="n">
        <f aca="false">MAX(B98:M98)</f>
        <v>3348.27059342061</v>
      </c>
      <c r="P98" s="15" t="n">
        <f aca="false">O98/parametros_recargas!$B$6</f>
        <v>22.3218039561374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5" t="n">
        <f aca="false">parametros_recargas!$E$73*'Plan mensual'!D117+parametros_recargas!$F$73*'Plan mensual'!D118+parametros_recargas!$G$73*'Plan mensual'!D119+parametros_recargas!$H$73*'Plan mensual'!D120+parametros_recargas!$I$73*'Plan mensual'!D121+parametros_recargas!$J$73*'Plan mensual'!D122+parametros_recargas!$K$73*'Plan mensual'!D123+parametros_recargas!$L$73*'Plan mensual'!D124</f>
        <v>2350.81948056632</v>
      </c>
      <c r="C99" s="25" t="n">
        <f aca="false">parametros_recargas!$E$73*'Plan mensual'!E117+parametros_recargas!$F$73*'Plan mensual'!E118+parametros_recargas!$G$73*'Plan mensual'!E119+parametros_recargas!$H$73*'Plan mensual'!E120+parametros_recargas!$I$73*'Plan mensual'!E121+parametros_recargas!$J$73*'Plan mensual'!E122+parametros_recargas!$K$73*'Plan mensual'!E123+parametros_recargas!$L$73*'Plan mensual'!E124</f>
        <v>2427.60863050756</v>
      </c>
      <c r="D99" s="25" t="n">
        <f aca="false">parametros_recargas!$E$73*'Plan mensual'!F117+parametros_recargas!$F$73*'Plan mensual'!F118+parametros_recargas!$G$73*'Plan mensual'!F119+parametros_recargas!$H$73*'Plan mensual'!F120+parametros_recargas!$I$73*'Plan mensual'!F121+parametros_recargas!$J$73*'Plan mensual'!F122+parametros_recargas!$K$73*'Plan mensual'!F123+parametros_recargas!$L$73*'Plan mensual'!F124</f>
        <v>2506.91161093291</v>
      </c>
      <c r="E99" s="25" t="n">
        <f aca="false">parametros_recargas!$E$73*'Plan mensual'!G117+parametros_recargas!$F$73*'Plan mensual'!G118+parametros_recargas!$G$73*'Plan mensual'!G119+parametros_recargas!$H$73*'Plan mensual'!G120+parametros_recargas!$I$73*'Plan mensual'!G121+parametros_recargas!$J$73*'Plan mensual'!G122+parametros_recargas!$K$73*'Plan mensual'!G123+parametros_recargas!$L$73*'Plan mensual'!G124</f>
        <v>2588.81071658982</v>
      </c>
      <c r="F99" s="25" t="n">
        <f aca="false">parametros_recargas!$E$73*'Plan mensual'!H117+parametros_recargas!$F$73*'Plan mensual'!H118+parametros_recargas!$G$73*'Plan mensual'!H119+parametros_recargas!$H$73*'Plan mensual'!H120+parametros_recargas!$I$73*'Plan mensual'!H121+parametros_recargas!$J$73*'Plan mensual'!H122+parametros_recargas!$K$73*'Plan mensual'!H123+parametros_recargas!$L$73*'Plan mensual'!H124</f>
        <v>2673.39093629187</v>
      </c>
      <c r="G99" s="25" t="n">
        <f aca="false">parametros_recargas!$E$73*'Plan mensual'!I117+parametros_recargas!$F$73*'Plan mensual'!I118+parametros_recargas!$G$73*'Plan mensual'!I119+parametros_recargas!$H$73*'Plan mensual'!I120+parametros_recargas!$I$73*'Plan mensual'!I121+parametros_recargas!$J$73*'Plan mensual'!I122+parametros_recargas!$K$73*'Plan mensual'!I123+parametros_recargas!$L$73*'Plan mensual'!I124</f>
        <v>2760.74004111377</v>
      </c>
      <c r="H99" s="25" t="n">
        <f aca="false">parametros_recargas!$E$73*'Plan mensual'!J117+parametros_recargas!$F$73*'Plan mensual'!J118+parametros_recargas!$G$73*'Plan mensual'!J119+parametros_recargas!$H$73*'Plan mensual'!J120+parametros_recargas!$I$73*'Plan mensual'!J121+parametros_recargas!$J$73*'Plan mensual'!J122+parametros_recargas!$K$73*'Plan mensual'!J123+parametros_recargas!$L$73*'Plan mensual'!J124</f>
        <v>2850.94867547374</v>
      </c>
      <c r="I99" s="25" t="n">
        <f aca="false">parametros_recargas!$E$73*'Plan mensual'!K117+parametros_recargas!$F$73*'Plan mensual'!K118+parametros_recargas!$G$73*'Plan mensual'!K119+parametros_recargas!$H$73*'Plan mensual'!K120+parametros_recargas!$I$73*'Plan mensual'!K121+parametros_recargas!$J$73*'Plan mensual'!K122+parametros_recargas!$K$73*'Plan mensual'!K123+parametros_recargas!$L$73*'Plan mensual'!K124</f>
        <v>2944.11045119753</v>
      </c>
      <c r="J99" s="25" t="n">
        <f aca="false">parametros_recargas!$E$73*'Plan mensual'!L117+parametros_recargas!$F$73*'Plan mensual'!L118+parametros_recargas!$G$73*'Plan mensual'!L119+parametros_recargas!$H$73*'Plan mensual'!L120+parametros_recargas!$I$73*'Plan mensual'!L121+parametros_recargas!$J$73*'Plan mensual'!L122+parametros_recargas!$K$73*'Plan mensual'!L123+parametros_recargas!$L$73*'Plan mensual'!L124</f>
        <v>3040.32204466179</v>
      </c>
      <c r="K99" s="25" t="n">
        <f aca="false">parametros_recargas!$E$73*'Plan mensual'!M117+parametros_recargas!$F$73*'Plan mensual'!M118+parametros_recargas!$G$73*'Plan mensual'!M119+parametros_recargas!$H$73*'Plan mensual'!M120+parametros_recargas!$I$73*'Plan mensual'!M121+parametros_recargas!$J$73*'Plan mensual'!M122+parametros_recargas!$K$73*'Plan mensual'!M123+parametros_recargas!$L$73*'Plan mensual'!M124</f>
        <v>3139.68329711772</v>
      </c>
      <c r="L99" s="25" t="n">
        <f aca="false">parametros_recargas!$E$73*'Plan mensual'!N117+parametros_recargas!$F$73*'Plan mensual'!N118+parametros_recargas!$G$73*'Plan mensual'!N119+parametros_recargas!$H$73*'Plan mensual'!N120+parametros_recargas!$I$73*'Plan mensual'!N121+parametros_recargas!$J$73*'Plan mensual'!N122+parametros_recargas!$K$73*'Plan mensual'!N123+parametros_recargas!$L$73*'Plan mensual'!N124</f>
        <v>3242.29731829883</v>
      </c>
      <c r="M99" s="25" t="n">
        <f aca="false">parametros_recargas!$E$73*'Plan mensual'!O117+parametros_recargas!$F$73*'Plan mensual'!O118+parametros_recargas!$G$73*'Plan mensual'!O119+parametros_recargas!$H$73*'Plan mensual'!O120+parametros_recargas!$I$73*'Plan mensual'!O121+parametros_recargas!$J$73*'Plan mensual'!O122+parametros_recargas!$K$73*'Plan mensual'!O123+parametros_recargas!$L$73*'Plan mensual'!O124</f>
        <v>3348.27059342061</v>
      </c>
      <c r="N99" s="7" t="n">
        <f aca="false">SUM(B99:M99)</f>
        <v>33873.9137961725</v>
      </c>
      <c r="O99" s="26" t="n">
        <f aca="false">MAX(B99:M99)</f>
        <v>3348.27059342061</v>
      </c>
      <c r="P99" s="15" t="n">
        <f aca="false">O99/parametros_recargas!$B$6</f>
        <v>22.3218039561374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5" t="n">
        <f aca="false">parametros_recargas!$E$74*'Plan mensual'!D117+parametros_recargas!$F$74*'Plan mensual'!D118+parametros_recargas!$G$74*'Plan mensual'!D119+parametros_recargas!$H$74*'Plan mensual'!D120+parametros_recargas!$I$74*'Plan mensual'!D121+parametros_recargas!$J$74*'Plan mensual'!D122+parametros_recargas!$K$74*'Plan mensual'!D123+parametros_recargas!$L$74*'Plan mensual'!D124</f>
        <v>1720.90855302991</v>
      </c>
      <c r="C100" s="25" t="n">
        <f aca="false">parametros_recargas!$E$74*'Plan mensual'!E117+parametros_recargas!$F$74*'Plan mensual'!E118+parametros_recargas!$G$74*'Plan mensual'!E119+parametros_recargas!$H$74*'Plan mensual'!E120+parametros_recargas!$I$74*'Plan mensual'!E121+parametros_recargas!$J$74*'Plan mensual'!E122+parametros_recargas!$K$74*'Plan mensual'!E123+parametros_recargas!$L$74*'Plan mensual'!E124</f>
        <v>1777.15050650333</v>
      </c>
      <c r="D100" s="25" t="n">
        <f aca="false">parametros_recargas!$E$74*'Plan mensual'!F117+parametros_recargas!$F$74*'Plan mensual'!F118+parametros_recargas!$G$74*'Plan mensual'!F119+parametros_recargas!$H$74*'Plan mensual'!F120+parametros_recargas!$I$74*'Plan mensual'!F121+parametros_recargas!$J$74*'Plan mensual'!F122+parametros_recargas!$K$74*'Plan mensual'!F123+parametros_recargas!$L$74*'Plan mensual'!F124</f>
        <v>1835.2336411493</v>
      </c>
      <c r="E100" s="25" t="n">
        <f aca="false">parametros_recargas!$E$74*'Plan mensual'!G117+parametros_recargas!$F$74*'Plan mensual'!G118+parametros_recargas!$G$74*'Plan mensual'!G119+parametros_recargas!$H$74*'Plan mensual'!G120+parametros_recargas!$I$74*'Plan mensual'!G121+parametros_recargas!$J$74*'Plan mensual'!G122+parametros_recargas!$K$74*'Plan mensual'!G123+parametros_recargas!$L$74*'Plan mensual'!G124</f>
        <v>1895.21823133419</v>
      </c>
      <c r="F100" s="25" t="n">
        <f aca="false">parametros_recargas!$E$74*'Plan mensual'!H117+parametros_recargas!$F$74*'Plan mensual'!H118+parametros_recargas!$G$74*'Plan mensual'!H119+parametros_recargas!$H$74*'Plan mensual'!H120+parametros_recargas!$I$74*'Plan mensual'!H121+parametros_recargas!$J$74*'Plan mensual'!H122+parametros_recargas!$K$74*'Plan mensual'!H123+parametros_recargas!$L$74*'Plan mensual'!H124</f>
        <v>1957.16652461383</v>
      </c>
      <c r="G100" s="25" t="n">
        <f aca="false">parametros_recargas!$E$74*'Plan mensual'!I117+parametros_recargas!$F$74*'Plan mensual'!I118+parametros_recargas!$G$74*'Plan mensual'!I119+parametros_recargas!$H$74*'Plan mensual'!I120+parametros_recargas!$I$74*'Plan mensual'!I121+parametros_recargas!$J$74*'Plan mensual'!I122+parametros_recargas!$K$74*'Plan mensual'!I123+parametros_recargas!$L$74*'Plan mensual'!I124</f>
        <v>2021.14280632939</v>
      </c>
      <c r="H100" s="25" t="n">
        <f aca="false">parametros_recargas!$E$74*'Plan mensual'!J117+parametros_recargas!$F$74*'Plan mensual'!J118+parametros_recargas!$G$74*'Plan mensual'!J119+parametros_recargas!$H$74*'Plan mensual'!J120+parametros_recargas!$I$74*'Plan mensual'!J121+parametros_recargas!$J$74*'Plan mensual'!J122+parametros_recargas!$K$74*'Plan mensual'!J123+parametros_recargas!$L$74*'Plan mensual'!J124</f>
        <v>2087.21346631791</v>
      </c>
      <c r="I100" s="25" t="n">
        <f aca="false">parametros_recargas!$E$74*'Plan mensual'!K117+parametros_recargas!$F$74*'Plan mensual'!K118+parametros_recargas!$G$74*'Plan mensual'!K119+parametros_recargas!$H$74*'Plan mensual'!K120+parametros_recargas!$I$74*'Plan mensual'!K121+parametros_recargas!$J$74*'Plan mensual'!K122+parametros_recargas!$K$74*'Plan mensual'!K123+parametros_recargas!$L$74*'Plan mensual'!K124</f>
        <v>2155.44706780677</v>
      </c>
      <c r="J100" s="25" t="n">
        <f aca="false">parametros_recargas!$E$74*'Plan mensual'!L117+parametros_recargas!$F$74*'Plan mensual'!L118+parametros_recargas!$G$74*'Plan mensual'!L119+parametros_recargas!$H$74*'Plan mensual'!L120+parametros_recargas!$I$74*'Plan mensual'!L121+parametros_recargas!$J$74*'Plan mensual'!L122+parametros_recargas!$K$74*'Plan mensual'!L123+parametros_recargas!$L$74*'Plan mensual'!L124</f>
        <v>2225.91441856351</v>
      </c>
      <c r="K100" s="25" t="n">
        <f aca="false">parametros_recargas!$E$74*'Plan mensual'!M117+parametros_recargas!$F$74*'Plan mensual'!M118+parametros_recargas!$G$74*'Plan mensual'!M119+parametros_recargas!$H$74*'Plan mensual'!M120+parametros_recargas!$I$74*'Plan mensual'!M121+parametros_recargas!$J$74*'Plan mensual'!M122+parametros_recargas!$K$74*'Plan mensual'!M123+parametros_recargas!$L$74*'Plan mensual'!M124</f>
        <v>2298.68864437489</v>
      </c>
      <c r="L100" s="25" t="n">
        <f aca="false">parametros_recargas!$E$74*'Plan mensual'!N117+parametros_recargas!$F$74*'Plan mensual'!N118+parametros_recargas!$G$74*'Plan mensual'!N119+parametros_recargas!$H$74*'Plan mensual'!N120+parametros_recargas!$I$74*'Plan mensual'!N121+parametros_recargas!$J$74*'Plan mensual'!N122+parametros_recargas!$K$74*'Plan mensual'!N123+parametros_recargas!$L$74*'Plan mensual'!N124</f>
        <v>2373.84526493137</v>
      </c>
      <c r="M100" s="25" t="n">
        <f aca="false">parametros_recargas!$E$74*'Plan mensual'!O117+parametros_recargas!$F$74*'Plan mensual'!O118+parametros_recargas!$G$74*'Plan mensual'!O119+parametros_recargas!$H$74*'Plan mensual'!O120+parametros_recargas!$I$74*'Plan mensual'!O121+parametros_recargas!$J$74*'Plan mensual'!O122+parametros_recargas!$K$74*'Plan mensual'!O123+parametros_recargas!$L$74*'Plan mensual'!O124</f>
        <v>2451.4622721959</v>
      </c>
      <c r="N100" s="7" t="n">
        <f aca="false">SUM(B100:M100)</f>
        <v>24799.3913971503</v>
      </c>
      <c r="O100" s="26" t="n">
        <f aca="false">MAX(B100:M100)</f>
        <v>2451.4622721959</v>
      </c>
      <c r="P100" s="15" t="n">
        <f aca="false">O100/parametros_recargas!$B$6</f>
        <v>16.3430818146393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5" t="n">
        <f aca="false">parametros_recargas!$E$75*'Plan mensual'!D117+parametros_recargas!$F$75*'Plan mensual'!D118+parametros_recargas!$G$75*'Plan mensual'!D119+parametros_recargas!$H$75*'Plan mensual'!D120+parametros_recargas!$I$75*'Plan mensual'!D121+parametros_recargas!$J$75*'Plan mensual'!D122+parametros_recargas!$K$75*'Plan mensual'!D123+parametros_recargas!$L$75*'Plan mensual'!D124</f>
        <v>202.459829768224</v>
      </c>
      <c r="C101" s="25" t="n">
        <f aca="false">parametros_recargas!$E$75*'Plan mensual'!E117+parametros_recargas!$F$75*'Plan mensual'!E118+parametros_recargas!$G$75*'Plan mensual'!E119+parametros_recargas!$H$75*'Plan mensual'!E120+parametros_recargas!$I$75*'Plan mensual'!E121+parametros_recargas!$J$75*'Plan mensual'!E122+parametros_recargas!$K$75*'Plan mensual'!E123+parametros_recargas!$L$75*'Plan mensual'!E124</f>
        <v>209.076530176863</v>
      </c>
      <c r="D101" s="25" t="n">
        <f aca="false">parametros_recargas!$E$75*'Plan mensual'!F117+parametros_recargas!$F$75*'Plan mensual'!F118+parametros_recargas!$G$75*'Plan mensual'!F119+parametros_recargas!$H$75*'Plan mensual'!F120+parametros_recargas!$I$75*'Plan mensual'!F121+parametros_recargas!$J$75*'Plan mensual'!F122+parametros_recargas!$K$75*'Plan mensual'!F123+parametros_recargas!$L$75*'Plan mensual'!F124</f>
        <v>215.909840135212</v>
      </c>
      <c r="E101" s="25" t="n">
        <f aca="false">parametros_recargas!$E$75*'Plan mensual'!G117+parametros_recargas!$F$75*'Plan mensual'!G118+parametros_recargas!$G$75*'Plan mensual'!G119+parametros_recargas!$H$75*'Plan mensual'!G120+parametros_recargas!$I$75*'Plan mensual'!G121+parametros_recargas!$J$75*'Plan mensual'!G122+parametros_recargas!$K$75*'Plan mensual'!G123+parametros_recargas!$L$75*'Plan mensual'!G124</f>
        <v>222.966850745199</v>
      </c>
      <c r="F101" s="25" t="n">
        <f aca="false">parametros_recargas!$E$75*'Plan mensual'!H117+parametros_recargas!$F$75*'Plan mensual'!H118+parametros_recargas!$G$75*'Plan mensual'!H119+parametros_recargas!$H$75*'Plan mensual'!H120+parametros_recargas!$I$75*'Plan mensual'!H121+parametros_recargas!$J$75*'Plan mensual'!H122+parametros_recargas!$K$75*'Plan mensual'!H123+parametros_recargas!$L$75*'Plan mensual'!H124</f>
        <v>230.254885248686</v>
      </c>
      <c r="G101" s="25" t="n">
        <f aca="false">parametros_recargas!$E$75*'Plan mensual'!I117+parametros_recargas!$F$75*'Plan mensual'!I118+parametros_recargas!$G$75*'Plan mensual'!I119+parametros_recargas!$H$75*'Plan mensual'!I120+parametros_recargas!$I$75*'Plan mensual'!I121+parametros_recargas!$J$75*'Plan mensual'!I122+parametros_recargas!$K$75*'Plan mensual'!I123+parametros_recargas!$L$75*'Plan mensual'!I124</f>
        <v>237.781506626987</v>
      </c>
      <c r="H101" s="25" t="n">
        <f aca="false">parametros_recargas!$E$75*'Plan mensual'!J117+parametros_recargas!$F$75*'Plan mensual'!J118+parametros_recargas!$G$75*'Plan mensual'!J119+parametros_recargas!$H$75*'Plan mensual'!J120+parametros_recargas!$I$75*'Plan mensual'!J121+parametros_recargas!$J$75*'Plan mensual'!J122+parametros_recargas!$K$75*'Plan mensual'!J123+parametros_recargas!$L$75*'Plan mensual'!J124</f>
        <v>245.554525449166</v>
      </c>
      <c r="I101" s="25" t="n">
        <f aca="false">parametros_recargas!$E$75*'Plan mensual'!K117+parametros_recargas!$F$75*'Plan mensual'!K118+parametros_recargas!$G$75*'Plan mensual'!K119+parametros_recargas!$H$75*'Plan mensual'!K120+parametros_recargas!$I$75*'Plan mensual'!K121+parametros_recargas!$J$75*'Plan mensual'!K122+parametros_recargas!$K$75*'Plan mensual'!K123+parametros_recargas!$L$75*'Plan mensual'!K124</f>
        <v>253.582007977267</v>
      </c>
      <c r="J101" s="25" t="n">
        <f aca="false">parametros_recargas!$E$75*'Plan mensual'!L117+parametros_recargas!$F$75*'Plan mensual'!L118+parametros_recargas!$G$75*'Plan mensual'!L119+parametros_recargas!$H$75*'Plan mensual'!L120+parametros_recargas!$I$75*'Plan mensual'!L121+parametros_recargas!$J$75*'Plan mensual'!L122+parametros_recargas!$K$75*'Plan mensual'!L123+parametros_recargas!$L$75*'Plan mensual'!L124</f>
        <v>261.872284536883</v>
      </c>
      <c r="K101" s="25" t="n">
        <f aca="false">parametros_recargas!$E$75*'Plan mensual'!M117+parametros_recargas!$F$75*'Plan mensual'!M118+parametros_recargas!$G$75*'Plan mensual'!M119+parametros_recargas!$H$75*'Plan mensual'!M120+parametros_recargas!$I$75*'Plan mensual'!M121+parametros_recargas!$J$75*'Plan mensual'!M122+parametros_recargas!$K$75*'Plan mensual'!M123+parametros_recargas!$L$75*'Plan mensual'!M124</f>
        <v>270.433958161751</v>
      </c>
      <c r="L101" s="25" t="n">
        <f aca="false">parametros_recargas!$E$75*'Plan mensual'!N117+parametros_recargas!$F$75*'Plan mensual'!N118+parametros_recargas!$G$75*'Plan mensual'!N119+parametros_recargas!$H$75*'Plan mensual'!N120+parametros_recargas!$I$75*'Plan mensual'!N121+parametros_recargas!$J$75*'Plan mensual'!N122+parametros_recargas!$K$75*'Plan mensual'!N123+parametros_recargas!$L$75*'Plan mensual'!N124</f>
        <v>279.275913521338</v>
      </c>
      <c r="M101" s="25" t="n">
        <f aca="false">parametros_recargas!$E$75*'Plan mensual'!O117+parametros_recargas!$F$75*'Plan mensual'!O118+parametros_recargas!$G$75*'Plan mensual'!O119+parametros_recargas!$H$75*'Plan mensual'!O120+parametros_recargas!$I$75*'Plan mensual'!O121+parametros_recargas!$J$75*'Plan mensual'!O122+parametros_recargas!$K$75*'Plan mensual'!O123+parametros_recargas!$L$75*'Plan mensual'!O124</f>
        <v>288.407326140694</v>
      </c>
      <c r="N101" s="7" t="n">
        <f aca="false">SUM(B101:M101)</f>
        <v>2917.57545848827</v>
      </c>
      <c r="O101" s="26" t="n">
        <f aca="false">MAX(B101:M101)</f>
        <v>288.407326140694</v>
      </c>
      <c r="P101" s="15" t="n">
        <f aca="false">O101/parametros_recargas!$B$6</f>
        <v>1.92271550760463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5" t="n">
        <f aca="false">parametros_recargas!$E$76*'Plan mensual'!D117+parametros_recargas!$F$76*'Plan mensual'!D118+parametros_recargas!$G$76*'Plan mensual'!D119+parametros_recargas!$H$76*'Plan mensual'!D120+parametros_recargas!$I$76*'Plan mensual'!D121+parametros_recargas!$J$76*'Plan mensual'!D122+parametros_recargas!$K$76*'Plan mensual'!D123+parametros_recargas!$L$76*'Plan mensual'!D124</f>
        <v>3.27274392594697</v>
      </c>
      <c r="C102" s="25" t="n">
        <f aca="false">parametros_recargas!$E$76*'Plan mensual'!E117+parametros_recargas!$F$76*'Plan mensual'!E118+parametros_recargas!$G$76*'Plan mensual'!E119+parametros_recargas!$H$76*'Plan mensual'!E120+parametros_recargas!$I$76*'Plan mensual'!E121+parametros_recargas!$J$76*'Plan mensual'!E122+parametros_recargas!$K$76*'Plan mensual'!E123+parametros_recargas!$L$76*'Plan mensual'!E124</f>
        <v>3.3771549993885</v>
      </c>
      <c r="D102" s="25" t="n">
        <f aca="false">parametros_recargas!$E$76*'Plan mensual'!F117+parametros_recargas!$F$76*'Plan mensual'!F118+parametros_recargas!$G$76*'Plan mensual'!F119+parametros_recargas!$H$76*'Plan mensual'!F120+parametros_recargas!$I$76*'Plan mensual'!F121+parametros_recargas!$J$76*'Plan mensual'!F122+parametros_recargas!$K$76*'Plan mensual'!F123+parametros_recargas!$L$76*'Plan mensual'!F124</f>
        <v>3.48498415649804</v>
      </c>
      <c r="E102" s="25" t="n">
        <f aca="false">parametros_recargas!$E$76*'Plan mensual'!G117+parametros_recargas!$F$76*'Plan mensual'!G118+parametros_recargas!$G$76*'Plan mensual'!G119+parametros_recargas!$H$76*'Plan mensual'!G120+parametros_recargas!$I$76*'Plan mensual'!G121+parametros_recargas!$J$76*'Plan mensual'!G122+parametros_recargas!$K$76*'Plan mensual'!G123+parametros_recargas!$L$76*'Plan mensual'!G124</f>
        <v>3.59634329437211</v>
      </c>
      <c r="F102" s="25" t="n">
        <f aca="false">parametros_recargas!$E$76*'Plan mensual'!H117+parametros_recargas!$F$76*'Plan mensual'!H118+parametros_recargas!$G$76*'Plan mensual'!H119+parametros_recargas!$H$76*'Plan mensual'!H120+parametros_recargas!$I$76*'Plan mensual'!H121+parametros_recargas!$J$76*'Plan mensual'!H122+parametros_recargas!$K$76*'Plan mensual'!H123+parametros_recargas!$L$76*'Plan mensual'!H124</f>
        <v>3.71134797325927</v>
      </c>
      <c r="G102" s="25" t="n">
        <f aca="false">parametros_recargas!$E$76*'Plan mensual'!I117+parametros_recargas!$F$76*'Plan mensual'!I118+parametros_recargas!$G$76*'Plan mensual'!I119+parametros_recargas!$H$76*'Plan mensual'!I120+parametros_recargas!$I$76*'Plan mensual'!I121+parametros_recargas!$J$76*'Plan mensual'!I122+parametros_recargas!$K$76*'Plan mensual'!I123+parametros_recargas!$L$76*'Plan mensual'!I124</f>
        <v>3.83011753647998</v>
      </c>
      <c r="H102" s="25" t="n">
        <f aca="false">parametros_recargas!$E$76*'Plan mensual'!J117+parametros_recargas!$F$76*'Plan mensual'!J118+parametros_recargas!$G$76*'Plan mensual'!J119+parametros_recargas!$H$76*'Plan mensual'!J120+parametros_recargas!$I$76*'Plan mensual'!J121+parametros_recargas!$J$76*'Plan mensual'!J122+parametros_recargas!$K$76*'Plan mensual'!J123+parametros_recargas!$L$76*'Plan mensual'!J124</f>
        <v>3.95277523427226</v>
      </c>
      <c r="I102" s="25" t="n">
        <f aca="false">parametros_recargas!$E$76*'Plan mensual'!K117+parametros_recargas!$F$76*'Plan mensual'!K118+parametros_recargas!$G$76*'Plan mensual'!K119+parametros_recargas!$H$76*'Plan mensual'!K120+parametros_recargas!$I$76*'Plan mensual'!K121+parametros_recargas!$J$76*'Plan mensual'!K122+parametros_recargas!$K$76*'Plan mensual'!K123+parametros_recargas!$L$76*'Plan mensual'!K124</f>
        <v>4.0794483516916</v>
      </c>
      <c r="J102" s="25" t="n">
        <f aca="false">parametros_recargas!$E$76*'Plan mensual'!L117+parametros_recargas!$F$76*'Plan mensual'!L118+parametros_recargas!$G$76*'Plan mensual'!L119+parametros_recargas!$H$76*'Plan mensual'!L120+parametros_recargas!$I$76*'Plan mensual'!L121+parametros_recargas!$J$76*'Plan mensual'!L122+parametros_recargas!$K$76*'Plan mensual'!L123+parametros_recargas!$L$76*'Plan mensual'!L124</f>
        <v>4.210268340698</v>
      </c>
      <c r="K102" s="25" t="n">
        <f aca="false">parametros_recargas!$E$76*'Plan mensual'!M117+parametros_recargas!$F$76*'Plan mensual'!M118+parametros_recargas!$G$76*'Plan mensual'!M119+parametros_recargas!$H$76*'Plan mensual'!M120+parametros_recargas!$I$76*'Plan mensual'!M121+parametros_recargas!$J$76*'Plan mensual'!M122+parametros_recargas!$K$76*'Plan mensual'!M123+parametros_recargas!$L$76*'Plan mensual'!M124</f>
        <v>4.34537095656698</v>
      </c>
      <c r="L102" s="25" t="n">
        <f aca="false">parametros_recargas!$E$76*'Plan mensual'!N117+parametros_recargas!$F$76*'Plan mensual'!N118+parametros_recargas!$G$76*'Plan mensual'!N119+parametros_recargas!$H$76*'Plan mensual'!N120+parametros_recargas!$I$76*'Plan mensual'!N121+parametros_recargas!$J$76*'Plan mensual'!N122+parametros_recargas!$K$76*'Plan mensual'!N123+parametros_recargas!$L$76*'Plan mensual'!N124</f>
        <v>4.48489639876642</v>
      </c>
      <c r="M102" s="25" t="n">
        <f aca="false">parametros_recargas!$E$76*'Plan mensual'!O117+parametros_recargas!$F$76*'Plan mensual'!O118+parametros_recargas!$G$76*'Plan mensual'!O119+parametros_recargas!$H$76*'Plan mensual'!O120+parametros_recargas!$I$76*'Plan mensual'!O121+parametros_recargas!$J$76*'Plan mensual'!O122+parametros_recargas!$K$76*'Plan mensual'!O123+parametros_recargas!$L$76*'Plan mensual'!O124</f>
        <v>4.62898945644509</v>
      </c>
      <c r="N102" s="7" t="n">
        <f aca="false">SUM(B102:M102)</f>
        <v>46.9744406243852</v>
      </c>
      <c r="O102" s="26" t="n">
        <f aca="false">MAX(B102:M102)</f>
        <v>4.62898945644509</v>
      </c>
      <c r="P102" s="15" t="n">
        <f aca="false">O102/parametros_recargas!$B$6</f>
        <v>0.0308599297096339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5" t="n">
        <f aca="false">parametros_recargas!$E$77*'Plan mensual'!D117+parametros_recargas!$F$77*'Plan mensual'!D118+parametros_recargas!$G$77*'Plan mensual'!D119+parametros_recargas!$H$77*'Plan mensual'!D120+parametros_recargas!$I$77*'Plan mensual'!D121+parametros_recargas!$J$77*'Plan mensual'!D122+parametros_recargas!$K$77*'Plan mensual'!D123+parametros_recargas!$L$77*'Plan mensual'!D124</f>
        <v>110.663352908846</v>
      </c>
      <c r="C103" s="25" t="n">
        <f aca="false">parametros_recargas!$E$77*'Plan mensual'!E117+parametros_recargas!$F$77*'Plan mensual'!E118+parametros_recargas!$G$77*'Plan mensual'!E119+parametros_recargas!$H$77*'Plan mensual'!E120+parametros_recargas!$I$77*'Plan mensual'!E121+parametros_recargas!$J$77*'Plan mensual'!E122+parametros_recargas!$K$77*'Plan mensual'!E123+parametros_recargas!$L$77*'Plan mensual'!E124</f>
        <v>114.261563559224</v>
      </c>
      <c r="D103" s="25" t="n">
        <f aca="false">parametros_recargas!$E$77*'Plan mensual'!F117+parametros_recargas!$F$77*'Plan mensual'!F118+parametros_recargas!$G$77*'Plan mensual'!F119+parametros_recargas!$H$77*'Plan mensual'!F120+parametros_recargas!$I$77*'Plan mensual'!F121+parametros_recargas!$J$77*'Plan mensual'!F122+parametros_recargas!$K$77*'Plan mensual'!F123+parametros_recargas!$L$77*'Plan mensual'!F124</f>
        <v>117.977568085795</v>
      </c>
      <c r="E103" s="25" t="n">
        <f aca="false">parametros_recargas!$E$77*'Plan mensual'!G117+parametros_recargas!$F$77*'Plan mensual'!G118+parametros_recargas!$G$77*'Plan mensual'!G119+parametros_recargas!$H$77*'Plan mensual'!G120+parametros_recargas!$I$77*'Plan mensual'!G121+parametros_recargas!$J$77*'Plan mensual'!G122+parametros_recargas!$K$77*'Plan mensual'!G123+parametros_recargas!$L$77*'Plan mensual'!G124</f>
        <v>121.815222682266</v>
      </c>
      <c r="F103" s="25" t="n">
        <f aca="false">parametros_recargas!$E$77*'Plan mensual'!H117+parametros_recargas!$F$77*'Plan mensual'!H118+parametros_recargas!$G$77*'Plan mensual'!H119+parametros_recargas!$H$77*'Plan mensual'!H120+parametros_recargas!$I$77*'Plan mensual'!H121+parametros_recargas!$J$77*'Plan mensual'!H122+parametros_recargas!$K$77*'Plan mensual'!H123+parametros_recargas!$L$77*'Plan mensual'!H124</f>
        <v>125.778509781759</v>
      </c>
      <c r="G103" s="25" t="n">
        <f aca="false">parametros_recargas!$E$77*'Plan mensual'!I117+parametros_recargas!$F$77*'Plan mensual'!I118+parametros_recargas!$G$77*'Plan mensual'!I119+parametros_recargas!$H$77*'Plan mensual'!I120+parametros_recargas!$I$77*'Plan mensual'!I121+parametros_recargas!$J$77*'Plan mensual'!I122+parametros_recargas!$K$77*'Plan mensual'!I123+parametros_recargas!$L$77*'Plan mensual'!I124</f>
        <v>129.871542189484</v>
      </c>
      <c r="H103" s="25" t="n">
        <f aca="false">parametros_recargas!$E$77*'Plan mensual'!J117+parametros_recargas!$F$77*'Plan mensual'!J118+parametros_recargas!$G$77*'Plan mensual'!J119+parametros_recargas!$H$77*'Plan mensual'!J120+parametros_recargas!$I$77*'Plan mensual'!J121+parametros_recargas!$J$77*'Plan mensual'!J122+parametros_recargas!$K$77*'Plan mensual'!J123+parametros_recargas!$L$77*'Plan mensual'!J124</f>
        <v>134.098567350701</v>
      </c>
      <c r="I103" s="25" t="n">
        <f aca="false">parametros_recargas!$E$77*'Plan mensual'!K117+parametros_recargas!$F$77*'Plan mensual'!K118+parametros_recargas!$G$77*'Plan mensual'!K119+parametros_recargas!$H$77*'Plan mensual'!K120+parametros_recargas!$I$77*'Plan mensual'!K121+parametros_recargas!$J$77*'Plan mensual'!K122+parametros_recargas!$K$77*'Plan mensual'!K123+parametros_recargas!$L$77*'Plan mensual'!K124</f>
        <v>138.463971758405</v>
      </c>
      <c r="J103" s="25" t="n">
        <f aca="false">parametros_recargas!$E$77*'Plan mensual'!L117+parametros_recargas!$F$77*'Plan mensual'!L118+parametros_recargas!$G$77*'Plan mensual'!L119+parametros_recargas!$H$77*'Plan mensual'!L120+parametros_recargas!$I$77*'Plan mensual'!L121+parametros_recargas!$J$77*'Plan mensual'!L122+parametros_recargas!$K$77*'Plan mensual'!L123+parametros_recargas!$L$77*'Plan mensual'!L124</f>
        <v>142.972285505306</v>
      </c>
      <c r="K103" s="25" t="n">
        <f aca="false">parametros_recargas!$E$77*'Plan mensual'!M117+parametros_recargas!$F$77*'Plan mensual'!M118+parametros_recargas!$G$77*'Plan mensual'!M119+parametros_recargas!$H$77*'Plan mensual'!M120+parametros_recargas!$I$77*'Plan mensual'!M121+parametros_recargas!$J$77*'Plan mensual'!M122+parametros_recargas!$K$77*'Plan mensual'!M123+parametros_recargas!$L$77*'Plan mensual'!M124</f>
        <v>147.628186984817</v>
      </c>
      <c r="L103" s="25" t="n">
        <f aca="false">parametros_recargas!$E$77*'Plan mensual'!N117+parametros_recargas!$F$77*'Plan mensual'!N118+parametros_recargas!$G$77*'Plan mensual'!N119+parametros_recargas!$H$77*'Plan mensual'!N120+parametros_recargas!$I$77*'Plan mensual'!N121+parametros_recargas!$J$77*'Plan mensual'!N122+parametros_recargas!$K$77*'Plan mensual'!N123+parametros_recargas!$L$77*'Plan mensual'!N124</f>
        <v>152.436507745946</v>
      </c>
      <c r="M103" s="25" t="n">
        <f aca="false">parametros_recargas!$E$77*'Plan mensual'!O117+parametros_recargas!$F$77*'Plan mensual'!O118+parametros_recargas!$G$77*'Plan mensual'!O119+parametros_recargas!$H$77*'Plan mensual'!O120+parametros_recargas!$I$77*'Plan mensual'!O121+parametros_recargas!$J$77*'Plan mensual'!O122+parametros_recargas!$K$77*'Plan mensual'!O123+parametros_recargas!$L$77*'Plan mensual'!O124</f>
        <v>157.402237507122</v>
      </c>
      <c r="N103" s="7" t="n">
        <f aca="false">SUM(B103:M103)</f>
        <v>1593.36951605967</v>
      </c>
      <c r="O103" s="26" t="n">
        <f aca="false">MAX(B103:M103)</f>
        <v>157.402237507122</v>
      </c>
      <c r="P103" s="15" t="n">
        <f aca="false">O103/parametros_recargas!$B$6</f>
        <v>1.04934825004748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5" t="n">
        <f aca="false">parametros_recargas!$E$78*'Plan mensual'!D117+parametros_recargas!$F$78*'Plan mensual'!D118+parametros_recargas!$G$78*'Plan mensual'!D119+parametros_recargas!$H$78*'Plan mensual'!D120+parametros_recargas!$I$78*'Plan mensual'!D121+parametros_recargas!$J$78*'Plan mensual'!D122+parametros_recargas!$K$78*'Plan mensual'!D123+parametros_recargas!$L$78*'Plan mensual'!D124</f>
        <v>50.2851823077374</v>
      </c>
      <c r="C104" s="25" t="n">
        <f aca="false">parametros_recargas!$E$78*'Plan mensual'!E117+parametros_recargas!$F$78*'Plan mensual'!E118+parametros_recargas!$G$78*'Plan mensual'!E119+parametros_recargas!$H$78*'Plan mensual'!E120+parametros_recargas!$I$78*'Plan mensual'!E121+parametros_recargas!$J$78*'Plan mensual'!E122+parametros_recargas!$K$78*'Plan mensual'!E123+parametros_recargas!$L$78*'Plan mensual'!E124</f>
        <v>51.9252197487609</v>
      </c>
      <c r="D104" s="25" t="n">
        <f aca="false">parametros_recargas!$E$78*'Plan mensual'!F117+parametros_recargas!$F$78*'Plan mensual'!F118+parametros_recargas!$G$78*'Plan mensual'!F119+parametros_recargas!$H$78*'Plan mensual'!F120+parametros_recargas!$I$78*'Plan mensual'!F121+parametros_recargas!$J$78*'Plan mensual'!F122+parametros_recargas!$K$78*'Plan mensual'!F123+parametros_recargas!$L$78*'Plan mensual'!F124</f>
        <v>53.6189467555299</v>
      </c>
      <c r="E104" s="25" t="n">
        <f aca="false">parametros_recargas!$E$78*'Plan mensual'!G117+parametros_recargas!$F$78*'Plan mensual'!G118+parametros_recargas!$G$78*'Plan mensual'!G119+parametros_recargas!$H$78*'Plan mensual'!G120+parametros_recargas!$I$78*'Plan mensual'!G121+parametros_recargas!$J$78*'Plan mensual'!G122+parametros_recargas!$K$78*'Plan mensual'!G123+parametros_recargas!$L$78*'Plan mensual'!G124</f>
        <v>55.368120952229</v>
      </c>
      <c r="F104" s="25" t="n">
        <f aca="false">parametros_recargas!$E$78*'Plan mensual'!H117+parametros_recargas!$F$78*'Plan mensual'!H118+parametros_recargas!$G$78*'Plan mensual'!H119+parametros_recargas!$H$78*'Plan mensual'!H120+parametros_recargas!$I$78*'Plan mensual'!H121+parametros_recargas!$J$78*'Plan mensual'!H122+parametros_recargas!$K$78*'Plan mensual'!H123+parametros_recargas!$L$78*'Plan mensual'!H124</f>
        <v>57.1745575020214</v>
      </c>
      <c r="G104" s="25" t="n">
        <f aca="false">parametros_recargas!$E$78*'Plan mensual'!I117+parametros_recargas!$F$78*'Plan mensual'!I118+parametros_recargas!$G$78*'Plan mensual'!I119+parametros_recargas!$H$78*'Plan mensual'!I120+parametros_recargas!$I$78*'Plan mensual'!I121+parametros_recargas!$J$78*'Plan mensual'!I122+parametros_recargas!$K$78*'Plan mensual'!I123+parametros_recargas!$L$78*'Plan mensual'!I124</f>
        <v>59.0401309906904</v>
      </c>
      <c r="H104" s="25" t="n">
        <f aca="false">parametros_recargas!$E$78*'Plan mensual'!J117+parametros_recargas!$F$78*'Plan mensual'!J118+parametros_recargas!$G$78*'Plan mensual'!J119+parametros_recargas!$H$78*'Plan mensual'!J120+parametros_recargas!$I$78*'Plan mensual'!J121+parametros_recargas!$J$78*'Plan mensual'!J122+parametros_recargas!$K$78*'Plan mensual'!J123+parametros_recargas!$L$78*'Plan mensual'!J124</f>
        <v>60.9667773719455</v>
      </c>
      <c r="I104" s="25" t="n">
        <f aca="false">parametros_recargas!$E$78*'Plan mensual'!K117+parametros_recargas!$F$78*'Plan mensual'!K118+parametros_recargas!$G$78*'Plan mensual'!K119+parametros_recargas!$H$78*'Plan mensual'!K120+parametros_recargas!$I$78*'Plan mensual'!K121+parametros_recargas!$J$78*'Plan mensual'!K122+parametros_recargas!$K$78*'Plan mensual'!K123+parametros_recargas!$L$78*'Plan mensual'!K124</f>
        <v>62.9564959764118</v>
      </c>
      <c r="J104" s="25" t="n">
        <f aca="false">parametros_recargas!$E$78*'Plan mensual'!L117+parametros_recargas!$F$78*'Plan mensual'!L118+parametros_recargas!$G$78*'Plan mensual'!L119+parametros_recargas!$H$78*'Plan mensual'!L120+parametros_recargas!$I$78*'Plan mensual'!L121+parametros_recargas!$J$78*'Plan mensual'!L122+parametros_recargas!$K$78*'Plan mensual'!L123+parametros_recargas!$L$78*'Plan mensual'!L124</f>
        <v>65.0113515863862</v>
      </c>
      <c r="K104" s="25" t="n">
        <f aca="false">parametros_recargas!$E$78*'Plan mensual'!M117+parametros_recargas!$F$78*'Plan mensual'!M118+parametros_recargas!$G$78*'Plan mensual'!M119+parametros_recargas!$H$78*'Plan mensual'!M120+parametros_recargas!$I$78*'Plan mensual'!M121+parametros_recargas!$J$78*'Plan mensual'!M122+parametros_recargas!$K$78*'Plan mensual'!M123+parametros_recargas!$L$78*'Plan mensual'!M124</f>
        <v>67.133476578516</v>
      </c>
      <c r="L104" s="25" t="n">
        <f aca="false">parametros_recargas!$E$78*'Plan mensual'!N117+parametros_recargas!$F$78*'Plan mensual'!N118+parametros_recargas!$G$78*'Plan mensual'!N119+parametros_recargas!$H$78*'Plan mensual'!N120+parametros_recargas!$I$78*'Plan mensual'!N121+parametros_recargas!$J$78*'Plan mensual'!N122+parametros_recargas!$K$78*'Plan mensual'!N123+parametros_recargas!$L$78*'Plan mensual'!N124</f>
        <v>69.3250731366205</v>
      </c>
      <c r="M104" s="25" t="n">
        <f aca="false">parametros_recargas!$E$78*'Plan mensual'!O117+parametros_recargas!$F$78*'Plan mensual'!O118+parametros_recargas!$G$78*'Plan mensual'!O119+parametros_recargas!$H$78*'Plan mensual'!O120+parametros_recargas!$I$78*'Plan mensual'!O121+parametros_recargas!$J$78*'Plan mensual'!O122+parametros_recargas!$K$78*'Plan mensual'!O123+parametros_recargas!$L$78*'Plan mensual'!O124</f>
        <v>71.5884155369544</v>
      </c>
      <c r="N104" s="7" t="n">
        <f aca="false">SUM(B104:M104)</f>
        <v>724.393748443803</v>
      </c>
      <c r="O104" s="26" t="n">
        <f aca="false">MAX(B104:M104)</f>
        <v>71.5884155369544</v>
      </c>
      <c r="P104" s="15" t="n">
        <f aca="false">O104/parametros_recargas!$B$6</f>
        <v>0.477256103579696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5" t="n">
        <f aca="false">parametros_recargas!$E$79*'Plan mensual'!D117+parametros_recargas!$F$79*'Plan mensual'!D118+parametros_recargas!$G$79*'Plan mensual'!D119+parametros_recargas!$H$79*'Plan mensual'!D120+parametros_recargas!$I$79*'Plan mensual'!D121+parametros_recargas!$J$79*'Plan mensual'!D122+parametros_recargas!$K$79*'Plan mensual'!D123+parametros_recargas!$L$79*'Plan mensual'!D124</f>
        <v>2.02400852337208</v>
      </c>
      <c r="C105" s="25" t="n">
        <f aca="false">parametros_recargas!$E$79*'Plan mensual'!E117+parametros_recargas!$F$79*'Plan mensual'!E118+parametros_recargas!$G$79*'Plan mensual'!E119+parametros_recargas!$H$79*'Plan mensual'!E120+parametros_recargas!$I$79*'Plan mensual'!E121+parametros_recargas!$J$79*'Plan mensual'!E122+parametros_recargas!$K$79*'Plan mensual'!E123+parametros_recargas!$L$79*'Plan mensual'!E124</f>
        <v>2.08958605433274</v>
      </c>
      <c r="D105" s="25" t="n">
        <f aca="false">parametros_recargas!$E$79*'Plan mensual'!F117+parametros_recargas!$F$79*'Plan mensual'!F118+parametros_recargas!$G$79*'Plan mensual'!F119+parametros_recargas!$H$79*'Plan mensual'!F120+parametros_recargas!$I$79*'Plan mensual'!F121+parametros_recargas!$J$79*'Plan mensual'!F122+parametros_recargas!$K$79*'Plan mensual'!F123+parametros_recargas!$L$79*'Plan mensual'!F124</f>
        <v>2.15731038333097</v>
      </c>
      <c r="E105" s="25" t="n">
        <f aca="false">parametros_recargas!$E$79*'Plan mensual'!G117+parametros_recargas!$F$79*'Plan mensual'!G118+parametros_recargas!$G$79*'Plan mensual'!G119+parametros_recargas!$H$79*'Plan mensual'!G120+parametros_recargas!$I$79*'Plan mensual'!G121+parametros_recargas!$J$79*'Plan mensual'!G122+parametros_recargas!$K$79*'Plan mensual'!G123+parametros_recargas!$L$79*'Plan mensual'!G124</f>
        <v>2.22725178964913</v>
      </c>
      <c r="F105" s="25" t="n">
        <f aca="false">parametros_recargas!$E$79*'Plan mensual'!H117+parametros_recargas!$F$79*'Plan mensual'!H118+parametros_recargas!$G$79*'Plan mensual'!H119+parametros_recargas!$H$79*'Plan mensual'!H120+parametros_recargas!$I$79*'Plan mensual'!H121+parametros_recargas!$J$79*'Plan mensual'!H122+parametros_recargas!$K$79*'Plan mensual'!H123+parametros_recargas!$L$79*'Plan mensual'!H124</f>
        <v>2.29948285328787</v>
      </c>
      <c r="G105" s="25" t="n">
        <f aca="false">parametros_recargas!$E$79*'Plan mensual'!I117+parametros_recargas!$F$79*'Plan mensual'!I118+parametros_recargas!$G$79*'Plan mensual'!I119+parametros_recargas!$H$79*'Plan mensual'!I120+parametros_recargas!$I$79*'Plan mensual'!I121+parametros_recargas!$J$79*'Plan mensual'!I122+parametros_recargas!$K$79*'Plan mensual'!I123+parametros_recargas!$L$79*'Plan mensual'!I124</f>
        <v>2.37407853028426</v>
      </c>
      <c r="H105" s="25" t="n">
        <f aca="false">parametros_recargas!$E$79*'Plan mensual'!J117+parametros_recargas!$F$79*'Plan mensual'!J118+parametros_recargas!$G$79*'Plan mensual'!J119+parametros_recargas!$H$79*'Plan mensual'!J120+parametros_recargas!$I$79*'Plan mensual'!J121+parametros_recargas!$J$79*'Plan mensual'!J122+parametros_recargas!$K$79*'Plan mensual'!J123+parametros_recargas!$L$79*'Plan mensual'!J124</f>
        <v>2.45111623049564</v>
      </c>
      <c r="I105" s="25" t="n">
        <f aca="false">parametros_recargas!$E$79*'Plan mensual'!K117+parametros_recargas!$F$79*'Plan mensual'!K118+parametros_recargas!$G$79*'Plan mensual'!K119+parametros_recargas!$H$79*'Plan mensual'!K120+parametros_recargas!$I$79*'Plan mensual'!K121+parametros_recargas!$J$79*'Plan mensual'!K122+parametros_recargas!$K$79*'Plan mensual'!K123+parametros_recargas!$L$79*'Plan mensual'!K124</f>
        <v>2.53067589792979</v>
      </c>
      <c r="J105" s="25" t="n">
        <f aca="false">parametros_recargas!$E$79*'Plan mensual'!L117+parametros_recargas!$F$79*'Plan mensual'!L118+parametros_recargas!$G$79*'Plan mensual'!L119+parametros_recargas!$H$79*'Plan mensual'!L120+parametros_recargas!$I$79*'Plan mensual'!L121+parametros_recargas!$J$79*'Plan mensual'!L122+parametros_recargas!$K$79*'Plan mensual'!L123+parametros_recargas!$L$79*'Plan mensual'!L124</f>
        <v>2.61284009370491</v>
      </c>
      <c r="K105" s="25" t="n">
        <f aca="false">parametros_recargas!$E$79*'Plan mensual'!M117+parametros_recargas!$F$79*'Plan mensual'!M118+parametros_recargas!$G$79*'Plan mensual'!M119+parametros_recargas!$H$79*'Plan mensual'!M120+parametros_recargas!$I$79*'Plan mensual'!M121+parametros_recargas!$J$79*'Plan mensual'!M122+parametros_recargas!$K$79*'Plan mensual'!M123+parametros_recargas!$L$79*'Plan mensual'!M124</f>
        <v>2.6976940817254</v>
      </c>
      <c r="L105" s="25" t="n">
        <f aca="false">parametros_recargas!$E$79*'Plan mensual'!N117+parametros_recargas!$F$79*'Plan mensual'!N118+parametros_recargas!$G$79*'Plan mensual'!N119+parametros_recargas!$H$79*'Plan mensual'!N120+parametros_recargas!$I$79*'Plan mensual'!N121+parametros_recargas!$J$79*'Plan mensual'!N122+parametros_recargas!$K$79*'Plan mensual'!N123+parametros_recargas!$L$79*'Plan mensual'!N124</f>
        <v>2.78532591716245</v>
      </c>
      <c r="M105" s="25" t="n">
        <f aca="false">parametros_recargas!$E$79*'Plan mensual'!O117+parametros_recargas!$F$79*'Plan mensual'!O118+parametros_recargas!$G$79*'Plan mensual'!O119+parametros_recargas!$H$79*'Plan mensual'!O120+parametros_recargas!$I$79*'Plan mensual'!O121+parametros_recargas!$J$79*'Plan mensual'!O122+parametros_recargas!$K$79*'Plan mensual'!O123+parametros_recargas!$L$79*'Plan mensual'!O124</f>
        <v>2.87582653783111</v>
      </c>
      <c r="N105" s="7" t="n">
        <f aca="false">SUM(B105:M105)</f>
        <v>29.1251968931063</v>
      </c>
      <c r="O105" s="26" t="n">
        <f aca="false">MAX(B105:M105)</f>
        <v>2.87582653783111</v>
      </c>
      <c r="P105" s="15" t="n">
        <f aca="false">O105/parametros_recargas!$B$6</f>
        <v>0.0191721769188741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5" t="n">
        <f aca="false">parametros_recargas!$E$80*'Plan mensual'!D117+parametros_recargas!$F$80*'Plan mensual'!D118+parametros_recargas!$G$80*'Plan mensual'!D119+parametros_recargas!$H$80*'Plan mensual'!D120+parametros_recargas!$I$80*'Plan mensual'!D121+parametros_recargas!$J$80*'Plan mensual'!D122+parametros_recargas!$K$80*'Plan mensual'!D123+parametros_recargas!$L$80*'Plan mensual'!D124</f>
        <v>2030.91936433304</v>
      </c>
      <c r="C106" s="25" t="n">
        <f aca="false">parametros_recargas!$E$80*'Plan mensual'!E117+parametros_recargas!$F$80*'Plan mensual'!E118+parametros_recargas!$G$80*'Plan mensual'!E119+parametros_recargas!$H$80*'Plan mensual'!E120+parametros_recargas!$I$80*'Plan mensual'!E121+parametros_recargas!$J$80*'Plan mensual'!E122+parametros_recargas!$K$80*'Plan mensual'!E123+parametros_recargas!$L$80*'Plan mensual'!E124</f>
        <v>2097.28784373596</v>
      </c>
      <c r="D106" s="25" t="n">
        <f aca="false">parametros_recargas!$E$80*'Plan mensual'!F117+parametros_recargas!$F$80*'Plan mensual'!F118+parametros_recargas!$G$80*'Plan mensual'!F119+parametros_recargas!$H$80*'Plan mensual'!F120+parametros_recargas!$I$80*'Plan mensual'!F121+parametros_recargas!$J$80*'Plan mensual'!F122+parametros_recargas!$K$80*'Plan mensual'!F123+parametros_recargas!$L$80*'Plan mensual'!F124</f>
        <v>2165.82901429167</v>
      </c>
      <c r="E106" s="25" t="n">
        <f aca="false">parametros_recargas!$E$80*'Plan mensual'!G117+parametros_recargas!$F$80*'Plan mensual'!G118+parametros_recargas!$G$80*'Plan mensual'!G119+parametros_recargas!$H$80*'Plan mensual'!G120+parametros_recargas!$I$80*'Plan mensual'!G121+parametros_recargas!$J$80*'Plan mensual'!G122+parametros_recargas!$K$80*'Plan mensual'!G123+parametros_recargas!$L$80*'Plan mensual'!G124</f>
        <v>2236.61400294004</v>
      </c>
      <c r="F106" s="25" t="n">
        <f aca="false">parametros_recargas!$E$80*'Plan mensual'!H117+parametros_recargas!$F$80*'Plan mensual'!H118+parametros_recargas!$G$80*'Plan mensual'!H119+parametros_recargas!$H$80*'Plan mensual'!H120+parametros_recargas!$I$80*'Plan mensual'!H121+parametros_recargas!$J$80*'Plan mensual'!H122+parametros_recargas!$K$80*'Plan mensual'!H123+parametros_recargas!$L$80*'Plan mensual'!H124</f>
        <v>2309.71626508887</v>
      </c>
      <c r="G106" s="25" t="n">
        <f aca="false">parametros_recargas!$E$80*'Plan mensual'!I117+parametros_recargas!$F$80*'Plan mensual'!I118+parametros_recargas!$G$80*'Plan mensual'!I119+parametros_recargas!$H$80*'Plan mensual'!I120+parametros_recargas!$I$80*'Plan mensual'!I121+parametros_recargas!$J$80*'Plan mensual'!I122+parametros_recargas!$K$80*'Plan mensual'!I123+parametros_recargas!$L$80*'Plan mensual'!I124</f>
        <v>2385.21166084039</v>
      </c>
      <c r="H106" s="25" t="n">
        <f aca="false">parametros_recargas!$E$80*'Plan mensual'!J117+parametros_recargas!$F$80*'Plan mensual'!J118+parametros_recargas!$G$80*'Plan mensual'!J119+parametros_recargas!$H$80*'Plan mensual'!J120+parametros_recargas!$I$80*'Plan mensual'!J121+parametros_recargas!$J$80*'Plan mensual'!J122+parametros_recargas!$K$80*'Plan mensual'!J123+parametros_recargas!$L$80*'Plan mensual'!J124</f>
        <v>2463.17853371328</v>
      </c>
      <c r="I106" s="25" t="n">
        <f aca="false">parametros_recargas!$E$80*'Plan mensual'!K117+parametros_recargas!$F$80*'Plan mensual'!K118+parametros_recargas!$G$80*'Plan mensual'!K119+parametros_recargas!$H$80*'Plan mensual'!K120+parametros_recargas!$I$80*'Plan mensual'!K121+parametros_recargas!$J$80*'Plan mensual'!K122+parametros_recargas!$K$80*'Plan mensual'!K123+parametros_recargas!$L$80*'Plan mensual'!K124</f>
        <v>2543.69779194175</v>
      </c>
      <c r="J106" s="25" t="n">
        <f aca="false">parametros_recargas!$E$80*'Plan mensual'!L117+parametros_recargas!$F$80*'Plan mensual'!L118+parametros_recargas!$G$80*'Plan mensual'!L119+parametros_recargas!$H$80*'Plan mensual'!L120+parametros_recargas!$I$80*'Plan mensual'!L121+parametros_recargas!$J$80*'Plan mensual'!L122+parametros_recargas!$K$80*'Plan mensual'!L123+parametros_recargas!$L$80*'Plan mensual'!L124</f>
        <v>2626.85299243612</v>
      </c>
      <c r="K106" s="25" t="n">
        <f aca="false">parametros_recargas!$E$80*'Plan mensual'!M117+parametros_recargas!$F$80*'Plan mensual'!M118+parametros_recargas!$G$80*'Plan mensual'!M119+parametros_recargas!$H$80*'Plan mensual'!M120+parametros_recargas!$I$80*'Plan mensual'!M121+parametros_recargas!$J$80*'Plan mensual'!M122+parametros_recargas!$K$80*'Plan mensual'!M123+parametros_recargas!$L$80*'Plan mensual'!M124</f>
        <v>2712.73042749194</v>
      </c>
      <c r="L106" s="25" t="n">
        <f aca="false">parametros_recargas!$E$80*'Plan mensual'!N117+parametros_recargas!$F$80*'Plan mensual'!N118+parametros_recargas!$G$80*'Plan mensual'!N119+parametros_recargas!$H$80*'Plan mensual'!N120+parametros_recargas!$I$80*'Plan mensual'!N121+parametros_recargas!$J$80*'Plan mensual'!N122+parametros_recargas!$K$80*'Plan mensual'!N123+parametros_recargas!$L$80*'Plan mensual'!N124</f>
        <v>2801.41921433775</v>
      </c>
      <c r="M106" s="25" t="n">
        <f aca="false">parametros_recargas!$E$80*'Plan mensual'!O117+parametros_recargas!$F$80*'Plan mensual'!O118+parametros_recargas!$G$80*'Plan mensual'!O119+parametros_recargas!$H$80*'Plan mensual'!O120+parametros_recargas!$I$80*'Plan mensual'!O121+parametros_recargas!$J$80*'Plan mensual'!O122+parametros_recargas!$K$80*'Plan mensual'!O123+parametros_recargas!$L$80*'Plan mensual'!O124</f>
        <v>2893.01138761435</v>
      </c>
      <c r="N106" s="7" t="n">
        <f aca="false">SUM(B106:M106)</f>
        <v>29266.4684987652</v>
      </c>
      <c r="O106" s="26" t="n">
        <f aca="false">MAX(B106:M106)</f>
        <v>2893.01138761435</v>
      </c>
      <c r="P106" s="15" t="n">
        <f aca="false">O106/parametros_recargas!$B$6</f>
        <v>19.2867425840957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5" t="n">
        <f aca="false">parametros_recargas!$E$81*'Plan mensual'!D117+parametros_recargas!$F$81*'Plan mensual'!D118+parametros_recargas!$G$81*'Plan mensual'!D119+parametros_recargas!$H$81*'Plan mensual'!D120+parametros_recargas!$I$81*'Plan mensual'!D121+parametros_recargas!$J$81*'Plan mensual'!D122+parametros_recargas!$K$81*'Plan mensual'!D123+parametros_recargas!$L$81*'Plan mensual'!D124</f>
        <v>162.972543739956</v>
      </c>
      <c r="C107" s="25" t="n">
        <f aca="false">parametros_recargas!$E$81*'Plan mensual'!E117+parametros_recargas!$F$81*'Plan mensual'!E118+parametros_recargas!$G$81*'Plan mensual'!E119+parametros_recargas!$H$81*'Plan mensual'!E120+parametros_recargas!$I$81*'Plan mensual'!E121+parametros_recargas!$J$81*'Plan mensual'!E122+parametros_recargas!$K$81*'Plan mensual'!E123+parametros_recargas!$L$81*'Plan mensual'!E124</f>
        <v>168.276369362318</v>
      </c>
      <c r="D107" s="25" t="n">
        <f aca="false">parametros_recargas!$E$81*'Plan mensual'!F117+parametros_recargas!$F$81*'Plan mensual'!F118+parametros_recargas!$G$81*'Plan mensual'!F119+parametros_recargas!$H$81*'Plan mensual'!F120+parametros_recargas!$I$81*'Plan mensual'!F121+parametros_recargas!$J$81*'Plan mensual'!F122+parametros_recargas!$K$81*'Plan mensual'!F123+parametros_recargas!$L$81*'Plan mensual'!F124</f>
        <v>173.753825224656</v>
      </c>
      <c r="E107" s="25" t="n">
        <f aca="false">parametros_recargas!$E$81*'Plan mensual'!G117+parametros_recargas!$F$81*'Plan mensual'!G118+parametros_recargas!$G$81*'Plan mensual'!G119+parametros_recargas!$H$81*'Plan mensual'!G120+parametros_recargas!$I$81*'Plan mensual'!G121+parametros_recargas!$J$81*'Plan mensual'!G122+parametros_recargas!$K$81*'Plan mensual'!G123+parametros_recargas!$L$81*'Plan mensual'!G124</f>
        <v>179.410595424144</v>
      </c>
      <c r="F107" s="25" t="n">
        <f aca="false">parametros_recargas!$E$81*'Plan mensual'!H117+parametros_recargas!$F$81*'Plan mensual'!H118+parametros_recargas!$G$81*'Plan mensual'!H119+parametros_recargas!$H$81*'Plan mensual'!H120+parametros_recargas!$I$81*'Plan mensual'!H121+parametros_recargas!$J$81*'Plan mensual'!H122+parametros_recargas!$K$81*'Plan mensual'!H123+parametros_recargas!$L$81*'Plan mensual'!H124</f>
        <v>185.252550137068</v>
      </c>
      <c r="G107" s="25" t="n">
        <f aca="false">parametros_recargas!$E$81*'Plan mensual'!I117+parametros_recargas!$F$81*'Plan mensual'!I118+parametros_recargas!$G$81*'Plan mensual'!I119+parametros_recargas!$H$81*'Plan mensual'!I120+parametros_recargas!$I$81*'Plan mensual'!I121+parametros_recargas!$J$81*'Plan mensual'!I122+parametros_recargas!$K$81*'Plan mensual'!I123+parametros_recargas!$L$81*'Plan mensual'!I124</f>
        <v>191.285751710458</v>
      </c>
      <c r="H107" s="25" t="n">
        <f aca="false">parametros_recargas!$E$81*'Plan mensual'!J117+parametros_recargas!$F$81*'Plan mensual'!J118+parametros_recargas!$G$81*'Plan mensual'!J119+parametros_recargas!$H$81*'Plan mensual'!J120+parametros_recargas!$I$81*'Plan mensual'!J121+parametros_recargas!$J$81*'Plan mensual'!J122+parametros_recargas!$K$81*'Plan mensual'!J123+parametros_recargas!$L$81*'Plan mensual'!J124</f>
        <v>197.516460953142</v>
      </c>
      <c r="I107" s="25" t="n">
        <f aca="false">parametros_recargas!$E$81*'Plan mensual'!K117+parametros_recargas!$F$81*'Plan mensual'!K118+parametros_recargas!$G$81*'Plan mensual'!K119+parametros_recargas!$H$81*'Plan mensual'!K120+parametros_recargas!$I$81*'Plan mensual'!K121+parametros_recargas!$J$81*'Plan mensual'!K122+parametros_recargas!$K$81*'Plan mensual'!K123+parametros_recargas!$L$81*'Plan mensual'!K124</f>
        <v>203.951143632747</v>
      </c>
      <c r="J107" s="25" t="n">
        <f aca="false">parametros_recargas!$E$81*'Plan mensual'!L117+parametros_recargas!$F$81*'Plan mensual'!L118+parametros_recargas!$G$81*'Plan mensual'!L119+parametros_recargas!$H$81*'Plan mensual'!L120+parametros_recargas!$I$81*'Plan mensual'!L121+parametros_recargas!$J$81*'Plan mensual'!L122+parametros_recargas!$K$81*'Plan mensual'!L123+parametros_recargas!$L$81*'Plan mensual'!L124</f>
        <v>210.596477185397</v>
      </c>
      <c r="K107" s="25" t="n">
        <f aca="false">parametros_recargas!$E$81*'Plan mensual'!M117+parametros_recargas!$F$81*'Plan mensual'!M118+parametros_recargas!$G$81*'Plan mensual'!M119+parametros_recargas!$H$81*'Plan mensual'!M120+parametros_recargas!$I$81*'Plan mensual'!M121+parametros_recargas!$J$81*'Plan mensual'!M122+parametros_recargas!$K$81*'Plan mensual'!M123+parametros_recargas!$L$81*'Plan mensual'!M124</f>
        <v>217.459357645058</v>
      </c>
      <c r="L107" s="25" t="n">
        <f aca="false">parametros_recargas!$E$81*'Plan mensual'!N117+parametros_recargas!$F$81*'Plan mensual'!N118+parametros_recargas!$G$81*'Plan mensual'!N119+parametros_recargas!$H$81*'Plan mensual'!N120+parametros_recargas!$I$81*'Plan mensual'!N121+parametros_recargas!$J$81*'Plan mensual'!N122+parametros_recargas!$K$81*'Plan mensual'!N123+parametros_recargas!$L$81*'Plan mensual'!N124</f>
        <v>224.546906799729</v>
      </c>
      <c r="M107" s="25" t="n">
        <f aca="false">parametros_recargas!$E$81*'Plan mensual'!O117+parametros_recargas!$F$81*'Plan mensual'!O118+parametros_recargas!$G$81*'Plan mensual'!O119+parametros_recargas!$H$81*'Plan mensual'!O120+parametros_recargas!$I$81*'Plan mensual'!O121+parametros_recargas!$J$81*'Plan mensual'!O122+parametros_recargas!$K$81*'Plan mensual'!O123+parametros_recargas!$L$81*'Plan mensual'!O124</f>
        <v>231.866479581907</v>
      </c>
      <c r="N107" s="7" t="n">
        <f aca="false">SUM(B107:M107)</f>
        <v>2346.88846139658</v>
      </c>
      <c r="O107" s="26" t="n">
        <f aca="false">MAX(B107:M107)</f>
        <v>231.866479581907</v>
      </c>
      <c r="P107" s="15" t="n">
        <f aca="false">O107/parametros_recargas!$B$6</f>
        <v>1.54577653054605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5" t="n">
        <f aca="false">parametros_recargas!$E$82*'Plan mensual'!D117+parametros_recargas!$F$82*'Plan mensual'!D118+parametros_recargas!$G$82*'Plan mensual'!D119+parametros_recargas!$H$82*'Plan mensual'!D120+parametros_recargas!$I$82*'Plan mensual'!D121+parametros_recargas!$J$82*'Plan mensual'!D122+parametros_recargas!$K$82*'Plan mensual'!D123+parametros_recargas!$L$82*'Plan mensual'!D124</f>
        <v>2.02787104160819</v>
      </c>
      <c r="C108" s="25" t="n">
        <f aca="false">parametros_recargas!$E$82*'Plan mensual'!E117+parametros_recargas!$F$82*'Plan mensual'!E118+parametros_recargas!$G$82*'Plan mensual'!E119+parametros_recargas!$H$82*'Plan mensual'!E120+parametros_recargas!$I$82*'Plan mensual'!E121+parametros_recargas!$J$82*'Plan mensual'!E122+parametros_recargas!$K$82*'Plan mensual'!E123+parametros_recargas!$L$82*'Plan mensual'!E124</f>
        <v>2.09414245676802</v>
      </c>
      <c r="D108" s="25" t="n">
        <f aca="false">parametros_recargas!$E$82*'Plan mensual'!F117+parametros_recargas!$F$82*'Plan mensual'!F118+parametros_recargas!$G$82*'Plan mensual'!F119+parametros_recargas!$H$82*'Plan mensual'!F120+parametros_recargas!$I$82*'Plan mensual'!F121+parametros_recargas!$J$82*'Plan mensual'!F122+parametros_recargas!$K$82*'Plan mensual'!F123+parametros_recargas!$L$82*'Plan mensual'!F124</f>
        <v>2.16258338550861</v>
      </c>
      <c r="E108" s="25" t="n">
        <f aca="false">parametros_recargas!$E$82*'Plan mensual'!G117+parametros_recargas!$F$82*'Plan mensual'!G118+parametros_recargas!$G$82*'Plan mensual'!G119+parametros_recargas!$H$82*'Plan mensual'!G120+parametros_recargas!$I$82*'Plan mensual'!G121+parametros_recargas!$J$82*'Plan mensual'!G122+parametros_recargas!$K$82*'Plan mensual'!G123+parametros_recargas!$L$82*'Plan mensual'!G124</f>
        <v>2.23326485074636</v>
      </c>
      <c r="F108" s="25" t="n">
        <f aca="false">parametros_recargas!$E$82*'Plan mensual'!H117+parametros_recargas!$F$82*'Plan mensual'!H118+parametros_recargas!$G$82*'Plan mensual'!H119+parametros_recargas!$H$82*'Plan mensual'!H120+parametros_recargas!$I$82*'Plan mensual'!H121+parametros_recargas!$J$82*'Plan mensual'!H122+parametros_recargas!$K$82*'Plan mensual'!H123+parametros_recargas!$L$82*'Plan mensual'!H124</f>
        <v>2.30626020046012</v>
      </c>
      <c r="G108" s="25" t="n">
        <f aca="false">parametros_recargas!$E$82*'Plan mensual'!I117+parametros_recargas!$F$82*'Plan mensual'!I118+parametros_recargas!$G$82*'Plan mensual'!I119+parametros_recargas!$H$82*'Plan mensual'!I120+parametros_recargas!$I$82*'Plan mensual'!I121+parametros_recargas!$J$82*'Plan mensual'!I122+parametros_recargas!$K$82*'Plan mensual'!I123+parametros_recargas!$L$82*'Plan mensual'!I124</f>
        <v>2.38164518380635</v>
      </c>
      <c r="H108" s="25" t="n">
        <f aca="false">parametros_recargas!$E$82*'Plan mensual'!J117+parametros_recargas!$F$82*'Plan mensual'!J118+parametros_recargas!$G$82*'Plan mensual'!J119+parametros_recargas!$H$82*'Plan mensual'!J120+parametros_recargas!$I$82*'Plan mensual'!J121+parametros_recargas!$J$82*'Plan mensual'!J122+parametros_recargas!$K$82*'Plan mensual'!J123+parametros_recargas!$L$82*'Plan mensual'!J124</f>
        <v>2.45949802972593</v>
      </c>
      <c r="I108" s="25" t="n">
        <f aca="false">parametros_recargas!$E$82*'Plan mensual'!K117+parametros_recargas!$F$82*'Plan mensual'!K118+parametros_recargas!$G$82*'Plan mensual'!K119+parametros_recargas!$H$82*'Plan mensual'!K120+parametros_recargas!$I$82*'Plan mensual'!K121+parametros_recargas!$J$82*'Plan mensual'!K122+parametros_recargas!$K$82*'Plan mensual'!K123+parametros_recargas!$L$82*'Plan mensual'!K124</f>
        <v>2.53989952812436</v>
      </c>
      <c r="J108" s="25" t="n">
        <f aca="false">parametros_recargas!$E$82*'Plan mensual'!L117+parametros_recargas!$F$82*'Plan mensual'!L118+parametros_recargas!$G$82*'Plan mensual'!L119+parametros_recargas!$H$82*'Plan mensual'!L120+parametros_recargas!$I$82*'Plan mensual'!L121+parametros_recargas!$J$82*'Plan mensual'!L122+parametros_recargas!$K$82*'Plan mensual'!L123+parametros_recargas!$L$82*'Plan mensual'!L124</f>
        <v>2.62293311370953</v>
      </c>
      <c r="K108" s="25" t="n">
        <f aca="false">parametros_recargas!$E$82*'Plan mensual'!M117+parametros_recargas!$F$82*'Plan mensual'!M118+parametros_recargas!$G$82*'Plan mensual'!M119+parametros_recargas!$H$82*'Plan mensual'!M120+parametros_recargas!$I$82*'Plan mensual'!M121+parametros_recargas!$J$82*'Plan mensual'!M122+parametros_recargas!$K$82*'Plan mensual'!M123+parametros_recargas!$L$82*'Plan mensual'!M124</f>
        <v>2.70868495257408</v>
      </c>
      <c r="L108" s="25" t="n">
        <f aca="false">parametros_recargas!$E$82*'Plan mensual'!N117+parametros_recargas!$F$82*'Plan mensual'!N118+parametros_recargas!$G$82*'Plan mensual'!N119+parametros_recargas!$H$82*'Plan mensual'!N120+parametros_recargas!$I$82*'Plan mensual'!N121+parametros_recargas!$J$82*'Plan mensual'!N122+parametros_recargas!$K$82*'Plan mensual'!N123+parametros_recargas!$L$82*'Plan mensual'!N124</f>
        <v>2.79724403161215</v>
      </c>
      <c r="M108" s="25" t="n">
        <f aca="false">parametros_recargas!$E$82*'Plan mensual'!O117+parametros_recargas!$F$82*'Plan mensual'!O118+parametros_recargas!$G$82*'Plan mensual'!O119+parametros_recargas!$H$82*'Plan mensual'!O120+parametros_recargas!$I$82*'Plan mensual'!O121+parametros_recargas!$J$82*'Plan mensual'!O122+parametros_recargas!$K$82*'Plan mensual'!O123+parametros_recargas!$L$82*'Plan mensual'!O124</f>
        <v>2.88870225086339</v>
      </c>
      <c r="N108" s="7" t="n">
        <f aca="false">SUM(B108:M108)</f>
        <v>29.2227290255071</v>
      </c>
      <c r="O108" s="26" t="n">
        <f aca="false">MAX(B108:M108)</f>
        <v>2.88870225086339</v>
      </c>
      <c r="P108" s="15" t="n">
        <f aca="false">O108/parametros_recargas!$B$6</f>
        <v>0.0192580150057559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5" t="n">
        <f aca="false">parametros_recargas!$E$83*'Plan mensual'!D117+parametros_recargas!$F$83*'Plan mensual'!D118+parametros_recargas!$G$83*'Plan mensual'!D119+parametros_recargas!$H$83*'Plan mensual'!D120+parametros_recargas!$I$83*'Plan mensual'!D121+parametros_recargas!$J$83*'Plan mensual'!D122+parametros_recargas!$K$83*'Plan mensual'!D123+parametros_recargas!$L$83*'Plan mensual'!D124</f>
        <v>503.362901985918</v>
      </c>
      <c r="C109" s="25" t="n">
        <f aca="false">parametros_recargas!$E$83*'Plan mensual'!E117+parametros_recargas!$F$83*'Plan mensual'!E118+parametros_recargas!$G$83*'Plan mensual'!E119+parametros_recargas!$H$83*'Plan mensual'!E120+parametros_recargas!$I$83*'Plan mensual'!E121+parametros_recargas!$J$83*'Plan mensual'!E122+parametros_recargas!$K$83*'Plan mensual'!E123+parametros_recargas!$L$83*'Plan mensual'!E124</f>
        <v>519.80019516928</v>
      </c>
      <c r="D109" s="25" t="n">
        <f aca="false">parametros_recargas!$E$83*'Plan mensual'!F117+parametros_recargas!$F$83*'Plan mensual'!F118+parametros_recargas!$G$83*'Plan mensual'!F119+parametros_recargas!$H$83*'Plan mensual'!F120+parametros_recargas!$I$83*'Plan mensual'!F121+parametros_recargas!$J$83*'Plan mensual'!F122+parametros_recargas!$K$83*'Plan mensual'!F123+parametros_recargas!$L$83*'Plan mensual'!F124</f>
        <v>536.77559261232</v>
      </c>
      <c r="E109" s="25" t="n">
        <f aca="false">parametros_recargas!$E$83*'Plan mensual'!G117+parametros_recargas!$F$83*'Plan mensual'!G118+parametros_recargas!$G$83*'Plan mensual'!G119+parametros_recargas!$H$83*'Plan mensual'!G120+parametros_recargas!$I$83*'Plan mensual'!G121+parametros_recargas!$J$83*'Plan mensual'!G122+parametros_recargas!$K$83*'Plan mensual'!G123+parametros_recargas!$L$83*'Plan mensual'!G124</f>
        <v>554.306710122644</v>
      </c>
      <c r="F109" s="25" t="n">
        <f aca="false">parametros_recargas!$E$83*'Plan mensual'!H117+parametros_recargas!$F$83*'Plan mensual'!H118+parametros_recargas!$G$83*'Plan mensual'!H119+parametros_recargas!$H$83*'Plan mensual'!H120+parametros_recargas!$I$83*'Plan mensual'!H121+parametros_recargas!$J$83*'Plan mensual'!H122+parametros_recargas!$K$83*'Plan mensual'!H123+parametros_recargas!$L$83*'Plan mensual'!H124</f>
        <v>572.411740192901</v>
      </c>
      <c r="G109" s="25" t="n">
        <f aca="false">parametros_recargas!$E$83*'Plan mensual'!I117+parametros_recargas!$F$83*'Plan mensual'!I118+parametros_recargas!$G$83*'Plan mensual'!I119+parametros_recargas!$H$83*'Plan mensual'!I120+parametros_recargas!$I$83*'Plan mensual'!I121+parametros_recargas!$J$83*'Plan mensual'!I122+parametros_recargas!$K$83*'Plan mensual'!I123+parametros_recargas!$L$83*'Plan mensual'!I124</f>
        <v>591.109470879599</v>
      </c>
      <c r="H109" s="25" t="n">
        <f aca="false">parametros_recargas!$E$83*'Plan mensual'!J117+parametros_recargas!$F$83*'Plan mensual'!J118+parametros_recargas!$G$83*'Plan mensual'!J119+parametros_recargas!$H$83*'Plan mensual'!J120+parametros_recargas!$I$83*'Plan mensual'!J121+parametros_recargas!$J$83*'Plan mensual'!J122+parametros_recargas!$K$83*'Plan mensual'!J123+parametros_recargas!$L$83*'Plan mensual'!J124</f>
        <v>610.419305299959</v>
      </c>
      <c r="I109" s="25" t="n">
        <f aca="false">parametros_recargas!$E$83*'Plan mensual'!K117+parametros_recargas!$F$83*'Plan mensual'!K118+parametros_recargas!$G$83*'Plan mensual'!K119+parametros_recargas!$H$83*'Plan mensual'!K120+parametros_recargas!$I$83*'Plan mensual'!K121+parametros_recargas!$J$83*'Plan mensual'!K122+parametros_recargas!$K$83*'Plan mensual'!K123+parametros_recargas!$L$83*'Plan mensual'!K124</f>
        <v>630.361281767027</v>
      </c>
      <c r="J109" s="25" t="n">
        <f aca="false">parametros_recargas!$E$83*'Plan mensual'!L117+parametros_recargas!$F$83*'Plan mensual'!L118+parametros_recargas!$G$83*'Plan mensual'!L119+parametros_recargas!$H$83*'Plan mensual'!L120+parametros_recargas!$I$83*'Plan mensual'!L121+parametros_recargas!$J$83*'Plan mensual'!L122+parametros_recargas!$K$83*'Plan mensual'!L123+parametros_recargas!$L$83*'Plan mensual'!L124</f>
        <v>650.95609458395</v>
      </c>
      <c r="K109" s="25" t="n">
        <f aca="false">parametros_recargas!$E$83*'Plan mensual'!M117+parametros_recargas!$F$83*'Plan mensual'!M118+parametros_recargas!$G$83*'Plan mensual'!M119+parametros_recargas!$H$83*'Plan mensual'!M120+parametros_recargas!$I$83*'Plan mensual'!M121+parametros_recargas!$J$83*'Plan mensual'!M122+parametros_recargas!$K$83*'Plan mensual'!M123+parametros_recargas!$L$83*'Plan mensual'!M124</f>
        <v>672.225115518989</v>
      </c>
      <c r="L109" s="25" t="n">
        <f aca="false">parametros_recargas!$E$83*'Plan mensual'!N117+parametros_recargas!$F$83*'Plan mensual'!N118+parametros_recargas!$G$83*'Plan mensual'!N119+parametros_recargas!$H$83*'Plan mensual'!N120+parametros_recargas!$I$83*'Plan mensual'!N121+parametros_recargas!$J$83*'Plan mensual'!N122+parametros_recargas!$K$83*'Plan mensual'!N123+parametros_recargas!$L$83*'Plan mensual'!N124</f>
        <v>694.19041598355</v>
      </c>
      <c r="M109" s="25" t="n">
        <f aca="false">parametros_recargas!$E$83*'Plan mensual'!O117+parametros_recargas!$F$83*'Plan mensual'!O118+parametros_recargas!$G$83*'Plan mensual'!O119+parametros_recargas!$H$83*'Plan mensual'!O120+parametros_recargas!$I$83*'Plan mensual'!O121+parametros_recargas!$J$83*'Plan mensual'!O122+parametros_recargas!$K$83*'Plan mensual'!O123+parametros_recargas!$L$83*'Plan mensual'!O124</f>
        <v>716.874789936259</v>
      </c>
      <c r="N109" s="7" t="n">
        <f aca="false">SUM(B109:M109)</f>
        <v>7252.7936140524</v>
      </c>
      <c r="O109" s="26" t="n">
        <f aca="false">MAX(B109:M109)</f>
        <v>716.874789936259</v>
      </c>
      <c r="P109" s="15" t="n">
        <f aca="false">O109/parametros_recargas!$B$6</f>
        <v>4.77916526624173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5" t="n">
        <f aca="false">parametros_recargas!$E$84*'Plan mensual'!D117+parametros_recargas!$F$84*'Plan mensual'!D118+parametros_recargas!$G$84*'Plan mensual'!D119+parametros_recargas!$H$84*'Plan mensual'!D120+parametros_recargas!$I$84*'Plan mensual'!D121+parametros_recargas!$J$84*'Plan mensual'!D122+parametros_recargas!$K$84*'Plan mensual'!D123+parametros_recargas!$L$84*'Plan mensual'!D124</f>
        <v>468.340419174825</v>
      </c>
      <c r="C110" s="25" t="n">
        <f aca="false">parametros_recargas!$E$84*'Plan mensual'!E117+parametros_recargas!$F$84*'Plan mensual'!E118+parametros_recargas!$G$84*'Plan mensual'!E119+parametros_recargas!$H$84*'Plan mensual'!E120+parametros_recargas!$I$84*'Plan mensual'!E121+parametros_recargas!$J$84*'Plan mensual'!E122+parametros_recargas!$K$84*'Plan mensual'!E123+parametros_recargas!$L$84*'Plan mensual'!E124</f>
        <v>483.642291827027</v>
      </c>
      <c r="D110" s="25" t="n">
        <f aca="false">parametros_recargas!$E$84*'Plan mensual'!F117+parametros_recargas!$F$84*'Plan mensual'!F118+parametros_recargas!$G$84*'Plan mensual'!F119+parametros_recargas!$H$84*'Plan mensual'!F120+parametros_recargas!$I$84*'Plan mensual'!F121+parametros_recargas!$J$84*'Plan mensual'!F122+parametros_recargas!$K$84*'Plan mensual'!F123+parametros_recargas!$L$84*'Plan mensual'!F124</f>
        <v>499.445098712339</v>
      </c>
      <c r="E110" s="25" t="n">
        <f aca="false">parametros_recargas!$E$84*'Plan mensual'!G117+parametros_recargas!$F$84*'Plan mensual'!G118+parametros_recargas!$G$84*'Plan mensual'!G119+parametros_recargas!$H$84*'Plan mensual'!G120+parametros_recargas!$I$84*'Plan mensual'!G121+parametros_recargas!$J$84*'Plan mensual'!G122+parametros_recargas!$K$84*'Plan mensual'!G123+parametros_recargas!$L$84*'Plan mensual'!G124</f>
        <v>515.765238810912</v>
      </c>
      <c r="F110" s="25" t="n">
        <f aca="false">parametros_recargas!$E$84*'Plan mensual'!H117+parametros_recargas!$F$84*'Plan mensual'!H118+parametros_recargas!$G$84*'Plan mensual'!H119+parametros_recargas!$H$84*'Plan mensual'!H120+parametros_recargas!$I$84*'Plan mensual'!H121+parametros_recargas!$J$84*'Plan mensual'!H122+parametros_recargas!$K$84*'Plan mensual'!H123+parametros_recargas!$L$84*'Plan mensual'!H124</f>
        <v>532.61964795291</v>
      </c>
      <c r="G110" s="25" t="n">
        <f aca="false">parametros_recargas!$E$84*'Plan mensual'!I117+parametros_recargas!$F$84*'Plan mensual'!I118+parametros_recargas!$G$84*'Plan mensual'!I119+parametros_recargas!$H$84*'Plan mensual'!I120+parametros_recargas!$I$84*'Plan mensual'!I121+parametros_recargas!$J$84*'Plan mensual'!I122+parametros_recargas!$K$84*'Plan mensual'!I123+parametros_recargas!$L$84*'Plan mensual'!I124</f>
        <v>550.025816393261</v>
      </c>
      <c r="H110" s="25" t="n">
        <f aca="false">parametros_recargas!$E$84*'Plan mensual'!J117+parametros_recargas!$F$84*'Plan mensual'!J118+parametros_recargas!$G$84*'Plan mensual'!J119+parametros_recargas!$H$84*'Plan mensual'!J120+parametros_recargas!$I$84*'Plan mensual'!J121+parametros_recargas!$J$84*'Plan mensual'!J122+parametros_recargas!$K$84*'Plan mensual'!J123+parametros_recargas!$L$84*'Plan mensual'!J124</f>
        <v>568.001806961741</v>
      </c>
      <c r="I110" s="25" t="n">
        <f aca="false">parametros_recargas!$E$84*'Plan mensual'!K117+parametros_recargas!$F$84*'Plan mensual'!K118+parametros_recargas!$G$84*'Plan mensual'!K119+parametros_recargas!$H$84*'Plan mensual'!K120+parametros_recargas!$I$84*'Plan mensual'!K121+parametros_recargas!$J$84*'Plan mensual'!K122+parametros_recargas!$K$84*'Plan mensual'!K123+parametros_recargas!$L$84*'Plan mensual'!K124</f>
        <v>586.566273807242</v>
      </c>
      <c r="J110" s="25" t="n">
        <f aca="false">parametros_recargas!$E$84*'Plan mensual'!L117+parametros_recargas!$F$84*'Plan mensual'!L118+parametros_recargas!$G$84*'Plan mensual'!L119+parametros_recargas!$H$84*'Plan mensual'!L120+parametros_recargas!$I$84*'Plan mensual'!L121+parametros_recargas!$J$84*'Plan mensual'!L122+parametros_recargas!$K$84*'Plan mensual'!L123+parametros_recargas!$L$84*'Plan mensual'!L124</f>
        <v>605.738481755659</v>
      </c>
      <c r="K110" s="25" t="n">
        <f aca="false">parametros_recargas!$E$84*'Plan mensual'!M117+parametros_recargas!$F$84*'Plan mensual'!M118+parametros_recargas!$G$84*'Plan mensual'!M119+parametros_recargas!$H$84*'Plan mensual'!M120+parametros_recargas!$I$84*'Plan mensual'!M121+parametros_recargas!$J$84*'Plan mensual'!M122+parametros_recargas!$K$84*'Plan mensual'!M123+parametros_recargas!$L$84*'Plan mensual'!M124</f>
        <v>625.5383263015</v>
      </c>
      <c r="L110" s="25" t="n">
        <f aca="false">parametros_recargas!$E$84*'Plan mensual'!N117+parametros_recargas!$F$84*'Plan mensual'!N118+parametros_recargas!$G$84*'Plan mensual'!N119+parametros_recargas!$H$84*'Plan mensual'!N120+parametros_recargas!$I$84*'Plan mensual'!N121+parametros_recargas!$J$84*'Plan mensual'!N122+parametros_recargas!$K$84*'Plan mensual'!N123+parametros_recargas!$L$84*'Plan mensual'!N124</f>
        <v>645.986354253954</v>
      </c>
      <c r="M110" s="25" t="n">
        <f aca="false">parametros_recargas!$E$84*'Plan mensual'!O117+parametros_recargas!$F$84*'Plan mensual'!O118+parametros_recargas!$G$84*'Plan mensual'!O119+parametros_recargas!$H$84*'Plan mensual'!O120+parametros_recargas!$I$84*'Plan mensual'!O121+parametros_recargas!$J$84*'Plan mensual'!O122+parametros_recargas!$K$84*'Plan mensual'!O123+parametros_recargas!$L$84*'Plan mensual'!O124</f>
        <v>667.103785058842</v>
      </c>
      <c r="N110" s="7" t="n">
        <f aca="false">SUM(B110:M110)</f>
        <v>6748.77354101021</v>
      </c>
      <c r="O110" s="26" t="n">
        <f aca="false">MAX(B110:M110)</f>
        <v>667.103785058842</v>
      </c>
      <c r="P110" s="15" t="n">
        <f aca="false">O110/parametros_recargas!$B$6</f>
        <v>4.44735856705895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5" t="n">
        <f aca="false">parametros_recargas!$E$85*'Plan mensual'!D117+parametros_recargas!$F$85*'Plan mensual'!D118+parametros_recargas!$G$85*'Plan mensual'!D119+parametros_recargas!$H$85*'Plan mensual'!D120+parametros_recargas!$I$85*'Plan mensual'!D121+parametros_recargas!$J$85*'Plan mensual'!D122+parametros_recargas!$K$85*'Plan mensual'!D123+parametros_recargas!$L$85*'Plan mensual'!D124</f>
        <v>468.340419174825</v>
      </c>
      <c r="C111" s="25" t="n">
        <f aca="false">parametros_recargas!$E$85*'Plan mensual'!E117+parametros_recargas!$F$85*'Plan mensual'!E118+parametros_recargas!$G$85*'Plan mensual'!E119+parametros_recargas!$H$85*'Plan mensual'!E120+parametros_recargas!$I$85*'Plan mensual'!E121+parametros_recargas!$J$85*'Plan mensual'!E122+parametros_recargas!$K$85*'Plan mensual'!E123+parametros_recargas!$L$85*'Plan mensual'!E124</f>
        <v>483.642291827027</v>
      </c>
      <c r="D111" s="25" t="n">
        <f aca="false">parametros_recargas!$E$85*'Plan mensual'!F117+parametros_recargas!$F$85*'Plan mensual'!F118+parametros_recargas!$G$85*'Plan mensual'!F119+parametros_recargas!$H$85*'Plan mensual'!F120+parametros_recargas!$I$85*'Plan mensual'!F121+parametros_recargas!$J$85*'Plan mensual'!F122+parametros_recargas!$K$85*'Plan mensual'!F123+parametros_recargas!$L$85*'Plan mensual'!F124</f>
        <v>499.445098712339</v>
      </c>
      <c r="E111" s="25" t="n">
        <f aca="false">parametros_recargas!$E$85*'Plan mensual'!G117+parametros_recargas!$F$85*'Plan mensual'!G118+parametros_recargas!$G$85*'Plan mensual'!G119+parametros_recargas!$H$85*'Plan mensual'!G120+parametros_recargas!$I$85*'Plan mensual'!G121+parametros_recargas!$J$85*'Plan mensual'!G122+parametros_recargas!$K$85*'Plan mensual'!G123+parametros_recargas!$L$85*'Plan mensual'!G124</f>
        <v>515.765238810912</v>
      </c>
      <c r="F111" s="25" t="n">
        <f aca="false">parametros_recargas!$E$85*'Plan mensual'!H117+parametros_recargas!$F$85*'Plan mensual'!H118+parametros_recargas!$G$85*'Plan mensual'!H119+parametros_recargas!$H$85*'Plan mensual'!H120+parametros_recargas!$I$85*'Plan mensual'!H121+parametros_recargas!$J$85*'Plan mensual'!H122+parametros_recargas!$K$85*'Plan mensual'!H123+parametros_recargas!$L$85*'Plan mensual'!H124</f>
        <v>532.61964795291</v>
      </c>
      <c r="G111" s="25" t="n">
        <f aca="false">parametros_recargas!$E$85*'Plan mensual'!I117+parametros_recargas!$F$85*'Plan mensual'!I118+parametros_recargas!$G$85*'Plan mensual'!I119+parametros_recargas!$H$85*'Plan mensual'!I120+parametros_recargas!$I$85*'Plan mensual'!I121+parametros_recargas!$J$85*'Plan mensual'!I122+parametros_recargas!$K$85*'Plan mensual'!I123+parametros_recargas!$L$85*'Plan mensual'!I124</f>
        <v>550.025816393261</v>
      </c>
      <c r="H111" s="25" t="n">
        <f aca="false">parametros_recargas!$E$85*'Plan mensual'!J117+parametros_recargas!$F$85*'Plan mensual'!J118+parametros_recargas!$G$85*'Plan mensual'!J119+parametros_recargas!$H$85*'Plan mensual'!J120+parametros_recargas!$I$85*'Plan mensual'!J121+parametros_recargas!$J$85*'Plan mensual'!J122+parametros_recargas!$K$85*'Plan mensual'!J123+parametros_recargas!$L$85*'Plan mensual'!J124</f>
        <v>568.001806961741</v>
      </c>
      <c r="I111" s="25" t="n">
        <f aca="false">parametros_recargas!$E$85*'Plan mensual'!K117+parametros_recargas!$F$85*'Plan mensual'!K118+parametros_recargas!$G$85*'Plan mensual'!K119+parametros_recargas!$H$85*'Plan mensual'!K120+parametros_recargas!$I$85*'Plan mensual'!K121+parametros_recargas!$J$85*'Plan mensual'!K122+parametros_recargas!$K$85*'Plan mensual'!K123+parametros_recargas!$L$85*'Plan mensual'!K124</f>
        <v>586.566273807242</v>
      </c>
      <c r="J111" s="25" t="n">
        <f aca="false">parametros_recargas!$E$85*'Plan mensual'!L117+parametros_recargas!$F$85*'Plan mensual'!L118+parametros_recargas!$G$85*'Plan mensual'!L119+parametros_recargas!$H$85*'Plan mensual'!L120+parametros_recargas!$I$85*'Plan mensual'!L121+parametros_recargas!$J$85*'Plan mensual'!L122+parametros_recargas!$K$85*'Plan mensual'!L123+parametros_recargas!$L$85*'Plan mensual'!L124</f>
        <v>605.738481755659</v>
      </c>
      <c r="K111" s="25" t="n">
        <f aca="false">parametros_recargas!$E$85*'Plan mensual'!M117+parametros_recargas!$F$85*'Plan mensual'!M118+parametros_recargas!$G$85*'Plan mensual'!M119+parametros_recargas!$H$85*'Plan mensual'!M120+parametros_recargas!$I$85*'Plan mensual'!M121+parametros_recargas!$J$85*'Plan mensual'!M122+parametros_recargas!$K$85*'Plan mensual'!M123+parametros_recargas!$L$85*'Plan mensual'!M124</f>
        <v>625.5383263015</v>
      </c>
      <c r="L111" s="25" t="n">
        <f aca="false">parametros_recargas!$E$85*'Plan mensual'!N117+parametros_recargas!$F$85*'Plan mensual'!N118+parametros_recargas!$G$85*'Plan mensual'!N119+parametros_recargas!$H$85*'Plan mensual'!N120+parametros_recargas!$I$85*'Plan mensual'!N121+parametros_recargas!$J$85*'Plan mensual'!N122+parametros_recargas!$K$85*'Plan mensual'!N123+parametros_recargas!$L$85*'Plan mensual'!N124</f>
        <v>645.986354253954</v>
      </c>
      <c r="M111" s="25" t="n">
        <f aca="false">parametros_recargas!$E$85*'Plan mensual'!O117+parametros_recargas!$F$85*'Plan mensual'!O118+parametros_recargas!$G$85*'Plan mensual'!O119+parametros_recargas!$H$85*'Plan mensual'!O120+parametros_recargas!$I$85*'Plan mensual'!O121+parametros_recargas!$J$85*'Plan mensual'!O122+parametros_recargas!$K$85*'Plan mensual'!O123+parametros_recargas!$L$85*'Plan mensual'!O124</f>
        <v>667.103785058842</v>
      </c>
      <c r="N111" s="7" t="n">
        <f aca="false">SUM(B111:M111)</f>
        <v>6748.77354101021</v>
      </c>
      <c r="O111" s="26" t="n">
        <f aca="false">MAX(B111:M111)</f>
        <v>667.103785058842</v>
      </c>
      <c r="P111" s="15" t="n">
        <f aca="false">O111/parametros_recargas!$B$6</f>
        <v>4.44735856705895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5" t="n">
        <f aca="false">parametros_recargas!$E$86*'Plan mensual'!D117+parametros_recargas!$F$86*'Plan mensual'!D118+parametros_recargas!$G$86*'Plan mensual'!D119+parametros_recargas!$H$86*'Plan mensual'!D120+parametros_recargas!$I$86*'Plan mensual'!D121+parametros_recargas!$J$86*'Plan mensual'!D122+parametros_recargas!$K$86*'Plan mensual'!D123+parametros_recargas!$L$86*'Plan mensual'!D124</f>
        <v>235.081948056632</v>
      </c>
      <c r="C112" s="25" t="n">
        <f aca="false">parametros_recargas!$E$86*'Plan mensual'!E117+parametros_recargas!$F$86*'Plan mensual'!E118+parametros_recargas!$G$86*'Plan mensual'!E119+parametros_recargas!$H$86*'Plan mensual'!E120+parametros_recargas!$I$86*'Plan mensual'!E121+parametros_recargas!$J$86*'Plan mensual'!E122+parametros_recargas!$K$86*'Plan mensual'!E123+parametros_recargas!$L$86*'Plan mensual'!E124</f>
        <v>242.760863050756</v>
      </c>
      <c r="D112" s="25" t="n">
        <f aca="false">parametros_recargas!$E$86*'Plan mensual'!F117+parametros_recargas!$F$86*'Plan mensual'!F118+parametros_recargas!$G$86*'Plan mensual'!F119+parametros_recargas!$H$86*'Plan mensual'!F120+parametros_recargas!$I$86*'Plan mensual'!F121+parametros_recargas!$J$86*'Plan mensual'!F122+parametros_recargas!$K$86*'Plan mensual'!F123+parametros_recargas!$L$86*'Plan mensual'!F124</f>
        <v>250.691161093291</v>
      </c>
      <c r="E112" s="25" t="n">
        <f aca="false">parametros_recargas!$E$86*'Plan mensual'!G117+parametros_recargas!$F$86*'Plan mensual'!G118+parametros_recargas!$G$86*'Plan mensual'!G119+parametros_recargas!$H$86*'Plan mensual'!G120+parametros_recargas!$I$86*'Plan mensual'!G121+parametros_recargas!$J$86*'Plan mensual'!G122+parametros_recargas!$K$86*'Plan mensual'!G123+parametros_recargas!$L$86*'Plan mensual'!G124</f>
        <v>258.881071658982</v>
      </c>
      <c r="F112" s="25" t="n">
        <f aca="false">parametros_recargas!$E$86*'Plan mensual'!H117+parametros_recargas!$F$86*'Plan mensual'!H118+parametros_recargas!$G$86*'Plan mensual'!H119+parametros_recargas!$H$86*'Plan mensual'!H120+parametros_recargas!$I$86*'Plan mensual'!H121+parametros_recargas!$J$86*'Plan mensual'!H122+parametros_recargas!$K$86*'Plan mensual'!H123+parametros_recargas!$L$86*'Plan mensual'!H124</f>
        <v>267.339093629187</v>
      </c>
      <c r="G112" s="25" t="n">
        <f aca="false">parametros_recargas!$E$86*'Plan mensual'!I117+parametros_recargas!$F$86*'Plan mensual'!I118+parametros_recargas!$G$86*'Plan mensual'!I119+parametros_recargas!$H$86*'Plan mensual'!I120+parametros_recargas!$I$86*'Plan mensual'!I121+parametros_recargas!$J$86*'Plan mensual'!I122+parametros_recargas!$K$86*'Plan mensual'!I123+parametros_recargas!$L$86*'Plan mensual'!I124</f>
        <v>276.074004111377</v>
      </c>
      <c r="H112" s="25" t="n">
        <f aca="false">parametros_recargas!$E$86*'Plan mensual'!J117+parametros_recargas!$F$86*'Plan mensual'!J118+parametros_recargas!$G$86*'Plan mensual'!J119+parametros_recargas!$H$86*'Plan mensual'!J120+parametros_recargas!$I$86*'Plan mensual'!J121+parametros_recargas!$J$86*'Plan mensual'!J122+parametros_recargas!$K$86*'Plan mensual'!J123+parametros_recargas!$L$86*'Plan mensual'!J124</f>
        <v>285.094867547374</v>
      </c>
      <c r="I112" s="25" t="n">
        <f aca="false">parametros_recargas!$E$86*'Plan mensual'!K117+parametros_recargas!$F$86*'Plan mensual'!K118+parametros_recargas!$G$86*'Plan mensual'!K119+parametros_recargas!$H$86*'Plan mensual'!K120+parametros_recargas!$I$86*'Plan mensual'!K121+parametros_recargas!$J$86*'Plan mensual'!K122+parametros_recargas!$K$86*'Plan mensual'!K123+parametros_recargas!$L$86*'Plan mensual'!K124</f>
        <v>294.411045119753</v>
      </c>
      <c r="J112" s="25" t="n">
        <f aca="false">parametros_recargas!$E$86*'Plan mensual'!L117+parametros_recargas!$F$86*'Plan mensual'!L118+parametros_recargas!$G$86*'Plan mensual'!L119+parametros_recargas!$H$86*'Plan mensual'!L120+parametros_recargas!$I$86*'Plan mensual'!L121+parametros_recargas!$J$86*'Plan mensual'!L122+parametros_recargas!$K$86*'Plan mensual'!L123+parametros_recargas!$L$86*'Plan mensual'!L124</f>
        <v>304.032204466179</v>
      </c>
      <c r="K112" s="25" t="n">
        <f aca="false">parametros_recargas!$E$86*'Plan mensual'!M117+parametros_recargas!$F$86*'Plan mensual'!M118+parametros_recargas!$G$86*'Plan mensual'!M119+parametros_recargas!$H$86*'Plan mensual'!M120+parametros_recargas!$I$86*'Plan mensual'!M121+parametros_recargas!$J$86*'Plan mensual'!M122+parametros_recargas!$K$86*'Plan mensual'!M123+parametros_recargas!$L$86*'Plan mensual'!M124</f>
        <v>313.968329711772</v>
      </c>
      <c r="L112" s="25" t="n">
        <f aca="false">parametros_recargas!$E$86*'Plan mensual'!N117+parametros_recargas!$F$86*'Plan mensual'!N118+parametros_recargas!$G$86*'Plan mensual'!N119+parametros_recargas!$H$86*'Plan mensual'!N120+parametros_recargas!$I$86*'Plan mensual'!N121+parametros_recargas!$J$86*'Plan mensual'!N122+parametros_recargas!$K$86*'Plan mensual'!N123+parametros_recargas!$L$86*'Plan mensual'!N124</f>
        <v>324.229731829883</v>
      </c>
      <c r="M112" s="25" t="n">
        <f aca="false">parametros_recargas!$E$86*'Plan mensual'!O117+parametros_recargas!$F$86*'Plan mensual'!O118+parametros_recargas!$G$86*'Plan mensual'!O119+parametros_recargas!$H$86*'Plan mensual'!O120+parametros_recargas!$I$86*'Plan mensual'!O121+parametros_recargas!$J$86*'Plan mensual'!O122+parametros_recargas!$K$86*'Plan mensual'!O123+parametros_recargas!$L$86*'Plan mensual'!O124</f>
        <v>334.827059342061</v>
      </c>
      <c r="N112" s="7" t="n">
        <f aca="false">SUM(B112:M112)</f>
        <v>3387.39137961725</v>
      </c>
      <c r="O112" s="26" t="n">
        <f aca="false">MAX(B112:M112)</f>
        <v>334.827059342061</v>
      </c>
      <c r="P112" s="15" t="n">
        <f aca="false">O112/parametros_recargas!$B$6</f>
        <v>2.23218039561374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5" t="n">
        <f aca="false">parametros_recargas!$E$87*'Plan mensual'!D117+parametros_recargas!$F$87*'Plan mensual'!D118+parametros_recargas!$G$87*'Plan mensual'!D119+parametros_recargas!$H$87*'Plan mensual'!D120+parametros_recargas!$I$87*'Plan mensual'!D121+parametros_recargas!$J$87*'Plan mensual'!D122+parametros_recargas!$K$87*'Plan mensual'!D123+parametros_recargas!$L$87*'Plan mensual'!D124</f>
        <v>2024.59829768224</v>
      </c>
      <c r="C113" s="25" t="n">
        <f aca="false">parametros_recargas!$E$87*'Plan mensual'!E117+parametros_recargas!$F$87*'Plan mensual'!E118+parametros_recargas!$G$87*'Plan mensual'!E119+parametros_recargas!$H$87*'Plan mensual'!E120+parametros_recargas!$I$87*'Plan mensual'!E121+parametros_recargas!$J$87*'Plan mensual'!E122+parametros_recargas!$K$87*'Plan mensual'!E123+parametros_recargas!$L$87*'Plan mensual'!E124</f>
        <v>2090.76530176863</v>
      </c>
      <c r="D113" s="25" t="n">
        <f aca="false">parametros_recargas!$E$87*'Plan mensual'!F117+parametros_recargas!$F$87*'Plan mensual'!F118+parametros_recargas!$G$87*'Plan mensual'!F119+parametros_recargas!$H$87*'Plan mensual'!F120+parametros_recargas!$I$87*'Plan mensual'!F121+parametros_recargas!$J$87*'Plan mensual'!F122+parametros_recargas!$K$87*'Plan mensual'!F123+parametros_recargas!$L$87*'Plan mensual'!F124</f>
        <v>2159.09840135212</v>
      </c>
      <c r="E113" s="25" t="n">
        <f aca="false">parametros_recargas!$E$87*'Plan mensual'!G117+parametros_recargas!$F$87*'Plan mensual'!G118+parametros_recargas!$G$87*'Plan mensual'!G119+parametros_recargas!$H$87*'Plan mensual'!G120+parametros_recargas!$I$87*'Plan mensual'!G121+parametros_recargas!$J$87*'Plan mensual'!G122+parametros_recargas!$K$87*'Plan mensual'!G123+parametros_recargas!$L$87*'Plan mensual'!G124</f>
        <v>2229.66850745199</v>
      </c>
      <c r="F113" s="25" t="n">
        <f aca="false">parametros_recargas!$E$87*'Plan mensual'!H117+parametros_recargas!$F$87*'Plan mensual'!H118+parametros_recargas!$G$87*'Plan mensual'!H119+parametros_recargas!$H$87*'Plan mensual'!H120+parametros_recargas!$I$87*'Plan mensual'!H121+parametros_recargas!$J$87*'Plan mensual'!H122+parametros_recargas!$K$87*'Plan mensual'!H123+parametros_recargas!$L$87*'Plan mensual'!H124</f>
        <v>2302.54885248686</v>
      </c>
      <c r="G113" s="25" t="n">
        <f aca="false">parametros_recargas!$E$87*'Plan mensual'!I117+parametros_recargas!$F$87*'Plan mensual'!I118+parametros_recargas!$G$87*'Plan mensual'!I119+parametros_recargas!$H$87*'Plan mensual'!I120+parametros_recargas!$I$87*'Plan mensual'!I121+parametros_recargas!$J$87*'Plan mensual'!I122+parametros_recargas!$K$87*'Plan mensual'!I123+parametros_recargas!$L$87*'Plan mensual'!I124</f>
        <v>2377.81506626987</v>
      </c>
      <c r="H113" s="25" t="n">
        <f aca="false">parametros_recargas!$E$87*'Plan mensual'!J117+parametros_recargas!$F$87*'Plan mensual'!J118+parametros_recargas!$G$87*'Plan mensual'!J119+parametros_recargas!$H$87*'Plan mensual'!J120+parametros_recargas!$I$87*'Plan mensual'!J121+parametros_recargas!$J$87*'Plan mensual'!J122+parametros_recargas!$K$87*'Plan mensual'!J123+parametros_recargas!$L$87*'Plan mensual'!J124</f>
        <v>2455.54525449166</v>
      </c>
      <c r="I113" s="25" t="n">
        <f aca="false">parametros_recargas!$E$87*'Plan mensual'!K117+parametros_recargas!$F$87*'Plan mensual'!K118+parametros_recargas!$G$87*'Plan mensual'!K119+parametros_recargas!$H$87*'Plan mensual'!K120+parametros_recargas!$I$87*'Plan mensual'!K121+parametros_recargas!$J$87*'Plan mensual'!K122+parametros_recargas!$K$87*'Plan mensual'!K123+parametros_recargas!$L$87*'Plan mensual'!K124</f>
        <v>2535.82007977267</v>
      </c>
      <c r="J113" s="25" t="n">
        <f aca="false">parametros_recargas!$E$87*'Plan mensual'!L117+parametros_recargas!$F$87*'Plan mensual'!L118+parametros_recargas!$G$87*'Plan mensual'!L119+parametros_recargas!$H$87*'Plan mensual'!L120+parametros_recargas!$I$87*'Plan mensual'!L121+parametros_recargas!$J$87*'Plan mensual'!L122+parametros_recargas!$K$87*'Plan mensual'!L123+parametros_recargas!$L$87*'Plan mensual'!L124</f>
        <v>2618.72284536883</v>
      </c>
      <c r="K113" s="25" t="n">
        <f aca="false">parametros_recargas!$E$87*'Plan mensual'!M117+parametros_recargas!$F$87*'Plan mensual'!M118+parametros_recargas!$G$87*'Plan mensual'!M119+parametros_recargas!$H$87*'Plan mensual'!M120+parametros_recargas!$I$87*'Plan mensual'!M121+parametros_recargas!$J$87*'Plan mensual'!M122+parametros_recargas!$K$87*'Plan mensual'!M123+parametros_recargas!$L$87*'Plan mensual'!M124</f>
        <v>2704.33958161751</v>
      </c>
      <c r="L113" s="25" t="n">
        <f aca="false">parametros_recargas!$E$87*'Plan mensual'!N117+parametros_recargas!$F$87*'Plan mensual'!N118+parametros_recargas!$G$87*'Plan mensual'!N119+parametros_recargas!$H$87*'Plan mensual'!N120+parametros_recargas!$I$87*'Plan mensual'!N121+parametros_recargas!$J$87*'Plan mensual'!N122+parametros_recargas!$K$87*'Plan mensual'!N123+parametros_recargas!$L$87*'Plan mensual'!N124</f>
        <v>2792.75913521338</v>
      </c>
      <c r="M113" s="25" t="n">
        <f aca="false">parametros_recargas!$E$87*'Plan mensual'!O117+parametros_recargas!$F$87*'Plan mensual'!O118+parametros_recargas!$G$87*'Plan mensual'!O119+parametros_recargas!$H$87*'Plan mensual'!O120+parametros_recargas!$I$87*'Plan mensual'!O121+parametros_recargas!$J$87*'Plan mensual'!O122+parametros_recargas!$K$87*'Plan mensual'!O123+parametros_recargas!$L$87*'Plan mensual'!O124</f>
        <v>2884.07326140694</v>
      </c>
      <c r="N113" s="7" t="n">
        <f aca="false">SUM(B113:M113)</f>
        <v>29175.7545848827</v>
      </c>
      <c r="O113" s="26" t="n">
        <f aca="false">MAX(B113:M113)</f>
        <v>2884.07326140694</v>
      </c>
      <c r="P113" s="15" t="n">
        <f aca="false">O113/parametros_recargas!$B$6</f>
        <v>19.2271550760463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5" t="n">
        <f aca="false">parametros_recargas!$E$88*'Plan mensual'!D117+parametros_recargas!$F$88*'Plan mensual'!D118+parametros_recargas!$G$88*'Plan mensual'!D119+parametros_recargas!$H$88*'Plan mensual'!D120+parametros_recargas!$I$88*'Plan mensual'!D121+parametros_recargas!$J$88*'Plan mensual'!D122+parametros_recargas!$K$88*'Plan mensual'!D123+parametros_recargas!$L$88*'Plan mensual'!D124</f>
        <v>3.27274392594697</v>
      </c>
      <c r="C114" s="25" t="n">
        <f aca="false">parametros_recargas!$E$88*'Plan mensual'!E117+parametros_recargas!$F$88*'Plan mensual'!E118+parametros_recargas!$G$88*'Plan mensual'!E119+parametros_recargas!$H$88*'Plan mensual'!E120+parametros_recargas!$I$88*'Plan mensual'!E121+parametros_recargas!$J$88*'Plan mensual'!E122+parametros_recargas!$K$88*'Plan mensual'!E123+parametros_recargas!$L$88*'Plan mensual'!E124</f>
        <v>3.3771549993885</v>
      </c>
      <c r="D114" s="25" t="n">
        <f aca="false">parametros_recargas!$E$88*'Plan mensual'!F117+parametros_recargas!$F$88*'Plan mensual'!F118+parametros_recargas!$G$88*'Plan mensual'!F119+parametros_recargas!$H$88*'Plan mensual'!F120+parametros_recargas!$I$88*'Plan mensual'!F121+parametros_recargas!$J$88*'Plan mensual'!F122+parametros_recargas!$K$88*'Plan mensual'!F123+parametros_recargas!$L$88*'Plan mensual'!F124</f>
        <v>3.48498415649804</v>
      </c>
      <c r="E114" s="25" t="n">
        <f aca="false">parametros_recargas!$E$88*'Plan mensual'!G117+parametros_recargas!$F$88*'Plan mensual'!G118+parametros_recargas!$G$88*'Plan mensual'!G119+parametros_recargas!$H$88*'Plan mensual'!G120+parametros_recargas!$I$88*'Plan mensual'!G121+parametros_recargas!$J$88*'Plan mensual'!G122+parametros_recargas!$K$88*'Plan mensual'!G123+parametros_recargas!$L$88*'Plan mensual'!G124</f>
        <v>3.59634329437211</v>
      </c>
      <c r="F114" s="25" t="n">
        <f aca="false">parametros_recargas!$E$88*'Plan mensual'!H117+parametros_recargas!$F$88*'Plan mensual'!H118+parametros_recargas!$G$88*'Plan mensual'!H119+parametros_recargas!$H$88*'Plan mensual'!H120+parametros_recargas!$I$88*'Plan mensual'!H121+parametros_recargas!$J$88*'Plan mensual'!H122+parametros_recargas!$K$88*'Plan mensual'!H123+parametros_recargas!$L$88*'Plan mensual'!H124</f>
        <v>3.71134797325927</v>
      </c>
      <c r="G114" s="25" t="n">
        <f aca="false">parametros_recargas!$E$88*'Plan mensual'!I117+parametros_recargas!$F$88*'Plan mensual'!I118+parametros_recargas!$G$88*'Plan mensual'!I119+parametros_recargas!$H$88*'Plan mensual'!I120+parametros_recargas!$I$88*'Plan mensual'!I121+parametros_recargas!$J$88*'Plan mensual'!I122+parametros_recargas!$K$88*'Plan mensual'!I123+parametros_recargas!$L$88*'Plan mensual'!I124</f>
        <v>3.83011753647998</v>
      </c>
      <c r="H114" s="25" t="n">
        <f aca="false">parametros_recargas!$E$88*'Plan mensual'!J117+parametros_recargas!$F$88*'Plan mensual'!J118+parametros_recargas!$G$88*'Plan mensual'!J119+parametros_recargas!$H$88*'Plan mensual'!J120+parametros_recargas!$I$88*'Plan mensual'!J121+parametros_recargas!$J$88*'Plan mensual'!J122+parametros_recargas!$K$88*'Plan mensual'!J123+parametros_recargas!$L$88*'Plan mensual'!J124</f>
        <v>3.95277523427226</v>
      </c>
      <c r="I114" s="25" t="n">
        <f aca="false">parametros_recargas!$E$88*'Plan mensual'!K117+parametros_recargas!$F$88*'Plan mensual'!K118+parametros_recargas!$G$88*'Plan mensual'!K119+parametros_recargas!$H$88*'Plan mensual'!K120+parametros_recargas!$I$88*'Plan mensual'!K121+parametros_recargas!$J$88*'Plan mensual'!K122+parametros_recargas!$K$88*'Plan mensual'!K123+parametros_recargas!$L$88*'Plan mensual'!K124</f>
        <v>4.0794483516916</v>
      </c>
      <c r="J114" s="25" t="n">
        <f aca="false">parametros_recargas!$E$88*'Plan mensual'!L117+parametros_recargas!$F$88*'Plan mensual'!L118+parametros_recargas!$G$88*'Plan mensual'!L119+parametros_recargas!$H$88*'Plan mensual'!L120+parametros_recargas!$I$88*'Plan mensual'!L121+parametros_recargas!$J$88*'Plan mensual'!L122+parametros_recargas!$K$88*'Plan mensual'!L123+parametros_recargas!$L$88*'Plan mensual'!L124</f>
        <v>4.210268340698</v>
      </c>
      <c r="K114" s="25" t="n">
        <f aca="false">parametros_recargas!$E$88*'Plan mensual'!M117+parametros_recargas!$F$88*'Plan mensual'!M118+parametros_recargas!$G$88*'Plan mensual'!M119+parametros_recargas!$H$88*'Plan mensual'!M120+parametros_recargas!$I$88*'Plan mensual'!M121+parametros_recargas!$J$88*'Plan mensual'!M122+parametros_recargas!$K$88*'Plan mensual'!M123+parametros_recargas!$L$88*'Plan mensual'!M124</f>
        <v>4.34537095656698</v>
      </c>
      <c r="L114" s="25" t="n">
        <f aca="false">parametros_recargas!$E$88*'Plan mensual'!N117+parametros_recargas!$F$88*'Plan mensual'!N118+parametros_recargas!$G$88*'Plan mensual'!N119+parametros_recargas!$H$88*'Plan mensual'!N120+parametros_recargas!$I$88*'Plan mensual'!N121+parametros_recargas!$J$88*'Plan mensual'!N122+parametros_recargas!$K$88*'Plan mensual'!N123+parametros_recargas!$L$88*'Plan mensual'!N124</f>
        <v>4.48489639876642</v>
      </c>
      <c r="M114" s="25" t="n">
        <f aca="false">parametros_recargas!$E$88*'Plan mensual'!O117+parametros_recargas!$F$88*'Plan mensual'!O118+parametros_recargas!$G$88*'Plan mensual'!O119+parametros_recargas!$H$88*'Plan mensual'!O120+parametros_recargas!$I$88*'Plan mensual'!O121+parametros_recargas!$J$88*'Plan mensual'!O122+parametros_recargas!$K$88*'Plan mensual'!O123+parametros_recargas!$L$88*'Plan mensual'!O124</f>
        <v>4.62898945644509</v>
      </c>
      <c r="N114" s="7" t="n">
        <f aca="false">SUM(B114:M114)</f>
        <v>46.9744406243852</v>
      </c>
      <c r="O114" s="26" t="n">
        <f aca="false">MAX(B114:M114)</f>
        <v>4.62898945644509</v>
      </c>
      <c r="P114" s="15" t="n">
        <f aca="false">O114/parametros_recargas!$B$6</f>
        <v>0.0308599297096339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5" t="n">
        <f aca="false">parametros_recargas!$E$89*'Plan mensual'!D117+parametros_recargas!$F$89*'Plan mensual'!D118+parametros_recargas!$G$89*'Plan mensual'!D119+parametros_recargas!$H$89*'Plan mensual'!D120+parametros_recargas!$I$89*'Plan mensual'!D121+parametros_recargas!$J$89*'Plan mensual'!D122+parametros_recargas!$K$89*'Plan mensual'!D123+parametros_recargas!$L$89*'Plan mensual'!D124</f>
        <v>3.04832272484626</v>
      </c>
      <c r="C115" s="25" t="n">
        <f aca="false">parametros_recargas!$E$89*'Plan mensual'!E117+parametros_recargas!$F$89*'Plan mensual'!E118+parametros_recargas!$G$89*'Plan mensual'!E119+parametros_recargas!$H$89*'Plan mensual'!E120+parametros_recargas!$I$89*'Plan mensual'!E121+parametros_recargas!$J$89*'Plan mensual'!E122+parametros_recargas!$K$89*'Plan mensual'!E123+parametros_recargas!$L$89*'Plan mensual'!E124</f>
        <v>3.14538696794733</v>
      </c>
      <c r="D115" s="25" t="n">
        <f aca="false">parametros_recargas!$E$89*'Plan mensual'!F117+parametros_recargas!$F$89*'Plan mensual'!F118+parametros_recargas!$G$89*'Plan mensual'!F119+parametros_recargas!$H$89*'Plan mensual'!F120+parametros_recargas!$I$89*'Plan mensual'!F121+parametros_recargas!$J$89*'Plan mensual'!F122+parametros_recargas!$K$89*'Plan mensual'!F123+parametros_recargas!$L$89*'Plan mensual'!F124</f>
        <v>3.24562878305449</v>
      </c>
      <c r="E115" s="25" t="n">
        <f aca="false">parametros_recargas!$E$89*'Plan mensual'!G117+parametros_recargas!$F$89*'Plan mensual'!G118+parametros_recargas!$G$89*'Plan mensual'!G119+parametros_recargas!$H$89*'Plan mensual'!G120+parametros_recargas!$I$89*'Plan mensual'!G121+parametros_recargas!$J$89*'Plan mensual'!G122+parametros_recargas!$K$89*'Plan mensual'!G123+parametros_recargas!$L$89*'Plan mensual'!G124</f>
        <v>3.3491521936838</v>
      </c>
      <c r="F115" s="25" t="n">
        <f aca="false">parametros_recargas!$E$89*'Plan mensual'!H117+parametros_recargas!$F$89*'Plan mensual'!H118+parametros_recargas!$G$89*'Plan mensual'!H119+parametros_recargas!$H$89*'Plan mensual'!H120+parametros_recargas!$I$89*'Plan mensual'!H121+parametros_recargas!$J$89*'Plan mensual'!H122+parametros_recargas!$K$89*'Plan mensual'!H123+parametros_recargas!$L$89*'Plan mensual'!H124</f>
        <v>3.45606462874766</v>
      </c>
      <c r="G115" s="25" t="n">
        <f aca="false">parametros_recargas!$E$89*'Plan mensual'!I117+parametros_recargas!$F$89*'Plan mensual'!I118+parametros_recargas!$G$89*'Plan mensual'!I119+parametros_recargas!$H$89*'Plan mensual'!I120+parametros_recargas!$I$89*'Plan mensual'!I121+parametros_recargas!$J$89*'Plan mensual'!I122+parametros_recargas!$K$89*'Plan mensual'!I123+parametros_recargas!$L$89*'Plan mensual'!I124</f>
        <v>3.56647703403646</v>
      </c>
      <c r="H115" s="25" t="n">
        <f aca="false">parametros_recargas!$E$89*'Plan mensual'!J117+parametros_recargas!$F$89*'Plan mensual'!J118+parametros_recargas!$G$89*'Plan mensual'!J119+parametros_recargas!$H$89*'Plan mensual'!J120+parametros_recargas!$I$89*'Plan mensual'!J121+parametros_recargas!$J$89*'Plan mensual'!J122+parametros_recargas!$K$89*'Plan mensual'!J123+parametros_recargas!$L$89*'Plan mensual'!J124</f>
        <v>3.68050398734994</v>
      </c>
      <c r="I115" s="25" t="n">
        <f aca="false">parametros_recargas!$E$89*'Plan mensual'!K117+parametros_recargas!$F$89*'Plan mensual'!K118+parametros_recargas!$G$89*'Plan mensual'!K119+parametros_recargas!$H$89*'Plan mensual'!K120+parametros_recargas!$I$89*'Plan mensual'!K121+parametros_recargas!$J$89*'Plan mensual'!K122+parametros_recargas!$K$89*'Plan mensual'!K123+parametros_recargas!$L$89*'Plan mensual'!K124</f>
        <v>3.79826381739756</v>
      </c>
      <c r="J115" s="25" t="n">
        <f aca="false">parametros_recargas!$E$89*'Plan mensual'!L117+parametros_recargas!$F$89*'Plan mensual'!L118+parametros_recargas!$G$89*'Plan mensual'!L119+parametros_recargas!$H$89*'Plan mensual'!L120+parametros_recargas!$I$89*'Plan mensual'!L121+parametros_recargas!$J$89*'Plan mensual'!L122+parametros_recargas!$K$89*'Plan mensual'!L123+parametros_recargas!$L$89*'Plan mensual'!L124</f>
        <v>3.91987872659115</v>
      </c>
      <c r="K115" s="25" t="n">
        <f aca="false">parametros_recargas!$E$89*'Plan mensual'!M117+parametros_recargas!$F$89*'Plan mensual'!M118+parametros_recargas!$G$89*'Plan mensual'!M119+parametros_recargas!$H$89*'Plan mensual'!M120+parametros_recargas!$I$89*'Plan mensual'!M121+parametros_recargas!$J$89*'Plan mensual'!M122+parametros_recargas!$K$89*'Plan mensual'!M123+parametros_recargas!$L$89*'Plan mensual'!M124</f>
        <v>4.04547491785761</v>
      </c>
      <c r="L115" s="25" t="n">
        <f aca="false">parametros_recargas!$E$89*'Plan mensual'!N117+parametros_recargas!$F$89*'Plan mensual'!N118+parametros_recargas!$G$89*'Plan mensual'!N119+parametros_recargas!$H$89*'Plan mensual'!N120+parametros_recargas!$I$89*'Plan mensual'!N121+parametros_recargas!$J$89*'Plan mensual'!N122+parametros_recargas!$K$89*'Plan mensual'!N123+parametros_recargas!$L$89*'Plan mensual'!N124</f>
        <v>4.17518272560289</v>
      </c>
      <c r="M115" s="25" t="n">
        <f aca="false">parametros_recargas!$E$89*'Plan mensual'!O117+parametros_recargas!$F$89*'Plan mensual'!O118+parametros_recargas!$G$89*'Plan mensual'!O119+parametros_recargas!$H$89*'Plan mensual'!O120+parametros_recargas!$I$89*'Plan mensual'!O121+parametros_recargas!$J$89*'Plan mensual'!O122+parametros_recargas!$K$89*'Plan mensual'!O123+parametros_recargas!$L$89*'Plan mensual'!O124</f>
        <v>4.30913675096336</v>
      </c>
      <c r="N115" s="7" t="n">
        <f aca="false">SUM(B115:M115)</f>
        <v>43.7394732580785</v>
      </c>
      <c r="O115" s="26" t="n">
        <f aca="false">MAX(B115:M115)</f>
        <v>4.30913675096336</v>
      </c>
      <c r="P115" s="15" t="n">
        <f aca="false">O115/parametros_recargas!$B$6</f>
        <v>0.0287275783397557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5" t="n">
        <f aca="false">parametros_recargas!$E$90*'Plan mensual'!D117+parametros_recargas!$F$90*'Plan mensual'!D118+parametros_recargas!$G$90*'Plan mensual'!D119+parametros_recargas!$H$90*'Plan mensual'!D120+parametros_recargas!$I$90*'Plan mensual'!D121+parametros_recargas!$J$90*'Plan mensual'!D122+parametros_recargas!$K$90*'Plan mensual'!D123+parametros_recargas!$L$90*'Plan mensual'!D124</f>
        <v>110.663352908846</v>
      </c>
      <c r="C116" s="25" t="n">
        <f aca="false">parametros_recargas!$E$90*'Plan mensual'!E117+parametros_recargas!$F$90*'Plan mensual'!E118+parametros_recargas!$G$90*'Plan mensual'!E119+parametros_recargas!$H$90*'Plan mensual'!E120+parametros_recargas!$I$90*'Plan mensual'!E121+parametros_recargas!$J$90*'Plan mensual'!E122+parametros_recargas!$K$90*'Plan mensual'!E123+parametros_recargas!$L$90*'Plan mensual'!E124</f>
        <v>114.261563559224</v>
      </c>
      <c r="D116" s="25" t="n">
        <f aca="false">parametros_recargas!$E$90*'Plan mensual'!F117+parametros_recargas!$F$90*'Plan mensual'!F118+parametros_recargas!$G$90*'Plan mensual'!F119+parametros_recargas!$H$90*'Plan mensual'!F120+parametros_recargas!$I$90*'Plan mensual'!F121+parametros_recargas!$J$90*'Plan mensual'!F122+parametros_recargas!$K$90*'Plan mensual'!F123+parametros_recargas!$L$90*'Plan mensual'!F124</f>
        <v>117.977568085795</v>
      </c>
      <c r="E116" s="25" t="n">
        <f aca="false">parametros_recargas!$E$90*'Plan mensual'!G117+parametros_recargas!$F$90*'Plan mensual'!G118+parametros_recargas!$G$90*'Plan mensual'!G119+parametros_recargas!$H$90*'Plan mensual'!G120+parametros_recargas!$I$90*'Plan mensual'!G121+parametros_recargas!$J$90*'Plan mensual'!G122+parametros_recargas!$K$90*'Plan mensual'!G123+parametros_recargas!$L$90*'Plan mensual'!G124</f>
        <v>121.815222682266</v>
      </c>
      <c r="F116" s="25" t="n">
        <f aca="false">parametros_recargas!$E$90*'Plan mensual'!H117+parametros_recargas!$F$90*'Plan mensual'!H118+parametros_recargas!$G$90*'Plan mensual'!H119+parametros_recargas!$H$90*'Plan mensual'!H120+parametros_recargas!$I$90*'Plan mensual'!H121+parametros_recargas!$J$90*'Plan mensual'!H122+parametros_recargas!$K$90*'Plan mensual'!H123+parametros_recargas!$L$90*'Plan mensual'!H124</f>
        <v>125.778509781759</v>
      </c>
      <c r="G116" s="25" t="n">
        <f aca="false">parametros_recargas!$E$90*'Plan mensual'!I117+parametros_recargas!$F$90*'Plan mensual'!I118+parametros_recargas!$G$90*'Plan mensual'!I119+parametros_recargas!$H$90*'Plan mensual'!I120+parametros_recargas!$I$90*'Plan mensual'!I121+parametros_recargas!$J$90*'Plan mensual'!I122+parametros_recargas!$K$90*'Plan mensual'!I123+parametros_recargas!$L$90*'Plan mensual'!I124</f>
        <v>129.871542189484</v>
      </c>
      <c r="H116" s="25" t="n">
        <f aca="false">parametros_recargas!$E$90*'Plan mensual'!J117+parametros_recargas!$F$90*'Plan mensual'!J118+parametros_recargas!$G$90*'Plan mensual'!J119+parametros_recargas!$H$90*'Plan mensual'!J120+parametros_recargas!$I$90*'Plan mensual'!J121+parametros_recargas!$J$90*'Plan mensual'!J122+parametros_recargas!$K$90*'Plan mensual'!J123+parametros_recargas!$L$90*'Plan mensual'!J124</f>
        <v>134.098567350701</v>
      </c>
      <c r="I116" s="25" t="n">
        <f aca="false">parametros_recargas!$E$90*'Plan mensual'!K117+parametros_recargas!$F$90*'Plan mensual'!K118+parametros_recargas!$G$90*'Plan mensual'!K119+parametros_recargas!$H$90*'Plan mensual'!K120+parametros_recargas!$I$90*'Plan mensual'!K121+parametros_recargas!$J$90*'Plan mensual'!K122+parametros_recargas!$K$90*'Plan mensual'!K123+parametros_recargas!$L$90*'Plan mensual'!K124</f>
        <v>138.463971758405</v>
      </c>
      <c r="J116" s="25" t="n">
        <f aca="false">parametros_recargas!$E$90*'Plan mensual'!L117+parametros_recargas!$F$90*'Plan mensual'!L118+parametros_recargas!$G$90*'Plan mensual'!L119+parametros_recargas!$H$90*'Plan mensual'!L120+parametros_recargas!$I$90*'Plan mensual'!L121+parametros_recargas!$J$90*'Plan mensual'!L122+parametros_recargas!$K$90*'Plan mensual'!L123+parametros_recargas!$L$90*'Plan mensual'!L124</f>
        <v>142.972285505306</v>
      </c>
      <c r="K116" s="25" t="n">
        <f aca="false">parametros_recargas!$E$90*'Plan mensual'!M117+parametros_recargas!$F$90*'Plan mensual'!M118+parametros_recargas!$G$90*'Plan mensual'!M119+parametros_recargas!$H$90*'Plan mensual'!M120+parametros_recargas!$I$90*'Plan mensual'!M121+parametros_recargas!$J$90*'Plan mensual'!M122+parametros_recargas!$K$90*'Plan mensual'!M123+parametros_recargas!$L$90*'Plan mensual'!M124</f>
        <v>147.628186984817</v>
      </c>
      <c r="L116" s="25" t="n">
        <f aca="false">parametros_recargas!$E$90*'Plan mensual'!N117+parametros_recargas!$F$90*'Plan mensual'!N118+parametros_recargas!$G$90*'Plan mensual'!N119+parametros_recargas!$H$90*'Plan mensual'!N120+parametros_recargas!$I$90*'Plan mensual'!N121+parametros_recargas!$J$90*'Plan mensual'!N122+parametros_recargas!$K$90*'Plan mensual'!N123+parametros_recargas!$L$90*'Plan mensual'!N124</f>
        <v>152.436507745946</v>
      </c>
      <c r="M116" s="25" t="n">
        <f aca="false">parametros_recargas!$E$90*'Plan mensual'!O117+parametros_recargas!$F$90*'Plan mensual'!O118+parametros_recargas!$G$90*'Plan mensual'!O119+parametros_recargas!$H$90*'Plan mensual'!O120+parametros_recargas!$I$90*'Plan mensual'!O121+parametros_recargas!$J$90*'Plan mensual'!O122+parametros_recargas!$K$90*'Plan mensual'!O123+parametros_recargas!$L$90*'Plan mensual'!O124</f>
        <v>157.402237507122</v>
      </c>
      <c r="N116" s="7" t="n">
        <f aca="false">SUM(B116:M116)</f>
        <v>1593.36951605967</v>
      </c>
      <c r="O116" s="26" t="n">
        <f aca="false">MAX(B116:M116)</f>
        <v>157.402237507122</v>
      </c>
      <c r="P116" s="15" t="n">
        <f aca="false">O116/parametros_recargas!$B$6</f>
        <v>1.04934825004748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5" t="n">
        <f aca="false">parametros_recargas!$E$91*'Plan mensual'!D117+parametros_recargas!$F$91*'Plan mensual'!D118+parametros_recargas!$G$91*'Plan mensual'!D119+parametros_recargas!$H$91*'Plan mensual'!D120+parametros_recargas!$I$91*'Plan mensual'!D121+parametros_recargas!$J$91*'Plan mensual'!D122+parametros_recargas!$K$91*'Plan mensual'!D123+parametros_recargas!$L$91*'Plan mensual'!D124</f>
        <v>60.3422187692848</v>
      </c>
      <c r="C117" s="25" t="n">
        <f aca="false">parametros_recargas!$E$91*'Plan mensual'!E117+parametros_recargas!$F$91*'Plan mensual'!E118+parametros_recargas!$G$91*'Plan mensual'!E119+parametros_recargas!$H$91*'Plan mensual'!E120+parametros_recargas!$I$91*'Plan mensual'!E121+parametros_recargas!$J$91*'Plan mensual'!E122+parametros_recargas!$K$91*'Plan mensual'!E123+parametros_recargas!$L$91*'Plan mensual'!E124</f>
        <v>62.3102636985131</v>
      </c>
      <c r="D117" s="25" t="n">
        <f aca="false">parametros_recargas!$E$91*'Plan mensual'!F117+parametros_recargas!$F$91*'Plan mensual'!F118+parametros_recargas!$G$91*'Plan mensual'!F119+parametros_recargas!$H$91*'Plan mensual'!F120+parametros_recargas!$I$91*'Plan mensual'!F121+parametros_recargas!$J$91*'Plan mensual'!F122+parametros_recargas!$K$91*'Plan mensual'!F123+parametros_recargas!$L$91*'Plan mensual'!F124</f>
        <v>64.3427361066359</v>
      </c>
      <c r="E117" s="25" t="n">
        <f aca="false">parametros_recargas!$E$91*'Plan mensual'!G117+parametros_recargas!$F$91*'Plan mensual'!G118+parametros_recargas!$G$91*'Plan mensual'!G119+parametros_recargas!$H$91*'Plan mensual'!G120+parametros_recargas!$I$91*'Plan mensual'!G121+parametros_recargas!$J$91*'Plan mensual'!G122+parametros_recargas!$K$91*'Plan mensual'!G123+parametros_recargas!$L$91*'Plan mensual'!G124</f>
        <v>66.4417451426748</v>
      </c>
      <c r="F117" s="25" t="n">
        <f aca="false">parametros_recargas!$E$91*'Plan mensual'!H117+parametros_recargas!$F$91*'Plan mensual'!H118+parametros_recargas!$G$91*'Plan mensual'!H119+parametros_recargas!$H$91*'Plan mensual'!H120+parametros_recargas!$I$91*'Plan mensual'!H121+parametros_recargas!$J$91*'Plan mensual'!H122+parametros_recargas!$K$91*'Plan mensual'!H123+parametros_recargas!$L$91*'Plan mensual'!H124</f>
        <v>68.6094690024257</v>
      </c>
      <c r="G117" s="25" t="n">
        <f aca="false">parametros_recargas!$E$91*'Plan mensual'!I117+parametros_recargas!$F$91*'Plan mensual'!I118+parametros_recargas!$G$91*'Plan mensual'!I119+parametros_recargas!$H$91*'Plan mensual'!I120+parametros_recargas!$I$91*'Plan mensual'!I121+parametros_recargas!$J$91*'Plan mensual'!I122+parametros_recargas!$K$91*'Plan mensual'!I123+parametros_recargas!$L$91*'Plan mensual'!I124</f>
        <v>70.8481571888285</v>
      </c>
      <c r="H117" s="25" t="n">
        <f aca="false">parametros_recargas!$E$91*'Plan mensual'!J117+parametros_recargas!$F$91*'Plan mensual'!J118+parametros_recargas!$G$91*'Plan mensual'!J119+parametros_recargas!$H$91*'Plan mensual'!J120+parametros_recargas!$I$91*'Plan mensual'!J121+parametros_recargas!$J$91*'Plan mensual'!J122+parametros_recargas!$K$91*'Plan mensual'!J123+parametros_recargas!$L$91*'Plan mensual'!J124</f>
        <v>73.1601328463347</v>
      </c>
      <c r="I117" s="25" t="n">
        <f aca="false">parametros_recargas!$E$91*'Plan mensual'!K117+parametros_recargas!$F$91*'Plan mensual'!K118+parametros_recargas!$G$91*'Plan mensual'!K119+parametros_recargas!$H$91*'Plan mensual'!K120+parametros_recargas!$I$91*'Plan mensual'!K121+parametros_recargas!$J$91*'Plan mensual'!K122+parametros_recargas!$K$91*'Plan mensual'!K123+parametros_recargas!$L$91*'Plan mensual'!K124</f>
        <v>75.5477951716942</v>
      </c>
      <c r="J117" s="25" t="n">
        <f aca="false">parametros_recargas!$E$91*'Plan mensual'!L117+parametros_recargas!$F$91*'Plan mensual'!L118+parametros_recargas!$G$91*'Plan mensual'!L119+parametros_recargas!$H$91*'Plan mensual'!L120+parametros_recargas!$I$91*'Plan mensual'!L121+parametros_recargas!$J$91*'Plan mensual'!L122+parametros_recargas!$K$91*'Plan mensual'!L123+parametros_recargas!$L$91*'Plan mensual'!L124</f>
        <v>78.0136219036635</v>
      </c>
      <c r="K117" s="25" t="n">
        <f aca="false">parametros_recargas!$E$91*'Plan mensual'!M117+parametros_recargas!$F$91*'Plan mensual'!M118+parametros_recargas!$G$91*'Plan mensual'!M119+parametros_recargas!$H$91*'Plan mensual'!M120+parametros_recargas!$I$91*'Plan mensual'!M121+parametros_recargas!$J$91*'Plan mensual'!M122+parametros_recargas!$K$91*'Plan mensual'!M123+parametros_recargas!$L$91*'Plan mensual'!M124</f>
        <v>80.5601718942192</v>
      </c>
      <c r="L117" s="25" t="n">
        <f aca="false">parametros_recargas!$E$91*'Plan mensual'!N117+parametros_recargas!$F$91*'Plan mensual'!N118+parametros_recargas!$G$91*'Plan mensual'!N119+parametros_recargas!$H$91*'Plan mensual'!N120+parametros_recargas!$I$91*'Plan mensual'!N121+parametros_recargas!$J$91*'Plan mensual'!N122+parametros_recargas!$K$91*'Plan mensual'!N123+parametros_recargas!$L$91*'Plan mensual'!N124</f>
        <v>83.1900877639446</v>
      </c>
      <c r="M117" s="25" t="n">
        <f aca="false">parametros_recargas!$E$91*'Plan mensual'!O117+parametros_recargas!$F$91*'Plan mensual'!O118+parametros_recargas!$G$91*'Plan mensual'!O119+parametros_recargas!$H$91*'Plan mensual'!O120+parametros_recargas!$I$91*'Plan mensual'!O121+parametros_recargas!$J$91*'Plan mensual'!O122+parametros_recargas!$K$91*'Plan mensual'!O123+parametros_recargas!$L$91*'Plan mensual'!O124</f>
        <v>85.9060986443453</v>
      </c>
      <c r="N117" s="7" t="n">
        <f aca="false">SUM(B117:M117)</f>
        <v>869.272498132564</v>
      </c>
      <c r="O117" s="26" t="n">
        <f aca="false">MAX(B117:M117)</f>
        <v>85.9060986443453</v>
      </c>
      <c r="P117" s="15" t="n">
        <f aca="false">O117/parametros_recargas!$B$6</f>
        <v>0.572707324295635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5" t="n">
        <f aca="false">parametros_recargas!$E$92*'Plan mensual'!D117+parametros_recargas!$F$92*'Plan mensual'!D118+parametros_recargas!$G$92*'Plan mensual'!D119+parametros_recargas!$H$92*'Plan mensual'!D120+parametros_recargas!$I$92*'Plan mensual'!D121+parametros_recargas!$J$92*'Plan mensual'!D122+parametros_recargas!$K$92*'Plan mensual'!D123+parametros_recargas!$L$92*'Plan mensual'!D124</f>
        <v>2030.91936433304</v>
      </c>
      <c r="C118" s="25" t="n">
        <f aca="false">parametros_recargas!$E$92*'Plan mensual'!E117+parametros_recargas!$F$92*'Plan mensual'!E118+parametros_recargas!$G$92*'Plan mensual'!E119+parametros_recargas!$H$92*'Plan mensual'!E120+parametros_recargas!$I$92*'Plan mensual'!E121+parametros_recargas!$J$92*'Plan mensual'!E122+parametros_recargas!$K$92*'Plan mensual'!E123+parametros_recargas!$L$92*'Plan mensual'!E124</f>
        <v>2097.28784373596</v>
      </c>
      <c r="D118" s="25" t="n">
        <f aca="false">parametros_recargas!$E$92*'Plan mensual'!F117+parametros_recargas!$F$92*'Plan mensual'!F118+parametros_recargas!$G$92*'Plan mensual'!F119+parametros_recargas!$H$92*'Plan mensual'!F120+parametros_recargas!$I$92*'Plan mensual'!F121+parametros_recargas!$J$92*'Plan mensual'!F122+parametros_recargas!$K$92*'Plan mensual'!F123+parametros_recargas!$L$92*'Plan mensual'!F124</f>
        <v>2165.82901429167</v>
      </c>
      <c r="E118" s="25" t="n">
        <f aca="false">parametros_recargas!$E$92*'Plan mensual'!G117+parametros_recargas!$F$92*'Plan mensual'!G118+parametros_recargas!$G$92*'Plan mensual'!G119+parametros_recargas!$H$92*'Plan mensual'!G120+parametros_recargas!$I$92*'Plan mensual'!G121+parametros_recargas!$J$92*'Plan mensual'!G122+parametros_recargas!$K$92*'Plan mensual'!G123+parametros_recargas!$L$92*'Plan mensual'!G124</f>
        <v>2236.61400294004</v>
      </c>
      <c r="F118" s="25" t="n">
        <f aca="false">parametros_recargas!$E$92*'Plan mensual'!H117+parametros_recargas!$F$92*'Plan mensual'!H118+parametros_recargas!$G$92*'Plan mensual'!H119+parametros_recargas!$H$92*'Plan mensual'!H120+parametros_recargas!$I$92*'Plan mensual'!H121+parametros_recargas!$J$92*'Plan mensual'!H122+parametros_recargas!$K$92*'Plan mensual'!H123+parametros_recargas!$L$92*'Plan mensual'!H124</f>
        <v>2309.71626508887</v>
      </c>
      <c r="G118" s="25" t="n">
        <f aca="false">parametros_recargas!$E$92*'Plan mensual'!I117+parametros_recargas!$F$92*'Plan mensual'!I118+parametros_recargas!$G$92*'Plan mensual'!I119+parametros_recargas!$H$92*'Plan mensual'!I120+parametros_recargas!$I$92*'Plan mensual'!I121+parametros_recargas!$J$92*'Plan mensual'!I122+parametros_recargas!$K$92*'Plan mensual'!I123+parametros_recargas!$L$92*'Plan mensual'!I124</f>
        <v>2385.21166084039</v>
      </c>
      <c r="H118" s="25" t="n">
        <f aca="false">parametros_recargas!$E$92*'Plan mensual'!J117+parametros_recargas!$F$92*'Plan mensual'!J118+parametros_recargas!$G$92*'Plan mensual'!J119+parametros_recargas!$H$92*'Plan mensual'!J120+parametros_recargas!$I$92*'Plan mensual'!J121+parametros_recargas!$J$92*'Plan mensual'!J122+parametros_recargas!$K$92*'Plan mensual'!J123+parametros_recargas!$L$92*'Plan mensual'!J124</f>
        <v>2463.17853371328</v>
      </c>
      <c r="I118" s="25" t="n">
        <f aca="false">parametros_recargas!$E$92*'Plan mensual'!K117+parametros_recargas!$F$92*'Plan mensual'!K118+parametros_recargas!$G$92*'Plan mensual'!K119+parametros_recargas!$H$92*'Plan mensual'!K120+parametros_recargas!$I$92*'Plan mensual'!K121+parametros_recargas!$J$92*'Plan mensual'!K122+parametros_recargas!$K$92*'Plan mensual'!K123+parametros_recargas!$L$92*'Plan mensual'!K124</f>
        <v>2543.69779194175</v>
      </c>
      <c r="J118" s="25" t="n">
        <f aca="false">parametros_recargas!$E$92*'Plan mensual'!L117+parametros_recargas!$F$92*'Plan mensual'!L118+parametros_recargas!$G$92*'Plan mensual'!L119+parametros_recargas!$H$92*'Plan mensual'!L120+parametros_recargas!$I$92*'Plan mensual'!L121+parametros_recargas!$J$92*'Plan mensual'!L122+parametros_recargas!$K$92*'Plan mensual'!L123+parametros_recargas!$L$92*'Plan mensual'!L124</f>
        <v>2626.85299243612</v>
      </c>
      <c r="K118" s="25" t="n">
        <f aca="false">parametros_recargas!$E$92*'Plan mensual'!M117+parametros_recargas!$F$92*'Plan mensual'!M118+parametros_recargas!$G$92*'Plan mensual'!M119+parametros_recargas!$H$92*'Plan mensual'!M120+parametros_recargas!$I$92*'Plan mensual'!M121+parametros_recargas!$J$92*'Plan mensual'!M122+parametros_recargas!$K$92*'Plan mensual'!M123+parametros_recargas!$L$92*'Plan mensual'!M124</f>
        <v>2712.73042749194</v>
      </c>
      <c r="L118" s="25" t="n">
        <f aca="false">parametros_recargas!$E$92*'Plan mensual'!N117+parametros_recargas!$F$92*'Plan mensual'!N118+parametros_recargas!$G$92*'Plan mensual'!N119+parametros_recargas!$H$92*'Plan mensual'!N120+parametros_recargas!$I$92*'Plan mensual'!N121+parametros_recargas!$J$92*'Plan mensual'!N122+parametros_recargas!$K$92*'Plan mensual'!N123+parametros_recargas!$L$92*'Plan mensual'!N124</f>
        <v>2801.41921433775</v>
      </c>
      <c r="M118" s="25" t="n">
        <f aca="false">parametros_recargas!$E$92*'Plan mensual'!O117+parametros_recargas!$F$92*'Plan mensual'!O118+parametros_recargas!$G$92*'Plan mensual'!O119+parametros_recargas!$H$92*'Plan mensual'!O120+parametros_recargas!$I$92*'Plan mensual'!O121+parametros_recargas!$J$92*'Plan mensual'!O122+parametros_recargas!$K$92*'Plan mensual'!O123+parametros_recargas!$L$92*'Plan mensual'!O124</f>
        <v>2893.01138761435</v>
      </c>
      <c r="N118" s="7" t="n">
        <f aca="false">SUM(B118:M118)</f>
        <v>29266.4684987652</v>
      </c>
      <c r="O118" s="26" t="n">
        <f aca="false">MAX(B118:M118)</f>
        <v>2893.01138761435</v>
      </c>
      <c r="P118" s="15" t="n">
        <f aca="false">O118/parametros_recargas!$B$6</f>
        <v>19.2867425840957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5" t="n">
        <f aca="false">parametros_recargas!$E$93*'Plan mensual'!D117+parametros_recargas!$F$93*'Plan mensual'!D118+parametros_recargas!$G$93*'Plan mensual'!D119+parametros_recargas!$H$93*'Plan mensual'!D120+parametros_recargas!$I$93*'Plan mensual'!D121+parametros_recargas!$J$93*'Plan mensual'!D122+parametros_recargas!$K$93*'Plan mensual'!D123+parametros_recargas!$L$93*'Plan mensual'!D124</f>
        <v>2030.91936433304</v>
      </c>
      <c r="C119" s="25" t="n">
        <f aca="false">parametros_recargas!$E$93*'Plan mensual'!E117+parametros_recargas!$F$93*'Plan mensual'!E118+parametros_recargas!$G$93*'Plan mensual'!E119+parametros_recargas!$H$93*'Plan mensual'!E120+parametros_recargas!$I$93*'Plan mensual'!E121+parametros_recargas!$J$93*'Plan mensual'!E122+parametros_recargas!$K$93*'Plan mensual'!E123+parametros_recargas!$L$93*'Plan mensual'!E124</f>
        <v>2097.28784373596</v>
      </c>
      <c r="D119" s="25" t="n">
        <f aca="false">parametros_recargas!$E$93*'Plan mensual'!F117+parametros_recargas!$F$93*'Plan mensual'!F118+parametros_recargas!$G$93*'Plan mensual'!F119+parametros_recargas!$H$93*'Plan mensual'!F120+parametros_recargas!$I$93*'Plan mensual'!F121+parametros_recargas!$J$93*'Plan mensual'!F122+parametros_recargas!$K$93*'Plan mensual'!F123+parametros_recargas!$L$93*'Plan mensual'!F124</f>
        <v>2165.82901429167</v>
      </c>
      <c r="E119" s="25" t="n">
        <f aca="false">parametros_recargas!$E$93*'Plan mensual'!G117+parametros_recargas!$F$93*'Plan mensual'!G118+parametros_recargas!$G$93*'Plan mensual'!G119+parametros_recargas!$H$93*'Plan mensual'!G120+parametros_recargas!$I$93*'Plan mensual'!G121+parametros_recargas!$J$93*'Plan mensual'!G122+parametros_recargas!$K$93*'Plan mensual'!G123+parametros_recargas!$L$93*'Plan mensual'!G124</f>
        <v>2236.61400294004</v>
      </c>
      <c r="F119" s="25" t="n">
        <f aca="false">parametros_recargas!$E$93*'Plan mensual'!H117+parametros_recargas!$F$93*'Plan mensual'!H118+parametros_recargas!$G$93*'Plan mensual'!H119+parametros_recargas!$H$93*'Plan mensual'!H120+parametros_recargas!$I$93*'Plan mensual'!H121+parametros_recargas!$J$93*'Plan mensual'!H122+parametros_recargas!$K$93*'Plan mensual'!H123+parametros_recargas!$L$93*'Plan mensual'!H124</f>
        <v>2309.71626508887</v>
      </c>
      <c r="G119" s="25" t="n">
        <f aca="false">parametros_recargas!$E$93*'Plan mensual'!I117+parametros_recargas!$F$93*'Plan mensual'!I118+parametros_recargas!$G$93*'Plan mensual'!I119+parametros_recargas!$H$93*'Plan mensual'!I120+parametros_recargas!$I$93*'Plan mensual'!I121+parametros_recargas!$J$93*'Plan mensual'!I122+parametros_recargas!$K$93*'Plan mensual'!I123+parametros_recargas!$L$93*'Plan mensual'!I124</f>
        <v>2385.21166084039</v>
      </c>
      <c r="H119" s="25" t="n">
        <f aca="false">parametros_recargas!$E$93*'Plan mensual'!J117+parametros_recargas!$F$93*'Plan mensual'!J118+parametros_recargas!$G$93*'Plan mensual'!J119+parametros_recargas!$H$93*'Plan mensual'!J120+parametros_recargas!$I$93*'Plan mensual'!J121+parametros_recargas!$J$93*'Plan mensual'!J122+parametros_recargas!$K$93*'Plan mensual'!J123+parametros_recargas!$L$93*'Plan mensual'!J124</f>
        <v>2463.17853371328</v>
      </c>
      <c r="I119" s="25" t="n">
        <f aca="false">parametros_recargas!$E$93*'Plan mensual'!K117+parametros_recargas!$F$93*'Plan mensual'!K118+parametros_recargas!$G$93*'Plan mensual'!K119+parametros_recargas!$H$93*'Plan mensual'!K120+parametros_recargas!$I$93*'Plan mensual'!K121+parametros_recargas!$J$93*'Plan mensual'!K122+parametros_recargas!$K$93*'Plan mensual'!K123+parametros_recargas!$L$93*'Plan mensual'!K124</f>
        <v>2543.69779194175</v>
      </c>
      <c r="J119" s="25" t="n">
        <f aca="false">parametros_recargas!$E$93*'Plan mensual'!L117+parametros_recargas!$F$93*'Plan mensual'!L118+parametros_recargas!$G$93*'Plan mensual'!L119+parametros_recargas!$H$93*'Plan mensual'!L120+parametros_recargas!$I$93*'Plan mensual'!L121+parametros_recargas!$J$93*'Plan mensual'!L122+parametros_recargas!$K$93*'Plan mensual'!L123+parametros_recargas!$L$93*'Plan mensual'!L124</f>
        <v>2626.85299243612</v>
      </c>
      <c r="K119" s="25" t="n">
        <f aca="false">parametros_recargas!$E$93*'Plan mensual'!M117+parametros_recargas!$F$93*'Plan mensual'!M118+parametros_recargas!$G$93*'Plan mensual'!M119+parametros_recargas!$H$93*'Plan mensual'!M120+parametros_recargas!$I$93*'Plan mensual'!M121+parametros_recargas!$J$93*'Plan mensual'!M122+parametros_recargas!$K$93*'Plan mensual'!M123+parametros_recargas!$L$93*'Plan mensual'!M124</f>
        <v>2712.73042749194</v>
      </c>
      <c r="L119" s="25" t="n">
        <f aca="false">parametros_recargas!$E$93*'Plan mensual'!N117+parametros_recargas!$F$93*'Plan mensual'!N118+parametros_recargas!$G$93*'Plan mensual'!N119+parametros_recargas!$H$93*'Plan mensual'!N120+parametros_recargas!$I$93*'Plan mensual'!N121+parametros_recargas!$J$93*'Plan mensual'!N122+parametros_recargas!$K$93*'Plan mensual'!N123+parametros_recargas!$L$93*'Plan mensual'!N124</f>
        <v>2801.41921433775</v>
      </c>
      <c r="M119" s="25" t="n">
        <f aca="false">parametros_recargas!$E$93*'Plan mensual'!O117+parametros_recargas!$F$93*'Plan mensual'!O118+parametros_recargas!$G$93*'Plan mensual'!O119+parametros_recargas!$H$93*'Plan mensual'!O120+parametros_recargas!$I$93*'Plan mensual'!O121+parametros_recargas!$J$93*'Plan mensual'!O122+parametros_recargas!$K$93*'Plan mensual'!O123+parametros_recargas!$L$93*'Plan mensual'!O124</f>
        <v>2893.01138761435</v>
      </c>
      <c r="N119" s="7" t="n">
        <f aca="false">SUM(B119:M119)</f>
        <v>29266.4684987652</v>
      </c>
      <c r="O119" s="26" t="n">
        <f aca="false">MAX(B119:M119)</f>
        <v>2893.01138761435</v>
      </c>
      <c r="P119" s="15" t="n">
        <f aca="false">O119/parametros_recargas!$B$6</f>
        <v>19.2867425840957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5" t="n">
        <f aca="false">parametros_recargas!$E$94*'Plan mensual'!D117+parametros_recargas!$F$94*'Plan mensual'!D118+parametros_recargas!$G$94*'Plan mensual'!D119+parametros_recargas!$H$94*'Plan mensual'!D120+parametros_recargas!$I$94*'Plan mensual'!D121+parametros_recargas!$J$94*'Plan mensual'!D122+parametros_recargas!$K$94*'Plan mensual'!D123+parametros_recargas!$L$94*'Plan mensual'!D124</f>
        <v>162.972543739956</v>
      </c>
      <c r="C120" s="25" t="n">
        <f aca="false">parametros_recargas!$E$94*'Plan mensual'!E117+parametros_recargas!$F$94*'Plan mensual'!E118+parametros_recargas!$G$94*'Plan mensual'!E119+parametros_recargas!$H$94*'Plan mensual'!E120+parametros_recargas!$I$94*'Plan mensual'!E121+parametros_recargas!$J$94*'Plan mensual'!E122+parametros_recargas!$K$94*'Plan mensual'!E123+parametros_recargas!$L$94*'Plan mensual'!E124</f>
        <v>168.276369362318</v>
      </c>
      <c r="D120" s="25" t="n">
        <f aca="false">parametros_recargas!$E$94*'Plan mensual'!F117+parametros_recargas!$F$94*'Plan mensual'!F118+parametros_recargas!$G$94*'Plan mensual'!F119+parametros_recargas!$H$94*'Plan mensual'!F120+parametros_recargas!$I$94*'Plan mensual'!F121+parametros_recargas!$J$94*'Plan mensual'!F122+parametros_recargas!$K$94*'Plan mensual'!F123+parametros_recargas!$L$94*'Plan mensual'!F124</f>
        <v>173.753825224656</v>
      </c>
      <c r="E120" s="25" t="n">
        <f aca="false">parametros_recargas!$E$94*'Plan mensual'!G117+parametros_recargas!$F$94*'Plan mensual'!G118+parametros_recargas!$G$94*'Plan mensual'!G119+parametros_recargas!$H$94*'Plan mensual'!G120+parametros_recargas!$I$94*'Plan mensual'!G121+parametros_recargas!$J$94*'Plan mensual'!G122+parametros_recargas!$K$94*'Plan mensual'!G123+parametros_recargas!$L$94*'Plan mensual'!G124</f>
        <v>179.410595424144</v>
      </c>
      <c r="F120" s="25" t="n">
        <f aca="false">parametros_recargas!$E$94*'Plan mensual'!H117+parametros_recargas!$F$94*'Plan mensual'!H118+parametros_recargas!$G$94*'Plan mensual'!H119+parametros_recargas!$H$94*'Plan mensual'!H120+parametros_recargas!$I$94*'Plan mensual'!H121+parametros_recargas!$J$94*'Plan mensual'!H122+parametros_recargas!$K$94*'Plan mensual'!H123+parametros_recargas!$L$94*'Plan mensual'!H124</f>
        <v>185.252550137068</v>
      </c>
      <c r="G120" s="25" t="n">
        <f aca="false">parametros_recargas!$E$94*'Plan mensual'!I117+parametros_recargas!$F$94*'Plan mensual'!I118+parametros_recargas!$G$94*'Plan mensual'!I119+parametros_recargas!$H$94*'Plan mensual'!I120+parametros_recargas!$I$94*'Plan mensual'!I121+parametros_recargas!$J$94*'Plan mensual'!I122+parametros_recargas!$K$94*'Plan mensual'!I123+parametros_recargas!$L$94*'Plan mensual'!I124</f>
        <v>191.285751710458</v>
      </c>
      <c r="H120" s="25" t="n">
        <f aca="false">parametros_recargas!$E$94*'Plan mensual'!J117+parametros_recargas!$F$94*'Plan mensual'!J118+parametros_recargas!$G$94*'Plan mensual'!J119+parametros_recargas!$H$94*'Plan mensual'!J120+parametros_recargas!$I$94*'Plan mensual'!J121+parametros_recargas!$J$94*'Plan mensual'!J122+parametros_recargas!$K$94*'Plan mensual'!J123+parametros_recargas!$L$94*'Plan mensual'!J124</f>
        <v>197.516460953142</v>
      </c>
      <c r="I120" s="25" t="n">
        <f aca="false">parametros_recargas!$E$94*'Plan mensual'!K117+parametros_recargas!$F$94*'Plan mensual'!K118+parametros_recargas!$G$94*'Plan mensual'!K119+parametros_recargas!$H$94*'Plan mensual'!K120+parametros_recargas!$I$94*'Plan mensual'!K121+parametros_recargas!$J$94*'Plan mensual'!K122+parametros_recargas!$K$94*'Plan mensual'!K123+parametros_recargas!$L$94*'Plan mensual'!K124</f>
        <v>203.951143632747</v>
      </c>
      <c r="J120" s="25" t="n">
        <f aca="false">parametros_recargas!$E$94*'Plan mensual'!L117+parametros_recargas!$F$94*'Plan mensual'!L118+parametros_recargas!$G$94*'Plan mensual'!L119+parametros_recargas!$H$94*'Plan mensual'!L120+parametros_recargas!$I$94*'Plan mensual'!L121+parametros_recargas!$J$94*'Plan mensual'!L122+parametros_recargas!$K$94*'Plan mensual'!L123+parametros_recargas!$L$94*'Plan mensual'!L124</f>
        <v>210.596477185397</v>
      </c>
      <c r="K120" s="25" t="n">
        <f aca="false">parametros_recargas!$E$94*'Plan mensual'!M117+parametros_recargas!$F$94*'Plan mensual'!M118+parametros_recargas!$G$94*'Plan mensual'!M119+parametros_recargas!$H$94*'Plan mensual'!M120+parametros_recargas!$I$94*'Plan mensual'!M121+parametros_recargas!$J$94*'Plan mensual'!M122+parametros_recargas!$K$94*'Plan mensual'!M123+parametros_recargas!$L$94*'Plan mensual'!M124</f>
        <v>217.459357645058</v>
      </c>
      <c r="L120" s="25" t="n">
        <f aca="false">parametros_recargas!$E$94*'Plan mensual'!N117+parametros_recargas!$F$94*'Plan mensual'!N118+parametros_recargas!$G$94*'Plan mensual'!N119+parametros_recargas!$H$94*'Plan mensual'!N120+parametros_recargas!$I$94*'Plan mensual'!N121+parametros_recargas!$J$94*'Plan mensual'!N122+parametros_recargas!$K$94*'Plan mensual'!N123+parametros_recargas!$L$94*'Plan mensual'!N124</f>
        <v>224.546906799729</v>
      </c>
      <c r="M120" s="25" t="n">
        <f aca="false">parametros_recargas!$E$94*'Plan mensual'!O117+parametros_recargas!$F$94*'Plan mensual'!O118+parametros_recargas!$G$94*'Plan mensual'!O119+parametros_recargas!$H$94*'Plan mensual'!O120+parametros_recargas!$I$94*'Plan mensual'!O121+parametros_recargas!$J$94*'Plan mensual'!O122+parametros_recargas!$K$94*'Plan mensual'!O123+parametros_recargas!$L$94*'Plan mensual'!O124</f>
        <v>231.866479581907</v>
      </c>
      <c r="N120" s="7" t="n">
        <f aca="false">SUM(B120:M120)</f>
        <v>2346.88846139658</v>
      </c>
      <c r="O120" s="26" t="n">
        <f aca="false">MAX(B120:M120)</f>
        <v>231.866479581907</v>
      </c>
      <c r="P120" s="15" t="n">
        <f aca="false">O120/parametros_recargas!$B$6</f>
        <v>1.54577653054605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5" t="n">
        <f aca="false">parametros_recargas!$E$95*'Plan mensual'!D117+parametros_recargas!$F$95*'Plan mensual'!D118+parametros_recargas!$G$95*'Plan mensual'!D119+parametros_recargas!$H$95*'Plan mensual'!D120+parametros_recargas!$I$95*'Plan mensual'!D121+parametros_recargas!$J$95*'Plan mensual'!D122+parametros_recargas!$K$95*'Plan mensual'!D123+parametros_recargas!$L$95*'Plan mensual'!D124</f>
        <v>2.02400852337208</v>
      </c>
      <c r="C121" s="25" t="n">
        <f aca="false">parametros_recargas!$E$95*'Plan mensual'!E117+parametros_recargas!$F$95*'Plan mensual'!E118+parametros_recargas!$G$95*'Plan mensual'!E119+parametros_recargas!$H$95*'Plan mensual'!E120+parametros_recargas!$I$95*'Plan mensual'!E121+parametros_recargas!$J$95*'Plan mensual'!E122+parametros_recargas!$K$95*'Plan mensual'!E123+parametros_recargas!$L$95*'Plan mensual'!E124</f>
        <v>2.08958605433274</v>
      </c>
      <c r="D121" s="25" t="n">
        <f aca="false">parametros_recargas!$E$95*'Plan mensual'!F117+parametros_recargas!$F$95*'Plan mensual'!F118+parametros_recargas!$G$95*'Plan mensual'!F119+parametros_recargas!$H$95*'Plan mensual'!F120+parametros_recargas!$I$95*'Plan mensual'!F121+parametros_recargas!$J$95*'Plan mensual'!F122+parametros_recargas!$K$95*'Plan mensual'!F123+parametros_recargas!$L$95*'Plan mensual'!F124</f>
        <v>2.15731038333097</v>
      </c>
      <c r="E121" s="25" t="n">
        <f aca="false">parametros_recargas!$E$95*'Plan mensual'!G117+parametros_recargas!$F$95*'Plan mensual'!G118+parametros_recargas!$G$95*'Plan mensual'!G119+parametros_recargas!$H$95*'Plan mensual'!G120+parametros_recargas!$I$95*'Plan mensual'!G121+parametros_recargas!$J$95*'Plan mensual'!G122+parametros_recargas!$K$95*'Plan mensual'!G123+parametros_recargas!$L$95*'Plan mensual'!G124</f>
        <v>2.22725178964913</v>
      </c>
      <c r="F121" s="25" t="n">
        <f aca="false">parametros_recargas!$E$95*'Plan mensual'!H117+parametros_recargas!$F$95*'Plan mensual'!H118+parametros_recargas!$G$95*'Plan mensual'!H119+parametros_recargas!$H$95*'Plan mensual'!H120+parametros_recargas!$I$95*'Plan mensual'!H121+parametros_recargas!$J$95*'Plan mensual'!H122+parametros_recargas!$K$95*'Plan mensual'!H123+parametros_recargas!$L$95*'Plan mensual'!H124</f>
        <v>2.29948285328787</v>
      </c>
      <c r="G121" s="25" t="n">
        <f aca="false">parametros_recargas!$E$95*'Plan mensual'!I117+parametros_recargas!$F$95*'Plan mensual'!I118+parametros_recargas!$G$95*'Plan mensual'!I119+parametros_recargas!$H$95*'Plan mensual'!I120+parametros_recargas!$I$95*'Plan mensual'!I121+parametros_recargas!$J$95*'Plan mensual'!I122+parametros_recargas!$K$95*'Plan mensual'!I123+parametros_recargas!$L$95*'Plan mensual'!I124</f>
        <v>2.37407853028426</v>
      </c>
      <c r="H121" s="25" t="n">
        <f aca="false">parametros_recargas!$E$95*'Plan mensual'!J117+parametros_recargas!$F$95*'Plan mensual'!J118+parametros_recargas!$G$95*'Plan mensual'!J119+parametros_recargas!$H$95*'Plan mensual'!J120+parametros_recargas!$I$95*'Plan mensual'!J121+parametros_recargas!$J$95*'Plan mensual'!J122+parametros_recargas!$K$95*'Plan mensual'!J123+parametros_recargas!$L$95*'Plan mensual'!J124</f>
        <v>2.45111623049564</v>
      </c>
      <c r="I121" s="25" t="n">
        <f aca="false">parametros_recargas!$E$95*'Plan mensual'!K117+parametros_recargas!$F$95*'Plan mensual'!K118+parametros_recargas!$G$95*'Plan mensual'!K119+parametros_recargas!$H$95*'Plan mensual'!K120+parametros_recargas!$I$95*'Plan mensual'!K121+parametros_recargas!$J$95*'Plan mensual'!K122+parametros_recargas!$K$95*'Plan mensual'!K123+parametros_recargas!$L$95*'Plan mensual'!K124</f>
        <v>2.53067589792979</v>
      </c>
      <c r="J121" s="25" t="n">
        <f aca="false">parametros_recargas!$E$95*'Plan mensual'!L117+parametros_recargas!$F$95*'Plan mensual'!L118+parametros_recargas!$G$95*'Plan mensual'!L119+parametros_recargas!$H$95*'Plan mensual'!L120+parametros_recargas!$I$95*'Plan mensual'!L121+parametros_recargas!$J$95*'Plan mensual'!L122+parametros_recargas!$K$95*'Plan mensual'!L123+parametros_recargas!$L$95*'Plan mensual'!L124</f>
        <v>2.61284009370491</v>
      </c>
      <c r="K121" s="25" t="n">
        <f aca="false">parametros_recargas!$E$95*'Plan mensual'!M117+parametros_recargas!$F$95*'Plan mensual'!M118+parametros_recargas!$G$95*'Plan mensual'!M119+parametros_recargas!$H$95*'Plan mensual'!M120+parametros_recargas!$I$95*'Plan mensual'!M121+parametros_recargas!$J$95*'Plan mensual'!M122+parametros_recargas!$K$95*'Plan mensual'!M123+parametros_recargas!$L$95*'Plan mensual'!M124</f>
        <v>2.6976940817254</v>
      </c>
      <c r="L121" s="25" t="n">
        <f aca="false">parametros_recargas!$E$95*'Plan mensual'!N117+parametros_recargas!$F$95*'Plan mensual'!N118+parametros_recargas!$G$95*'Plan mensual'!N119+parametros_recargas!$H$95*'Plan mensual'!N120+parametros_recargas!$I$95*'Plan mensual'!N121+parametros_recargas!$J$95*'Plan mensual'!N122+parametros_recargas!$K$95*'Plan mensual'!N123+parametros_recargas!$L$95*'Plan mensual'!N124</f>
        <v>2.78532591716245</v>
      </c>
      <c r="M121" s="25" t="n">
        <f aca="false">parametros_recargas!$E$95*'Plan mensual'!O117+parametros_recargas!$F$95*'Plan mensual'!O118+parametros_recargas!$G$95*'Plan mensual'!O119+parametros_recargas!$H$95*'Plan mensual'!O120+parametros_recargas!$I$95*'Plan mensual'!O121+parametros_recargas!$J$95*'Plan mensual'!O122+parametros_recargas!$K$95*'Plan mensual'!O123+parametros_recargas!$L$95*'Plan mensual'!O124</f>
        <v>2.87582653783111</v>
      </c>
      <c r="N121" s="7" t="n">
        <f aca="false">SUM(B121:M121)</f>
        <v>29.1251968931063</v>
      </c>
      <c r="O121" s="26" t="n">
        <f aca="false">MAX(B121:M121)</f>
        <v>2.87582653783111</v>
      </c>
      <c r="P121" s="15" t="n">
        <f aca="false">O121/parametros_recargas!$B$6</f>
        <v>0.0191721769188741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5" t="n">
        <f aca="false">parametros_recargas!$E$96*'Plan mensual'!D117+parametros_recargas!$F$96*'Plan mensual'!D118+parametros_recargas!$G$96*'Plan mensual'!D119+parametros_recargas!$H$96*'Plan mensual'!D120+parametros_recargas!$I$96*'Plan mensual'!D121+parametros_recargas!$J$96*'Plan mensual'!D122+parametros_recargas!$K$96*'Plan mensual'!D123+parametros_recargas!$L$96*'Plan mensual'!D124</f>
        <v>146.870536031781</v>
      </c>
      <c r="C122" s="25" t="n">
        <f aca="false">parametros_recargas!$E$96*'Plan mensual'!E117+parametros_recargas!$F$96*'Plan mensual'!E118+parametros_recargas!$G$96*'Plan mensual'!E119+parametros_recargas!$H$96*'Plan mensual'!E120+parametros_recargas!$I$96*'Plan mensual'!E121+parametros_recargas!$J$96*'Plan mensual'!E122+parametros_recargas!$K$96*'Plan mensual'!E123+parametros_recargas!$L$96*'Plan mensual'!E124</f>
        <v>151.659373459529</v>
      </c>
      <c r="D122" s="25" t="n">
        <f aca="false">parametros_recargas!$E$96*'Plan mensual'!F117+parametros_recargas!$F$96*'Plan mensual'!F118+parametros_recargas!$G$96*'Plan mensual'!F119+parametros_recargas!$H$96*'Plan mensual'!F120+parametros_recargas!$I$96*'Plan mensual'!F121+parametros_recargas!$J$96*'Plan mensual'!F122+parametros_recargas!$K$96*'Plan mensual'!F123+parametros_recargas!$L$96*'Plan mensual'!F124</f>
        <v>156.604982065477</v>
      </c>
      <c r="E122" s="25" t="n">
        <f aca="false">parametros_recargas!$E$96*'Plan mensual'!G117+parametros_recargas!$F$96*'Plan mensual'!G118+parametros_recargas!$G$96*'Plan mensual'!G119+parametros_recargas!$H$96*'Plan mensual'!G120+parametros_recargas!$I$96*'Plan mensual'!G121+parametros_recargas!$J$96*'Plan mensual'!G122+parametros_recargas!$K$96*'Plan mensual'!G123+parametros_recargas!$L$96*'Plan mensual'!G124</f>
        <v>161.712494035189</v>
      </c>
      <c r="F122" s="25" t="n">
        <f aca="false">parametros_recargas!$E$96*'Plan mensual'!H117+parametros_recargas!$F$96*'Plan mensual'!H118+parametros_recargas!$G$96*'Plan mensual'!H119+parametros_recargas!$H$96*'Plan mensual'!H120+parametros_recargas!$I$96*'Plan mensual'!H121+parametros_recargas!$J$96*'Plan mensual'!H122+parametros_recargas!$K$96*'Plan mensual'!H123+parametros_recargas!$L$96*'Plan mensual'!H124</f>
        <v>166.987209565523</v>
      </c>
      <c r="G122" s="25" t="n">
        <f aca="false">parametros_recargas!$E$96*'Plan mensual'!I117+parametros_recargas!$F$96*'Plan mensual'!I118+parametros_recargas!$G$96*'Plan mensual'!I119+parametros_recargas!$H$96*'Plan mensual'!I120+parametros_recargas!$I$96*'Plan mensual'!I121+parametros_recargas!$J$96*'Plan mensual'!I122+parametros_recargas!$K$96*'Plan mensual'!I123+parametros_recargas!$L$96*'Plan mensual'!I124</f>
        <v>172.434602364786</v>
      </c>
      <c r="H122" s="25" t="n">
        <f aca="false">parametros_recargas!$E$96*'Plan mensual'!J117+parametros_recargas!$F$96*'Plan mensual'!J118+parametros_recargas!$G$96*'Plan mensual'!J119+parametros_recargas!$H$96*'Plan mensual'!J120+parametros_recargas!$I$96*'Plan mensual'!J121+parametros_recargas!$J$96*'Plan mensual'!J122+parametros_recargas!$K$96*'Plan mensual'!J123+parametros_recargas!$L$96*'Plan mensual'!J124</f>
        <v>178.060325332934</v>
      </c>
      <c r="I122" s="25" t="n">
        <f aca="false">parametros_recargas!$E$96*'Plan mensual'!K117+parametros_recargas!$F$96*'Plan mensual'!K118+parametros_recargas!$G$96*'Plan mensual'!K119+parametros_recargas!$H$96*'Plan mensual'!K120+parametros_recargas!$I$96*'Plan mensual'!K121+parametros_recargas!$J$96*'Plan mensual'!K122+parametros_recargas!$K$96*'Plan mensual'!K123+parametros_recargas!$L$96*'Plan mensual'!K124</f>
        <v>183.870216427742</v>
      </c>
      <c r="J122" s="25" t="n">
        <f aca="false">parametros_recargas!$E$96*'Plan mensual'!L117+parametros_recargas!$F$96*'Plan mensual'!L118+parametros_recargas!$G$96*'Plan mensual'!L119+parametros_recargas!$H$96*'Plan mensual'!L120+parametros_recargas!$I$96*'Plan mensual'!L121+parametros_recargas!$J$96*'Plan mensual'!L122+parametros_recargas!$K$96*'Plan mensual'!L123+parametros_recargas!$L$96*'Plan mensual'!L124</f>
        <v>189.870304722996</v>
      </c>
      <c r="K122" s="25" t="n">
        <f aca="false">parametros_recargas!$E$96*'Plan mensual'!M117+parametros_recargas!$F$96*'Plan mensual'!M118+parametros_recargas!$G$96*'Plan mensual'!M119+parametros_recargas!$H$96*'Plan mensual'!M120+parametros_recargas!$I$96*'Plan mensual'!M121+parametros_recargas!$J$96*'Plan mensual'!M122+parametros_recargas!$K$96*'Plan mensual'!M123+parametros_recargas!$L$96*'Plan mensual'!M124</f>
        <v>196.066816665021</v>
      </c>
      <c r="L122" s="25" t="n">
        <f aca="false">parametros_recargas!$E$96*'Plan mensual'!N117+parametros_recargas!$F$96*'Plan mensual'!N118+parametros_recargas!$G$96*'Plan mensual'!N119+parametros_recargas!$H$96*'Plan mensual'!N120+parametros_recargas!$I$96*'Plan mensual'!N121+parametros_recargas!$J$96*'Plan mensual'!N122+parametros_recargas!$K$96*'Plan mensual'!N123+parametros_recargas!$L$96*'Plan mensual'!N124</f>
        <v>202.466182534025</v>
      </c>
      <c r="M122" s="25" t="n">
        <f aca="false">parametros_recargas!$E$96*'Plan mensual'!O117+parametros_recargas!$F$96*'Plan mensual'!O118+parametros_recargas!$G$96*'Plan mensual'!O119+parametros_recargas!$H$96*'Plan mensual'!O120+parametros_recargas!$I$96*'Plan mensual'!O121+parametros_recargas!$J$96*'Plan mensual'!O122+parametros_recargas!$K$96*'Plan mensual'!O123+parametros_recargas!$L$96*'Plan mensual'!O124</f>
        <v>209.075043116966</v>
      </c>
      <c r="N122" s="7" t="n">
        <f aca="false">SUM(B122:M122)</f>
        <v>2115.67808632197</v>
      </c>
      <c r="O122" s="26" t="n">
        <f aca="false">MAX(B122:M122)</f>
        <v>209.075043116966</v>
      </c>
      <c r="P122" s="15" t="n">
        <f aca="false">O122/parametros_recargas!$B$6</f>
        <v>1.39383362077977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5" t="n">
        <f aca="false">parametros_recargas!$E$97*'Plan mensual'!D117+parametros_recargas!$F$97*'Plan mensual'!D118+parametros_recargas!$G$97*'Plan mensual'!D119+parametros_recargas!$H$97*'Plan mensual'!D120+parametros_recargas!$I$97*'Plan mensual'!D121+parametros_recargas!$J$97*'Plan mensual'!D122+parametros_recargas!$K$97*'Plan mensual'!D123+parametros_recargas!$L$97*'Plan mensual'!D124</f>
        <v>2350.81948056632</v>
      </c>
      <c r="C123" s="25" t="n">
        <f aca="false">parametros_recargas!$E$97*'Plan mensual'!E117+parametros_recargas!$F$97*'Plan mensual'!E118+parametros_recargas!$G$97*'Plan mensual'!E119+parametros_recargas!$H$97*'Plan mensual'!E120+parametros_recargas!$I$97*'Plan mensual'!E121+parametros_recargas!$J$97*'Plan mensual'!E122+parametros_recargas!$K$97*'Plan mensual'!E123+parametros_recargas!$L$97*'Plan mensual'!E124</f>
        <v>2427.60863050756</v>
      </c>
      <c r="D123" s="25" t="n">
        <f aca="false">parametros_recargas!$E$97*'Plan mensual'!F117+parametros_recargas!$F$97*'Plan mensual'!F118+parametros_recargas!$G$97*'Plan mensual'!F119+parametros_recargas!$H$97*'Plan mensual'!F120+parametros_recargas!$I$97*'Plan mensual'!F121+parametros_recargas!$J$97*'Plan mensual'!F122+parametros_recargas!$K$97*'Plan mensual'!F123+parametros_recargas!$L$97*'Plan mensual'!F124</f>
        <v>2506.91161093291</v>
      </c>
      <c r="E123" s="25" t="n">
        <f aca="false">parametros_recargas!$E$97*'Plan mensual'!G117+parametros_recargas!$F$97*'Plan mensual'!G118+parametros_recargas!$G$97*'Plan mensual'!G119+parametros_recargas!$H$97*'Plan mensual'!G120+parametros_recargas!$I$97*'Plan mensual'!G121+parametros_recargas!$J$97*'Plan mensual'!G122+parametros_recargas!$K$97*'Plan mensual'!G123+parametros_recargas!$L$97*'Plan mensual'!G124</f>
        <v>2588.81071658982</v>
      </c>
      <c r="F123" s="25" t="n">
        <f aca="false">parametros_recargas!$E$97*'Plan mensual'!H117+parametros_recargas!$F$97*'Plan mensual'!H118+parametros_recargas!$G$97*'Plan mensual'!H119+parametros_recargas!$H$97*'Plan mensual'!H120+parametros_recargas!$I$97*'Plan mensual'!H121+parametros_recargas!$J$97*'Plan mensual'!H122+parametros_recargas!$K$97*'Plan mensual'!H123+parametros_recargas!$L$97*'Plan mensual'!H124</f>
        <v>2673.39093629187</v>
      </c>
      <c r="G123" s="25" t="n">
        <f aca="false">parametros_recargas!$E$97*'Plan mensual'!I117+parametros_recargas!$F$97*'Plan mensual'!I118+parametros_recargas!$G$97*'Plan mensual'!I119+parametros_recargas!$H$97*'Plan mensual'!I120+parametros_recargas!$I$97*'Plan mensual'!I121+parametros_recargas!$J$97*'Plan mensual'!I122+parametros_recargas!$K$97*'Plan mensual'!I123+parametros_recargas!$L$97*'Plan mensual'!I124</f>
        <v>2760.74004111377</v>
      </c>
      <c r="H123" s="25" t="n">
        <f aca="false">parametros_recargas!$E$97*'Plan mensual'!J117+parametros_recargas!$F$97*'Plan mensual'!J118+parametros_recargas!$G$97*'Plan mensual'!J119+parametros_recargas!$H$97*'Plan mensual'!J120+parametros_recargas!$I$97*'Plan mensual'!J121+parametros_recargas!$J$97*'Plan mensual'!J122+parametros_recargas!$K$97*'Plan mensual'!J123+parametros_recargas!$L$97*'Plan mensual'!J124</f>
        <v>2850.94867547374</v>
      </c>
      <c r="I123" s="25" t="n">
        <f aca="false">parametros_recargas!$E$97*'Plan mensual'!K117+parametros_recargas!$F$97*'Plan mensual'!K118+parametros_recargas!$G$97*'Plan mensual'!K119+parametros_recargas!$H$97*'Plan mensual'!K120+parametros_recargas!$I$97*'Plan mensual'!K121+parametros_recargas!$J$97*'Plan mensual'!K122+parametros_recargas!$K$97*'Plan mensual'!K123+parametros_recargas!$L$97*'Plan mensual'!K124</f>
        <v>2944.11045119753</v>
      </c>
      <c r="J123" s="25" t="n">
        <f aca="false">parametros_recargas!$E$97*'Plan mensual'!L117+parametros_recargas!$F$97*'Plan mensual'!L118+parametros_recargas!$G$97*'Plan mensual'!L119+parametros_recargas!$H$97*'Plan mensual'!L120+parametros_recargas!$I$97*'Plan mensual'!L121+parametros_recargas!$J$97*'Plan mensual'!L122+parametros_recargas!$K$97*'Plan mensual'!L123+parametros_recargas!$L$97*'Plan mensual'!L124</f>
        <v>3040.32204466179</v>
      </c>
      <c r="K123" s="25" t="n">
        <f aca="false">parametros_recargas!$E$97*'Plan mensual'!M117+parametros_recargas!$F$97*'Plan mensual'!M118+parametros_recargas!$G$97*'Plan mensual'!M119+parametros_recargas!$H$97*'Plan mensual'!M120+parametros_recargas!$I$97*'Plan mensual'!M121+parametros_recargas!$J$97*'Plan mensual'!M122+parametros_recargas!$K$97*'Plan mensual'!M123+parametros_recargas!$L$97*'Plan mensual'!M124</f>
        <v>3139.68329711772</v>
      </c>
      <c r="L123" s="25" t="n">
        <f aca="false">parametros_recargas!$E$97*'Plan mensual'!N117+parametros_recargas!$F$97*'Plan mensual'!N118+parametros_recargas!$G$97*'Plan mensual'!N119+parametros_recargas!$H$97*'Plan mensual'!N120+parametros_recargas!$I$97*'Plan mensual'!N121+parametros_recargas!$J$97*'Plan mensual'!N122+parametros_recargas!$K$97*'Plan mensual'!N123+parametros_recargas!$L$97*'Plan mensual'!N124</f>
        <v>3242.29731829883</v>
      </c>
      <c r="M123" s="25" t="n">
        <f aca="false">parametros_recargas!$E$97*'Plan mensual'!O117+parametros_recargas!$F$97*'Plan mensual'!O118+parametros_recargas!$G$97*'Plan mensual'!O119+parametros_recargas!$H$97*'Plan mensual'!O120+parametros_recargas!$I$97*'Plan mensual'!O121+parametros_recargas!$J$97*'Plan mensual'!O122+parametros_recargas!$K$97*'Plan mensual'!O123+parametros_recargas!$L$97*'Plan mensual'!O124</f>
        <v>3348.27059342061</v>
      </c>
      <c r="N123" s="7" t="n">
        <f aca="false">SUM(B123:M123)</f>
        <v>33873.9137961725</v>
      </c>
      <c r="O123" s="26" t="n">
        <f aca="false">MAX(B123:M123)</f>
        <v>3348.27059342061</v>
      </c>
      <c r="P123" s="15" t="n">
        <f aca="false">O123/parametros_recargas!$B$6</f>
        <v>22.3218039561374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5" t="n">
        <f aca="false">parametros_recargas!$E$98*'Plan mensual'!D117+parametros_recargas!$F$98*'Plan mensual'!D118+parametros_recargas!$G$98*'Plan mensual'!D119+parametros_recargas!$H$98*'Plan mensual'!D120+parametros_recargas!$I$98*'Plan mensual'!D121+parametros_recargas!$J$98*'Plan mensual'!D122+parametros_recargas!$K$98*'Plan mensual'!D123+parametros_recargas!$L$98*'Plan mensual'!D124</f>
        <v>2350.81948056632</v>
      </c>
      <c r="C124" s="25" t="n">
        <f aca="false">parametros_recargas!$E$98*'Plan mensual'!E117+parametros_recargas!$F$98*'Plan mensual'!E118+parametros_recargas!$G$98*'Plan mensual'!E119+parametros_recargas!$H$98*'Plan mensual'!E120+parametros_recargas!$I$98*'Plan mensual'!E121+parametros_recargas!$J$98*'Plan mensual'!E122+parametros_recargas!$K$98*'Plan mensual'!E123+parametros_recargas!$L$98*'Plan mensual'!E124</f>
        <v>2427.60863050756</v>
      </c>
      <c r="D124" s="25" t="n">
        <f aca="false">parametros_recargas!$E$98*'Plan mensual'!F117+parametros_recargas!$F$98*'Plan mensual'!F118+parametros_recargas!$G$98*'Plan mensual'!F119+parametros_recargas!$H$98*'Plan mensual'!F120+parametros_recargas!$I$98*'Plan mensual'!F121+parametros_recargas!$J$98*'Plan mensual'!F122+parametros_recargas!$K$98*'Plan mensual'!F123+parametros_recargas!$L$98*'Plan mensual'!F124</f>
        <v>2506.91161093291</v>
      </c>
      <c r="E124" s="25" t="n">
        <f aca="false">parametros_recargas!$E$98*'Plan mensual'!G117+parametros_recargas!$F$98*'Plan mensual'!G118+parametros_recargas!$G$98*'Plan mensual'!G119+parametros_recargas!$H$98*'Plan mensual'!G120+parametros_recargas!$I$98*'Plan mensual'!G121+parametros_recargas!$J$98*'Plan mensual'!G122+parametros_recargas!$K$98*'Plan mensual'!G123+parametros_recargas!$L$98*'Plan mensual'!G124</f>
        <v>2588.81071658982</v>
      </c>
      <c r="F124" s="25" t="n">
        <f aca="false">parametros_recargas!$E$98*'Plan mensual'!H117+parametros_recargas!$F$98*'Plan mensual'!H118+parametros_recargas!$G$98*'Plan mensual'!H119+parametros_recargas!$H$98*'Plan mensual'!H120+parametros_recargas!$I$98*'Plan mensual'!H121+parametros_recargas!$J$98*'Plan mensual'!H122+parametros_recargas!$K$98*'Plan mensual'!H123+parametros_recargas!$L$98*'Plan mensual'!H124</f>
        <v>2673.39093629187</v>
      </c>
      <c r="G124" s="25" t="n">
        <f aca="false">parametros_recargas!$E$98*'Plan mensual'!I117+parametros_recargas!$F$98*'Plan mensual'!I118+parametros_recargas!$G$98*'Plan mensual'!I119+parametros_recargas!$H$98*'Plan mensual'!I120+parametros_recargas!$I$98*'Plan mensual'!I121+parametros_recargas!$J$98*'Plan mensual'!I122+parametros_recargas!$K$98*'Plan mensual'!I123+parametros_recargas!$L$98*'Plan mensual'!I124</f>
        <v>2760.74004111377</v>
      </c>
      <c r="H124" s="25" t="n">
        <f aca="false">parametros_recargas!$E$98*'Plan mensual'!J117+parametros_recargas!$F$98*'Plan mensual'!J118+parametros_recargas!$G$98*'Plan mensual'!J119+parametros_recargas!$H$98*'Plan mensual'!J120+parametros_recargas!$I$98*'Plan mensual'!J121+parametros_recargas!$J$98*'Plan mensual'!J122+parametros_recargas!$K$98*'Plan mensual'!J123+parametros_recargas!$L$98*'Plan mensual'!J124</f>
        <v>2850.94867547374</v>
      </c>
      <c r="I124" s="25" t="n">
        <f aca="false">parametros_recargas!$E$98*'Plan mensual'!K117+parametros_recargas!$F$98*'Plan mensual'!K118+parametros_recargas!$G$98*'Plan mensual'!K119+parametros_recargas!$H$98*'Plan mensual'!K120+parametros_recargas!$I$98*'Plan mensual'!K121+parametros_recargas!$J$98*'Plan mensual'!K122+parametros_recargas!$K$98*'Plan mensual'!K123+parametros_recargas!$L$98*'Plan mensual'!K124</f>
        <v>2944.11045119753</v>
      </c>
      <c r="J124" s="25" t="n">
        <f aca="false">parametros_recargas!$E$98*'Plan mensual'!L117+parametros_recargas!$F$98*'Plan mensual'!L118+parametros_recargas!$G$98*'Plan mensual'!L119+parametros_recargas!$H$98*'Plan mensual'!L120+parametros_recargas!$I$98*'Plan mensual'!L121+parametros_recargas!$J$98*'Plan mensual'!L122+parametros_recargas!$K$98*'Plan mensual'!L123+parametros_recargas!$L$98*'Plan mensual'!L124</f>
        <v>3040.32204466179</v>
      </c>
      <c r="K124" s="25" t="n">
        <f aca="false">parametros_recargas!$E$98*'Plan mensual'!M117+parametros_recargas!$F$98*'Plan mensual'!M118+parametros_recargas!$G$98*'Plan mensual'!M119+parametros_recargas!$H$98*'Plan mensual'!M120+parametros_recargas!$I$98*'Plan mensual'!M121+parametros_recargas!$J$98*'Plan mensual'!M122+parametros_recargas!$K$98*'Plan mensual'!M123+parametros_recargas!$L$98*'Plan mensual'!M124</f>
        <v>3139.68329711772</v>
      </c>
      <c r="L124" s="25" t="n">
        <f aca="false">parametros_recargas!$E$98*'Plan mensual'!N117+parametros_recargas!$F$98*'Plan mensual'!N118+parametros_recargas!$G$98*'Plan mensual'!N119+parametros_recargas!$H$98*'Plan mensual'!N120+parametros_recargas!$I$98*'Plan mensual'!N121+parametros_recargas!$J$98*'Plan mensual'!N122+parametros_recargas!$K$98*'Plan mensual'!N123+parametros_recargas!$L$98*'Plan mensual'!N124</f>
        <v>3242.29731829883</v>
      </c>
      <c r="M124" s="25" t="n">
        <f aca="false">parametros_recargas!$E$98*'Plan mensual'!O117+parametros_recargas!$F$98*'Plan mensual'!O118+parametros_recargas!$G$98*'Plan mensual'!O119+parametros_recargas!$H$98*'Plan mensual'!O120+parametros_recargas!$I$98*'Plan mensual'!O121+parametros_recargas!$J$98*'Plan mensual'!O122+parametros_recargas!$K$98*'Plan mensual'!O123+parametros_recargas!$L$98*'Plan mensual'!O124</f>
        <v>3348.27059342061</v>
      </c>
      <c r="N124" s="7" t="n">
        <f aca="false">SUM(B124:M124)</f>
        <v>33873.9137961725</v>
      </c>
      <c r="O124" s="26" t="n">
        <f aca="false">MAX(B124:M124)</f>
        <v>3348.27059342061</v>
      </c>
      <c r="P124" s="15" t="n">
        <f aca="false">O124/parametros_recargas!$B$6</f>
        <v>22.3218039561374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5" t="n">
        <f aca="false">parametros_recargas!$E$99*'Plan mensual'!D117+parametros_recargas!$F$99*'Plan mensual'!D118+parametros_recargas!$G$99*'Plan mensual'!D119+parametros_recargas!$H$99*'Plan mensual'!D120+parametros_recargas!$I$99*'Plan mensual'!D121+parametros_recargas!$J$99*'Plan mensual'!D122+parametros_recargas!$K$99*'Plan mensual'!D123+parametros_recargas!$L$99*'Plan mensual'!D124</f>
        <v>184.713212958123</v>
      </c>
      <c r="C125" s="25" t="n">
        <f aca="false">parametros_recargas!$E$99*'Plan mensual'!E117+parametros_recargas!$F$99*'Plan mensual'!E118+parametros_recargas!$G$99*'Plan mensual'!E119+parametros_recargas!$H$99*'Plan mensual'!E120+parametros_recargas!$I$99*'Plan mensual'!E121+parametros_recargas!$J$99*'Plan mensual'!E122+parametros_recargas!$K$99*'Plan mensual'!E123+parametros_recargas!$L$99*'Plan mensual'!E124</f>
        <v>190.747009124021</v>
      </c>
      <c r="D125" s="25" t="n">
        <f aca="false">parametros_recargas!$E$99*'Plan mensual'!F117+parametros_recargas!$F$99*'Plan mensual'!F118+parametros_recargas!$G$99*'Plan mensual'!F119+parametros_recargas!$H$99*'Plan mensual'!F120+parametros_recargas!$I$99*'Plan mensual'!F121+parametros_recargas!$J$99*'Plan mensual'!F122+parametros_recargas!$K$99*'Plan mensual'!F123+parametros_recargas!$L$99*'Plan mensual'!F124</f>
        <v>196.978332424264</v>
      </c>
      <c r="E125" s="25" t="n">
        <f aca="false">parametros_recargas!$E$99*'Plan mensual'!G117+parametros_recargas!$F$99*'Plan mensual'!G118+parametros_recargas!$G$99*'Plan mensual'!G119+parametros_recargas!$H$99*'Plan mensual'!G120+parametros_recargas!$I$99*'Plan mensual'!G121+parametros_recargas!$J$99*'Plan mensual'!G122+parametros_recargas!$K$99*'Plan mensual'!G123+parametros_recargas!$L$99*'Plan mensual'!G124</f>
        <v>203.413649263704</v>
      </c>
      <c r="F125" s="25" t="n">
        <f aca="false">parametros_recargas!$E$99*'Plan mensual'!H117+parametros_recargas!$F$99*'Plan mensual'!H118+parametros_recargas!$G$99*'Plan mensual'!H119+parametros_recargas!$H$99*'Plan mensual'!H120+parametros_recargas!$I$99*'Plan mensual'!H121+parametros_recargas!$J$99*'Plan mensual'!H122+parametros_recargas!$K$99*'Plan mensual'!H123+parametros_recargas!$L$99*'Plan mensual'!H124</f>
        <v>210.059637736548</v>
      </c>
      <c r="G125" s="25" t="n">
        <f aca="false">parametros_recargas!$E$99*'Plan mensual'!I117+parametros_recargas!$F$99*'Plan mensual'!I118+parametros_recargas!$G$99*'Plan mensual'!I119+parametros_recargas!$H$99*'Plan mensual'!I120+parametros_recargas!$I$99*'Plan mensual'!I121+parametros_recargas!$J$99*'Plan mensual'!I122+parametros_recargas!$K$99*'Plan mensual'!I123+parametros_recargas!$L$99*'Plan mensual'!I124</f>
        <v>216.923194556389</v>
      </c>
      <c r="H125" s="25" t="n">
        <f aca="false">parametros_recargas!$E$99*'Plan mensual'!J117+parametros_recargas!$F$99*'Plan mensual'!J118+parametros_recargas!$G$99*'Plan mensual'!J119+parametros_recargas!$H$99*'Plan mensual'!J120+parametros_recargas!$I$99*'Plan mensual'!J121+parametros_recargas!$J$99*'Plan mensual'!J122+parametros_recargas!$K$99*'Plan mensual'!J123+parametros_recargas!$L$99*'Plan mensual'!J124</f>
        <v>224.011442213103</v>
      </c>
      <c r="I125" s="25" t="n">
        <f aca="false">parametros_recargas!$E$99*'Plan mensual'!K117+parametros_recargas!$F$99*'Plan mensual'!K118+parametros_recargas!$G$99*'Plan mensual'!K119+parametros_recargas!$H$99*'Plan mensual'!K120+parametros_recargas!$I$99*'Plan mensual'!K121+parametros_recargas!$J$99*'Plan mensual'!K122+parametros_recargas!$K$99*'Plan mensual'!K123+parametros_recargas!$L$99*'Plan mensual'!K124</f>
        <v>231.331736364041</v>
      </c>
      <c r="J125" s="25" t="n">
        <f aca="false">parametros_recargas!$E$99*'Plan mensual'!L117+parametros_recargas!$F$99*'Plan mensual'!L118+parametros_recargas!$G$99*'Plan mensual'!L119+parametros_recargas!$H$99*'Plan mensual'!L120+parametros_recargas!$I$99*'Plan mensual'!L121+parametros_recargas!$J$99*'Plan mensual'!L122+parametros_recargas!$K$99*'Plan mensual'!L123+parametros_recargas!$L$99*'Plan mensual'!L124</f>
        <v>238.891673467184</v>
      </c>
      <c r="K125" s="25" t="n">
        <f aca="false">parametros_recargas!$E$99*'Plan mensual'!M117+parametros_recargas!$F$99*'Plan mensual'!M118+parametros_recargas!$G$99*'Plan mensual'!M119+parametros_recargas!$H$99*'Plan mensual'!M120+parametros_recargas!$I$99*'Plan mensual'!M121+parametros_recargas!$J$99*'Plan mensual'!M122+parametros_recargas!$K$99*'Plan mensual'!M123+parametros_recargas!$L$99*'Plan mensual'!M124</f>
        <v>246.699098664183</v>
      </c>
      <c r="L125" s="25" t="n">
        <f aca="false">parametros_recargas!$E$99*'Plan mensual'!N117+parametros_recargas!$F$99*'Plan mensual'!N118+parametros_recargas!$G$99*'Plan mensual'!N119+parametros_recargas!$H$99*'Plan mensual'!N120+parametros_recargas!$I$99*'Plan mensual'!N121+parametros_recargas!$J$99*'Plan mensual'!N122+parametros_recargas!$K$99*'Plan mensual'!N123+parametros_recargas!$L$99*'Plan mensual'!N124</f>
        <v>254.762113921465</v>
      </c>
      <c r="M125" s="25" t="n">
        <f aca="false">parametros_recargas!$E$99*'Plan mensual'!O117+parametros_recargas!$F$99*'Plan mensual'!O118+parametros_recargas!$G$99*'Plan mensual'!O119+parametros_recargas!$H$99*'Plan mensual'!O120+parametros_recargas!$I$99*'Plan mensual'!O121+parametros_recargas!$J$99*'Plan mensual'!O122+parametros_recargas!$K$99*'Plan mensual'!O123+parametros_recargas!$L$99*'Plan mensual'!O124</f>
        <v>263.089086437852</v>
      </c>
      <c r="N125" s="7" t="n">
        <f aca="false">SUM(B125:M125)</f>
        <v>2661.62018713088</v>
      </c>
      <c r="O125" s="26" t="n">
        <f aca="false">MAX(B125:M125)</f>
        <v>263.089086437852</v>
      </c>
      <c r="P125" s="15" t="n">
        <f aca="false">O125/parametros_recargas!$B$6</f>
        <v>1.75392724291901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5" t="n">
        <f aca="false">'Plan mensual'!D125</f>
        <v>82.7428148385678</v>
      </c>
      <c r="C126" s="25" t="n">
        <f aca="false">'Plan mensual'!E125</f>
        <v>85.4188124235738</v>
      </c>
      <c r="D126" s="25" t="n">
        <f aca="false">'Plan mensual'!F125</f>
        <v>88.1824135868161</v>
      </c>
      <c r="E126" s="25" t="n">
        <f aca="false">'Plan mensual'!G125</f>
        <v>91.036486188476</v>
      </c>
      <c r="F126" s="25" t="n">
        <f aca="false">'Plan mensual'!H125</f>
        <v>93.9839919732793</v>
      </c>
      <c r="G126" s="25" t="n">
        <f aca="false">'Plan mensual'!I125</f>
        <v>97.0279896439752</v>
      </c>
      <c r="H126" s="25" t="n">
        <f aca="false">'Plan mensual'!J125</f>
        <v>100.17163803543</v>
      </c>
      <c r="I126" s="25" t="n">
        <f aca="false">'Plan mensual'!K125</f>
        <v>103.418199392633</v>
      </c>
      <c r="J126" s="25" t="n">
        <f aca="false">'Plan mensual'!L125</f>
        <v>106.771042756011</v>
      </c>
      <c r="K126" s="25" t="n">
        <f aca="false">'Plan mensual'!M125</f>
        <v>110.23364745757</v>
      </c>
      <c r="L126" s="25" t="n">
        <f aca="false">'Plan mensual'!N125</f>
        <v>113.809606731485</v>
      </c>
      <c r="M126" s="25" t="n">
        <f aca="false">'Plan mensual'!O125</f>
        <v>117.502631442893</v>
      </c>
      <c r="N126" s="7" t="n">
        <f aca="false">SUM(B126:M126)</f>
        <v>1190.29927447071</v>
      </c>
      <c r="O126" s="26" t="n">
        <f aca="false">MAX(B126:M126)</f>
        <v>117.502631442893</v>
      </c>
      <c r="P126" s="15" t="n">
        <f aca="false">O126/parametros_recargas!$B$6</f>
        <v>0.783350876285955</v>
      </c>
    </row>
    <row r="129" customFormat="false" ht="23.85" hidden="false" customHeight="false" outlineLevel="0" collapsed="false">
      <c r="A129" s="3" t="s">
        <v>283</v>
      </c>
      <c r="B129" s="3" t="s">
        <v>124</v>
      </c>
      <c r="C129" s="3" t="s">
        <v>125</v>
      </c>
      <c r="D129" s="3" t="s">
        <v>126</v>
      </c>
      <c r="E129" s="3" t="s">
        <v>127</v>
      </c>
      <c r="F129" s="3" t="s">
        <v>128</v>
      </c>
      <c r="G129" s="3" t="s">
        <v>129</v>
      </c>
      <c r="H129" s="3" t="s">
        <v>130</v>
      </c>
      <c r="I129" s="3" t="s">
        <v>131</v>
      </c>
      <c r="J129" s="3" t="s">
        <v>132</v>
      </c>
      <c r="K129" s="3" t="s">
        <v>133</v>
      </c>
      <c r="L129" s="3" t="s">
        <v>134</v>
      </c>
      <c r="M129" s="3" t="s">
        <v>135</v>
      </c>
      <c r="N129" s="3" t="s">
        <v>277</v>
      </c>
      <c r="O129" s="3" t="s">
        <v>278</v>
      </c>
      <c r="P129" s="3" t="s">
        <v>279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25" t="n">
        <f aca="false">parametros_recargas!$E$72*'Plan mensual'!D149+parametros_recargas!$F$72*'Plan mensual'!D150+parametros_recargas!$G$72*'Plan mensual'!D151+parametros_recargas!$H$72*'Plan mensual'!D152+parametros_recargas!$I$72*'Plan mensual'!D153+parametros_recargas!$J$72*'Plan mensual'!D154+parametros_recargas!$K$72*'Plan mensual'!D155+parametros_recargas!$L$72*'Plan mensual'!D156</f>
        <v>3592.15084576101</v>
      </c>
      <c r="C130" s="25" t="n">
        <f aca="false">parametros_recargas!$E$72*'Plan mensual'!E149+parametros_recargas!$F$72*'Plan mensual'!E150+parametros_recargas!$G$72*'Plan mensual'!E151+parametros_recargas!$H$72*'Plan mensual'!E152+parametros_recargas!$I$72*'Plan mensual'!E153+parametros_recargas!$J$72*'Plan mensual'!E154+parametros_recargas!$K$72*'Plan mensual'!E155+parametros_recargas!$L$72*'Plan mensual'!E156</f>
        <v>3685.4269421266</v>
      </c>
      <c r="D130" s="25" t="n">
        <f aca="false">parametros_recargas!$E$72*'Plan mensual'!F149+parametros_recargas!$F$72*'Plan mensual'!F150+parametros_recargas!$G$72*'Plan mensual'!F151+parametros_recargas!$H$72*'Plan mensual'!F152+parametros_recargas!$I$72*'Plan mensual'!F153+parametros_recargas!$J$72*'Plan mensual'!F154+parametros_recargas!$K$72*'Plan mensual'!F155+parametros_recargas!$L$72*'Plan mensual'!F156</f>
        <v>3781.13051170066</v>
      </c>
      <c r="E130" s="25" t="n">
        <f aca="false">parametros_recargas!$E$72*'Plan mensual'!G149+parametros_recargas!$F$72*'Plan mensual'!G150+parametros_recargas!$G$72*'Plan mensual'!G151+parametros_recargas!$H$72*'Plan mensual'!G152+parametros_recargas!$I$72*'Plan mensual'!G153+parametros_recargas!$J$72*'Plan mensual'!G154+parametros_recargas!$K$72*'Plan mensual'!G155+parametros_recargas!$L$72*'Plan mensual'!G156</f>
        <v>3879.32472850534</v>
      </c>
      <c r="F130" s="25" t="n">
        <f aca="false">parametros_recargas!$E$72*'Plan mensual'!H149+parametros_recargas!$F$72*'Plan mensual'!H150+parametros_recargas!$G$72*'Plan mensual'!H151+parametros_recargas!$H$72*'Plan mensual'!H152+parametros_recargas!$I$72*'Plan mensual'!H153+parametros_recargas!$J$72*'Plan mensual'!H154+parametros_recargas!$K$72*'Plan mensual'!H155+parametros_recargas!$L$72*'Plan mensual'!H156</f>
        <v>3980.07441064152</v>
      </c>
      <c r="G130" s="25" t="n">
        <f aca="false">parametros_recargas!$E$72*'Plan mensual'!I149+parametros_recargas!$F$72*'Plan mensual'!I150+parametros_recargas!$G$72*'Plan mensual'!I151+parametros_recargas!$H$72*'Plan mensual'!I152+parametros_recargas!$I$72*'Plan mensual'!I153+parametros_recargas!$J$72*'Plan mensual'!I154+parametros_recargas!$K$72*'Plan mensual'!I155+parametros_recargas!$L$72*'Plan mensual'!I156</f>
        <v>4083.44606307531</v>
      </c>
      <c r="H130" s="25" t="n">
        <f aca="false">parametros_recargas!$E$72*'Plan mensual'!J149+parametros_recargas!$F$72*'Plan mensual'!J150+parametros_recargas!$G$72*'Plan mensual'!J151+parametros_recargas!$H$72*'Plan mensual'!J152+parametros_recargas!$I$72*'Plan mensual'!J153+parametros_recargas!$J$72*'Plan mensual'!J154+parametros_recargas!$K$72*'Plan mensual'!J155+parametros_recargas!$L$72*'Plan mensual'!J156</f>
        <v>4189.50792153804</v>
      </c>
      <c r="I130" s="25" t="n">
        <f aca="false">parametros_recargas!$E$72*'Plan mensual'!K149+parametros_recargas!$F$72*'Plan mensual'!K150+parametros_recargas!$G$72*'Plan mensual'!K151+parametros_recargas!$H$72*'Plan mensual'!K152+parametros_recargas!$I$72*'Plan mensual'!K153+parametros_recargas!$J$72*'Plan mensual'!K154+parametros_recargas!$K$72*'Plan mensual'!K155+parametros_recargas!$L$72*'Plan mensual'!K156</f>
        <v>4298.32999756872</v>
      </c>
      <c r="J130" s="25" t="n">
        <f aca="false">parametros_recargas!$E$72*'Plan mensual'!L149+parametros_recargas!$F$72*'Plan mensual'!L150+parametros_recargas!$G$72*'Plan mensual'!L151+parametros_recargas!$H$72*'Plan mensual'!L152+parametros_recargas!$I$72*'Plan mensual'!L153+parametros_recargas!$J$72*'Plan mensual'!L154+parametros_recargas!$K$72*'Plan mensual'!L155+parametros_recargas!$L$72*'Plan mensual'!L156</f>
        <v>4409.98412472877</v>
      </c>
      <c r="K130" s="25" t="n">
        <f aca="false">parametros_recargas!$E$72*'Plan mensual'!M149+parametros_recargas!$F$72*'Plan mensual'!M150+parametros_recargas!$G$72*'Plan mensual'!M151+parametros_recargas!$H$72*'Plan mensual'!M152+parametros_recargas!$I$72*'Plan mensual'!M153+parametros_recargas!$J$72*'Plan mensual'!M154+parametros_recargas!$K$72*'Plan mensual'!M155+parametros_recargas!$L$72*'Plan mensual'!M156</f>
        <v>4524.54400601937</v>
      </c>
      <c r="L130" s="25" t="n">
        <f aca="false">parametros_recargas!$E$72*'Plan mensual'!N149+parametros_recargas!$F$72*'Plan mensual'!N150+parametros_recargas!$G$72*'Plan mensual'!N151+parametros_recargas!$H$72*'Plan mensual'!N152+parametros_recargas!$I$72*'Plan mensual'!N153+parametros_recargas!$J$72*'Plan mensual'!N154+parametros_recargas!$K$72*'Plan mensual'!N155+parametros_recargas!$L$72*'Plan mensual'!N156</f>
        <v>4642.08526253293</v>
      </c>
      <c r="M130" s="25" t="n">
        <f aca="false">parametros_recargas!$E$72*'Plan mensual'!O149+parametros_recargas!$F$72*'Plan mensual'!O150+parametros_recargas!$G$72*'Plan mensual'!O151+parametros_recargas!$H$72*'Plan mensual'!O152+parametros_recargas!$I$72*'Plan mensual'!O153+parametros_recargas!$J$72*'Plan mensual'!O154+parametros_recargas!$K$72*'Plan mensual'!O155+parametros_recargas!$L$72*'Plan mensual'!O156</f>
        <v>4762.68548337062</v>
      </c>
      <c r="N130" s="7" t="n">
        <f aca="false">SUM(B130:M130)</f>
        <v>49828.6902975689</v>
      </c>
      <c r="O130" s="26" t="n">
        <f aca="false">MAX(B130:M130)</f>
        <v>4762.68548337062</v>
      </c>
      <c r="P130" s="15" t="n">
        <f aca="false">O130/parametros_recargas!$B$6</f>
        <v>31.7512365558041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25" t="n">
        <f aca="false">parametros_recargas!$E$73*'Plan mensual'!D149+parametros_recargas!$F$73*'Plan mensual'!D150+parametros_recargas!$G$73*'Plan mensual'!D151+parametros_recargas!$H$73*'Plan mensual'!D152+parametros_recargas!$I$73*'Plan mensual'!D153+parametros_recargas!$J$73*'Plan mensual'!D154+parametros_recargas!$K$73*'Plan mensual'!D155+parametros_recargas!$L$73*'Plan mensual'!D156</f>
        <v>3592.15084576101</v>
      </c>
      <c r="C131" s="25" t="n">
        <f aca="false">parametros_recargas!$E$73*'Plan mensual'!E149+parametros_recargas!$F$73*'Plan mensual'!E150+parametros_recargas!$G$73*'Plan mensual'!E151+parametros_recargas!$H$73*'Plan mensual'!E152+parametros_recargas!$I$73*'Plan mensual'!E153+parametros_recargas!$J$73*'Plan mensual'!E154+parametros_recargas!$K$73*'Plan mensual'!E155+parametros_recargas!$L$73*'Plan mensual'!E156</f>
        <v>3685.4269421266</v>
      </c>
      <c r="D131" s="25" t="n">
        <f aca="false">parametros_recargas!$E$73*'Plan mensual'!F149+parametros_recargas!$F$73*'Plan mensual'!F150+parametros_recargas!$G$73*'Plan mensual'!F151+parametros_recargas!$H$73*'Plan mensual'!F152+parametros_recargas!$I$73*'Plan mensual'!F153+parametros_recargas!$J$73*'Plan mensual'!F154+parametros_recargas!$K$73*'Plan mensual'!F155+parametros_recargas!$L$73*'Plan mensual'!F156</f>
        <v>3781.13051170066</v>
      </c>
      <c r="E131" s="25" t="n">
        <f aca="false">parametros_recargas!$E$73*'Plan mensual'!G149+parametros_recargas!$F$73*'Plan mensual'!G150+parametros_recargas!$G$73*'Plan mensual'!G151+parametros_recargas!$H$73*'Plan mensual'!G152+parametros_recargas!$I$73*'Plan mensual'!G153+parametros_recargas!$J$73*'Plan mensual'!G154+parametros_recargas!$K$73*'Plan mensual'!G155+parametros_recargas!$L$73*'Plan mensual'!G156</f>
        <v>3879.32472850534</v>
      </c>
      <c r="F131" s="25" t="n">
        <f aca="false">parametros_recargas!$E$73*'Plan mensual'!H149+parametros_recargas!$F$73*'Plan mensual'!H150+parametros_recargas!$G$73*'Plan mensual'!H151+parametros_recargas!$H$73*'Plan mensual'!H152+parametros_recargas!$I$73*'Plan mensual'!H153+parametros_recargas!$J$73*'Plan mensual'!H154+parametros_recargas!$K$73*'Plan mensual'!H155+parametros_recargas!$L$73*'Plan mensual'!H156</f>
        <v>3980.07441064152</v>
      </c>
      <c r="G131" s="25" t="n">
        <f aca="false">parametros_recargas!$E$73*'Plan mensual'!I149+parametros_recargas!$F$73*'Plan mensual'!I150+parametros_recargas!$G$73*'Plan mensual'!I151+parametros_recargas!$H$73*'Plan mensual'!I152+parametros_recargas!$I$73*'Plan mensual'!I153+parametros_recargas!$J$73*'Plan mensual'!I154+parametros_recargas!$K$73*'Plan mensual'!I155+parametros_recargas!$L$73*'Plan mensual'!I156</f>
        <v>4083.44606307531</v>
      </c>
      <c r="H131" s="25" t="n">
        <f aca="false">parametros_recargas!$E$73*'Plan mensual'!J149+parametros_recargas!$F$73*'Plan mensual'!J150+parametros_recargas!$G$73*'Plan mensual'!J151+parametros_recargas!$H$73*'Plan mensual'!J152+parametros_recargas!$I$73*'Plan mensual'!J153+parametros_recargas!$J$73*'Plan mensual'!J154+parametros_recargas!$K$73*'Plan mensual'!J155+parametros_recargas!$L$73*'Plan mensual'!J156</f>
        <v>4189.50792153804</v>
      </c>
      <c r="I131" s="25" t="n">
        <f aca="false">parametros_recargas!$E$73*'Plan mensual'!K149+parametros_recargas!$F$73*'Plan mensual'!K150+parametros_recargas!$G$73*'Plan mensual'!K151+parametros_recargas!$H$73*'Plan mensual'!K152+parametros_recargas!$I$73*'Plan mensual'!K153+parametros_recargas!$J$73*'Plan mensual'!K154+parametros_recargas!$K$73*'Plan mensual'!K155+parametros_recargas!$L$73*'Plan mensual'!K156</f>
        <v>4298.32999756872</v>
      </c>
      <c r="J131" s="25" t="n">
        <f aca="false">parametros_recargas!$E$73*'Plan mensual'!L149+parametros_recargas!$F$73*'Plan mensual'!L150+parametros_recargas!$G$73*'Plan mensual'!L151+parametros_recargas!$H$73*'Plan mensual'!L152+parametros_recargas!$I$73*'Plan mensual'!L153+parametros_recargas!$J$73*'Plan mensual'!L154+parametros_recargas!$K$73*'Plan mensual'!L155+parametros_recargas!$L$73*'Plan mensual'!L156</f>
        <v>4409.98412472877</v>
      </c>
      <c r="K131" s="25" t="n">
        <f aca="false">parametros_recargas!$E$73*'Plan mensual'!M149+parametros_recargas!$F$73*'Plan mensual'!M150+parametros_recargas!$G$73*'Plan mensual'!M151+parametros_recargas!$H$73*'Plan mensual'!M152+parametros_recargas!$I$73*'Plan mensual'!M153+parametros_recargas!$J$73*'Plan mensual'!M154+parametros_recargas!$K$73*'Plan mensual'!M155+parametros_recargas!$L$73*'Plan mensual'!M156</f>
        <v>4524.54400601937</v>
      </c>
      <c r="L131" s="25" t="n">
        <f aca="false">parametros_recargas!$E$73*'Plan mensual'!N149+parametros_recargas!$F$73*'Plan mensual'!N150+parametros_recargas!$G$73*'Plan mensual'!N151+parametros_recargas!$H$73*'Plan mensual'!N152+parametros_recargas!$I$73*'Plan mensual'!N153+parametros_recargas!$J$73*'Plan mensual'!N154+parametros_recargas!$K$73*'Plan mensual'!N155+parametros_recargas!$L$73*'Plan mensual'!N156</f>
        <v>4642.08526253293</v>
      </c>
      <c r="M131" s="25" t="n">
        <f aca="false">parametros_recargas!$E$73*'Plan mensual'!O149+parametros_recargas!$F$73*'Plan mensual'!O150+parametros_recargas!$G$73*'Plan mensual'!O151+parametros_recargas!$H$73*'Plan mensual'!O152+parametros_recargas!$I$73*'Plan mensual'!O153+parametros_recargas!$J$73*'Plan mensual'!O154+parametros_recargas!$K$73*'Plan mensual'!O155+parametros_recargas!$L$73*'Plan mensual'!O156</f>
        <v>4762.68548337062</v>
      </c>
      <c r="N131" s="7" t="n">
        <f aca="false">SUM(B131:M131)</f>
        <v>49828.6902975689</v>
      </c>
      <c r="O131" s="26" t="n">
        <f aca="false">MAX(B131:M131)</f>
        <v>4762.68548337062</v>
      </c>
      <c r="P131" s="15" t="n">
        <f aca="false">O131/parametros_recargas!$B$6</f>
        <v>31.7512365558041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25" t="n">
        <f aca="false">parametros_recargas!$E$74*'Plan mensual'!D149+parametros_recargas!$F$74*'Plan mensual'!D150+parametros_recargas!$G$74*'Plan mensual'!D151+parametros_recargas!$H$74*'Plan mensual'!D152+parametros_recargas!$I$74*'Plan mensual'!D153+parametros_recargas!$J$74*'Plan mensual'!D154+parametros_recargas!$K$74*'Plan mensual'!D155+parametros_recargas!$L$74*'Plan mensual'!D156</f>
        <v>2638.91677615941</v>
      </c>
      <c r="C132" s="25" t="n">
        <f aca="false">parametros_recargas!$E$74*'Plan mensual'!E149+parametros_recargas!$F$74*'Plan mensual'!E150+parametros_recargas!$G$74*'Plan mensual'!E151+parametros_recargas!$H$74*'Plan mensual'!E152+parametros_recargas!$I$74*'Plan mensual'!E153+parametros_recargas!$J$74*'Plan mensual'!E154+parametros_recargas!$K$74*'Plan mensual'!E155+parametros_recargas!$L$74*'Plan mensual'!E156</f>
        <v>2707.46818100339</v>
      </c>
      <c r="D132" s="25" t="n">
        <f aca="false">parametros_recargas!$E$74*'Plan mensual'!F149+parametros_recargas!$F$74*'Plan mensual'!F150+parametros_recargas!$G$74*'Plan mensual'!F151+parametros_recargas!$H$74*'Plan mensual'!F152+parametros_recargas!$I$74*'Plan mensual'!F153+parametros_recargas!$J$74*'Plan mensual'!F154+parametros_recargas!$K$74*'Plan mensual'!F155+parametros_recargas!$L$74*'Plan mensual'!F156</f>
        <v>2777.80360881944</v>
      </c>
      <c r="E132" s="25" t="n">
        <f aca="false">parametros_recargas!$E$74*'Plan mensual'!G149+parametros_recargas!$F$74*'Plan mensual'!G150+parametros_recargas!$G$74*'Plan mensual'!G151+parametros_recargas!$H$74*'Plan mensual'!G152+parametros_recargas!$I$74*'Plan mensual'!G153+parametros_recargas!$J$74*'Plan mensual'!G154+parametros_recargas!$K$74*'Plan mensual'!G155+parametros_recargas!$L$74*'Plan mensual'!G156</f>
        <v>2849.96948809393</v>
      </c>
      <c r="F132" s="25" t="n">
        <f aca="false">parametros_recargas!$E$74*'Plan mensual'!H149+parametros_recargas!$F$74*'Plan mensual'!H150+parametros_recargas!$G$74*'Plan mensual'!H151+parametros_recargas!$H$74*'Plan mensual'!H152+parametros_recargas!$I$74*'Plan mensual'!H153+parametros_recargas!$J$74*'Plan mensual'!H154+parametros_recargas!$K$74*'Plan mensual'!H155+parametros_recargas!$L$74*'Plan mensual'!H156</f>
        <v>2924.01345559607</v>
      </c>
      <c r="G132" s="25" t="n">
        <f aca="false">parametros_recargas!$E$74*'Plan mensual'!I149+parametros_recargas!$F$74*'Plan mensual'!I150+parametros_recargas!$G$74*'Plan mensual'!I151+parametros_recargas!$H$74*'Plan mensual'!I152+parametros_recargas!$I$74*'Plan mensual'!I153+parametros_recargas!$J$74*'Plan mensual'!I154+parametros_recargas!$K$74*'Plan mensual'!I155+parametros_recargas!$L$74*'Plan mensual'!I156</f>
        <v>2999.98438782297</v>
      </c>
      <c r="H132" s="25" t="n">
        <f aca="false">parametros_recargas!$E$74*'Plan mensual'!J149+parametros_recargas!$F$74*'Plan mensual'!J150+parametros_recargas!$G$74*'Plan mensual'!J151+parametros_recargas!$H$74*'Plan mensual'!J152+parametros_recargas!$I$74*'Plan mensual'!J153+parametros_recargas!$J$74*'Plan mensual'!J154+parametros_recargas!$K$74*'Plan mensual'!J155+parametros_recargas!$L$74*'Plan mensual'!J156</f>
        <v>3077.9324332631</v>
      </c>
      <c r="I132" s="25" t="n">
        <f aca="false">parametros_recargas!$E$74*'Plan mensual'!K149+parametros_recargas!$F$74*'Plan mensual'!K150+parametros_recargas!$G$74*'Plan mensual'!K151+parametros_recargas!$H$74*'Plan mensual'!K152+parametros_recargas!$I$74*'Plan mensual'!K153+parametros_recargas!$J$74*'Plan mensual'!K154+parametros_recargas!$K$74*'Plan mensual'!K155+parametros_recargas!$L$74*'Plan mensual'!K156</f>
        <v>3157.90904549935</v>
      </c>
      <c r="J132" s="25" t="n">
        <f aca="false">parametros_recargas!$E$74*'Plan mensual'!L149+parametros_recargas!$F$74*'Plan mensual'!L150+parametros_recargas!$G$74*'Plan mensual'!L151+parametros_recargas!$H$74*'Plan mensual'!L152+parametros_recargas!$I$74*'Plan mensual'!L153+parametros_recargas!$J$74*'Plan mensual'!L154+parametros_recargas!$K$74*'Plan mensual'!L155+parametros_recargas!$L$74*'Plan mensual'!L156</f>
        <v>3239.96701717357</v>
      </c>
      <c r="K132" s="25" t="n">
        <f aca="false">parametros_recargas!$E$74*'Plan mensual'!M149+parametros_recargas!$F$74*'Plan mensual'!M150+parametros_recargas!$G$74*'Plan mensual'!M151+parametros_recargas!$H$74*'Plan mensual'!M152+parametros_recargas!$I$74*'Plan mensual'!M153+parametros_recargas!$J$74*'Plan mensual'!M154+parametros_recargas!$K$74*'Plan mensual'!M155+parametros_recargas!$L$74*'Plan mensual'!M156</f>
        <v>3324.16051483507</v>
      </c>
      <c r="L132" s="25" t="n">
        <f aca="false">parametros_recargas!$E$74*'Plan mensual'!N149+parametros_recargas!$F$74*'Plan mensual'!N150+parametros_recargas!$G$74*'Plan mensual'!N151+parametros_recargas!$H$74*'Plan mensual'!N152+parametros_recargas!$I$74*'Plan mensual'!N153+parametros_recargas!$J$74*'Plan mensual'!N154+parametros_recargas!$K$74*'Plan mensual'!N155+parametros_recargas!$L$74*'Plan mensual'!N156</f>
        <v>3410.545114696</v>
      </c>
      <c r="M132" s="25" t="n">
        <f aca="false">parametros_recargas!$E$74*'Plan mensual'!O149+parametros_recargas!$F$74*'Plan mensual'!O150+parametros_recargas!$G$74*'Plan mensual'!O151+parametros_recargas!$H$74*'Plan mensual'!O152+parametros_recargas!$I$74*'Plan mensual'!O153+parametros_recargas!$J$74*'Plan mensual'!O154+parametros_recargas!$K$74*'Plan mensual'!O155+parametros_recargas!$L$74*'Plan mensual'!O156</f>
        <v>3499.17783931726</v>
      </c>
      <c r="N132" s="7" t="n">
        <f aca="false">SUM(B132:M132)</f>
        <v>36607.8478622795</v>
      </c>
      <c r="O132" s="26" t="n">
        <f aca="false">MAX(B132:M132)</f>
        <v>3499.17783931726</v>
      </c>
      <c r="P132" s="15" t="n">
        <f aca="false">O132/parametros_recargas!$B$6</f>
        <v>23.3278522621151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25" t="n">
        <f aca="false">parametros_recargas!$E$75*'Plan mensual'!D149+parametros_recargas!$F$75*'Plan mensual'!D150+parametros_recargas!$G$75*'Plan mensual'!D151+parametros_recargas!$H$75*'Plan mensual'!D152+parametros_recargas!$I$75*'Plan mensual'!D153+parametros_recargas!$J$75*'Plan mensual'!D154+parametros_recargas!$K$75*'Plan mensual'!D155+parametros_recargas!$L$75*'Plan mensual'!D156</f>
        <v>310.460797195224</v>
      </c>
      <c r="C133" s="25" t="n">
        <f aca="false">parametros_recargas!$E$75*'Plan mensual'!E149+parametros_recargas!$F$75*'Plan mensual'!E150+parametros_recargas!$G$75*'Plan mensual'!E151+parametros_recargas!$H$75*'Plan mensual'!E152+parametros_recargas!$I$75*'Plan mensual'!E153+parametros_recargas!$J$75*'Plan mensual'!E154+parametros_recargas!$K$75*'Plan mensual'!E155+parametros_recargas!$L$75*'Plan mensual'!E156</f>
        <v>318.52566835334</v>
      </c>
      <c r="D133" s="25" t="n">
        <f aca="false">parametros_recargas!$E$75*'Plan mensual'!F149+parametros_recargas!$F$75*'Plan mensual'!F150+parametros_recargas!$G$75*'Plan mensual'!F151+parametros_recargas!$H$75*'Plan mensual'!F152+parametros_recargas!$I$75*'Plan mensual'!F153+parametros_recargas!$J$75*'Plan mensual'!F154+parametros_recargas!$K$75*'Plan mensual'!F155+parametros_recargas!$L$75*'Plan mensual'!F156</f>
        <v>326.800424566993</v>
      </c>
      <c r="E133" s="25" t="n">
        <f aca="false">parametros_recargas!$E$75*'Plan mensual'!G149+parametros_recargas!$F$75*'Plan mensual'!G150+parametros_recargas!$G$75*'Plan mensual'!G151+parametros_recargas!$H$75*'Plan mensual'!G152+parametros_recargas!$I$75*'Plan mensual'!G153+parametros_recargas!$J$75*'Plan mensual'!G154+parametros_recargas!$K$75*'Plan mensual'!G155+parametros_recargas!$L$75*'Plan mensual'!G156</f>
        <v>335.290528011051</v>
      </c>
      <c r="F133" s="25" t="n">
        <f aca="false">parametros_recargas!$E$75*'Plan mensual'!H149+parametros_recargas!$F$75*'Plan mensual'!H150+parametros_recargas!$G$75*'Plan mensual'!H151+parametros_recargas!$H$75*'Plan mensual'!H152+parametros_recargas!$I$75*'Plan mensual'!H153+parametros_recargas!$J$75*'Plan mensual'!H154+parametros_recargas!$K$75*'Plan mensual'!H155+parametros_recargas!$L$75*'Plan mensual'!H156</f>
        <v>344.001583011302</v>
      </c>
      <c r="G133" s="25" t="n">
        <f aca="false">parametros_recargas!$E$75*'Plan mensual'!I149+parametros_recargas!$F$75*'Plan mensual'!I150+parametros_recargas!$G$75*'Plan mensual'!I151+parametros_recargas!$H$75*'Plan mensual'!I152+parametros_recargas!$I$75*'Plan mensual'!I153+parametros_recargas!$J$75*'Plan mensual'!I154+parametros_recargas!$K$75*'Plan mensual'!I155+parametros_recargas!$L$75*'Plan mensual'!I156</f>
        <v>352.939339743878</v>
      </c>
      <c r="H133" s="25" t="n">
        <f aca="false">parametros_recargas!$E$75*'Plan mensual'!J149+parametros_recargas!$F$75*'Plan mensual'!J150+parametros_recargas!$G$75*'Plan mensual'!J151+parametros_recargas!$H$75*'Plan mensual'!J152+parametros_recargas!$I$75*'Plan mensual'!J153+parametros_recargas!$J$75*'Plan mensual'!J154+parametros_recargas!$K$75*'Plan mensual'!J155+parametros_recargas!$L$75*'Plan mensual'!J156</f>
        <v>362.109698030953</v>
      </c>
      <c r="I133" s="25" t="n">
        <f aca="false">parametros_recargas!$E$75*'Plan mensual'!K149+parametros_recargas!$F$75*'Plan mensual'!K150+parametros_recargas!$G$75*'Plan mensual'!K151+parametros_recargas!$H$75*'Plan mensual'!K152+parametros_recargas!$I$75*'Plan mensual'!K153+parametros_recargas!$J$75*'Plan mensual'!K154+parametros_recargas!$K$75*'Plan mensual'!K155+parametros_recargas!$L$75*'Plan mensual'!K156</f>
        <v>371.518711235217</v>
      </c>
      <c r="J133" s="25" t="n">
        <f aca="false">parametros_recargas!$E$75*'Plan mensual'!L149+parametros_recargas!$F$75*'Plan mensual'!L150+parametros_recargas!$G$75*'Plan mensual'!L151+parametros_recargas!$H$75*'Plan mensual'!L152+parametros_recargas!$I$75*'Plan mensual'!L153+parametros_recargas!$J$75*'Plan mensual'!L154+parametros_recargas!$K$75*'Plan mensual'!L155+parametros_recargas!$L$75*'Plan mensual'!L156</f>
        <v>381.172590255714</v>
      </c>
      <c r="K133" s="25" t="n">
        <f aca="false">parametros_recargas!$E$75*'Plan mensual'!M149+parametros_recargas!$F$75*'Plan mensual'!M150+parametros_recargas!$G$75*'Plan mensual'!M151+parametros_recargas!$H$75*'Plan mensual'!M152+parametros_recargas!$I$75*'Plan mensual'!M153+parametros_recargas!$J$75*'Plan mensual'!M154+parametros_recargas!$K$75*'Plan mensual'!M155+parametros_recargas!$L$75*'Plan mensual'!M156</f>
        <v>391.077707627656</v>
      </c>
      <c r="L133" s="25" t="n">
        <f aca="false">parametros_recargas!$E$75*'Plan mensual'!N149+parametros_recargas!$F$75*'Plan mensual'!N150+parametros_recargas!$G$75*'Plan mensual'!N151+parametros_recargas!$H$75*'Plan mensual'!N152+parametros_recargas!$I$75*'Plan mensual'!N153+parametros_recargas!$J$75*'Plan mensual'!N154+parametros_recargas!$K$75*'Plan mensual'!N155+parametros_recargas!$L$75*'Plan mensual'!N156</f>
        <v>401.240601728941</v>
      </c>
      <c r="M133" s="25" t="n">
        <f aca="false">parametros_recargas!$E$75*'Plan mensual'!O149+parametros_recargas!$F$75*'Plan mensual'!O150+parametros_recargas!$G$75*'Plan mensual'!O151+parametros_recargas!$H$75*'Plan mensual'!O152+parametros_recargas!$I$75*'Plan mensual'!O153+parametros_recargas!$J$75*'Plan mensual'!O154+parametros_recargas!$K$75*'Plan mensual'!O155+parametros_recargas!$L$75*'Plan mensual'!O156</f>
        <v>411.667981096149</v>
      </c>
      <c r="N133" s="7" t="n">
        <f aca="false">SUM(B133:M133)</f>
        <v>4306.80563085642</v>
      </c>
      <c r="O133" s="26" t="n">
        <f aca="false">MAX(B133:M133)</f>
        <v>411.667981096149</v>
      </c>
      <c r="P133" s="15" t="n">
        <f aca="false">O133/parametros_recargas!$B$6</f>
        <v>2.74445320730766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25" t="n">
        <f aca="false">parametros_recargas!$E$76*'Plan mensual'!D149+parametros_recargas!$F$76*'Plan mensual'!D150+parametros_recargas!$G$76*'Plan mensual'!D151+parametros_recargas!$H$76*'Plan mensual'!D152+parametros_recargas!$I$76*'Plan mensual'!D153+parametros_recargas!$J$76*'Plan mensual'!D154+parametros_recargas!$K$76*'Plan mensual'!D155+parametros_recargas!$L$76*'Plan mensual'!D156</f>
        <v>4.64909769599805</v>
      </c>
      <c r="C134" s="25" t="n">
        <f aca="false">parametros_recargas!$E$76*'Plan mensual'!E149+parametros_recargas!$F$76*'Plan mensual'!E150+parametros_recargas!$G$76*'Plan mensual'!E151+parametros_recargas!$H$76*'Plan mensual'!E152+parametros_recargas!$I$76*'Plan mensual'!E153+parametros_recargas!$J$76*'Plan mensual'!E154+parametros_recargas!$K$76*'Plan mensual'!E155+parametros_recargas!$L$76*'Plan mensual'!E156</f>
        <v>4.76791989266373</v>
      </c>
      <c r="D134" s="25" t="n">
        <f aca="false">parametros_recargas!$E$76*'Plan mensual'!F149+parametros_recargas!$F$76*'Plan mensual'!F150+parametros_recargas!$G$76*'Plan mensual'!F151+parametros_recargas!$H$76*'Plan mensual'!F152+parametros_recargas!$I$76*'Plan mensual'!F153+parametros_recargas!$J$76*'Plan mensual'!F154+parametros_recargas!$K$76*'Plan mensual'!F155+parametros_recargas!$L$76*'Plan mensual'!F156</f>
        <v>4.88983438961015</v>
      </c>
      <c r="E134" s="25" t="n">
        <f aca="false">parametros_recargas!$E$76*'Plan mensual'!G149+parametros_recargas!$F$76*'Plan mensual'!G150+parametros_recargas!$G$76*'Plan mensual'!G151+parametros_recargas!$H$76*'Plan mensual'!G152+parametros_recargas!$I$76*'Plan mensual'!G153+parametros_recargas!$J$76*'Plan mensual'!G154+parametros_recargas!$K$76*'Plan mensual'!G155+parametros_recargas!$L$76*'Plan mensual'!G156</f>
        <v>5.01492166271887</v>
      </c>
      <c r="F134" s="25" t="n">
        <f aca="false">parametros_recargas!$E$76*'Plan mensual'!H149+parametros_recargas!$F$76*'Plan mensual'!H150+parametros_recargas!$G$76*'Plan mensual'!H151+parametros_recargas!$H$76*'Plan mensual'!H152+parametros_recargas!$I$76*'Plan mensual'!H153+parametros_recargas!$J$76*'Plan mensual'!H154+parametros_recargas!$K$76*'Plan mensual'!H155+parametros_recargas!$L$76*'Plan mensual'!H156</f>
        <v>5.14326428222419</v>
      </c>
      <c r="G134" s="25" t="n">
        <f aca="false">parametros_recargas!$E$76*'Plan mensual'!I149+parametros_recargas!$F$76*'Plan mensual'!I150+parametros_recargas!$G$76*'Plan mensual'!I151+parametros_recargas!$H$76*'Plan mensual'!I152+parametros_recargas!$I$76*'Plan mensual'!I153+parametros_recargas!$J$76*'Plan mensual'!I154+parametros_recargas!$K$76*'Plan mensual'!I155+parametros_recargas!$L$76*'Plan mensual'!I156</f>
        <v>5.27494696721781</v>
      </c>
      <c r="H134" s="25" t="n">
        <f aca="false">parametros_recargas!$E$76*'Plan mensual'!J149+parametros_recargas!$F$76*'Plan mensual'!J150+parametros_recargas!$G$76*'Plan mensual'!J151+parametros_recargas!$H$76*'Plan mensual'!J152+parametros_recargas!$I$76*'Plan mensual'!J153+parametros_recargas!$J$76*'Plan mensual'!J154+parametros_recargas!$K$76*'Plan mensual'!J155+parametros_recargas!$L$76*'Plan mensual'!J156</f>
        <v>5.41005664157201</v>
      </c>
      <c r="I134" s="25" t="n">
        <f aca="false">parametros_recargas!$E$76*'Plan mensual'!K149+parametros_recargas!$F$76*'Plan mensual'!K150+parametros_recargas!$G$76*'Plan mensual'!K151+parametros_recargas!$H$76*'Plan mensual'!K152+parametros_recargas!$I$76*'Plan mensual'!K153+parametros_recargas!$J$76*'Plan mensual'!K154+parametros_recargas!$K$76*'Plan mensual'!K155+parametros_recargas!$L$76*'Plan mensual'!K156</f>
        <v>5.54868249131819</v>
      </c>
      <c r="J134" s="25" t="n">
        <f aca="false">parametros_recargas!$E$76*'Plan mensual'!L149+parametros_recargas!$F$76*'Plan mensual'!L150+parametros_recargas!$G$76*'Plan mensual'!L151+parametros_recargas!$H$76*'Plan mensual'!L152+parametros_recargas!$I$76*'Plan mensual'!L153+parametros_recargas!$J$76*'Plan mensual'!L154+parametros_recargas!$K$76*'Plan mensual'!L155+parametros_recargas!$L$76*'Plan mensual'!L156</f>
        <v>5.69091602351863</v>
      </c>
      <c r="K134" s="25" t="n">
        <f aca="false">parametros_recargas!$E$76*'Plan mensual'!M149+parametros_recargas!$F$76*'Plan mensual'!M150+parametros_recargas!$G$76*'Plan mensual'!M151+parametros_recargas!$H$76*'Plan mensual'!M152+parametros_recargas!$I$76*'Plan mensual'!M153+parametros_recargas!$J$76*'Plan mensual'!M154+parametros_recargas!$K$76*'Plan mensual'!M155+parametros_recargas!$L$76*'Plan mensual'!M156</f>
        <v>5.83685112667042</v>
      </c>
      <c r="L134" s="25" t="n">
        <f aca="false">parametros_recargas!$E$76*'Plan mensual'!N149+parametros_recargas!$F$76*'Plan mensual'!N150+parametros_recargas!$G$76*'Plan mensual'!N151+parametros_recargas!$H$76*'Plan mensual'!N152+parametros_recargas!$I$76*'Plan mensual'!N153+parametros_recargas!$J$76*'Plan mensual'!N154+parametros_recargas!$K$76*'Plan mensual'!N155+parametros_recargas!$L$76*'Plan mensual'!N156</f>
        <v>5.98658413268136</v>
      </c>
      <c r="M134" s="25" t="n">
        <f aca="false">parametros_recargas!$E$76*'Plan mensual'!O149+parametros_recargas!$F$76*'Plan mensual'!O150+parametros_recargas!$G$76*'Plan mensual'!O151+parametros_recargas!$H$76*'Plan mensual'!O152+parametros_recargas!$I$76*'Plan mensual'!O153+parametros_recargas!$J$76*'Plan mensual'!O154+parametros_recargas!$K$76*'Plan mensual'!O155+parametros_recargas!$L$76*'Plan mensual'!O156</f>
        <v>6.1402138804587</v>
      </c>
      <c r="N134" s="7" t="n">
        <f aca="false">SUM(B134:M134)</f>
        <v>64.3532891866521</v>
      </c>
      <c r="O134" s="26" t="n">
        <f aca="false">MAX(B134:M134)</f>
        <v>6.1402138804587</v>
      </c>
      <c r="P134" s="15" t="n">
        <f aca="false">O134/parametros_recargas!$B$6</f>
        <v>0.040934759203058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25" t="n">
        <f aca="false">parametros_recargas!$E$77*'Plan mensual'!D149+parametros_recargas!$F$77*'Plan mensual'!D150+parametros_recargas!$G$77*'Plan mensual'!D151+parametros_recargas!$H$77*'Plan mensual'!D152+parametros_recargas!$I$77*'Plan mensual'!D153+parametros_recargas!$J$77*'Plan mensual'!D154+parametros_recargas!$K$77*'Plan mensual'!D155+parametros_recargas!$L$77*'Plan mensual'!D156</f>
        <v>164.79420251258</v>
      </c>
      <c r="C135" s="25" t="n">
        <f aca="false">parametros_recargas!$E$77*'Plan mensual'!E149+parametros_recargas!$F$77*'Plan mensual'!E150+parametros_recargas!$G$77*'Plan mensual'!E151+parametros_recargas!$H$77*'Plan mensual'!E152+parametros_recargas!$I$77*'Plan mensual'!E153+parametros_recargas!$J$77*'Plan mensual'!E154+parametros_recargas!$K$77*'Plan mensual'!E155+parametros_recargas!$L$77*'Plan mensual'!E156</f>
        <v>169.061218743729</v>
      </c>
      <c r="D135" s="25" t="n">
        <f aca="false">parametros_recargas!$E$77*'Plan mensual'!F149+parametros_recargas!$F$77*'Plan mensual'!F150+parametros_recargas!$G$77*'Plan mensual'!F151+parametros_recargas!$H$77*'Plan mensual'!F152+parametros_recargas!$I$77*'Plan mensual'!F153+parametros_recargas!$J$77*'Plan mensual'!F154+parametros_recargas!$K$77*'Plan mensual'!F155+parametros_recargas!$L$77*'Plan mensual'!F156</f>
        <v>173.439282370565</v>
      </c>
      <c r="E135" s="25" t="n">
        <f aca="false">parametros_recargas!$E$77*'Plan mensual'!G149+parametros_recargas!$F$77*'Plan mensual'!G150+parametros_recargas!$G$77*'Plan mensual'!G151+parametros_recargas!$H$77*'Plan mensual'!G152+parametros_recargas!$I$77*'Plan mensual'!G153+parametros_recargas!$J$77*'Plan mensual'!G154+parametros_recargas!$K$77*'Plan mensual'!G155+parametros_recargas!$L$77*'Plan mensual'!G156</f>
        <v>177.931283357273</v>
      </c>
      <c r="F135" s="25" t="n">
        <f aca="false">parametros_recargas!$E$77*'Plan mensual'!H149+parametros_recargas!$F$77*'Plan mensual'!H150+parametros_recargas!$G$77*'Plan mensual'!H151+parametros_recargas!$H$77*'Plan mensual'!H152+parametros_recargas!$I$77*'Plan mensual'!H153+parametros_recargas!$J$77*'Plan mensual'!H154+parametros_recargas!$K$77*'Plan mensual'!H155+parametros_recargas!$L$77*'Plan mensual'!H156</f>
        <v>182.540186878206</v>
      </c>
      <c r="G135" s="25" t="n">
        <f aca="false">parametros_recargas!$E$77*'Plan mensual'!I149+parametros_recargas!$F$77*'Plan mensual'!I150+parametros_recargas!$G$77*'Plan mensual'!I151+parametros_recargas!$H$77*'Plan mensual'!I152+parametros_recargas!$I$77*'Plan mensual'!I153+parametros_recargas!$J$77*'Plan mensual'!I154+parametros_recargas!$K$77*'Plan mensual'!I155+parametros_recargas!$L$77*'Plan mensual'!I156</f>
        <v>187.269035275194</v>
      </c>
      <c r="H135" s="25" t="n">
        <f aca="false">parametros_recargas!$E$77*'Plan mensual'!J149+parametros_recargas!$F$77*'Plan mensual'!J150+parametros_recargas!$G$77*'Plan mensual'!J151+parametros_recargas!$H$77*'Plan mensual'!J152+parametros_recargas!$I$77*'Plan mensual'!J153+parametros_recargas!$J$77*'Plan mensual'!J154+parametros_recargas!$K$77*'Plan mensual'!J155+parametros_recargas!$L$77*'Plan mensual'!J156</f>
        <v>192.120950065801</v>
      </c>
      <c r="I135" s="25" t="n">
        <f aca="false">parametros_recargas!$E$77*'Plan mensual'!K149+parametros_recargas!$F$77*'Plan mensual'!K150+parametros_recargas!$G$77*'Plan mensual'!K151+parametros_recargas!$H$77*'Plan mensual'!K152+parametros_recargas!$I$77*'Plan mensual'!K153+parametros_recargas!$J$77*'Plan mensual'!K154+parametros_recargas!$K$77*'Plan mensual'!K155+parametros_recargas!$L$77*'Plan mensual'!K156</f>
        <v>197.099134003841</v>
      </c>
      <c r="J135" s="25" t="n">
        <f aca="false">parametros_recargas!$E$77*'Plan mensual'!L149+parametros_recargas!$F$77*'Plan mensual'!L150+parametros_recargas!$G$77*'Plan mensual'!L151+parametros_recargas!$H$77*'Plan mensual'!L152+parametros_recargas!$I$77*'Plan mensual'!L153+parametros_recargas!$J$77*'Plan mensual'!L154+parametros_recargas!$K$77*'Plan mensual'!L155+parametros_recargas!$L$77*'Plan mensual'!L156</f>
        <v>202.206873193519</v>
      </c>
      <c r="K135" s="25" t="n">
        <f aca="false">parametros_recargas!$E$77*'Plan mensual'!M149+parametros_recargas!$F$77*'Plan mensual'!M150+parametros_recargas!$G$77*'Plan mensual'!M151+parametros_recargas!$H$77*'Plan mensual'!M152+parametros_recargas!$I$77*'Plan mensual'!M153+parametros_recargas!$J$77*'Plan mensual'!M154+parametros_recargas!$K$77*'Plan mensual'!M155+parametros_recargas!$L$77*'Plan mensual'!M156</f>
        <v>207.447539258591</v>
      </c>
      <c r="L135" s="25" t="n">
        <f aca="false">parametros_recargas!$E$77*'Plan mensual'!N149+parametros_recargas!$F$77*'Plan mensual'!N150+parametros_recargas!$G$77*'Plan mensual'!N151+parametros_recargas!$H$77*'Plan mensual'!N152+parametros_recargas!$I$77*'Plan mensual'!N153+parametros_recargas!$J$77*'Plan mensual'!N154+parametros_recargas!$K$77*'Plan mensual'!N155+parametros_recargas!$L$77*'Plan mensual'!N156</f>
        <v>212.824591567976</v>
      </c>
      <c r="M135" s="25" t="n">
        <f aca="false">parametros_recargas!$E$77*'Plan mensual'!O149+parametros_recargas!$F$77*'Plan mensual'!O150+parametros_recargas!$G$77*'Plan mensual'!O151+parametros_recargas!$H$77*'Plan mensual'!O152+parametros_recargas!$I$77*'Plan mensual'!O153+parametros_recargas!$J$77*'Plan mensual'!O154+parametros_recargas!$K$77*'Plan mensual'!O155+parametros_recargas!$L$77*'Plan mensual'!O156</f>
        <v>218.34157951929</v>
      </c>
      <c r="N135" s="7" t="n">
        <f aca="false">SUM(B135:M135)</f>
        <v>2285.07587674656</v>
      </c>
      <c r="O135" s="26" t="n">
        <f aca="false">MAX(B135:M135)</f>
        <v>218.34157951929</v>
      </c>
      <c r="P135" s="15" t="n">
        <f aca="false">O135/parametros_recargas!$B$6</f>
        <v>1.4556105301286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25" t="n">
        <f aca="false">parametros_recargas!$E$78*'Plan mensual'!D149+parametros_recargas!$F$78*'Plan mensual'!D150+parametros_recargas!$G$78*'Plan mensual'!D151+parametros_recargas!$H$78*'Plan mensual'!D152+parametros_recargas!$I$78*'Plan mensual'!D153+parametros_recargas!$J$78*'Plan mensual'!D154+parametros_recargas!$K$78*'Plan mensual'!D155+parametros_recargas!$L$78*'Plan mensual'!D156</f>
        <v>75.4339290706223</v>
      </c>
      <c r="C136" s="25" t="n">
        <f aca="false">parametros_recargas!$E$78*'Plan mensual'!E149+parametros_recargas!$F$78*'Plan mensual'!E150+parametros_recargas!$G$78*'Plan mensual'!E151+parametros_recargas!$H$78*'Plan mensual'!E152+parametros_recargas!$I$78*'Plan mensual'!E153+parametros_recargas!$J$78*'Plan mensual'!E154+parametros_recargas!$K$78*'Plan mensual'!E155+parametros_recargas!$L$78*'Plan mensual'!E156</f>
        <v>77.3889343030051</v>
      </c>
      <c r="D136" s="25" t="n">
        <f aca="false">parametros_recargas!$E$78*'Plan mensual'!F149+parametros_recargas!$F$78*'Plan mensual'!F150+parametros_recargas!$G$78*'Plan mensual'!F151+parametros_recargas!$H$78*'Plan mensual'!F152+parametros_recargas!$I$78*'Plan mensual'!F153+parametros_recargas!$J$78*'Plan mensual'!F154+parametros_recargas!$K$78*'Plan mensual'!F155+parametros_recargas!$L$78*'Plan mensual'!F156</f>
        <v>79.394817766885</v>
      </c>
      <c r="E136" s="25" t="n">
        <f aca="false">parametros_recargas!$E$78*'Plan mensual'!G149+parametros_recargas!$F$78*'Plan mensual'!G150+parametros_recargas!$G$78*'Plan mensual'!G151+parametros_recargas!$H$78*'Plan mensual'!G152+parametros_recargas!$I$78*'Plan mensual'!G153+parametros_recargas!$J$78*'Plan mensual'!G154+parametros_recargas!$K$78*'Plan mensual'!G155+parametros_recargas!$L$78*'Plan mensual'!G156</f>
        <v>81.4529035479459</v>
      </c>
      <c r="F136" s="25" t="n">
        <f aca="false">parametros_recargas!$E$78*'Plan mensual'!H149+parametros_recargas!$F$78*'Plan mensual'!H150+parametros_recargas!$G$78*'Plan mensual'!H151+parametros_recargas!$H$78*'Plan mensual'!H152+parametros_recargas!$I$78*'Plan mensual'!H153+parametros_recargas!$J$78*'Plan mensual'!H154+parametros_recargas!$K$78*'Plan mensual'!H155+parametros_recargas!$L$78*'Plan mensual'!H156</f>
        <v>83.5645501906735</v>
      </c>
      <c r="G136" s="25" t="n">
        <f aca="false">parametros_recargas!$E$78*'Plan mensual'!I149+parametros_recargas!$F$78*'Plan mensual'!I150+parametros_recargas!$G$78*'Plan mensual'!I151+parametros_recargas!$H$78*'Plan mensual'!I152+parametros_recargas!$I$78*'Plan mensual'!I153+parametros_recargas!$J$78*'Plan mensual'!I154+parametros_recargas!$K$78*'Plan mensual'!I155+parametros_recargas!$L$78*'Plan mensual'!I156</f>
        <v>85.7311515951324</v>
      </c>
      <c r="H136" s="25" t="n">
        <f aca="false">parametros_recargas!$E$78*'Plan mensual'!J149+parametros_recargas!$F$78*'Plan mensual'!J150+parametros_recargas!$G$78*'Plan mensual'!J151+parametros_recargas!$H$78*'Plan mensual'!J152+parametros_recargas!$I$78*'Plan mensual'!J153+parametros_recargas!$J$78*'Plan mensual'!J154+parametros_recargas!$K$78*'Plan mensual'!J155+parametros_recargas!$L$78*'Plan mensual'!J156</f>
        <v>87.9541379370798</v>
      </c>
      <c r="I136" s="25" t="n">
        <f aca="false">parametros_recargas!$E$78*'Plan mensual'!K149+parametros_recargas!$F$78*'Plan mensual'!K150+parametros_recargas!$G$78*'Plan mensual'!K151+parametros_recargas!$H$78*'Plan mensual'!K152+parametros_recargas!$I$78*'Plan mensual'!K153+parametros_recargas!$J$78*'Plan mensual'!K154+parametros_recargas!$K$78*'Plan mensual'!K155+parametros_recargas!$L$78*'Plan mensual'!K156</f>
        <v>90.2349766120272</v>
      </c>
      <c r="J136" s="25" t="n">
        <f aca="false">parametros_recargas!$E$78*'Plan mensual'!L149+parametros_recargas!$F$78*'Plan mensual'!L150+parametros_recargas!$G$78*'Plan mensual'!L151+parametros_recargas!$H$78*'Plan mensual'!L152+parametros_recargas!$I$78*'Plan mensual'!L153+parametros_recargas!$J$78*'Plan mensual'!L154+parametros_recargas!$K$78*'Plan mensual'!L155+parametros_recargas!$L$78*'Plan mensual'!L156</f>
        <v>92.5751732038686</v>
      </c>
      <c r="K136" s="25" t="n">
        <f aca="false">parametros_recargas!$E$78*'Plan mensual'!M149+parametros_recargas!$F$78*'Plan mensual'!M150+parametros_recargas!$G$78*'Plan mensual'!M151+parametros_recargas!$H$78*'Plan mensual'!M152+parametros_recargas!$I$78*'Plan mensual'!M153+parametros_recargas!$J$78*'Plan mensual'!M154+parametros_recargas!$K$78*'Plan mensual'!M155+parametros_recargas!$L$78*'Plan mensual'!M156</f>
        <v>94.976272478719</v>
      </c>
      <c r="L136" s="25" t="n">
        <f aca="false">parametros_recargas!$E$78*'Plan mensual'!N149+parametros_recargas!$F$78*'Plan mensual'!N150+parametros_recargas!$G$78*'Plan mensual'!N151+parametros_recargas!$H$78*'Plan mensual'!N152+parametros_recargas!$I$78*'Plan mensual'!N153+parametros_recargas!$J$78*'Plan mensual'!N154+parametros_recargas!$K$78*'Plan mensual'!N155+parametros_recargas!$L$78*'Plan mensual'!N156</f>
        <v>97.4398594046147</v>
      </c>
      <c r="M136" s="25" t="n">
        <f aca="false">parametros_recargas!$E$78*'Plan mensual'!O149+parametros_recargas!$F$78*'Plan mensual'!O150+parametros_recargas!$G$78*'Plan mensual'!O151+parametros_recargas!$H$78*'Plan mensual'!O152+parametros_recargas!$I$78*'Plan mensual'!O153+parametros_recargas!$J$78*'Plan mensual'!O154+parametros_recargas!$K$78*'Plan mensual'!O155+parametros_recargas!$L$78*'Plan mensual'!O156</f>
        <v>99.9675601977537</v>
      </c>
      <c r="N136" s="7" t="n">
        <f aca="false">SUM(B136:M136)</f>
        <v>1046.11426630833</v>
      </c>
      <c r="O136" s="26" t="n">
        <f aca="false">MAX(B136:M136)</f>
        <v>99.9675601977537</v>
      </c>
      <c r="P136" s="15" t="n">
        <f aca="false">O136/parametros_recargas!$B$6</f>
        <v>0.666450401318358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25" t="n">
        <f aca="false">parametros_recargas!$E$79*'Plan mensual'!D149+parametros_recargas!$F$79*'Plan mensual'!D150+parametros_recargas!$G$79*'Plan mensual'!D151+parametros_recargas!$H$79*'Plan mensual'!D152+parametros_recargas!$I$79*'Plan mensual'!D153+parametros_recargas!$J$79*'Plan mensual'!D154+parametros_recargas!$K$79*'Plan mensual'!D155+parametros_recargas!$L$79*'Plan mensual'!D156</f>
        <v>3.00435530189026</v>
      </c>
      <c r="C137" s="25" t="n">
        <f aca="false">parametros_recargas!$E$79*'Plan mensual'!E149+parametros_recargas!$F$79*'Plan mensual'!E150+parametros_recargas!$G$79*'Plan mensual'!E151+parametros_recargas!$H$79*'Plan mensual'!E152+parametros_recargas!$I$79*'Plan mensual'!E153+parametros_recargas!$J$79*'Plan mensual'!E154+parametros_recargas!$K$79*'Plan mensual'!E155+parametros_recargas!$L$79*'Plan mensual'!E156</f>
        <v>3.08200027126343</v>
      </c>
      <c r="D137" s="25" t="n">
        <f aca="false">parametros_recargas!$E$79*'Plan mensual'!F149+parametros_recargas!$F$79*'Plan mensual'!F150+parametros_recargas!$G$79*'Plan mensual'!F151+parametros_recargas!$H$79*'Plan mensual'!F152+parametros_recargas!$I$79*'Plan mensual'!F153+parametros_recargas!$J$79*'Plan mensual'!F154+parametros_recargas!$K$79*'Plan mensual'!F155+parametros_recargas!$L$79*'Plan mensual'!F156</f>
        <v>3.16166591999896</v>
      </c>
      <c r="E137" s="25" t="n">
        <f aca="false">parametros_recargas!$E$79*'Plan mensual'!G149+parametros_recargas!$F$79*'Plan mensual'!G150+parametros_recargas!$G$79*'Plan mensual'!G151+parametros_recargas!$H$79*'Plan mensual'!G152+parametros_recargas!$I$79*'Plan mensual'!G153+parametros_recargas!$J$79*'Plan mensual'!G154+parametros_recargas!$K$79*'Plan mensual'!G155+parametros_recargas!$L$79*'Plan mensual'!G156</f>
        <v>3.24340483547136</v>
      </c>
      <c r="F137" s="25" t="n">
        <f aca="false">parametros_recargas!$E$79*'Plan mensual'!H149+parametros_recargas!$F$79*'Plan mensual'!H150+parametros_recargas!$G$79*'Plan mensual'!H151+parametros_recargas!$H$79*'Plan mensual'!H152+parametros_recargas!$I$79*'Plan mensual'!H153+parametros_recargas!$J$79*'Plan mensual'!H154+parametros_recargas!$K$79*'Plan mensual'!H155+parametros_recargas!$L$79*'Plan mensual'!H156</f>
        <v>3.32727097362063</v>
      </c>
      <c r="G137" s="25" t="n">
        <f aca="false">parametros_recargas!$E$79*'Plan mensual'!I149+parametros_recargas!$F$79*'Plan mensual'!I150+parametros_recargas!$G$79*'Plan mensual'!I151+parametros_recargas!$H$79*'Plan mensual'!I152+parametros_recargas!$I$79*'Plan mensual'!I153+parametros_recargas!$J$79*'Plan mensual'!I154+parametros_recargas!$K$79*'Plan mensual'!I155+parametros_recargas!$L$79*'Plan mensual'!I156</f>
        <v>3.41331969456858</v>
      </c>
      <c r="H137" s="25" t="n">
        <f aca="false">parametros_recargas!$E$79*'Plan mensual'!J149+parametros_recargas!$F$79*'Plan mensual'!J150+parametros_recargas!$G$79*'Plan mensual'!J151+parametros_recargas!$H$79*'Plan mensual'!J152+parametros_recargas!$I$79*'Plan mensual'!J153+parametros_recargas!$J$79*'Plan mensual'!J154+parametros_recargas!$K$79*'Plan mensual'!J155+parametros_recargas!$L$79*'Plan mensual'!J156</f>
        <v>3.5016077991621</v>
      </c>
      <c r="I137" s="25" t="n">
        <f aca="false">parametros_recargas!$E$79*'Plan mensual'!K149+parametros_recargas!$F$79*'Plan mensual'!K150+parametros_recargas!$G$79*'Plan mensual'!K151+parametros_recargas!$H$79*'Plan mensual'!K152+parametros_recargas!$I$79*'Plan mensual'!K153+parametros_recargas!$J$79*'Plan mensual'!K154+parametros_recargas!$K$79*'Plan mensual'!K155+parametros_recargas!$L$79*'Plan mensual'!K156</f>
        <v>3.59219356646749</v>
      </c>
      <c r="J137" s="25" t="n">
        <f aca="false">parametros_recargas!$E$79*'Plan mensual'!L149+parametros_recargas!$F$79*'Plan mensual'!L150+parametros_recargas!$G$79*'Plan mensual'!L151+parametros_recargas!$H$79*'Plan mensual'!L152+parametros_recargas!$I$79*'Plan mensual'!L153+parametros_recargas!$J$79*'Plan mensual'!L154+parametros_recargas!$K$79*'Plan mensual'!L155+parametros_recargas!$L$79*'Plan mensual'!L156</f>
        <v>3.68513679224049</v>
      </c>
      <c r="K137" s="25" t="n">
        <f aca="false">parametros_recargas!$E$79*'Plan mensual'!M149+parametros_recargas!$F$79*'Plan mensual'!M150+parametros_recargas!$G$79*'Plan mensual'!M151+parametros_recargas!$H$79*'Plan mensual'!M152+parametros_recargas!$I$79*'Plan mensual'!M153+parametros_recargas!$J$79*'Plan mensual'!M154+parametros_recargas!$K$79*'Plan mensual'!M155+parametros_recargas!$L$79*'Plan mensual'!M156</f>
        <v>3.78049882839754</v>
      </c>
      <c r="L137" s="25" t="n">
        <f aca="false">parametros_recargas!$E$79*'Plan mensual'!N149+parametros_recargas!$F$79*'Plan mensual'!N150+parametros_recargas!$G$79*'Plan mensual'!N151+parametros_recargas!$H$79*'Plan mensual'!N152+parametros_recargas!$I$79*'Plan mensual'!N153+parametros_recargas!$J$79*'Plan mensual'!N154+parametros_recargas!$K$79*'Plan mensual'!N155+parametros_recargas!$L$79*'Plan mensual'!N156</f>
        <v>3.87834262351424</v>
      </c>
      <c r="M137" s="25" t="n">
        <f aca="false">parametros_recargas!$E$79*'Plan mensual'!O149+parametros_recargas!$F$79*'Plan mensual'!O150+parametros_recargas!$G$79*'Plan mensual'!O151+parametros_recargas!$H$79*'Plan mensual'!O152+parametros_recargas!$I$79*'Plan mensual'!O153+parametros_recargas!$J$79*'Plan mensual'!O154+parametros_recargas!$K$79*'Plan mensual'!O155+parametros_recargas!$L$79*'Plan mensual'!O156</f>
        <v>3.97873276437776</v>
      </c>
      <c r="N137" s="7" t="n">
        <f aca="false">SUM(B137:M137)</f>
        <v>41.6485293709728</v>
      </c>
      <c r="O137" s="26" t="n">
        <f aca="false">MAX(B137:M137)</f>
        <v>3.97873276437776</v>
      </c>
      <c r="P137" s="15" t="n">
        <f aca="false">O137/parametros_recargas!$B$6</f>
        <v>0.0265248850958518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25" t="n">
        <f aca="false">parametros_recargas!$E$80*'Plan mensual'!D149+parametros_recargas!$F$80*'Plan mensual'!D150+parametros_recargas!$G$80*'Plan mensual'!D151+parametros_recargas!$H$80*'Plan mensual'!D152+parametros_recargas!$I$80*'Plan mensual'!D153+parametros_recargas!$J$80*'Plan mensual'!D154+parametros_recargas!$K$80*'Plan mensual'!D155+parametros_recargas!$L$80*'Plan mensual'!D156</f>
        <v>3113.60350575838</v>
      </c>
      <c r="C138" s="25" t="n">
        <f aca="false">parametros_recargas!$E$80*'Plan mensual'!E149+parametros_recargas!$F$80*'Plan mensual'!E150+parametros_recargas!$G$80*'Plan mensual'!E151+parametros_recargas!$H$80*'Plan mensual'!E152+parametros_recargas!$I$80*'Plan mensual'!E153+parametros_recargas!$J$80*'Plan mensual'!E154+parametros_recargas!$K$80*'Plan mensual'!E155+parametros_recargas!$L$80*'Plan mensual'!E156</f>
        <v>3194.4819850858</v>
      </c>
      <c r="D138" s="25" t="n">
        <f aca="false">parametros_recargas!$E$80*'Plan mensual'!F149+parametros_recargas!$F$80*'Plan mensual'!F150+parametros_recargas!$G$80*'Plan mensual'!F151+parametros_recargas!$H$80*'Plan mensual'!F152+parametros_recargas!$I$80*'Plan mensual'!F153+parametros_recargas!$J$80*'Plan mensual'!F154+parametros_recargas!$K$80*'Plan mensual'!F155+parametros_recargas!$L$80*'Plan mensual'!F156</f>
        <v>3277.46529458256</v>
      </c>
      <c r="E138" s="25" t="n">
        <f aca="false">parametros_recargas!$E$80*'Plan mensual'!G149+parametros_recargas!$F$80*'Plan mensual'!G150+parametros_recargas!$G$80*'Plan mensual'!G151+parametros_recargas!$H$80*'Plan mensual'!G152+parametros_recargas!$I$80*'Plan mensual'!G153+parametros_recargas!$J$80*'Plan mensual'!G154+parametros_recargas!$K$80*'Plan mensual'!G155+parametros_recargas!$L$80*'Plan mensual'!G156</f>
        <v>3362.6082116144</v>
      </c>
      <c r="F138" s="25" t="n">
        <f aca="false">parametros_recargas!$E$80*'Plan mensual'!H149+parametros_recargas!$F$80*'Plan mensual'!H150+parametros_recargas!$G$80*'Plan mensual'!H151+parametros_recargas!$H$80*'Plan mensual'!H152+parametros_recargas!$I$80*'Plan mensual'!H153+parametros_recargas!$J$80*'Plan mensual'!H154+parametros_recargas!$K$80*'Plan mensual'!H155+parametros_recargas!$L$80*'Plan mensual'!H156</f>
        <v>3449.96693910614</v>
      </c>
      <c r="G138" s="25" t="n">
        <f aca="false">parametros_recargas!$E$80*'Plan mensual'!I149+parametros_recargas!$F$80*'Plan mensual'!I150+parametros_recargas!$G$80*'Plan mensual'!I151+parametros_recargas!$H$80*'Plan mensual'!I152+parametros_recargas!$I$80*'Plan mensual'!I153+parametros_recargas!$J$80*'Plan mensual'!I154+parametros_recargas!$K$80*'Plan mensual'!I155+parametros_recargas!$L$80*'Plan mensual'!I156</f>
        <v>3539.59914264131</v>
      </c>
      <c r="H138" s="25" t="n">
        <f aca="false">parametros_recargas!$E$80*'Plan mensual'!J149+parametros_recargas!$F$80*'Plan mensual'!J150+parametros_recargas!$G$80*'Plan mensual'!J151+parametros_recargas!$H$80*'Plan mensual'!J152+parametros_recargas!$I$80*'Plan mensual'!J153+parametros_recargas!$J$80*'Plan mensual'!J154+parametros_recargas!$K$80*'Plan mensual'!J155+parametros_recargas!$L$80*'Plan mensual'!J156</f>
        <v>3631.56398852727</v>
      </c>
      <c r="I138" s="25" t="n">
        <f aca="false">parametros_recargas!$E$80*'Plan mensual'!K149+parametros_recargas!$F$80*'Plan mensual'!K150+parametros_recargas!$G$80*'Plan mensual'!K151+parametros_recargas!$H$80*'Plan mensual'!K152+parametros_recargas!$I$80*'Plan mensual'!K153+parametros_recargas!$J$80*'Plan mensual'!K154+parametros_recargas!$K$80*'Plan mensual'!K155+parametros_recargas!$L$80*'Plan mensual'!K156</f>
        <v>3725.9221828509</v>
      </c>
      <c r="J138" s="25" t="n">
        <f aca="false">parametros_recargas!$E$80*'Plan mensual'!L149+parametros_recargas!$F$80*'Plan mensual'!L150+parametros_recargas!$G$80*'Plan mensual'!L151+parametros_recargas!$H$80*'Plan mensual'!L152+parametros_recargas!$I$80*'Plan mensual'!L153+parametros_recargas!$J$80*'Plan mensual'!L154+parametros_recargas!$K$80*'Plan mensual'!L155+parametros_recargas!$L$80*'Plan mensual'!L156</f>
        <v>3822.73601155081</v>
      </c>
      <c r="K138" s="25" t="n">
        <f aca="false">parametros_recargas!$E$80*'Plan mensual'!M149+parametros_recargas!$F$80*'Plan mensual'!M150+parametros_recargas!$G$80*'Plan mensual'!M151+parametros_recargas!$H$80*'Plan mensual'!M152+parametros_recargas!$I$80*'Plan mensual'!M153+parametros_recargas!$J$80*'Plan mensual'!M154+parametros_recargas!$K$80*'Plan mensual'!M155+parametros_recargas!$L$80*'Plan mensual'!M156</f>
        <v>3922.06938153231</v>
      </c>
      <c r="L138" s="25" t="n">
        <f aca="false">parametros_recargas!$E$80*'Plan mensual'!N149+parametros_recargas!$F$80*'Plan mensual'!N150+parametros_recargas!$G$80*'Plan mensual'!N151+parametros_recargas!$H$80*'Plan mensual'!N152+parametros_recargas!$I$80*'Plan mensual'!N153+parametros_recargas!$J$80*'Plan mensual'!N154+parametros_recargas!$K$80*'Plan mensual'!N155+parametros_recargas!$L$80*'Plan mensual'!N156</f>
        <v>4023.98786285243</v>
      </c>
      <c r="M138" s="25" t="n">
        <f aca="false">parametros_recargas!$E$80*'Plan mensual'!O149+parametros_recargas!$F$80*'Plan mensual'!O150+parametros_recargas!$G$80*'Plan mensual'!O151+parametros_recargas!$H$80*'Plan mensual'!O152+parametros_recargas!$I$80*'Plan mensual'!O153+parametros_recargas!$J$80*'Plan mensual'!O154+parametros_recargas!$K$80*'Plan mensual'!O155+parametros_recargas!$L$80*'Plan mensual'!O156</f>
        <v>4128.5587320028</v>
      </c>
      <c r="N138" s="7" t="n">
        <f aca="false">SUM(B138:M138)</f>
        <v>43192.5632381051</v>
      </c>
      <c r="O138" s="26" t="n">
        <f aca="false">MAX(B138:M138)</f>
        <v>4128.5587320028</v>
      </c>
      <c r="P138" s="15" t="n">
        <f aca="false">O138/parametros_recargas!$B$6</f>
        <v>27.5237248800187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25" t="n">
        <f aca="false">parametros_recargas!$E$81*'Plan mensual'!D149+parametros_recargas!$F$81*'Plan mensual'!D150+parametros_recargas!$G$81*'Plan mensual'!D151+parametros_recargas!$H$81*'Plan mensual'!D152+parametros_recargas!$I$81*'Plan mensual'!D153+parametros_recargas!$J$81*'Plan mensual'!D154+parametros_recargas!$K$81*'Plan mensual'!D155+parametros_recargas!$L$81*'Plan mensual'!D156</f>
        <v>243.232486885092</v>
      </c>
      <c r="C139" s="25" t="n">
        <f aca="false">parametros_recargas!$E$81*'Plan mensual'!E149+parametros_recargas!$F$81*'Plan mensual'!E150+parametros_recargas!$G$81*'Plan mensual'!E151+parametros_recargas!$H$81*'Plan mensual'!E152+parametros_recargas!$I$81*'Plan mensual'!E153+parametros_recargas!$J$81*'Plan mensual'!E154+parametros_recargas!$K$81*'Plan mensual'!E155+parametros_recargas!$L$81*'Plan mensual'!E156</f>
        <v>249.532153317998</v>
      </c>
      <c r="D139" s="25" t="n">
        <f aca="false">parametros_recargas!$E$81*'Plan mensual'!F149+parametros_recargas!$F$81*'Plan mensual'!F150+parametros_recargas!$G$81*'Plan mensual'!F151+parametros_recargas!$H$81*'Plan mensual'!F152+parametros_recargas!$I$81*'Plan mensual'!F153+parametros_recargas!$J$81*'Plan mensual'!F154+parametros_recargas!$K$81*'Plan mensual'!F155+parametros_recargas!$L$81*'Plan mensual'!F156</f>
        <v>255.995766057449</v>
      </c>
      <c r="E139" s="25" t="n">
        <f aca="false">parametros_recargas!$E$81*'Plan mensual'!G149+parametros_recargas!$F$81*'Plan mensual'!G150+parametros_recargas!$G$81*'Plan mensual'!G151+parametros_recargas!$H$81*'Plan mensual'!G152+parametros_recargas!$I$81*'Plan mensual'!G153+parametros_recargas!$J$81*'Plan mensual'!G154+parametros_recargas!$K$81*'Plan mensual'!G155+parametros_recargas!$L$81*'Plan mensual'!G156</f>
        <v>262.62759174069</v>
      </c>
      <c r="F139" s="25" t="n">
        <f aca="false">parametros_recargas!$E$81*'Plan mensual'!H149+parametros_recargas!$F$81*'Plan mensual'!H150+parametros_recargas!$G$81*'Plan mensual'!H151+parametros_recargas!$H$81*'Plan mensual'!H152+parametros_recargas!$I$81*'Plan mensual'!H153+parametros_recargas!$J$81*'Plan mensual'!H154+parametros_recargas!$K$81*'Plan mensual'!H155+parametros_recargas!$L$81*'Plan mensual'!H156</f>
        <v>269.4320080425</v>
      </c>
      <c r="G139" s="25" t="n">
        <f aca="false">parametros_recargas!$E$81*'Plan mensual'!I149+parametros_recargas!$F$81*'Plan mensual'!I150+parametros_recargas!$G$81*'Plan mensual'!I151+parametros_recargas!$H$81*'Plan mensual'!I152+parametros_recargas!$I$81*'Plan mensual'!I153+parametros_recargas!$J$81*'Plan mensual'!I154+parametros_recargas!$K$81*'Plan mensual'!I155+parametros_recargas!$L$81*'Plan mensual'!I156</f>
        <v>276.413506564894</v>
      </c>
      <c r="H139" s="25" t="n">
        <f aca="false">parametros_recargas!$E$81*'Plan mensual'!J149+parametros_recargas!$F$81*'Plan mensual'!J150+parametros_recargas!$G$81*'Plan mensual'!J151+parametros_recargas!$H$81*'Plan mensual'!J152+parametros_recargas!$I$81*'Plan mensual'!J153+parametros_recargas!$J$81*'Plan mensual'!J154+parametros_recargas!$K$81*'Plan mensual'!J155+parametros_recargas!$L$81*'Plan mensual'!J156</f>
        <v>283.576695802043</v>
      </c>
      <c r="I139" s="25" t="n">
        <f aca="false">parametros_recargas!$E$81*'Plan mensual'!K149+parametros_recargas!$F$81*'Plan mensual'!K150+parametros_recargas!$G$81*'Plan mensual'!K151+parametros_recargas!$H$81*'Plan mensual'!K152+parametros_recargas!$I$81*'Plan mensual'!K153+parametros_recargas!$J$81*'Plan mensual'!K154+parametros_recargas!$K$81*'Plan mensual'!K155+parametros_recargas!$L$81*'Plan mensual'!K156</f>
        <v>290.926304182336</v>
      </c>
      <c r="J139" s="25" t="n">
        <f aca="false">parametros_recargas!$E$81*'Plan mensual'!L149+parametros_recargas!$F$81*'Plan mensual'!L150+parametros_recargas!$G$81*'Plan mensual'!L151+parametros_recargas!$H$81*'Plan mensual'!L152+parametros_recargas!$I$81*'Plan mensual'!L153+parametros_recargas!$J$81*'Plan mensual'!L154+parametros_recargas!$K$81*'Plan mensual'!L155+parametros_recargas!$L$81*'Plan mensual'!L156</f>
        <v>298.467183189628</v>
      </c>
      <c r="K139" s="25" t="n">
        <f aca="false">parametros_recargas!$E$81*'Plan mensual'!M149+parametros_recargas!$F$81*'Plan mensual'!M150+parametros_recargas!$G$81*'Plan mensual'!M151+parametros_recargas!$H$81*'Plan mensual'!M152+parametros_recargas!$I$81*'Plan mensual'!M153+parametros_recargas!$J$81*'Plan mensual'!M154+parametros_recargas!$K$81*'Plan mensual'!M155+parametros_recargas!$L$81*'Plan mensual'!M156</f>
        <v>306.204310565707</v>
      </c>
      <c r="L139" s="25" t="n">
        <f aca="false">parametros_recargas!$E$81*'Plan mensual'!N149+parametros_recargas!$F$81*'Plan mensual'!N150+parametros_recargas!$G$81*'Plan mensual'!N151+parametros_recargas!$H$81*'Plan mensual'!N152+parametros_recargas!$I$81*'Plan mensual'!N153+parametros_recargas!$J$81*'Plan mensual'!N154+parametros_recargas!$K$81*'Plan mensual'!N155+parametros_recargas!$L$81*'Plan mensual'!N156</f>
        <v>314.142793596105</v>
      </c>
      <c r="M139" s="25" t="n">
        <f aca="false">parametros_recargas!$E$81*'Plan mensual'!O149+parametros_recargas!$F$81*'Plan mensual'!O150+parametros_recargas!$G$81*'Plan mensual'!O151+parametros_recargas!$H$81*'Plan mensual'!O152+parametros_recargas!$I$81*'Plan mensual'!O153+parametros_recargas!$J$81*'Plan mensual'!O154+parametros_recargas!$K$81*'Plan mensual'!O155+parametros_recargas!$L$81*'Plan mensual'!O156</f>
        <v>322.287872481422</v>
      </c>
      <c r="N139" s="7" t="n">
        <f aca="false">SUM(B139:M139)</f>
        <v>3372.83867242586</v>
      </c>
      <c r="O139" s="26" t="n">
        <f aca="false">MAX(B139:M139)</f>
        <v>322.287872481422</v>
      </c>
      <c r="P139" s="15" t="n">
        <f aca="false">O139/parametros_recargas!$B$6</f>
        <v>2.14858581654281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25" t="n">
        <f aca="false">parametros_recargas!$E$82*'Plan mensual'!D149+parametros_recargas!$F$82*'Plan mensual'!D150+parametros_recargas!$G$82*'Plan mensual'!D151+parametros_recargas!$H$82*'Plan mensual'!D152+parametros_recargas!$I$82*'Plan mensual'!D153+parametros_recargas!$J$82*'Plan mensual'!D154+parametros_recargas!$K$82*'Plan mensual'!D155+parametros_recargas!$L$82*'Plan mensual'!D156</f>
        <v>3.10925706964824</v>
      </c>
      <c r="C140" s="25" t="n">
        <f aca="false">parametros_recargas!$E$82*'Plan mensual'!E149+parametros_recargas!$F$82*'Plan mensual'!E150+parametros_recargas!$G$82*'Plan mensual'!E151+parametros_recargas!$H$82*'Plan mensual'!E152+parametros_recargas!$I$82*'Plan mensual'!E153+parametros_recargas!$J$82*'Plan mensual'!E154+parametros_recargas!$K$82*'Plan mensual'!E155+parametros_recargas!$L$82*'Plan mensual'!E156</f>
        <v>3.19002460342606</v>
      </c>
      <c r="D140" s="25" t="n">
        <f aca="false">parametros_recargas!$E$82*'Plan mensual'!F149+parametros_recargas!$F$82*'Plan mensual'!F150+parametros_recargas!$G$82*'Plan mensual'!F151+parametros_recargas!$H$82*'Plan mensual'!F152+parametros_recargas!$I$82*'Plan mensual'!F153+parametros_recargas!$J$82*'Plan mensual'!F154+parametros_recargas!$K$82*'Plan mensual'!F155+parametros_recargas!$L$82*'Plan mensual'!F156</f>
        <v>3.27289408005954</v>
      </c>
      <c r="E140" s="25" t="n">
        <f aca="false">parametros_recargas!$E$82*'Plan mensual'!G149+parametros_recargas!$F$82*'Plan mensual'!G150+parametros_recargas!$G$82*'Plan mensual'!G151+parametros_recargas!$H$82*'Plan mensual'!G152+parametros_recargas!$I$82*'Plan mensual'!G153+parametros_recargas!$J$82*'Plan mensual'!G154+parametros_recargas!$K$82*'Plan mensual'!G155+parametros_recargas!$L$82*'Plan mensual'!G156</f>
        <v>3.35792020177323</v>
      </c>
      <c r="F140" s="25" t="n">
        <f aca="false">parametros_recargas!$E$82*'Plan mensual'!H149+parametros_recargas!$F$82*'Plan mensual'!H150+parametros_recargas!$G$82*'Plan mensual'!H151+parametros_recargas!$H$82*'Plan mensual'!H152+parametros_recargas!$I$82*'Plan mensual'!H153+parametros_recargas!$J$82*'Plan mensual'!H154+parametros_recargas!$K$82*'Plan mensual'!H155+parametros_recargas!$L$82*'Plan mensual'!H156</f>
        <v>3.44515909439524</v>
      </c>
      <c r="G140" s="25" t="n">
        <f aca="false">parametros_recargas!$E$82*'Plan mensual'!I149+parametros_recargas!$F$82*'Plan mensual'!I150+parametros_recargas!$G$82*'Plan mensual'!I151+parametros_recargas!$H$82*'Plan mensual'!I152+parametros_recargas!$I$82*'Plan mensual'!I153+parametros_recargas!$J$82*'Plan mensual'!I154+parametros_recargas!$K$82*'Plan mensual'!I155+parametros_recargas!$L$82*'Plan mensual'!I156</f>
        <v>3.534668344406</v>
      </c>
      <c r="H140" s="25" t="n">
        <f aca="false">parametros_recargas!$E$82*'Plan mensual'!J149+parametros_recargas!$F$82*'Plan mensual'!J150+parametros_recargas!$G$82*'Plan mensual'!J151+parametros_recargas!$H$82*'Plan mensual'!J152+parametros_recargas!$I$82*'Plan mensual'!J153+parametros_recargas!$J$82*'Plan mensual'!J154+parametros_recargas!$K$82*'Plan mensual'!J155+parametros_recargas!$L$82*'Plan mensual'!J156</f>
        <v>3.6265070369511</v>
      </c>
      <c r="I140" s="25" t="n">
        <f aca="false">parametros_recargas!$E$82*'Plan mensual'!K149+parametros_recargas!$F$82*'Plan mensual'!K150+parametros_recargas!$G$82*'Plan mensual'!K151+parametros_recargas!$H$82*'Plan mensual'!K152+parametros_recargas!$I$82*'Plan mensual'!K153+parametros_recargas!$J$82*'Plan mensual'!K154+parametros_recargas!$K$82*'Plan mensual'!K155+parametros_recargas!$L$82*'Plan mensual'!K156</f>
        <v>3.72073579484349</v>
      </c>
      <c r="J140" s="25" t="n">
        <f aca="false">parametros_recargas!$E$82*'Plan mensual'!L149+parametros_recargas!$F$82*'Plan mensual'!L150+parametros_recargas!$G$82*'Plan mensual'!L151+parametros_recargas!$H$82*'Plan mensual'!L152+parametros_recargas!$I$82*'Plan mensual'!L153+parametros_recargas!$J$82*'Plan mensual'!L154+parametros_recargas!$K$82*'Plan mensual'!L155+parametros_recargas!$L$82*'Plan mensual'!L156</f>
        <v>3.81741681858066</v>
      </c>
      <c r="K140" s="25" t="n">
        <f aca="false">parametros_recargas!$E$82*'Plan mensual'!M149+parametros_recargas!$F$82*'Plan mensual'!M150+parametros_recargas!$G$82*'Plan mensual'!M151+parametros_recargas!$H$82*'Plan mensual'!M152+parametros_recargas!$I$82*'Plan mensual'!M153+parametros_recargas!$J$82*'Plan mensual'!M154+parametros_recargas!$K$82*'Plan mensual'!M155+parametros_recargas!$L$82*'Plan mensual'!M156</f>
        <v>3.91661392740323</v>
      </c>
      <c r="L140" s="25" t="n">
        <f aca="false">parametros_recargas!$E$82*'Plan mensual'!N149+parametros_recargas!$F$82*'Plan mensual'!N150+parametros_recargas!$G$82*'Plan mensual'!N151+parametros_recargas!$H$82*'Plan mensual'!N152+parametros_recargas!$I$82*'Plan mensual'!N153+parametros_recargas!$J$82*'Plan mensual'!N154+parametros_recargas!$K$82*'Plan mensual'!N155+parametros_recargas!$L$82*'Plan mensual'!N156</f>
        <v>4.01839260142209</v>
      </c>
      <c r="M140" s="25" t="n">
        <f aca="false">parametros_recargas!$E$82*'Plan mensual'!O149+parametros_recargas!$F$82*'Plan mensual'!O150+parametros_recargas!$G$82*'Plan mensual'!O151+parametros_recargas!$H$82*'Plan mensual'!O152+parametros_recargas!$I$82*'Plan mensual'!O153+parametros_recargas!$J$82*'Plan mensual'!O154+parametros_recargas!$K$82*'Plan mensual'!O155+parametros_recargas!$L$82*'Plan mensual'!O156</f>
        <v>4.12282002484195</v>
      </c>
      <c r="N140" s="7" t="n">
        <f aca="false">SUM(B140:M140)</f>
        <v>43.1324095977508</v>
      </c>
      <c r="O140" s="26" t="n">
        <f aca="false">MAX(B140:M140)</f>
        <v>4.12282002484195</v>
      </c>
      <c r="P140" s="15" t="n">
        <f aca="false">O140/parametros_recargas!$B$6</f>
        <v>0.0274854668322796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25" t="n">
        <f aca="false">parametros_recargas!$E$83*'Plan mensual'!D149+parametros_recargas!$F$83*'Plan mensual'!D150+parametros_recargas!$G$83*'Plan mensual'!D151+parametros_recargas!$H$83*'Plan mensual'!D152+parametros_recargas!$I$83*'Plan mensual'!D153+parametros_recargas!$J$83*'Plan mensual'!D154+parametros_recargas!$K$83*'Plan mensual'!D155+parametros_recargas!$L$83*'Plan mensual'!D156</f>
        <v>767.868429905976</v>
      </c>
      <c r="C141" s="25" t="n">
        <f aca="false">parametros_recargas!$E$83*'Plan mensual'!E149+parametros_recargas!$F$83*'Plan mensual'!E150+parametros_recargas!$G$83*'Plan mensual'!E151+parametros_recargas!$H$83*'Plan mensual'!E152+parametros_recargas!$I$83*'Plan mensual'!E153+parametros_recargas!$J$83*'Plan mensual'!E154+parametros_recargas!$K$83*'Plan mensual'!E155+parametros_recargas!$L$83*'Plan mensual'!E156</f>
        <v>787.803754048439</v>
      </c>
      <c r="D141" s="25" t="n">
        <f aca="false">parametros_recargas!$E$83*'Plan mensual'!F149+parametros_recargas!$F$83*'Plan mensual'!F150+parametros_recargas!$G$83*'Plan mensual'!F151+parametros_recargas!$H$83*'Plan mensual'!F152+parametros_recargas!$I$83*'Plan mensual'!F153+parametros_recargas!$J$83*'Plan mensual'!F154+parametros_recargas!$K$83*'Plan mensual'!F155+parametros_recargas!$L$83*'Plan mensual'!F156</f>
        <v>808.257887051301</v>
      </c>
      <c r="E141" s="25" t="n">
        <f aca="false">parametros_recargas!$E$83*'Plan mensual'!G149+parametros_recargas!$F$83*'Plan mensual'!G150+parametros_recargas!$G$83*'Plan mensual'!G151+parametros_recargas!$H$83*'Plan mensual'!G152+parametros_recargas!$I$83*'Plan mensual'!G153+parametros_recargas!$J$83*'Plan mensual'!G154+parametros_recargas!$K$83*'Plan mensual'!G155+parametros_recargas!$L$83*'Plan mensual'!G156</f>
        <v>829.244330708249</v>
      </c>
      <c r="F141" s="25" t="n">
        <f aca="false">parametros_recargas!$E$83*'Plan mensual'!H149+parametros_recargas!$F$83*'Plan mensual'!H150+parametros_recargas!$G$83*'Plan mensual'!H151+parametros_recargas!$H$83*'Plan mensual'!H152+parametros_recargas!$I$83*'Plan mensual'!H153+parametros_recargas!$J$83*'Plan mensual'!H154+parametros_recargas!$K$83*'Plan mensual'!H155+parametros_recargas!$L$83*'Plan mensual'!H156</f>
        <v>850.776938191765</v>
      </c>
      <c r="G141" s="25" t="n">
        <f aca="false">parametros_recargas!$E$83*'Plan mensual'!I149+parametros_recargas!$F$83*'Plan mensual'!I150+parametros_recargas!$G$83*'Plan mensual'!I151+parametros_recargas!$H$83*'Plan mensual'!I152+parametros_recargas!$I$83*'Plan mensual'!I153+parametros_recargas!$J$83*'Plan mensual'!I154+parametros_recargas!$K$83*'Plan mensual'!I155+parametros_recargas!$L$83*'Plan mensual'!I156</f>
        <v>872.86992319762</v>
      </c>
      <c r="H141" s="25" t="n">
        <f aca="false">parametros_recargas!$E$83*'Plan mensual'!J149+parametros_recargas!$F$83*'Plan mensual'!J150+parametros_recargas!$G$83*'Plan mensual'!J151+parametros_recargas!$H$83*'Plan mensual'!J152+parametros_recargas!$I$83*'Plan mensual'!J153+parametros_recargas!$J$83*'Plan mensual'!J154+parametros_recargas!$K$83*'Plan mensual'!J155+parametros_recargas!$L$83*'Plan mensual'!J156</f>
        <v>895.537869327347</v>
      </c>
      <c r="I141" s="25" t="n">
        <f aca="false">parametros_recargas!$E$83*'Plan mensual'!K149+parametros_recargas!$F$83*'Plan mensual'!K150+parametros_recargas!$G$83*'Plan mensual'!K151+parametros_recargas!$H$83*'Plan mensual'!K152+parametros_recargas!$I$83*'Plan mensual'!K153+parametros_recargas!$J$83*'Plan mensual'!K154+parametros_recargas!$K$83*'Plan mensual'!K155+parametros_recargas!$L$83*'Plan mensual'!K156</f>
        <v>918.795739714896</v>
      </c>
      <c r="J141" s="25" t="n">
        <f aca="false">parametros_recargas!$E$83*'Plan mensual'!L149+parametros_recargas!$F$83*'Plan mensual'!L150+parametros_recargas!$G$83*'Plan mensual'!L151+parametros_recargas!$H$83*'Plan mensual'!L152+parametros_recargas!$I$83*'Plan mensual'!L153+parametros_recargas!$J$83*'Plan mensual'!L154+parametros_recargas!$K$83*'Plan mensual'!L155+parametros_recargas!$L$83*'Plan mensual'!L156</f>
        <v>942.658886903809</v>
      </c>
      <c r="K141" s="25" t="n">
        <f aca="false">parametros_recargas!$E$83*'Plan mensual'!M149+parametros_recargas!$F$83*'Plan mensual'!M150+parametros_recargas!$G$83*'Plan mensual'!M151+parametros_recargas!$H$83*'Plan mensual'!M152+parametros_recargas!$I$83*'Plan mensual'!M153+parametros_recargas!$J$83*'Plan mensual'!M154+parametros_recargas!$K$83*'Plan mensual'!M155+parametros_recargas!$L$83*'Plan mensual'!M156</f>
        <v>967.143062981451</v>
      </c>
      <c r="L141" s="25" t="n">
        <f aca="false">parametros_recargas!$E$83*'Plan mensual'!N149+parametros_recargas!$F$83*'Plan mensual'!N150+parametros_recargas!$G$83*'Plan mensual'!N151+parametros_recargas!$H$83*'Plan mensual'!N152+parametros_recargas!$I$83*'Plan mensual'!N153+parametros_recargas!$J$83*'Plan mensual'!N154+parametros_recargas!$K$83*'Plan mensual'!N155+parametros_recargas!$L$83*'Plan mensual'!N156</f>
        <v>992.264429976978</v>
      </c>
      <c r="M141" s="25" t="n">
        <f aca="false">parametros_recargas!$E$83*'Plan mensual'!O149+parametros_recargas!$F$83*'Plan mensual'!O150+parametros_recargas!$G$83*'Plan mensual'!O151+parametros_recargas!$H$83*'Plan mensual'!O152+parametros_recargas!$I$83*'Plan mensual'!O153+parametros_recargas!$J$83*'Plan mensual'!O154+parametros_recargas!$K$83*'Plan mensual'!O155+parametros_recargas!$L$83*'Plan mensual'!O156</f>
        <v>1018.03957052991</v>
      </c>
      <c r="N141" s="7" t="n">
        <f aca="false">SUM(B141:M141)</f>
        <v>10651.2608225377</v>
      </c>
      <c r="O141" s="26" t="n">
        <f aca="false">MAX(B141:M141)</f>
        <v>1018.03957052991</v>
      </c>
      <c r="P141" s="15" t="n">
        <f aca="false">O141/parametros_recargas!$B$6</f>
        <v>6.7869304701994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25" t="n">
        <f aca="false">parametros_recargas!$E$84*'Plan mensual'!D149+parametros_recargas!$F$84*'Plan mensual'!D150+parametros_recargas!$G$84*'Plan mensual'!D151+parametros_recargas!$H$84*'Plan mensual'!D152+parametros_recargas!$I$84*'Plan mensual'!D153+parametros_recargas!$J$84*'Plan mensual'!D154+parametros_recargas!$K$84*'Plan mensual'!D155+parametros_recargas!$L$84*'Plan mensual'!D156</f>
        <v>716.60736370727</v>
      </c>
      <c r="C142" s="25" t="n">
        <f aca="false">parametros_recargas!$E$84*'Plan mensual'!E149+parametros_recargas!$F$84*'Plan mensual'!E150+parametros_recargas!$G$84*'Plan mensual'!E151+parametros_recargas!$H$84*'Plan mensual'!E152+parametros_recargas!$I$84*'Plan mensual'!E153+parametros_recargas!$J$84*'Plan mensual'!E154+parametros_recargas!$K$84*'Plan mensual'!E155+parametros_recargas!$L$84*'Plan mensual'!E156</f>
        <v>735.217964527432</v>
      </c>
      <c r="D142" s="25" t="n">
        <f aca="false">parametros_recargas!$E$84*'Plan mensual'!F149+parametros_recargas!$F$84*'Plan mensual'!F150+parametros_recargas!$G$84*'Plan mensual'!F151+parametros_recargas!$H$84*'Plan mensual'!F152+parametros_recargas!$I$84*'Plan mensual'!F153+parametros_recargas!$J$84*'Plan mensual'!F154+parametros_recargas!$K$84*'Plan mensual'!F155+parametros_recargas!$L$84*'Plan mensual'!F156</f>
        <v>754.312898811844</v>
      </c>
      <c r="E142" s="25" t="n">
        <f aca="false">parametros_recargas!$E$84*'Plan mensual'!G149+parametros_recargas!$F$84*'Plan mensual'!G150+parametros_recargas!$G$84*'Plan mensual'!G151+parametros_recargas!$H$84*'Plan mensual'!G152+parametros_recargas!$I$84*'Plan mensual'!G153+parametros_recargas!$J$84*'Plan mensual'!G154+parametros_recargas!$K$84*'Plan mensual'!G155+parametros_recargas!$L$84*'Plan mensual'!G156</f>
        <v>773.904771145757</v>
      </c>
      <c r="F142" s="25" t="n">
        <f aca="false">parametros_recargas!$E$84*'Plan mensual'!H149+parametros_recargas!$F$84*'Plan mensual'!H150+parametros_recargas!$G$84*'Plan mensual'!H151+parametros_recargas!$H$84*'Plan mensual'!H152+parametros_recargas!$I$84*'Plan mensual'!H153+parametros_recargas!$J$84*'Plan mensual'!H154+parametros_recargas!$K$84*'Plan mensual'!H155+parametros_recargas!$L$84*'Plan mensual'!H156</f>
        <v>794.006514143724</v>
      </c>
      <c r="G142" s="25" t="n">
        <f aca="false">parametros_recargas!$E$84*'Plan mensual'!I149+parametros_recargas!$F$84*'Plan mensual'!I150+parametros_recargas!$G$84*'Plan mensual'!I151+parametros_recargas!$H$84*'Plan mensual'!I152+parametros_recargas!$I$84*'Plan mensual'!I153+parametros_recargas!$J$84*'Plan mensual'!I154+parametros_recargas!$K$84*'Plan mensual'!I155+parametros_recargas!$L$84*'Plan mensual'!I156</f>
        <v>814.631396986436</v>
      </c>
      <c r="H142" s="25" t="n">
        <f aca="false">parametros_recargas!$E$84*'Plan mensual'!J149+parametros_recargas!$F$84*'Plan mensual'!J150+parametros_recargas!$G$84*'Plan mensual'!J151+parametros_recargas!$H$84*'Plan mensual'!J152+parametros_recargas!$I$84*'Plan mensual'!J153+parametros_recargas!$J$84*'Plan mensual'!J154+parametros_recargas!$K$84*'Plan mensual'!J155+parametros_recargas!$L$84*'Plan mensual'!J156</f>
        <v>835.79303417972</v>
      </c>
      <c r="I142" s="25" t="n">
        <f aca="false">parametros_recargas!$E$84*'Plan mensual'!K149+parametros_recargas!$F$84*'Plan mensual'!K150+parametros_recargas!$G$84*'Plan mensual'!K151+parametros_recargas!$H$84*'Plan mensual'!K152+parametros_recargas!$I$84*'Plan mensual'!K153+parametros_recargas!$J$84*'Plan mensual'!K154+parametros_recargas!$K$84*'Plan mensual'!K155+parametros_recargas!$L$84*'Plan mensual'!K156</f>
        <v>857.505394541485</v>
      </c>
      <c r="J142" s="25" t="n">
        <f aca="false">parametros_recargas!$E$84*'Plan mensual'!L149+parametros_recargas!$F$84*'Plan mensual'!L150+parametros_recargas!$G$84*'Plan mensual'!L151+parametros_recargas!$H$84*'Plan mensual'!L152+parametros_recargas!$I$84*'Plan mensual'!L153+parametros_recargas!$J$84*'Plan mensual'!L154+parametros_recargas!$K$84*'Plan mensual'!L155+parametros_recargas!$L$84*'Plan mensual'!L156</f>
        <v>879.782810422558</v>
      </c>
      <c r="K142" s="25" t="n">
        <f aca="false">parametros_recargas!$E$84*'Plan mensual'!M149+parametros_recargas!$F$84*'Plan mensual'!M150+parametros_recargas!$G$84*'Plan mensual'!M151+parametros_recargas!$H$84*'Plan mensual'!M152+parametros_recargas!$I$84*'Plan mensual'!M153+parametros_recargas!$J$84*'Plan mensual'!M154+parametros_recargas!$K$84*'Plan mensual'!M155+parametros_recargas!$L$84*'Plan mensual'!M156</f>
        <v>902.639987167479</v>
      </c>
      <c r="L142" s="25" t="n">
        <f aca="false">parametros_recargas!$E$84*'Plan mensual'!N149+parametros_recargas!$F$84*'Plan mensual'!N150+parametros_recargas!$G$84*'Plan mensual'!N151+parametros_recargas!$H$84*'Plan mensual'!N152+parametros_recargas!$I$84*'Plan mensual'!N153+parametros_recargas!$J$84*'Plan mensual'!N154+parametros_recargas!$K$84*'Plan mensual'!N155+parametros_recargas!$L$84*'Plan mensual'!N156</f>
        <v>926.092012821514</v>
      </c>
      <c r="M142" s="25" t="n">
        <f aca="false">parametros_recargas!$E$84*'Plan mensual'!O149+parametros_recargas!$F$84*'Plan mensual'!O150+parametros_recargas!$G$84*'Plan mensual'!O151+parametros_recargas!$H$84*'Plan mensual'!O152+parametros_recargas!$I$84*'Plan mensual'!O153+parametros_recargas!$J$84*'Plan mensual'!O154+parametros_recargas!$K$84*'Plan mensual'!O155+parametros_recargas!$L$84*'Plan mensual'!O156</f>
        <v>950.154368090293</v>
      </c>
      <c r="N142" s="7" t="n">
        <f aca="false">SUM(B142:M142)</f>
        <v>9940.64851654551</v>
      </c>
      <c r="O142" s="26" t="n">
        <f aca="false">MAX(B142:M142)</f>
        <v>950.154368090293</v>
      </c>
      <c r="P142" s="15" t="n">
        <f aca="false">O142/parametros_recargas!$B$6</f>
        <v>6.33436245393529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25" t="n">
        <f aca="false">parametros_recargas!$E$85*'Plan mensual'!D149+parametros_recargas!$F$85*'Plan mensual'!D150+parametros_recargas!$G$85*'Plan mensual'!D151+parametros_recargas!$H$85*'Plan mensual'!D152+parametros_recargas!$I$85*'Plan mensual'!D153+parametros_recargas!$J$85*'Plan mensual'!D154+parametros_recargas!$K$85*'Plan mensual'!D155+parametros_recargas!$L$85*'Plan mensual'!D156</f>
        <v>716.60736370727</v>
      </c>
      <c r="C143" s="25" t="n">
        <f aca="false">parametros_recargas!$E$85*'Plan mensual'!E149+parametros_recargas!$F$85*'Plan mensual'!E150+parametros_recargas!$G$85*'Plan mensual'!E151+parametros_recargas!$H$85*'Plan mensual'!E152+parametros_recargas!$I$85*'Plan mensual'!E153+parametros_recargas!$J$85*'Plan mensual'!E154+parametros_recargas!$K$85*'Plan mensual'!E155+parametros_recargas!$L$85*'Plan mensual'!E156</f>
        <v>735.217964527432</v>
      </c>
      <c r="D143" s="25" t="n">
        <f aca="false">parametros_recargas!$E$85*'Plan mensual'!F149+parametros_recargas!$F$85*'Plan mensual'!F150+parametros_recargas!$G$85*'Plan mensual'!F151+parametros_recargas!$H$85*'Plan mensual'!F152+parametros_recargas!$I$85*'Plan mensual'!F153+parametros_recargas!$J$85*'Plan mensual'!F154+parametros_recargas!$K$85*'Plan mensual'!F155+parametros_recargas!$L$85*'Plan mensual'!F156</f>
        <v>754.312898811844</v>
      </c>
      <c r="E143" s="25" t="n">
        <f aca="false">parametros_recargas!$E$85*'Plan mensual'!G149+parametros_recargas!$F$85*'Plan mensual'!G150+parametros_recargas!$G$85*'Plan mensual'!G151+parametros_recargas!$H$85*'Plan mensual'!G152+parametros_recargas!$I$85*'Plan mensual'!G153+parametros_recargas!$J$85*'Plan mensual'!G154+parametros_recargas!$K$85*'Plan mensual'!G155+parametros_recargas!$L$85*'Plan mensual'!G156</f>
        <v>773.904771145757</v>
      </c>
      <c r="F143" s="25" t="n">
        <f aca="false">parametros_recargas!$E$85*'Plan mensual'!H149+parametros_recargas!$F$85*'Plan mensual'!H150+parametros_recargas!$G$85*'Plan mensual'!H151+parametros_recargas!$H$85*'Plan mensual'!H152+parametros_recargas!$I$85*'Plan mensual'!H153+parametros_recargas!$J$85*'Plan mensual'!H154+parametros_recargas!$K$85*'Plan mensual'!H155+parametros_recargas!$L$85*'Plan mensual'!H156</f>
        <v>794.006514143724</v>
      </c>
      <c r="G143" s="25" t="n">
        <f aca="false">parametros_recargas!$E$85*'Plan mensual'!I149+parametros_recargas!$F$85*'Plan mensual'!I150+parametros_recargas!$G$85*'Plan mensual'!I151+parametros_recargas!$H$85*'Plan mensual'!I152+parametros_recargas!$I$85*'Plan mensual'!I153+parametros_recargas!$J$85*'Plan mensual'!I154+parametros_recargas!$K$85*'Plan mensual'!I155+parametros_recargas!$L$85*'Plan mensual'!I156</f>
        <v>814.631396986436</v>
      </c>
      <c r="H143" s="25" t="n">
        <f aca="false">parametros_recargas!$E$85*'Plan mensual'!J149+parametros_recargas!$F$85*'Plan mensual'!J150+parametros_recargas!$G$85*'Plan mensual'!J151+parametros_recargas!$H$85*'Plan mensual'!J152+parametros_recargas!$I$85*'Plan mensual'!J153+parametros_recargas!$J$85*'Plan mensual'!J154+parametros_recargas!$K$85*'Plan mensual'!J155+parametros_recargas!$L$85*'Plan mensual'!J156</f>
        <v>835.79303417972</v>
      </c>
      <c r="I143" s="25" t="n">
        <f aca="false">parametros_recargas!$E$85*'Plan mensual'!K149+parametros_recargas!$F$85*'Plan mensual'!K150+parametros_recargas!$G$85*'Plan mensual'!K151+parametros_recargas!$H$85*'Plan mensual'!K152+parametros_recargas!$I$85*'Plan mensual'!K153+parametros_recargas!$J$85*'Plan mensual'!K154+parametros_recargas!$K$85*'Plan mensual'!K155+parametros_recargas!$L$85*'Plan mensual'!K156</f>
        <v>857.505394541485</v>
      </c>
      <c r="J143" s="25" t="n">
        <f aca="false">parametros_recargas!$E$85*'Plan mensual'!L149+parametros_recargas!$F$85*'Plan mensual'!L150+parametros_recargas!$G$85*'Plan mensual'!L151+parametros_recargas!$H$85*'Plan mensual'!L152+parametros_recargas!$I$85*'Plan mensual'!L153+parametros_recargas!$J$85*'Plan mensual'!L154+parametros_recargas!$K$85*'Plan mensual'!L155+parametros_recargas!$L$85*'Plan mensual'!L156</f>
        <v>879.782810422558</v>
      </c>
      <c r="K143" s="25" t="n">
        <f aca="false">parametros_recargas!$E$85*'Plan mensual'!M149+parametros_recargas!$F$85*'Plan mensual'!M150+parametros_recargas!$G$85*'Plan mensual'!M151+parametros_recargas!$H$85*'Plan mensual'!M152+parametros_recargas!$I$85*'Plan mensual'!M153+parametros_recargas!$J$85*'Plan mensual'!M154+parametros_recargas!$K$85*'Plan mensual'!M155+parametros_recargas!$L$85*'Plan mensual'!M156</f>
        <v>902.639987167479</v>
      </c>
      <c r="L143" s="25" t="n">
        <f aca="false">parametros_recargas!$E$85*'Plan mensual'!N149+parametros_recargas!$F$85*'Plan mensual'!N150+parametros_recargas!$G$85*'Plan mensual'!N151+parametros_recargas!$H$85*'Plan mensual'!N152+parametros_recargas!$I$85*'Plan mensual'!N153+parametros_recargas!$J$85*'Plan mensual'!N154+parametros_recargas!$K$85*'Plan mensual'!N155+parametros_recargas!$L$85*'Plan mensual'!N156</f>
        <v>926.092012821514</v>
      </c>
      <c r="M143" s="25" t="n">
        <f aca="false">parametros_recargas!$E$85*'Plan mensual'!O149+parametros_recargas!$F$85*'Plan mensual'!O150+parametros_recargas!$G$85*'Plan mensual'!O151+parametros_recargas!$H$85*'Plan mensual'!O152+parametros_recargas!$I$85*'Plan mensual'!O153+parametros_recargas!$J$85*'Plan mensual'!O154+parametros_recargas!$K$85*'Plan mensual'!O155+parametros_recargas!$L$85*'Plan mensual'!O156</f>
        <v>950.154368090293</v>
      </c>
      <c r="N143" s="7" t="n">
        <f aca="false">SUM(B143:M143)</f>
        <v>9940.64851654551</v>
      </c>
      <c r="O143" s="26" t="n">
        <f aca="false">MAX(B143:M143)</f>
        <v>950.154368090293</v>
      </c>
      <c r="P143" s="15" t="n">
        <f aca="false">O143/parametros_recargas!$B$6</f>
        <v>6.33436245393529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25" t="n">
        <f aca="false">parametros_recargas!$E$86*'Plan mensual'!D149+parametros_recargas!$F$86*'Plan mensual'!D150+parametros_recargas!$G$86*'Plan mensual'!D151+parametros_recargas!$H$86*'Plan mensual'!D152+parametros_recargas!$I$86*'Plan mensual'!D153+parametros_recargas!$J$86*'Plan mensual'!D154+parametros_recargas!$K$86*'Plan mensual'!D155+parametros_recargas!$L$86*'Plan mensual'!D156</f>
        <v>359.215084576101</v>
      </c>
      <c r="C144" s="25" t="n">
        <f aca="false">parametros_recargas!$E$86*'Plan mensual'!E149+parametros_recargas!$F$86*'Plan mensual'!E150+parametros_recargas!$G$86*'Plan mensual'!E151+parametros_recargas!$H$86*'Plan mensual'!E152+parametros_recargas!$I$86*'Plan mensual'!E153+parametros_recargas!$J$86*'Plan mensual'!E154+parametros_recargas!$K$86*'Plan mensual'!E155+parametros_recargas!$L$86*'Plan mensual'!E156</f>
        <v>368.54269421266</v>
      </c>
      <c r="D144" s="25" t="n">
        <f aca="false">parametros_recargas!$E$86*'Plan mensual'!F149+parametros_recargas!$F$86*'Plan mensual'!F150+parametros_recargas!$G$86*'Plan mensual'!F151+parametros_recargas!$H$86*'Plan mensual'!F152+parametros_recargas!$I$86*'Plan mensual'!F153+parametros_recargas!$J$86*'Plan mensual'!F154+parametros_recargas!$K$86*'Plan mensual'!F155+parametros_recargas!$L$86*'Plan mensual'!F156</f>
        <v>378.113051170066</v>
      </c>
      <c r="E144" s="25" t="n">
        <f aca="false">parametros_recargas!$E$86*'Plan mensual'!G149+parametros_recargas!$F$86*'Plan mensual'!G150+parametros_recargas!$G$86*'Plan mensual'!G151+parametros_recargas!$H$86*'Plan mensual'!G152+parametros_recargas!$I$86*'Plan mensual'!G153+parametros_recargas!$J$86*'Plan mensual'!G154+parametros_recargas!$K$86*'Plan mensual'!G155+parametros_recargas!$L$86*'Plan mensual'!G156</f>
        <v>387.932472850534</v>
      </c>
      <c r="F144" s="25" t="n">
        <f aca="false">parametros_recargas!$E$86*'Plan mensual'!H149+parametros_recargas!$F$86*'Plan mensual'!H150+parametros_recargas!$G$86*'Plan mensual'!H151+parametros_recargas!$H$86*'Plan mensual'!H152+parametros_recargas!$I$86*'Plan mensual'!H153+parametros_recargas!$J$86*'Plan mensual'!H154+parametros_recargas!$K$86*'Plan mensual'!H155+parametros_recargas!$L$86*'Plan mensual'!H156</f>
        <v>398.007441064152</v>
      </c>
      <c r="G144" s="25" t="n">
        <f aca="false">parametros_recargas!$E$86*'Plan mensual'!I149+parametros_recargas!$F$86*'Plan mensual'!I150+parametros_recargas!$G$86*'Plan mensual'!I151+parametros_recargas!$H$86*'Plan mensual'!I152+parametros_recargas!$I$86*'Plan mensual'!I153+parametros_recargas!$J$86*'Plan mensual'!I154+parametros_recargas!$K$86*'Plan mensual'!I155+parametros_recargas!$L$86*'Plan mensual'!I156</f>
        <v>408.344606307531</v>
      </c>
      <c r="H144" s="25" t="n">
        <f aca="false">parametros_recargas!$E$86*'Plan mensual'!J149+parametros_recargas!$F$86*'Plan mensual'!J150+parametros_recargas!$G$86*'Plan mensual'!J151+parametros_recargas!$H$86*'Plan mensual'!J152+parametros_recargas!$I$86*'Plan mensual'!J153+parametros_recargas!$J$86*'Plan mensual'!J154+parametros_recargas!$K$86*'Plan mensual'!J155+parametros_recargas!$L$86*'Plan mensual'!J156</f>
        <v>418.950792153804</v>
      </c>
      <c r="I144" s="25" t="n">
        <f aca="false">parametros_recargas!$E$86*'Plan mensual'!K149+parametros_recargas!$F$86*'Plan mensual'!K150+parametros_recargas!$G$86*'Plan mensual'!K151+parametros_recargas!$H$86*'Plan mensual'!K152+parametros_recargas!$I$86*'Plan mensual'!K153+parametros_recargas!$J$86*'Plan mensual'!K154+parametros_recargas!$K$86*'Plan mensual'!K155+parametros_recargas!$L$86*'Plan mensual'!K156</f>
        <v>429.832999756872</v>
      </c>
      <c r="J144" s="25" t="n">
        <f aca="false">parametros_recargas!$E$86*'Plan mensual'!L149+parametros_recargas!$F$86*'Plan mensual'!L150+parametros_recargas!$G$86*'Plan mensual'!L151+parametros_recargas!$H$86*'Plan mensual'!L152+parametros_recargas!$I$86*'Plan mensual'!L153+parametros_recargas!$J$86*'Plan mensual'!L154+parametros_recargas!$K$86*'Plan mensual'!L155+parametros_recargas!$L$86*'Plan mensual'!L156</f>
        <v>440.998412472877</v>
      </c>
      <c r="K144" s="25" t="n">
        <f aca="false">parametros_recargas!$E$86*'Plan mensual'!M149+parametros_recargas!$F$86*'Plan mensual'!M150+parametros_recargas!$G$86*'Plan mensual'!M151+parametros_recargas!$H$86*'Plan mensual'!M152+parametros_recargas!$I$86*'Plan mensual'!M153+parametros_recargas!$J$86*'Plan mensual'!M154+parametros_recargas!$K$86*'Plan mensual'!M155+parametros_recargas!$L$86*'Plan mensual'!M156</f>
        <v>452.454400601937</v>
      </c>
      <c r="L144" s="25" t="n">
        <f aca="false">parametros_recargas!$E$86*'Plan mensual'!N149+parametros_recargas!$F$86*'Plan mensual'!N150+parametros_recargas!$G$86*'Plan mensual'!N151+parametros_recargas!$H$86*'Plan mensual'!N152+parametros_recargas!$I$86*'Plan mensual'!N153+parametros_recargas!$J$86*'Plan mensual'!N154+parametros_recargas!$K$86*'Plan mensual'!N155+parametros_recargas!$L$86*'Plan mensual'!N156</f>
        <v>464.208526253293</v>
      </c>
      <c r="M144" s="25" t="n">
        <f aca="false">parametros_recargas!$E$86*'Plan mensual'!O149+parametros_recargas!$F$86*'Plan mensual'!O150+parametros_recargas!$G$86*'Plan mensual'!O151+parametros_recargas!$H$86*'Plan mensual'!O152+parametros_recargas!$I$86*'Plan mensual'!O153+parametros_recargas!$J$86*'Plan mensual'!O154+parametros_recargas!$K$86*'Plan mensual'!O155+parametros_recargas!$L$86*'Plan mensual'!O156</f>
        <v>476.268548337062</v>
      </c>
      <c r="N144" s="7" t="n">
        <f aca="false">SUM(B144:M144)</f>
        <v>4982.86902975689</v>
      </c>
      <c r="O144" s="26" t="n">
        <f aca="false">MAX(B144:M144)</f>
        <v>476.268548337062</v>
      </c>
      <c r="P144" s="15" t="n">
        <f aca="false">O144/parametros_recargas!$B$6</f>
        <v>3.17512365558041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25" t="n">
        <f aca="false">parametros_recargas!$E$87*'Plan mensual'!D149+parametros_recargas!$F$87*'Plan mensual'!D150+parametros_recargas!$G$87*'Plan mensual'!D151+parametros_recargas!$H$87*'Plan mensual'!D152+parametros_recargas!$I$87*'Plan mensual'!D153+parametros_recargas!$J$87*'Plan mensual'!D154+parametros_recargas!$K$87*'Plan mensual'!D155+parametros_recargas!$L$87*'Plan mensual'!D156</f>
        <v>3104.60797195224</v>
      </c>
      <c r="C145" s="25" t="n">
        <f aca="false">parametros_recargas!$E$87*'Plan mensual'!E149+parametros_recargas!$F$87*'Plan mensual'!E150+parametros_recargas!$G$87*'Plan mensual'!E151+parametros_recargas!$H$87*'Plan mensual'!E152+parametros_recargas!$I$87*'Plan mensual'!E153+parametros_recargas!$J$87*'Plan mensual'!E154+parametros_recargas!$K$87*'Plan mensual'!E155+parametros_recargas!$L$87*'Plan mensual'!E156</f>
        <v>3185.25668353339</v>
      </c>
      <c r="D145" s="25" t="n">
        <f aca="false">parametros_recargas!$E$87*'Plan mensual'!F149+parametros_recargas!$F$87*'Plan mensual'!F150+parametros_recargas!$G$87*'Plan mensual'!F151+parametros_recargas!$H$87*'Plan mensual'!F152+parametros_recargas!$I$87*'Plan mensual'!F153+parametros_recargas!$J$87*'Plan mensual'!F154+parametros_recargas!$K$87*'Plan mensual'!F155+parametros_recargas!$L$87*'Plan mensual'!F156</f>
        <v>3268.00424566993</v>
      </c>
      <c r="E145" s="25" t="n">
        <f aca="false">parametros_recargas!$E$87*'Plan mensual'!G149+parametros_recargas!$F$87*'Plan mensual'!G150+parametros_recargas!$G$87*'Plan mensual'!G151+parametros_recargas!$H$87*'Plan mensual'!G152+parametros_recargas!$I$87*'Plan mensual'!G153+parametros_recargas!$J$87*'Plan mensual'!G154+parametros_recargas!$K$87*'Plan mensual'!G155+parametros_recargas!$L$87*'Plan mensual'!G156</f>
        <v>3352.90528011051</v>
      </c>
      <c r="F145" s="25" t="n">
        <f aca="false">parametros_recargas!$E$87*'Plan mensual'!H149+parametros_recargas!$F$87*'Plan mensual'!H150+parametros_recargas!$G$87*'Plan mensual'!H151+parametros_recargas!$H$87*'Plan mensual'!H152+parametros_recargas!$I$87*'Plan mensual'!H153+parametros_recargas!$J$87*'Plan mensual'!H154+parametros_recargas!$K$87*'Plan mensual'!H155+parametros_recargas!$L$87*'Plan mensual'!H156</f>
        <v>3440.01583011302</v>
      </c>
      <c r="G145" s="25" t="n">
        <f aca="false">parametros_recargas!$E$87*'Plan mensual'!I149+parametros_recargas!$F$87*'Plan mensual'!I150+parametros_recargas!$G$87*'Plan mensual'!I151+parametros_recargas!$H$87*'Plan mensual'!I152+parametros_recargas!$I$87*'Plan mensual'!I153+parametros_recargas!$J$87*'Plan mensual'!I154+parametros_recargas!$K$87*'Plan mensual'!I155+parametros_recargas!$L$87*'Plan mensual'!I156</f>
        <v>3529.39339743878</v>
      </c>
      <c r="H145" s="25" t="n">
        <f aca="false">parametros_recargas!$E$87*'Plan mensual'!J149+parametros_recargas!$F$87*'Plan mensual'!J150+parametros_recargas!$G$87*'Plan mensual'!J151+parametros_recargas!$H$87*'Plan mensual'!J152+parametros_recargas!$I$87*'Plan mensual'!J153+parametros_recargas!$J$87*'Plan mensual'!J154+parametros_recargas!$K$87*'Plan mensual'!J155+parametros_recargas!$L$87*'Plan mensual'!J156</f>
        <v>3621.09698030953</v>
      </c>
      <c r="I145" s="25" t="n">
        <f aca="false">parametros_recargas!$E$87*'Plan mensual'!K149+parametros_recargas!$F$87*'Plan mensual'!K150+parametros_recargas!$G$87*'Plan mensual'!K151+parametros_recargas!$H$87*'Plan mensual'!K152+parametros_recargas!$I$87*'Plan mensual'!K153+parametros_recargas!$J$87*'Plan mensual'!K154+parametros_recargas!$K$87*'Plan mensual'!K155+parametros_recargas!$L$87*'Plan mensual'!K156</f>
        <v>3715.18711235217</v>
      </c>
      <c r="J145" s="25" t="n">
        <f aca="false">parametros_recargas!$E$87*'Plan mensual'!L149+parametros_recargas!$F$87*'Plan mensual'!L150+parametros_recargas!$G$87*'Plan mensual'!L151+parametros_recargas!$H$87*'Plan mensual'!L152+parametros_recargas!$I$87*'Plan mensual'!L153+parametros_recargas!$J$87*'Plan mensual'!L154+parametros_recargas!$K$87*'Plan mensual'!L155+parametros_recargas!$L$87*'Plan mensual'!L156</f>
        <v>3811.72590255714</v>
      </c>
      <c r="K145" s="25" t="n">
        <f aca="false">parametros_recargas!$E$87*'Plan mensual'!M149+parametros_recargas!$F$87*'Plan mensual'!M150+parametros_recargas!$G$87*'Plan mensual'!M151+parametros_recargas!$H$87*'Plan mensual'!M152+parametros_recargas!$I$87*'Plan mensual'!M153+parametros_recargas!$J$87*'Plan mensual'!M154+parametros_recargas!$K$87*'Plan mensual'!M155+parametros_recargas!$L$87*'Plan mensual'!M156</f>
        <v>3910.77707627656</v>
      </c>
      <c r="L145" s="25" t="n">
        <f aca="false">parametros_recargas!$E$87*'Plan mensual'!N149+parametros_recargas!$F$87*'Plan mensual'!N150+parametros_recargas!$G$87*'Plan mensual'!N151+parametros_recargas!$H$87*'Plan mensual'!N152+parametros_recargas!$I$87*'Plan mensual'!N153+parametros_recargas!$J$87*'Plan mensual'!N154+parametros_recargas!$K$87*'Plan mensual'!N155+parametros_recargas!$L$87*'Plan mensual'!N156</f>
        <v>4012.40601728941</v>
      </c>
      <c r="M145" s="25" t="n">
        <f aca="false">parametros_recargas!$E$87*'Plan mensual'!O149+parametros_recargas!$F$87*'Plan mensual'!O150+parametros_recargas!$G$87*'Plan mensual'!O151+parametros_recargas!$H$87*'Plan mensual'!O152+parametros_recargas!$I$87*'Plan mensual'!O153+parametros_recargas!$J$87*'Plan mensual'!O154+parametros_recargas!$K$87*'Plan mensual'!O155+parametros_recargas!$L$87*'Plan mensual'!O156</f>
        <v>4116.67981096149</v>
      </c>
      <c r="N145" s="7" t="n">
        <f aca="false">SUM(B145:M145)</f>
        <v>43068.0563085642</v>
      </c>
      <c r="O145" s="26" t="n">
        <f aca="false">MAX(B145:M145)</f>
        <v>4116.67981096149</v>
      </c>
      <c r="P145" s="15" t="n">
        <f aca="false">O145/parametros_recargas!$B$6</f>
        <v>27.4445320730766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25" t="n">
        <f aca="false">parametros_recargas!$E$88*'Plan mensual'!D149+parametros_recargas!$F$88*'Plan mensual'!D150+parametros_recargas!$G$88*'Plan mensual'!D151+parametros_recargas!$H$88*'Plan mensual'!D152+parametros_recargas!$I$88*'Plan mensual'!D153+parametros_recargas!$J$88*'Plan mensual'!D154+parametros_recargas!$K$88*'Plan mensual'!D155+parametros_recargas!$L$88*'Plan mensual'!D156</f>
        <v>4.64909769599805</v>
      </c>
      <c r="C146" s="25" t="n">
        <f aca="false">parametros_recargas!$E$88*'Plan mensual'!E149+parametros_recargas!$F$88*'Plan mensual'!E150+parametros_recargas!$G$88*'Plan mensual'!E151+parametros_recargas!$H$88*'Plan mensual'!E152+parametros_recargas!$I$88*'Plan mensual'!E153+parametros_recargas!$J$88*'Plan mensual'!E154+parametros_recargas!$K$88*'Plan mensual'!E155+parametros_recargas!$L$88*'Plan mensual'!E156</f>
        <v>4.76791989266373</v>
      </c>
      <c r="D146" s="25" t="n">
        <f aca="false">parametros_recargas!$E$88*'Plan mensual'!F149+parametros_recargas!$F$88*'Plan mensual'!F150+parametros_recargas!$G$88*'Plan mensual'!F151+parametros_recargas!$H$88*'Plan mensual'!F152+parametros_recargas!$I$88*'Plan mensual'!F153+parametros_recargas!$J$88*'Plan mensual'!F154+parametros_recargas!$K$88*'Plan mensual'!F155+parametros_recargas!$L$88*'Plan mensual'!F156</f>
        <v>4.88983438961015</v>
      </c>
      <c r="E146" s="25" t="n">
        <f aca="false">parametros_recargas!$E$88*'Plan mensual'!G149+parametros_recargas!$F$88*'Plan mensual'!G150+parametros_recargas!$G$88*'Plan mensual'!G151+parametros_recargas!$H$88*'Plan mensual'!G152+parametros_recargas!$I$88*'Plan mensual'!G153+parametros_recargas!$J$88*'Plan mensual'!G154+parametros_recargas!$K$88*'Plan mensual'!G155+parametros_recargas!$L$88*'Plan mensual'!G156</f>
        <v>5.01492166271887</v>
      </c>
      <c r="F146" s="25" t="n">
        <f aca="false">parametros_recargas!$E$88*'Plan mensual'!H149+parametros_recargas!$F$88*'Plan mensual'!H150+parametros_recargas!$G$88*'Plan mensual'!H151+parametros_recargas!$H$88*'Plan mensual'!H152+parametros_recargas!$I$88*'Plan mensual'!H153+parametros_recargas!$J$88*'Plan mensual'!H154+parametros_recargas!$K$88*'Plan mensual'!H155+parametros_recargas!$L$88*'Plan mensual'!H156</f>
        <v>5.14326428222419</v>
      </c>
      <c r="G146" s="25" t="n">
        <f aca="false">parametros_recargas!$E$88*'Plan mensual'!I149+parametros_recargas!$F$88*'Plan mensual'!I150+parametros_recargas!$G$88*'Plan mensual'!I151+parametros_recargas!$H$88*'Plan mensual'!I152+parametros_recargas!$I$88*'Plan mensual'!I153+parametros_recargas!$J$88*'Plan mensual'!I154+parametros_recargas!$K$88*'Plan mensual'!I155+parametros_recargas!$L$88*'Plan mensual'!I156</f>
        <v>5.27494696721781</v>
      </c>
      <c r="H146" s="25" t="n">
        <f aca="false">parametros_recargas!$E$88*'Plan mensual'!J149+parametros_recargas!$F$88*'Plan mensual'!J150+parametros_recargas!$G$88*'Plan mensual'!J151+parametros_recargas!$H$88*'Plan mensual'!J152+parametros_recargas!$I$88*'Plan mensual'!J153+parametros_recargas!$J$88*'Plan mensual'!J154+parametros_recargas!$K$88*'Plan mensual'!J155+parametros_recargas!$L$88*'Plan mensual'!J156</f>
        <v>5.41005664157201</v>
      </c>
      <c r="I146" s="25" t="n">
        <f aca="false">parametros_recargas!$E$88*'Plan mensual'!K149+parametros_recargas!$F$88*'Plan mensual'!K150+parametros_recargas!$G$88*'Plan mensual'!K151+parametros_recargas!$H$88*'Plan mensual'!K152+parametros_recargas!$I$88*'Plan mensual'!K153+parametros_recargas!$J$88*'Plan mensual'!K154+parametros_recargas!$K$88*'Plan mensual'!K155+parametros_recargas!$L$88*'Plan mensual'!K156</f>
        <v>5.54868249131819</v>
      </c>
      <c r="J146" s="25" t="n">
        <f aca="false">parametros_recargas!$E$88*'Plan mensual'!L149+parametros_recargas!$F$88*'Plan mensual'!L150+parametros_recargas!$G$88*'Plan mensual'!L151+parametros_recargas!$H$88*'Plan mensual'!L152+parametros_recargas!$I$88*'Plan mensual'!L153+parametros_recargas!$J$88*'Plan mensual'!L154+parametros_recargas!$K$88*'Plan mensual'!L155+parametros_recargas!$L$88*'Plan mensual'!L156</f>
        <v>5.69091602351863</v>
      </c>
      <c r="K146" s="25" t="n">
        <f aca="false">parametros_recargas!$E$88*'Plan mensual'!M149+parametros_recargas!$F$88*'Plan mensual'!M150+parametros_recargas!$G$88*'Plan mensual'!M151+parametros_recargas!$H$88*'Plan mensual'!M152+parametros_recargas!$I$88*'Plan mensual'!M153+parametros_recargas!$J$88*'Plan mensual'!M154+parametros_recargas!$K$88*'Plan mensual'!M155+parametros_recargas!$L$88*'Plan mensual'!M156</f>
        <v>5.83685112667042</v>
      </c>
      <c r="L146" s="25" t="n">
        <f aca="false">parametros_recargas!$E$88*'Plan mensual'!N149+parametros_recargas!$F$88*'Plan mensual'!N150+parametros_recargas!$G$88*'Plan mensual'!N151+parametros_recargas!$H$88*'Plan mensual'!N152+parametros_recargas!$I$88*'Plan mensual'!N153+parametros_recargas!$J$88*'Plan mensual'!N154+parametros_recargas!$K$88*'Plan mensual'!N155+parametros_recargas!$L$88*'Plan mensual'!N156</f>
        <v>5.98658413268136</v>
      </c>
      <c r="M146" s="25" t="n">
        <f aca="false">parametros_recargas!$E$88*'Plan mensual'!O149+parametros_recargas!$F$88*'Plan mensual'!O150+parametros_recargas!$G$88*'Plan mensual'!O151+parametros_recargas!$H$88*'Plan mensual'!O152+parametros_recargas!$I$88*'Plan mensual'!O153+parametros_recargas!$J$88*'Plan mensual'!O154+parametros_recargas!$K$88*'Plan mensual'!O155+parametros_recargas!$L$88*'Plan mensual'!O156</f>
        <v>6.1402138804587</v>
      </c>
      <c r="N146" s="7" t="n">
        <f aca="false">SUM(B146:M146)</f>
        <v>64.3532891866521</v>
      </c>
      <c r="O146" s="26" t="n">
        <f aca="false">MAX(B146:M146)</f>
        <v>6.1402138804587</v>
      </c>
      <c r="P146" s="15" t="n">
        <f aca="false">O146/parametros_recargas!$B$6</f>
        <v>0.040934759203058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25" t="n">
        <f aca="false">parametros_recargas!$E$89*'Plan mensual'!D149+parametros_recargas!$F$89*'Plan mensual'!D150+parametros_recargas!$G$89*'Plan mensual'!D151+parametros_recargas!$H$89*'Plan mensual'!D152+parametros_recargas!$I$89*'Plan mensual'!D153+parametros_recargas!$J$89*'Plan mensual'!D154+parametros_recargas!$K$89*'Plan mensual'!D155+parametros_recargas!$L$89*'Plan mensual'!D156</f>
        <v>4.34643611013991</v>
      </c>
      <c r="C147" s="25" t="n">
        <f aca="false">parametros_recargas!$E$89*'Plan mensual'!E149+parametros_recargas!$F$89*'Plan mensual'!E150+parametros_recargas!$G$89*'Plan mensual'!E151+parametros_recargas!$H$89*'Plan mensual'!E152+parametros_recargas!$I$89*'Plan mensual'!E153+parametros_recargas!$J$89*'Plan mensual'!E154+parametros_recargas!$K$89*'Plan mensual'!E155+parametros_recargas!$L$89*'Plan mensual'!E156</f>
        <v>4.45738165973812</v>
      </c>
      <c r="D147" s="25" t="n">
        <f aca="false">parametros_recargas!$E$89*'Plan mensual'!F149+parametros_recargas!$F$89*'Plan mensual'!F150+parametros_recargas!$G$89*'Plan mensual'!F151+parametros_recargas!$H$89*'Plan mensual'!F152+parametros_recargas!$I$89*'Plan mensual'!F153+parametros_recargas!$J$89*'Plan mensual'!F154+parametros_recargas!$K$89*'Plan mensual'!F155+parametros_recargas!$L$89*'Plan mensual'!F156</f>
        <v>4.57121452301841</v>
      </c>
      <c r="E147" s="25" t="n">
        <f aca="false">parametros_recargas!$E$89*'Plan mensual'!G149+parametros_recargas!$F$89*'Plan mensual'!G150+parametros_recargas!$G$89*'Plan mensual'!G151+parametros_recargas!$H$89*'Plan mensual'!G152+parametros_recargas!$I$89*'Plan mensual'!G153+parametros_recargas!$J$89*'Plan mensual'!G154+parametros_recargas!$K$89*'Plan mensual'!G155+parametros_recargas!$L$89*'Plan mensual'!G156</f>
        <v>4.68800984116789</v>
      </c>
      <c r="F147" s="25" t="n">
        <f aca="false">parametros_recargas!$E$89*'Plan mensual'!H149+parametros_recargas!$F$89*'Plan mensual'!H150+parametros_recargas!$G$89*'Plan mensual'!H151+parametros_recargas!$H$89*'Plan mensual'!H152+parametros_recargas!$I$89*'Plan mensual'!H153+parametros_recargas!$J$89*'Plan mensual'!H154+parametros_recargas!$K$89*'Plan mensual'!H155+parametros_recargas!$L$89*'Plan mensual'!H156</f>
        <v>4.80784471089306</v>
      </c>
      <c r="G147" s="25" t="n">
        <f aca="false">parametros_recargas!$E$89*'Plan mensual'!I149+parametros_recargas!$F$89*'Plan mensual'!I150+parametros_recargas!$G$89*'Plan mensual'!I151+parametros_recargas!$H$89*'Plan mensual'!I152+parametros_recargas!$I$89*'Plan mensual'!I153+parametros_recargas!$J$89*'Plan mensual'!I154+parametros_recargas!$K$89*'Plan mensual'!I155+parametros_recargas!$L$89*'Plan mensual'!I156</f>
        <v>4.93079823531148</v>
      </c>
      <c r="H147" s="25" t="n">
        <f aca="false">parametros_recargas!$E$89*'Plan mensual'!J149+parametros_recargas!$F$89*'Plan mensual'!J150+parametros_recargas!$G$89*'Plan mensual'!J151+parametros_recargas!$H$89*'Plan mensual'!J152+parametros_recargas!$I$89*'Plan mensual'!J153+parametros_recargas!$J$89*'Plan mensual'!J154+parametros_recargas!$K$89*'Plan mensual'!J155+parametros_recargas!$L$89*'Plan mensual'!J156</f>
        <v>5.05695157616779</v>
      </c>
      <c r="I147" s="25" t="n">
        <f aca="false">parametros_recargas!$E$89*'Plan mensual'!K149+parametros_recargas!$F$89*'Plan mensual'!K150+parametros_recargas!$G$89*'Plan mensual'!K151+parametros_recargas!$H$89*'Plan mensual'!K152+parametros_recargas!$I$89*'Plan mensual'!K153+parametros_recargas!$J$89*'Plan mensual'!K154+parametros_recargas!$K$89*'Plan mensual'!K155+parametros_recargas!$L$89*'Plan mensual'!K156</f>
        <v>5.18638800740866</v>
      </c>
      <c r="J147" s="25" t="n">
        <f aca="false">parametros_recargas!$E$89*'Plan mensual'!L149+parametros_recargas!$F$89*'Plan mensual'!L150+parametros_recargas!$G$89*'Plan mensual'!L151+parametros_recargas!$H$89*'Plan mensual'!L152+parametros_recargas!$I$89*'Plan mensual'!L153+parametros_recargas!$J$89*'Plan mensual'!L154+parametros_recargas!$K$89*'Plan mensual'!L155+parametros_recargas!$L$89*'Plan mensual'!L156</f>
        <v>5.31919297015203</v>
      </c>
      <c r="K147" s="25" t="n">
        <f aca="false">parametros_recargas!$E$89*'Plan mensual'!M149+parametros_recargas!$F$89*'Plan mensual'!M150+parametros_recargas!$G$89*'Plan mensual'!M151+parametros_recargas!$H$89*'Plan mensual'!M152+parametros_recargas!$I$89*'Plan mensual'!M153+parametros_recargas!$J$89*'Plan mensual'!M154+parametros_recargas!$K$89*'Plan mensual'!M155+parametros_recargas!$L$89*'Plan mensual'!M156</f>
        <v>5.45545412908685</v>
      </c>
      <c r="L147" s="25" t="n">
        <f aca="false">parametros_recargas!$E$89*'Plan mensual'!N149+parametros_recargas!$F$89*'Plan mensual'!N150+parametros_recargas!$G$89*'Plan mensual'!N151+parametros_recargas!$H$89*'Plan mensual'!N152+parametros_recargas!$I$89*'Plan mensual'!N153+parametros_recargas!$J$89*'Plan mensual'!N154+parametros_recargas!$K$89*'Plan mensual'!N155+parametros_recargas!$L$89*'Plan mensual'!N156</f>
        <v>5.59526143034062</v>
      </c>
      <c r="M147" s="25" t="n">
        <f aca="false">parametros_recargas!$E$89*'Plan mensual'!O149+parametros_recargas!$F$89*'Plan mensual'!O150+parametros_recargas!$G$89*'Plan mensual'!O151+parametros_recargas!$H$89*'Plan mensual'!O152+parametros_recargas!$I$89*'Plan mensual'!O153+parametros_recargas!$J$89*'Plan mensual'!O154+parametros_recargas!$K$89*'Plan mensual'!O155+parametros_recargas!$L$89*'Plan mensual'!O156</f>
        <v>5.73870716085297</v>
      </c>
      <c r="N147" s="7" t="n">
        <f aca="false">SUM(B147:M147)</f>
        <v>60.1536403542778</v>
      </c>
      <c r="O147" s="26" t="n">
        <f aca="false">MAX(B147:M147)</f>
        <v>5.73870716085297</v>
      </c>
      <c r="P147" s="15" t="n">
        <f aca="false">O147/parametros_recargas!$B$6</f>
        <v>0.0382580477390198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25" t="n">
        <f aca="false">parametros_recargas!$E$90*'Plan mensual'!D149+parametros_recargas!$F$90*'Plan mensual'!D150+parametros_recargas!$G$90*'Plan mensual'!D151+parametros_recargas!$H$90*'Plan mensual'!D152+parametros_recargas!$I$90*'Plan mensual'!D153+parametros_recargas!$J$90*'Plan mensual'!D154+parametros_recargas!$K$90*'Plan mensual'!D155+parametros_recargas!$L$90*'Plan mensual'!D156</f>
        <v>164.79420251258</v>
      </c>
      <c r="C148" s="25" t="n">
        <f aca="false">parametros_recargas!$E$90*'Plan mensual'!E149+parametros_recargas!$F$90*'Plan mensual'!E150+parametros_recargas!$G$90*'Plan mensual'!E151+parametros_recargas!$H$90*'Plan mensual'!E152+parametros_recargas!$I$90*'Plan mensual'!E153+parametros_recargas!$J$90*'Plan mensual'!E154+parametros_recargas!$K$90*'Plan mensual'!E155+parametros_recargas!$L$90*'Plan mensual'!E156</f>
        <v>169.061218743729</v>
      </c>
      <c r="D148" s="25" t="n">
        <f aca="false">parametros_recargas!$E$90*'Plan mensual'!F149+parametros_recargas!$F$90*'Plan mensual'!F150+parametros_recargas!$G$90*'Plan mensual'!F151+parametros_recargas!$H$90*'Plan mensual'!F152+parametros_recargas!$I$90*'Plan mensual'!F153+parametros_recargas!$J$90*'Plan mensual'!F154+parametros_recargas!$K$90*'Plan mensual'!F155+parametros_recargas!$L$90*'Plan mensual'!F156</f>
        <v>173.439282370565</v>
      </c>
      <c r="E148" s="25" t="n">
        <f aca="false">parametros_recargas!$E$90*'Plan mensual'!G149+parametros_recargas!$F$90*'Plan mensual'!G150+parametros_recargas!$G$90*'Plan mensual'!G151+parametros_recargas!$H$90*'Plan mensual'!G152+parametros_recargas!$I$90*'Plan mensual'!G153+parametros_recargas!$J$90*'Plan mensual'!G154+parametros_recargas!$K$90*'Plan mensual'!G155+parametros_recargas!$L$90*'Plan mensual'!G156</f>
        <v>177.931283357273</v>
      </c>
      <c r="F148" s="25" t="n">
        <f aca="false">parametros_recargas!$E$90*'Plan mensual'!H149+parametros_recargas!$F$90*'Plan mensual'!H150+parametros_recargas!$G$90*'Plan mensual'!H151+parametros_recargas!$H$90*'Plan mensual'!H152+parametros_recargas!$I$90*'Plan mensual'!H153+parametros_recargas!$J$90*'Plan mensual'!H154+parametros_recargas!$K$90*'Plan mensual'!H155+parametros_recargas!$L$90*'Plan mensual'!H156</f>
        <v>182.540186878206</v>
      </c>
      <c r="G148" s="25" t="n">
        <f aca="false">parametros_recargas!$E$90*'Plan mensual'!I149+parametros_recargas!$F$90*'Plan mensual'!I150+parametros_recargas!$G$90*'Plan mensual'!I151+parametros_recargas!$H$90*'Plan mensual'!I152+parametros_recargas!$I$90*'Plan mensual'!I153+parametros_recargas!$J$90*'Plan mensual'!I154+parametros_recargas!$K$90*'Plan mensual'!I155+parametros_recargas!$L$90*'Plan mensual'!I156</f>
        <v>187.269035275194</v>
      </c>
      <c r="H148" s="25" t="n">
        <f aca="false">parametros_recargas!$E$90*'Plan mensual'!J149+parametros_recargas!$F$90*'Plan mensual'!J150+parametros_recargas!$G$90*'Plan mensual'!J151+parametros_recargas!$H$90*'Plan mensual'!J152+parametros_recargas!$I$90*'Plan mensual'!J153+parametros_recargas!$J$90*'Plan mensual'!J154+parametros_recargas!$K$90*'Plan mensual'!J155+parametros_recargas!$L$90*'Plan mensual'!J156</f>
        <v>192.120950065801</v>
      </c>
      <c r="I148" s="25" t="n">
        <f aca="false">parametros_recargas!$E$90*'Plan mensual'!K149+parametros_recargas!$F$90*'Plan mensual'!K150+parametros_recargas!$G$90*'Plan mensual'!K151+parametros_recargas!$H$90*'Plan mensual'!K152+parametros_recargas!$I$90*'Plan mensual'!K153+parametros_recargas!$J$90*'Plan mensual'!K154+parametros_recargas!$K$90*'Plan mensual'!K155+parametros_recargas!$L$90*'Plan mensual'!K156</f>
        <v>197.099134003841</v>
      </c>
      <c r="J148" s="25" t="n">
        <f aca="false">parametros_recargas!$E$90*'Plan mensual'!L149+parametros_recargas!$F$90*'Plan mensual'!L150+parametros_recargas!$G$90*'Plan mensual'!L151+parametros_recargas!$H$90*'Plan mensual'!L152+parametros_recargas!$I$90*'Plan mensual'!L153+parametros_recargas!$J$90*'Plan mensual'!L154+parametros_recargas!$K$90*'Plan mensual'!L155+parametros_recargas!$L$90*'Plan mensual'!L156</f>
        <v>202.206873193519</v>
      </c>
      <c r="K148" s="25" t="n">
        <f aca="false">parametros_recargas!$E$90*'Plan mensual'!M149+parametros_recargas!$F$90*'Plan mensual'!M150+parametros_recargas!$G$90*'Plan mensual'!M151+parametros_recargas!$H$90*'Plan mensual'!M152+parametros_recargas!$I$90*'Plan mensual'!M153+parametros_recargas!$J$90*'Plan mensual'!M154+parametros_recargas!$K$90*'Plan mensual'!M155+parametros_recargas!$L$90*'Plan mensual'!M156</f>
        <v>207.447539258591</v>
      </c>
      <c r="L148" s="25" t="n">
        <f aca="false">parametros_recargas!$E$90*'Plan mensual'!N149+parametros_recargas!$F$90*'Plan mensual'!N150+parametros_recargas!$G$90*'Plan mensual'!N151+parametros_recargas!$H$90*'Plan mensual'!N152+parametros_recargas!$I$90*'Plan mensual'!N153+parametros_recargas!$J$90*'Plan mensual'!N154+parametros_recargas!$K$90*'Plan mensual'!N155+parametros_recargas!$L$90*'Plan mensual'!N156</f>
        <v>212.824591567976</v>
      </c>
      <c r="M148" s="25" t="n">
        <f aca="false">parametros_recargas!$E$90*'Plan mensual'!O149+parametros_recargas!$F$90*'Plan mensual'!O150+parametros_recargas!$G$90*'Plan mensual'!O151+parametros_recargas!$H$90*'Plan mensual'!O152+parametros_recargas!$I$90*'Plan mensual'!O153+parametros_recargas!$J$90*'Plan mensual'!O154+parametros_recargas!$K$90*'Plan mensual'!O155+parametros_recargas!$L$90*'Plan mensual'!O156</f>
        <v>218.34157951929</v>
      </c>
      <c r="N148" s="7" t="n">
        <f aca="false">SUM(B148:M148)</f>
        <v>2285.07587674656</v>
      </c>
      <c r="O148" s="26" t="n">
        <f aca="false">MAX(B148:M148)</f>
        <v>218.34157951929</v>
      </c>
      <c r="P148" s="15" t="n">
        <f aca="false">O148/parametros_recargas!$B$6</f>
        <v>1.4556105301286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25" t="n">
        <f aca="false">parametros_recargas!$E$91*'Plan mensual'!D149+parametros_recargas!$F$91*'Plan mensual'!D150+parametros_recargas!$G$91*'Plan mensual'!D151+parametros_recargas!$H$91*'Plan mensual'!D152+parametros_recargas!$I$91*'Plan mensual'!D153+parametros_recargas!$J$91*'Plan mensual'!D154+parametros_recargas!$K$91*'Plan mensual'!D155+parametros_recargas!$L$91*'Plan mensual'!D156</f>
        <v>90.5207148847468</v>
      </c>
      <c r="C149" s="25" t="n">
        <f aca="false">parametros_recargas!$E$91*'Plan mensual'!E149+parametros_recargas!$F$91*'Plan mensual'!E150+parametros_recargas!$G$91*'Plan mensual'!E151+parametros_recargas!$H$91*'Plan mensual'!E152+parametros_recargas!$I$91*'Plan mensual'!E153+parametros_recargas!$J$91*'Plan mensual'!E154+parametros_recargas!$K$91*'Plan mensual'!E155+parametros_recargas!$L$91*'Plan mensual'!E156</f>
        <v>92.8667211636062</v>
      </c>
      <c r="D149" s="25" t="n">
        <f aca="false">parametros_recargas!$E$91*'Plan mensual'!F149+parametros_recargas!$F$91*'Plan mensual'!F150+parametros_recargas!$G$91*'Plan mensual'!F151+parametros_recargas!$H$91*'Plan mensual'!F152+parametros_recargas!$I$91*'Plan mensual'!F153+parametros_recargas!$J$91*'Plan mensual'!F154+parametros_recargas!$K$91*'Plan mensual'!F155+parametros_recargas!$L$91*'Plan mensual'!F156</f>
        <v>95.273781320262</v>
      </c>
      <c r="E149" s="25" t="n">
        <f aca="false">parametros_recargas!$E$91*'Plan mensual'!G149+parametros_recargas!$F$91*'Plan mensual'!G150+parametros_recargas!$G$91*'Plan mensual'!G151+parametros_recargas!$H$91*'Plan mensual'!G152+parametros_recargas!$I$91*'Plan mensual'!G153+parametros_recargas!$J$91*'Plan mensual'!G154+parametros_recargas!$K$91*'Plan mensual'!G155+parametros_recargas!$L$91*'Plan mensual'!G156</f>
        <v>97.743484257535</v>
      </c>
      <c r="F149" s="25" t="n">
        <f aca="false">parametros_recargas!$E$91*'Plan mensual'!H149+parametros_recargas!$F$91*'Plan mensual'!H150+parametros_recargas!$G$91*'Plan mensual'!H151+parametros_recargas!$H$91*'Plan mensual'!H152+parametros_recargas!$I$91*'Plan mensual'!H153+parametros_recargas!$J$91*'Plan mensual'!H154+parametros_recargas!$K$91*'Plan mensual'!H155+parametros_recargas!$L$91*'Plan mensual'!H156</f>
        <v>100.277460228808</v>
      </c>
      <c r="G149" s="25" t="n">
        <f aca="false">parametros_recargas!$E$91*'Plan mensual'!I149+parametros_recargas!$F$91*'Plan mensual'!I150+parametros_recargas!$G$91*'Plan mensual'!I151+parametros_recargas!$H$91*'Plan mensual'!I152+parametros_recargas!$I$91*'Plan mensual'!I153+parametros_recargas!$J$91*'Plan mensual'!I154+parametros_recargas!$K$91*'Plan mensual'!I155+parametros_recargas!$L$91*'Plan mensual'!I156</f>
        <v>102.877381914159</v>
      </c>
      <c r="H149" s="25" t="n">
        <f aca="false">parametros_recargas!$E$91*'Plan mensual'!J149+parametros_recargas!$F$91*'Plan mensual'!J150+parametros_recargas!$G$91*'Plan mensual'!J151+parametros_recargas!$H$91*'Plan mensual'!J152+parametros_recargas!$I$91*'Plan mensual'!J153+parametros_recargas!$J$91*'Plan mensual'!J154+parametros_recargas!$K$91*'Plan mensual'!J155+parametros_recargas!$L$91*'Plan mensual'!J156</f>
        <v>105.544965524496</v>
      </c>
      <c r="I149" s="25" t="n">
        <f aca="false">parametros_recargas!$E$91*'Plan mensual'!K149+parametros_recargas!$F$91*'Plan mensual'!K150+parametros_recargas!$G$91*'Plan mensual'!K151+parametros_recargas!$H$91*'Plan mensual'!K152+parametros_recargas!$I$91*'Plan mensual'!K153+parametros_recargas!$J$91*'Plan mensual'!K154+parametros_recargas!$K$91*'Plan mensual'!K155+parametros_recargas!$L$91*'Plan mensual'!K156</f>
        <v>108.281971934433</v>
      </c>
      <c r="J149" s="25" t="n">
        <f aca="false">parametros_recargas!$E$91*'Plan mensual'!L149+parametros_recargas!$F$91*'Plan mensual'!L150+parametros_recargas!$G$91*'Plan mensual'!L151+parametros_recargas!$H$91*'Plan mensual'!L152+parametros_recargas!$I$91*'Plan mensual'!L153+parametros_recargas!$J$91*'Plan mensual'!L154+parametros_recargas!$K$91*'Plan mensual'!L155+parametros_recargas!$L$91*'Plan mensual'!L156</f>
        <v>111.090207844642</v>
      </c>
      <c r="K149" s="25" t="n">
        <f aca="false">parametros_recargas!$E$91*'Plan mensual'!M149+parametros_recargas!$F$91*'Plan mensual'!M150+parametros_recargas!$G$91*'Plan mensual'!M151+parametros_recargas!$H$91*'Plan mensual'!M152+parametros_recargas!$I$91*'Plan mensual'!M153+parametros_recargas!$J$91*'Plan mensual'!M154+parametros_recargas!$K$91*'Plan mensual'!M155+parametros_recargas!$L$91*'Plan mensual'!M156</f>
        <v>113.971526974463</v>
      </c>
      <c r="L149" s="25" t="n">
        <f aca="false">parametros_recargas!$E$91*'Plan mensual'!N149+parametros_recargas!$F$91*'Plan mensual'!N150+parametros_recargas!$G$91*'Plan mensual'!N151+parametros_recargas!$H$91*'Plan mensual'!N152+parametros_recargas!$I$91*'Plan mensual'!N153+parametros_recargas!$J$91*'Plan mensual'!N154+parametros_recargas!$K$91*'Plan mensual'!N155+parametros_recargas!$L$91*'Plan mensual'!N156</f>
        <v>116.927831285538</v>
      </c>
      <c r="M149" s="25" t="n">
        <f aca="false">parametros_recargas!$E$91*'Plan mensual'!O149+parametros_recargas!$F$91*'Plan mensual'!O150+parametros_recargas!$G$91*'Plan mensual'!O151+parametros_recargas!$H$91*'Plan mensual'!O152+parametros_recargas!$I$91*'Plan mensual'!O153+parametros_recargas!$J$91*'Plan mensual'!O154+parametros_recargas!$K$91*'Plan mensual'!O155+parametros_recargas!$L$91*'Plan mensual'!O156</f>
        <v>119.961072237304</v>
      </c>
      <c r="N149" s="7" t="n">
        <f aca="false">SUM(B149:M149)</f>
        <v>1255.33711956999</v>
      </c>
      <c r="O149" s="26" t="n">
        <f aca="false">MAX(B149:M149)</f>
        <v>119.961072237304</v>
      </c>
      <c r="P149" s="15" t="n">
        <f aca="false">O149/parametros_recargas!$B$6</f>
        <v>0.799740481582029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25" t="n">
        <f aca="false">parametros_recargas!$E$92*'Plan mensual'!D149+parametros_recargas!$F$92*'Plan mensual'!D150+parametros_recargas!$G$92*'Plan mensual'!D151+parametros_recargas!$H$92*'Plan mensual'!D152+parametros_recargas!$I$92*'Plan mensual'!D153+parametros_recargas!$J$92*'Plan mensual'!D154+parametros_recargas!$K$92*'Plan mensual'!D155+parametros_recargas!$L$92*'Plan mensual'!D156</f>
        <v>3113.60350575838</v>
      </c>
      <c r="C150" s="25" t="n">
        <f aca="false">parametros_recargas!$E$92*'Plan mensual'!E149+parametros_recargas!$F$92*'Plan mensual'!E150+parametros_recargas!$G$92*'Plan mensual'!E151+parametros_recargas!$H$92*'Plan mensual'!E152+parametros_recargas!$I$92*'Plan mensual'!E153+parametros_recargas!$J$92*'Plan mensual'!E154+parametros_recargas!$K$92*'Plan mensual'!E155+parametros_recargas!$L$92*'Plan mensual'!E156</f>
        <v>3194.4819850858</v>
      </c>
      <c r="D150" s="25" t="n">
        <f aca="false">parametros_recargas!$E$92*'Plan mensual'!F149+parametros_recargas!$F$92*'Plan mensual'!F150+parametros_recargas!$G$92*'Plan mensual'!F151+parametros_recargas!$H$92*'Plan mensual'!F152+parametros_recargas!$I$92*'Plan mensual'!F153+parametros_recargas!$J$92*'Plan mensual'!F154+parametros_recargas!$K$92*'Plan mensual'!F155+parametros_recargas!$L$92*'Plan mensual'!F156</f>
        <v>3277.46529458256</v>
      </c>
      <c r="E150" s="25" t="n">
        <f aca="false">parametros_recargas!$E$92*'Plan mensual'!G149+parametros_recargas!$F$92*'Plan mensual'!G150+parametros_recargas!$G$92*'Plan mensual'!G151+parametros_recargas!$H$92*'Plan mensual'!G152+parametros_recargas!$I$92*'Plan mensual'!G153+parametros_recargas!$J$92*'Plan mensual'!G154+parametros_recargas!$K$92*'Plan mensual'!G155+parametros_recargas!$L$92*'Plan mensual'!G156</f>
        <v>3362.6082116144</v>
      </c>
      <c r="F150" s="25" t="n">
        <f aca="false">parametros_recargas!$E$92*'Plan mensual'!H149+parametros_recargas!$F$92*'Plan mensual'!H150+parametros_recargas!$G$92*'Plan mensual'!H151+parametros_recargas!$H$92*'Plan mensual'!H152+parametros_recargas!$I$92*'Plan mensual'!H153+parametros_recargas!$J$92*'Plan mensual'!H154+parametros_recargas!$K$92*'Plan mensual'!H155+parametros_recargas!$L$92*'Plan mensual'!H156</f>
        <v>3449.96693910614</v>
      </c>
      <c r="G150" s="25" t="n">
        <f aca="false">parametros_recargas!$E$92*'Plan mensual'!I149+parametros_recargas!$F$92*'Plan mensual'!I150+parametros_recargas!$G$92*'Plan mensual'!I151+parametros_recargas!$H$92*'Plan mensual'!I152+parametros_recargas!$I$92*'Plan mensual'!I153+parametros_recargas!$J$92*'Plan mensual'!I154+parametros_recargas!$K$92*'Plan mensual'!I155+parametros_recargas!$L$92*'Plan mensual'!I156</f>
        <v>3539.59914264131</v>
      </c>
      <c r="H150" s="25" t="n">
        <f aca="false">parametros_recargas!$E$92*'Plan mensual'!J149+parametros_recargas!$F$92*'Plan mensual'!J150+parametros_recargas!$G$92*'Plan mensual'!J151+parametros_recargas!$H$92*'Plan mensual'!J152+parametros_recargas!$I$92*'Plan mensual'!J153+parametros_recargas!$J$92*'Plan mensual'!J154+parametros_recargas!$K$92*'Plan mensual'!J155+parametros_recargas!$L$92*'Plan mensual'!J156</f>
        <v>3631.56398852727</v>
      </c>
      <c r="I150" s="25" t="n">
        <f aca="false">parametros_recargas!$E$92*'Plan mensual'!K149+parametros_recargas!$F$92*'Plan mensual'!K150+parametros_recargas!$G$92*'Plan mensual'!K151+parametros_recargas!$H$92*'Plan mensual'!K152+parametros_recargas!$I$92*'Plan mensual'!K153+parametros_recargas!$J$92*'Plan mensual'!K154+parametros_recargas!$K$92*'Plan mensual'!K155+parametros_recargas!$L$92*'Plan mensual'!K156</f>
        <v>3725.9221828509</v>
      </c>
      <c r="J150" s="25" t="n">
        <f aca="false">parametros_recargas!$E$92*'Plan mensual'!L149+parametros_recargas!$F$92*'Plan mensual'!L150+parametros_recargas!$G$92*'Plan mensual'!L151+parametros_recargas!$H$92*'Plan mensual'!L152+parametros_recargas!$I$92*'Plan mensual'!L153+parametros_recargas!$J$92*'Plan mensual'!L154+parametros_recargas!$K$92*'Plan mensual'!L155+parametros_recargas!$L$92*'Plan mensual'!L156</f>
        <v>3822.73601155081</v>
      </c>
      <c r="K150" s="25" t="n">
        <f aca="false">parametros_recargas!$E$92*'Plan mensual'!M149+parametros_recargas!$F$92*'Plan mensual'!M150+parametros_recargas!$G$92*'Plan mensual'!M151+parametros_recargas!$H$92*'Plan mensual'!M152+parametros_recargas!$I$92*'Plan mensual'!M153+parametros_recargas!$J$92*'Plan mensual'!M154+parametros_recargas!$K$92*'Plan mensual'!M155+parametros_recargas!$L$92*'Plan mensual'!M156</f>
        <v>3922.06938153231</v>
      </c>
      <c r="L150" s="25" t="n">
        <f aca="false">parametros_recargas!$E$92*'Plan mensual'!N149+parametros_recargas!$F$92*'Plan mensual'!N150+parametros_recargas!$G$92*'Plan mensual'!N151+parametros_recargas!$H$92*'Plan mensual'!N152+parametros_recargas!$I$92*'Plan mensual'!N153+parametros_recargas!$J$92*'Plan mensual'!N154+parametros_recargas!$K$92*'Plan mensual'!N155+parametros_recargas!$L$92*'Plan mensual'!N156</f>
        <v>4023.98786285243</v>
      </c>
      <c r="M150" s="25" t="n">
        <f aca="false">parametros_recargas!$E$92*'Plan mensual'!O149+parametros_recargas!$F$92*'Plan mensual'!O150+parametros_recargas!$G$92*'Plan mensual'!O151+parametros_recargas!$H$92*'Plan mensual'!O152+parametros_recargas!$I$92*'Plan mensual'!O153+parametros_recargas!$J$92*'Plan mensual'!O154+parametros_recargas!$K$92*'Plan mensual'!O155+parametros_recargas!$L$92*'Plan mensual'!O156</f>
        <v>4128.5587320028</v>
      </c>
      <c r="N150" s="7" t="n">
        <f aca="false">SUM(B150:M150)</f>
        <v>43192.5632381051</v>
      </c>
      <c r="O150" s="26" t="n">
        <f aca="false">MAX(B150:M150)</f>
        <v>4128.5587320028</v>
      </c>
      <c r="P150" s="15" t="n">
        <f aca="false">O150/parametros_recargas!$B$6</f>
        <v>27.5237248800187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25" t="n">
        <f aca="false">parametros_recargas!$E$93*'Plan mensual'!D149+parametros_recargas!$F$93*'Plan mensual'!D150+parametros_recargas!$G$93*'Plan mensual'!D151+parametros_recargas!$H$93*'Plan mensual'!D152+parametros_recargas!$I$93*'Plan mensual'!D153+parametros_recargas!$J$93*'Plan mensual'!D154+parametros_recargas!$K$93*'Plan mensual'!D155+parametros_recargas!$L$93*'Plan mensual'!D156</f>
        <v>3113.60350575838</v>
      </c>
      <c r="C151" s="25" t="n">
        <f aca="false">parametros_recargas!$E$93*'Plan mensual'!E149+parametros_recargas!$F$93*'Plan mensual'!E150+parametros_recargas!$G$93*'Plan mensual'!E151+parametros_recargas!$H$93*'Plan mensual'!E152+parametros_recargas!$I$93*'Plan mensual'!E153+parametros_recargas!$J$93*'Plan mensual'!E154+parametros_recargas!$K$93*'Plan mensual'!E155+parametros_recargas!$L$93*'Plan mensual'!E156</f>
        <v>3194.4819850858</v>
      </c>
      <c r="D151" s="25" t="n">
        <f aca="false">parametros_recargas!$E$93*'Plan mensual'!F149+parametros_recargas!$F$93*'Plan mensual'!F150+parametros_recargas!$G$93*'Plan mensual'!F151+parametros_recargas!$H$93*'Plan mensual'!F152+parametros_recargas!$I$93*'Plan mensual'!F153+parametros_recargas!$J$93*'Plan mensual'!F154+parametros_recargas!$K$93*'Plan mensual'!F155+parametros_recargas!$L$93*'Plan mensual'!F156</f>
        <v>3277.46529458256</v>
      </c>
      <c r="E151" s="25" t="n">
        <f aca="false">parametros_recargas!$E$93*'Plan mensual'!G149+parametros_recargas!$F$93*'Plan mensual'!G150+parametros_recargas!$G$93*'Plan mensual'!G151+parametros_recargas!$H$93*'Plan mensual'!G152+parametros_recargas!$I$93*'Plan mensual'!G153+parametros_recargas!$J$93*'Plan mensual'!G154+parametros_recargas!$K$93*'Plan mensual'!G155+parametros_recargas!$L$93*'Plan mensual'!G156</f>
        <v>3362.6082116144</v>
      </c>
      <c r="F151" s="25" t="n">
        <f aca="false">parametros_recargas!$E$93*'Plan mensual'!H149+parametros_recargas!$F$93*'Plan mensual'!H150+parametros_recargas!$G$93*'Plan mensual'!H151+parametros_recargas!$H$93*'Plan mensual'!H152+parametros_recargas!$I$93*'Plan mensual'!H153+parametros_recargas!$J$93*'Plan mensual'!H154+parametros_recargas!$K$93*'Plan mensual'!H155+parametros_recargas!$L$93*'Plan mensual'!H156</f>
        <v>3449.96693910614</v>
      </c>
      <c r="G151" s="25" t="n">
        <f aca="false">parametros_recargas!$E$93*'Plan mensual'!I149+parametros_recargas!$F$93*'Plan mensual'!I150+parametros_recargas!$G$93*'Plan mensual'!I151+parametros_recargas!$H$93*'Plan mensual'!I152+parametros_recargas!$I$93*'Plan mensual'!I153+parametros_recargas!$J$93*'Plan mensual'!I154+parametros_recargas!$K$93*'Plan mensual'!I155+parametros_recargas!$L$93*'Plan mensual'!I156</f>
        <v>3539.59914264131</v>
      </c>
      <c r="H151" s="25" t="n">
        <f aca="false">parametros_recargas!$E$93*'Plan mensual'!J149+parametros_recargas!$F$93*'Plan mensual'!J150+parametros_recargas!$G$93*'Plan mensual'!J151+parametros_recargas!$H$93*'Plan mensual'!J152+parametros_recargas!$I$93*'Plan mensual'!J153+parametros_recargas!$J$93*'Plan mensual'!J154+parametros_recargas!$K$93*'Plan mensual'!J155+parametros_recargas!$L$93*'Plan mensual'!J156</f>
        <v>3631.56398852727</v>
      </c>
      <c r="I151" s="25" t="n">
        <f aca="false">parametros_recargas!$E$93*'Plan mensual'!K149+parametros_recargas!$F$93*'Plan mensual'!K150+parametros_recargas!$G$93*'Plan mensual'!K151+parametros_recargas!$H$93*'Plan mensual'!K152+parametros_recargas!$I$93*'Plan mensual'!K153+parametros_recargas!$J$93*'Plan mensual'!K154+parametros_recargas!$K$93*'Plan mensual'!K155+parametros_recargas!$L$93*'Plan mensual'!K156</f>
        <v>3725.9221828509</v>
      </c>
      <c r="J151" s="25" t="n">
        <f aca="false">parametros_recargas!$E$93*'Plan mensual'!L149+parametros_recargas!$F$93*'Plan mensual'!L150+parametros_recargas!$G$93*'Plan mensual'!L151+parametros_recargas!$H$93*'Plan mensual'!L152+parametros_recargas!$I$93*'Plan mensual'!L153+parametros_recargas!$J$93*'Plan mensual'!L154+parametros_recargas!$K$93*'Plan mensual'!L155+parametros_recargas!$L$93*'Plan mensual'!L156</f>
        <v>3822.73601155081</v>
      </c>
      <c r="K151" s="25" t="n">
        <f aca="false">parametros_recargas!$E$93*'Plan mensual'!M149+parametros_recargas!$F$93*'Plan mensual'!M150+parametros_recargas!$G$93*'Plan mensual'!M151+parametros_recargas!$H$93*'Plan mensual'!M152+parametros_recargas!$I$93*'Plan mensual'!M153+parametros_recargas!$J$93*'Plan mensual'!M154+parametros_recargas!$K$93*'Plan mensual'!M155+parametros_recargas!$L$93*'Plan mensual'!M156</f>
        <v>3922.06938153231</v>
      </c>
      <c r="L151" s="25" t="n">
        <f aca="false">parametros_recargas!$E$93*'Plan mensual'!N149+parametros_recargas!$F$93*'Plan mensual'!N150+parametros_recargas!$G$93*'Plan mensual'!N151+parametros_recargas!$H$93*'Plan mensual'!N152+parametros_recargas!$I$93*'Plan mensual'!N153+parametros_recargas!$J$93*'Plan mensual'!N154+parametros_recargas!$K$93*'Plan mensual'!N155+parametros_recargas!$L$93*'Plan mensual'!N156</f>
        <v>4023.98786285243</v>
      </c>
      <c r="M151" s="25" t="n">
        <f aca="false">parametros_recargas!$E$93*'Plan mensual'!O149+parametros_recargas!$F$93*'Plan mensual'!O150+parametros_recargas!$G$93*'Plan mensual'!O151+parametros_recargas!$H$93*'Plan mensual'!O152+parametros_recargas!$I$93*'Plan mensual'!O153+parametros_recargas!$J$93*'Plan mensual'!O154+parametros_recargas!$K$93*'Plan mensual'!O155+parametros_recargas!$L$93*'Plan mensual'!O156</f>
        <v>4128.5587320028</v>
      </c>
      <c r="N151" s="7" t="n">
        <f aca="false">SUM(B151:M151)</f>
        <v>43192.5632381051</v>
      </c>
      <c r="O151" s="26" t="n">
        <f aca="false">MAX(B151:M151)</f>
        <v>4128.5587320028</v>
      </c>
      <c r="P151" s="15" t="n">
        <f aca="false">O151/parametros_recargas!$B$6</f>
        <v>27.5237248800187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25" t="n">
        <f aca="false">parametros_recargas!$E$94*'Plan mensual'!D149+parametros_recargas!$F$94*'Plan mensual'!D150+parametros_recargas!$G$94*'Plan mensual'!D151+parametros_recargas!$H$94*'Plan mensual'!D152+parametros_recargas!$I$94*'Plan mensual'!D153+parametros_recargas!$J$94*'Plan mensual'!D154+parametros_recargas!$K$94*'Plan mensual'!D155+parametros_recargas!$L$94*'Plan mensual'!D156</f>
        <v>243.232486885092</v>
      </c>
      <c r="C152" s="25" t="n">
        <f aca="false">parametros_recargas!$E$94*'Plan mensual'!E149+parametros_recargas!$F$94*'Plan mensual'!E150+parametros_recargas!$G$94*'Plan mensual'!E151+parametros_recargas!$H$94*'Plan mensual'!E152+parametros_recargas!$I$94*'Plan mensual'!E153+parametros_recargas!$J$94*'Plan mensual'!E154+parametros_recargas!$K$94*'Plan mensual'!E155+parametros_recargas!$L$94*'Plan mensual'!E156</f>
        <v>249.532153317998</v>
      </c>
      <c r="D152" s="25" t="n">
        <f aca="false">parametros_recargas!$E$94*'Plan mensual'!F149+parametros_recargas!$F$94*'Plan mensual'!F150+parametros_recargas!$G$94*'Plan mensual'!F151+parametros_recargas!$H$94*'Plan mensual'!F152+parametros_recargas!$I$94*'Plan mensual'!F153+parametros_recargas!$J$94*'Plan mensual'!F154+parametros_recargas!$K$94*'Plan mensual'!F155+parametros_recargas!$L$94*'Plan mensual'!F156</f>
        <v>255.995766057449</v>
      </c>
      <c r="E152" s="25" t="n">
        <f aca="false">parametros_recargas!$E$94*'Plan mensual'!G149+parametros_recargas!$F$94*'Plan mensual'!G150+parametros_recargas!$G$94*'Plan mensual'!G151+parametros_recargas!$H$94*'Plan mensual'!G152+parametros_recargas!$I$94*'Plan mensual'!G153+parametros_recargas!$J$94*'Plan mensual'!G154+parametros_recargas!$K$94*'Plan mensual'!G155+parametros_recargas!$L$94*'Plan mensual'!G156</f>
        <v>262.62759174069</v>
      </c>
      <c r="F152" s="25" t="n">
        <f aca="false">parametros_recargas!$E$94*'Plan mensual'!H149+parametros_recargas!$F$94*'Plan mensual'!H150+parametros_recargas!$G$94*'Plan mensual'!H151+parametros_recargas!$H$94*'Plan mensual'!H152+parametros_recargas!$I$94*'Plan mensual'!H153+parametros_recargas!$J$94*'Plan mensual'!H154+parametros_recargas!$K$94*'Plan mensual'!H155+parametros_recargas!$L$94*'Plan mensual'!H156</f>
        <v>269.4320080425</v>
      </c>
      <c r="G152" s="25" t="n">
        <f aca="false">parametros_recargas!$E$94*'Plan mensual'!I149+parametros_recargas!$F$94*'Plan mensual'!I150+parametros_recargas!$G$94*'Plan mensual'!I151+parametros_recargas!$H$94*'Plan mensual'!I152+parametros_recargas!$I$94*'Plan mensual'!I153+parametros_recargas!$J$94*'Plan mensual'!I154+parametros_recargas!$K$94*'Plan mensual'!I155+parametros_recargas!$L$94*'Plan mensual'!I156</f>
        <v>276.413506564894</v>
      </c>
      <c r="H152" s="25" t="n">
        <f aca="false">parametros_recargas!$E$94*'Plan mensual'!J149+parametros_recargas!$F$94*'Plan mensual'!J150+parametros_recargas!$G$94*'Plan mensual'!J151+parametros_recargas!$H$94*'Plan mensual'!J152+parametros_recargas!$I$94*'Plan mensual'!J153+parametros_recargas!$J$94*'Plan mensual'!J154+parametros_recargas!$K$94*'Plan mensual'!J155+parametros_recargas!$L$94*'Plan mensual'!J156</f>
        <v>283.576695802043</v>
      </c>
      <c r="I152" s="25" t="n">
        <f aca="false">parametros_recargas!$E$94*'Plan mensual'!K149+parametros_recargas!$F$94*'Plan mensual'!K150+parametros_recargas!$G$94*'Plan mensual'!K151+parametros_recargas!$H$94*'Plan mensual'!K152+parametros_recargas!$I$94*'Plan mensual'!K153+parametros_recargas!$J$94*'Plan mensual'!K154+parametros_recargas!$K$94*'Plan mensual'!K155+parametros_recargas!$L$94*'Plan mensual'!K156</f>
        <v>290.926304182336</v>
      </c>
      <c r="J152" s="25" t="n">
        <f aca="false">parametros_recargas!$E$94*'Plan mensual'!L149+parametros_recargas!$F$94*'Plan mensual'!L150+parametros_recargas!$G$94*'Plan mensual'!L151+parametros_recargas!$H$94*'Plan mensual'!L152+parametros_recargas!$I$94*'Plan mensual'!L153+parametros_recargas!$J$94*'Plan mensual'!L154+parametros_recargas!$K$94*'Plan mensual'!L155+parametros_recargas!$L$94*'Plan mensual'!L156</f>
        <v>298.467183189628</v>
      </c>
      <c r="K152" s="25" t="n">
        <f aca="false">parametros_recargas!$E$94*'Plan mensual'!M149+parametros_recargas!$F$94*'Plan mensual'!M150+parametros_recargas!$G$94*'Plan mensual'!M151+parametros_recargas!$H$94*'Plan mensual'!M152+parametros_recargas!$I$94*'Plan mensual'!M153+parametros_recargas!$J$94*'Plan mensual'!M154+parametros_recargas!$K$94*'Plan mensual'!M155+parametros_recargas!$L$94*'Plan mensual'!M156</f>
        <v>306.204310565707</v>
      </c>
      <c r="L152" s="25" t="n">
        <f aca="false">parametros_recargas!$E$94*'Plan mensual'!N149+parametros_recargas!$F$94*'Plan mensual'!N150+parametros_recargas!$G$94*'Plan mensual'!N151+parametros_recargas!$H$94*'Plan mensual'!N152+parametros_recargas!$I$94*'Plan mensual'!N153+parametros_recargas!$J$94*'Plan mensual'!N154+parametros_recargas!$K$94*'Plan mensual'!N155+parametros_recargas!$L$94*'Plan mensual'!N156</f>
        <v>314.142793596105</v>
      </c>
      <c r="M152" s="25" t="n">
        <f aca="false">parametros_recargas!$E$94*'Plan mensual'!O149+parametros_recargas!$F$94*'Plan mensual'!O150+parametros_recargas!$G$94*'Plan mensual'!O151+parametros_recargas!$H$94*'Plan mensual'!O152+parametros_recargas!$I$94*'Plan mensual'!O153+parametros_recargas!$J$94*'Plan mensual'!O154+parametros_recargas!$K$94*'Plan mensual'!O155+parametros_recargas!$L$94*'Plan mensual'!O156</f>
        <v>322.287872481422</v>
      </c>
      <c r="N152" s="7" t="n">
        <f aca="false">SUM(B152:M152)</f>
        <v>3372.83867242586</v>
      </c>
      <c r="O152" s="26" t="n">
        <f aca="false">MAX(B152:M152)</f>
        <v>322.287872481422</v>
      </c>
      <c r="P152" s="15" t="n">
        <f aca="false">O152/parametros_recargas!$B$6</f>
        <v>2.14858581654281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25" t="n">
        <f aca="false">parametros_recargas!$E$95*'Plan mensual'!D149+parametros_recargas!$F$95*'Plan mensual'!D150+parametros_recargas!$G$95*'Plan mensual'!D151+parametros_recargas!$H$95*'Plan mensual'!D152+parametros_recargas!$I$95*'Plan mensual'!D153+parametros_recargas!$J$95*'Plan mensual'!D154+parametros_recargas!$K$95*'Plan mensual'!D155+parametros_recargas!$L$95*'Plan mensual'!D156</f>
        <v>3.00435530189026</v>
      </c>
      <c r="C153" s="25" t="n">
        <f aca="false">parametros_recargas!$E$95*'Plan mensual'!E149+parametros_recargas!$F$95*'Plan mensual'!E150+parametros_recargas!$G$95*'Plan mensual'!E151+parametros_recargas!$H$95*'Plan mensual'!E152+parametros_recargas!$I$95*'Plan mensual'!E153+parametros_recargas!$J$95*'Plan mensual'!E154+parametros_recargas!$K$95*'Plan mensual'!E155+parametros_recargas!$L$95*'Plan mensual'!E156</f>
        <v>3.08200027126343</v>
      </c>
      <c r="D153" s="25" t="n">
        <f aca="false">parametros_recargas!$E$95*'Plan mensual'!F149+parametros_recargas!$F$95*'Plan mensual'!F150+parametros_recargas!$G$95*'Plan mensual'!F151+parametros_recargas!$H$95*'Plan mensual'!F152+parametros_recargas!$I$95*'Plan mensual'!F153+parametros_recargas!$J$95*'Plan mensual'!F154+parametros_recargas!$K$95*'Plan mensual'!F155+parametros_recargas!$L$95*'Plan mensual'!F156</f>
        <v>3.16166591999896</v>
      </c>
      <c r="E153" s="25" t="n">
        <f aca="false">parametros_recargas!$E$95*'Plan mensual'!G149+parametros_recargas!$F$95*'Plan mensual'!G150+parametros_recargas!$G$95*'Plan mensual'!G151+parametros_recargas!$H$95*'Plan mensual'!G152+parametros_recargas!$I$95*'Plan mensual'!G153+parametros_recargas!$J$95*'Plan mensual'!G154+parametros_recargas!$K$95*'Plan mensual'!G155+parametros_recargas!$L$95*'Plan mensual'!G156</f>
        <v>3.24340483547136</v>
      </c>
      <c r="F153" s="25" t="n">
        <f aca="false">parametros_recargas!$E$95*'Plan mensual'!H149+parametros_recargas!$F$95*'Plan mensual'!H150+parametros_recargas!$G$95*'Plan mensual'!H151+parametros_recargas!$H$95*'Plan mensual'!H152+parametros_recargas!$I$95*'Plan mensual'!H153+parametros_recargas!$J$95*'Plan mensual'!H154+parametros_recargas!$K$95*'Plan mensual'!H155+parametros_recargas!$L$95*'Plan mensual'!H156</f>
        <v>3.32727097362063</v>
      </c>
      <c r="G153" s="25" t="n">
        <f aca="false">parametros_recargas!$E$95*'Plan mensual'!I149+parametros_recargas!$F$95*'Plan mensual'!I150+parametros_recargas!$G$95*'Plan mensual'!I151+parametros_recargas!$H$95*'Plan mensual'!I152+parametros_recargas!$I$95*'Plan mensual'!I153+parametros_recargas!$J$95*'Plan mensual'!I154+parametros_recargas!$K$95*'Plan mensual'!I155+parametros_recargas!$L$95*'Plan mensual'!I156</f>
        <v>3.41331969456858</v>
      </c>
      <c r="H153" s="25" t="n">
        <f aca="false">parametros_recargas!$E$95*'Plan mensual'!J149+parametros_recargas!$F$95*'Plan mensual'!J150+parametros_recargas!$G$95*'Plan mensual'!J151+parametros_recargas!$H$95*'Plan mensual'!J152+parametros_recargas!$I$95*'Plan mensual'!J153+parametros_recargas!$J$95*'Plan mensual'!J154+parametros_recargas!$K$95*'Plan mensual'!J155+parametros_recargas!$L$95*'Plan mensual'!J156</f>
        <v>3.5016077991621</v>
      </c>
      <c r="I153" s="25" t="n">
        <f aca="false">parametros_recargas!$E$95*'Plan mensual'!K149+parametros_recargas!$F$95*'Plan mensual'!K150+parametros_recargas!$G$95*'Plan mensual'!K151+parametros_recargas!$H$95*'Plan mensual'!K152+parametros_recargas!$I$95*'Plan mensual'!K153+parametros_recargas!$J$95*'Plan mensual'!K154+parametros_recargas!$K$95*'Plan mensual'!K155+parametros_recargas!$L$95*'Plan mensual'!K156</f>
        <v>3.59219356646749</v>
      </c>
      <c r="J153" s="25" t="n">
        <f aca="false">parametros_recargas!$E$95*'Plan mensual'!L149+parametros_recargas!$F$95*'Plan mensual'!L150+parametros_recargas!$G$95*'Plan mensual'!L151+parametros_recargas!$H$95*'Plan mensual'!L152+parametros_recargas!$I$95*'Plan mensual'!L153+parametros_recargas!$J$95*'Plan mensual'!L154+parametros_recargas!$K$95*'Plan mensual'!L155+parametros_recargas!$L$95*'Plan mensual'!L156</f>
        <v>3.68513679224049</v>
      </c>
      <c r="K153" s="25" t="n">
        <f aca="false">parametros_recargas!$E$95*'Plan mensual'!M149+parametros_recargas!$F$95*'Plan mensual'!M150+parametros_recargas!$G$95*'Plan mensual'!M151+parametros_recargas!$H$95*'Plan mensual'!M152+parametros_recargas!$I$95*'Plan mensual'!M153+parametros_recargas!$J$95*'Plan mensual'!M154+parametros_recargas!$K$95*'Plan mensual'!M155+parametros_recargas!$L$95*'Plan mensual'!M156</f>
        <v>3.78049882839754</v>
      </c>
      <c r="L153" s="25" t="n">
        <f aca="false">parametros_recargas!$E$95*'Plan mensual'!N149+parametros_recargas!$F$95*'Plan mensual'!N150+parametros_recargas!$G$95*'Plan mensual'!N151+parametros_recargas!$H$95*'Plan mensual'!N152+parametros_recargas!$I$95*'Plan mensual'!N153+parametros_recargas!$J$95*'Plan mensual'!N154+parametros_recargas!$K$95*'Plan mensual'!N155+parametros_recargas!$L$95*'Plan mensual'!N156</f>
        <v>3.87834262351424</v>
      </c>
      <c r="M153" s="25" t="n">
        <f aca="false">parametros_recargas!$E$95*'Plan mensual'!O149+parametros_recargas!$F$95*'Plan mensual'!O150+parametros_recargas!$G$95*'Plan mensual'!O151+parametros_recargas!$H$95*'Plan mensual'!O152+parametros_recargas!$I$95*'Plan mensual'!O153+parametros_recargas!$J$95*'Plan mensual'!O154+parametros_recargas!$K$95*'Plan mensual'!O155+parametros_recargas!$L$95*'Plan mensual'!O156</f>
        <v>3.97873276437776</v>
      </c>
      <c r="N153" s="7" t="n">
        <f aca="false">SUM(B153:M153)</f>
        <v>41.6485293709728</v>
      </c>
      <c r="O153" s="26" t="n">
        <f aca="false">MAX(B153:M153)</f>
        <v>3.97873276437776</v>
      </c>
      <c r="P153" s="15" t="n">
        <f aca="false">O153/parametros_recargas!$B$6</f>
        <v>0.0265248850958518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25" t="n">
        <f aca="false">parametros_recargas!$E$96*'Plan mensual'!D149+parametros_recargas!$F$96*'Plan mensual'!D150+parametros_recargas!$G$96*'Plan mensual'!D151+parametros_recargas!$H$96*'Plan mensual'!D152+parametros_recargas!$I$96*'Plan mensual'!D153+parametros_recargas!$J$96*'Plan mensual'!D154+parametros_recargas!$K$96*'Plan mensual'!D155+parametros_recargas!$L$96*'Plan mensual'!D156</f>
        <v>220.228067303413</v>
      </c>
      <c r="C154" s="25" t="n">
        <f aca="false">parametros_recargas!$E$96*'Plan mensual'!E149+parametros_recargas!$F$96*'Plan mensual'!E150+parametros_recargas!$G$96*'Plan mensual'!E151+parametros_recargas!$H$96*'Plan mensual'!E152+parametros_recargas!$I$96*'Plan mensual'!E153+parametros_recargas!$J$96*'Plan mensual'!E154+parametros_recargas!$K$96*'Plan mensual'!E155+parametros_recargas!$L$96*'Plan mensual'!E156</f>
        <v>225.935016862205</v>
      </c>
      <c r="D154" s="25" t="n">
        <f aca="false">parametros_recargas!$E$96*'Plan mensual'!F149+parametros_recargas!$F$96*'Plan mensual'!F150+parametros_recargas!$G$96*'Plan mensual'!F151+parametros_recargas!$H$96*'Plan mensual'!F152+parametros_recargas!$I$96*'Plan mensual'!F153+parametros_recargas!$J$96*'Plan mensual'!F154+parametros_recargas!$K$96*'Plan mensual'!F155+parametros_recargas!$L$96*'Plan mensual'!F156</f>
        <v>231.790487507275</v>
      </c>
      <c r="E154" s="25" t="n">
        <f aca="false">parametros_recargas!$E$96*'Plan mensual'!G149+parametros_recargas!$F$96*'Plan mensual'!G150+parametros_recargas!$G$96*'Plan mensual'!G151+parametros_recargas!$H$96*'Plan mensual'!G152+parametros_recargas!$I$96*'Plan mensual'!G153+parametros_recargas!$J$96*'Plan mensual'!G154+parametros_recargas!$K$96*'Plan mensual'!G155+parametros_recargas!$L$96*'Plan mensual'!G156</f>
        <v>237.798344440662</v>
      </c>
      <c r="F154" s="25" t="n">
        <f aca="false">parametros_recargas!$E$96*'Plan mensual'!H149+parametros_recargas!$F$96*'Plan mensual'!H150+parametros_recargas!$G$96*'Plan mensual'!H151+parametros_recargas!$H$96*'Plan mensual'!H152+parametros_recargas!$I$96*'Plan mensual'!H153+parametros_recargas!$J$96*'Plan mensual'!H154+parametros_recargas!$K$96*'Plan mensual'!H155+parametros_recargas!$L$96*'Plan mensual'!H156</f>
        <v>243.962553454748</v>
      </c>
      <c r="G154" s="25" t="n">
        <f aca="false">parametros_recargas!$E$96*'Plan mensual'!I149+parametros_recargas!$F$96*'Plan mensual'!I150+parametros_recargas!$G$96*'Plan mensual'!I151+parametros_recargas!$H$96*'Plan mensual'!I152+parametros_recargas!$I$96*'Plan mensual'!I153+parametros_recargas!$J$96*'Plan mensual'!I154+parametros_recargas!$K$96*'Plan mensual'!I155+parametros_recargas!$L$96*'Plan mensual'!I156</f>
        <v>250.287183550076</v>
      </c>
      <c r="H154" s="25" t="n">
        <f aca="false">parametros_recargas!$E$96*'Plan mensual'!J149+parametros_recargas!$F$96*'Plan mensual'!J150+parametros_recargas!$G$96*'Plan mensual'!J151+parametros_recargas!$H$96*'Plan mensual'!J152+parametros_recargas!$I$96*'Plan mensual'!J153+parametros_recargas!$J$96*'Plan mensual'!J154+parametros_recargas!$K$96*'Plan mensual'!J155+parametros_recargas!$L$96*'Plan mensual'!J156</f>
        <v>256.77640962131</v>
      </c>
      <c r="I154" s="25" t="n">
        <f aca="false">parametros_recargas!$E$96*'Plan mensual'!K149+parametros_recargas!$F$96*'Plan mensual'!K150+parametros_recargas!$G$96*'Plan mensual'!K151+parametros_recargas!$H$96*'Plan mensual'!K152+parametros_recargas!$I$96*'Plan mensual'!K153+parametros_recargas!$J$96*'Plan mensual'!K154+parametros_recargas!$K$96*'Plan mensual'!K155+parametros_recargas!$L$96*'Plan mensual'!K156</f>
        <v>263.434515213079</v>
      </c>
      <c r="J154" s="25" t="n">
        <f aca="false">parametros_recargas!$E$96*'Plan mensual'!L149+parametros_recargas!$F$96*'Plan mensual'!L150+parametros_recargas!$G$96*'Plan mensual'!L151+parametros_recargas!$H$96*'Plan mensual'!L152+parametros_recargas!$I$96*'Plan mensual'!L153+parametros_recargas!$J$96*'Plan mensual'!L154+parametros_recargas!$K$96*'Plan mensual'!L155+parametros_recargas!$L$96*'Plan mensual'!L156</f>
        <v>270.265895347554</v>
      </c>
      <c r="K154" s="25" t="n">
        <f aca="false">parametros_recargas!$E$96*'Plan mensual'!M149+parametros_recargas!$F$96*'Plan mensual'!M150+parametros_recargas!$G$96*'Plan mensual'!M151+parametros_recargas!$H$96*'Plan mensual'!M152+parametros_recargas!$I$96*'Plan mensual'!M153+parametros_recargas!$J$96*'Plan mensual'!M154+parametros_recargas!$K$96*'Plan mensual'!M155+parametros_recargas!$L$96*'Plan mensual'!M156</f>
        <v>277.275059425606</v>
      </c>
      <c r="L154" s="25" t="n">
        <f aca="false">parametros_recargas!$E$96*'Plan mensual'!N149+parametros_recargas!$F$96*'Plan mensual'!N150+parametros_recargas!$G$96*'Plan mensual'!N151+parametros_recargas!$H$96*'Plan mensual'!N152+parametros_recargas!$I$96*'Plan mensual'!N153+parametros_recargas!$J$96*'Plan mensual'!N154+parametros_recargas!$K$96*'Plan mensual'!N155+parametros_recargas!$L$96*'Plan mensual'!N156</f>
        <v>284.466634203464</v>
      </c>
      <c r="M154" s="25" t="n">
        <f aca="false">parametros_recargas!$E$96*'Plan mensual'!O149+parametros_recargas!$F$96*'Plan mensual'!O150+parametros_recargas!$G$96*'Plan mensual'!O151+parametros_recargas!$H$96*'Plan mensual'!O152+parametros_recargas!$I$96*'Plan mensual'!O153+parametros_recargas!$J$96*'Plan mensual'!O154+parametros_recargas!$K$96*'Plan mensual'!O155+parametros_recargas!$L$96*'Plan mensual'!O156</f>
        <v>291.845366846844</v>
      </c>
      <c r="N154" s="7" t="n">
        <f aca="false">SUM(B154:M154)</f>
        <v>3054.06553377623</v>
      </c>
      <c r="O154" s="26" t="n">
        <f aca="false">MAX(B154:M154)</f>
        <v>291.845366846844</v>
      </c>
      <c r="P154" s="15" t="n">
        <f aca="false">O154/parametros_recargas!$B$6</f>
        <v>1.94563577897896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25" t="n">
        <f aca="false">parametros_recargas!$E$97*'Plan mensual'!D149+parametros_recargas!$F$97*'Plan mensual'!D150+parametros_recargas!$G$97*'Plan mensual'!D151+parametros_recargas!$H$97*'Plan mensual'!D152+parametros_recargas!$I$97*'Plan mensual'!D153+parametros_recargas!$J$97*'Plan mensual'!D154+parametros_recargas!$K$97*'Plan mensual'!D155+parametros_recargas!$L$97*'Plan mensual'!D156</f>
        <v>3592.15084576101</v>
      </c>
      <c r="C155" s="25" t="n">
        <f aca="false">parametros_recargas!$E$97*'Plan mensual'!E149+parametros_recargas!$F$97*'Plan mensual'!E150+parametros_recargas!$G$97*'Plan mensual'!E151+parametros_recargas!$H$97*'Plan mensual'!E152+parametros_recargas!$I$97*'Plan mensual'!E153+parametros_recargas!$J$97*'Plan mensual'!E154+parametros_recargas!$K$97*'Plan mensual'!E155+parametros_recargas!$L$97*'Plan mensual'!E156</f>
        <v>3685.4269421266</v>
      </c>
      <c r="D155" s="25" t="n">
        <f aca="false">parametros_recargas!$E$97*'Plan mensual'!F149+parametros_recargas!$F$97*'Plan mensual'!F150+parametros_recargas!$G$97*'Plan mensual'!F151+parametros_recargas!$H$97*'Plan mensual'!F152+parametros_recargas!$I$97*'Plan mensual'!F153+parametros_recargas!$J$97*'Plan mensual'!F154+parametros_recargas!$K$97*'Plan mensual'!F155+parametros_recargas!$L$97*'Plan mensual'!F156</f>
        <v>3781.13051170066</v>
      </c>
      <c r="E155" s="25" t="n">
        <f aca="false">parametros_recargas!$E$97*'Plan mensual'!G149+parametros_recargas!$F$97*'Plan mensual'!G150+parametros_recargas!$G$97*'Plan mensual'!G151+parametros_recargas!$H$97*'Plan mensual'!G152+parametros_recargas!$I$97*'Plan mensual'!G153+parametros_recargas!$J$97*'Plan mensual'!G154+parametros_recargas!$K$97*'Plan mensual'!G155+parametros_recargas!$L$97*'Plan mensual'!G156</f>
        <v>3879.32472850534</v>
      </c>
      <c r="F155" s="25" t="n">
        <f aca="false">parametros_recargas!$E$97*'Plan mensual'!H149+parametros_recargas!$F$97*'Plan mensual'!H150+parametros_recargas!$G$97*'Plan mensual'!H151+parametros_recargas!$H$97*'Plan mensual'!H152+parametros_recargas!$I$97*'Plan mensual'!H153+parametros_recargas!$J$97*'Plan mensual'!H154+parametros_recargas!$K$97*'Plan mensual'!H155+parametros_recargas!$L$97*'Plan mensual'!H156</f>
        <v>3980.07441064152</v>
      </c>
      <c r="G155" s="25" t="n">
        <f aca="false">parametros_recargas!$E$97*'Plan mensual'!I149+parametros_recargas!$F$97*'Plan mensual'!I150+parametros_recargas!$G$97*'Plan mensual'!I151+parametros_recargas!$H$97*'Plan mensual'!I152+parametros_recargas!$I$97*'Plan mensual'!I153+parametros_recargas!$J$97*'Plan mensual'!I154+parametros_recargas!$K$97*'Plan mensual'!I155+parametros_recargas!$L$97*'Plan mensual'!I156</f>
        <v>4083.44606307531</v>
      </c>
      <c r="H155" s="25" t="n">
        <f aca="false">parametros_recargas!$E$97*'Plan mensual'!J149+parametros_recargas!$F$97*'Plan mensual'!J150+parametros_recargas!$G$97*'Plan mensual'!J151+parametros_recargas!$H$97*'Plan mensual'!J152+parametros_recargas!$I$97*'Plan mensual'!J153+parametros_recargas!$J$97*'Plan mensual'!J154+parametros_recargas!$K$97*'Plan mensual'!J155+parametros_recargas!$L$97*'Plan mensual'!J156</f>
        <v>4189.50792153804</v>
      </c>
      <c r="I155" s="25" t="n">
        <f aca="false">parametros_recargas!$E$97*'Plan mensual'!K149+parametros_recargas!$F$97*'Plan mensual'!K150+parametros_recargas!$G$97*'Plan mensual'!K151+parametros_recargas!$H$97*'Plan mensual'!K152+parametros_recargas!$I$97*'Plan mensual'!K153+parametros_recargas!$J$97*'Plan mensual'!K154+parametros_recargas!$K$97*'Plan mensual'!K155+parametros_recargas!$L$97*'Plan mensual'!K156</f>
        <v>4298.32999756872</v>
      </c>
      <c r="J155" s="25" t="n">
        <f aca="false">parametros_recargas!$E$97*'Plan mensual'!L149+parametros_recargas!$F$97*'Plan mensual'!L150+parametros_recargas!$G$97*'Plan mensual'!L151+parametros_recargas!$H$97*'Plan mensual'!L152+parametros_recargas!$I$97*'Plan mensual'!L153+parametros_recargas!$J$97*'Plan mensual'!L154+parametros_recargas!$K$97*'Plan mensual'!L155+parametros_recargas!$L$97*'Plan mensual'!L156</f>
        <v>4409.98412472877</v>
      </c>
      <c r="K155" s="25" t="n">
        <f aca="false">parametros_recargas!$E$97*'Plan mensual'!M149+parametros_recargas!$F$97*'Plan mensual'!M150+parametros_recargas!$G$97*'Plan mensual'!M151+parametros_recargas!$H$97*'Plan mensual'!M152+parametros_recargas!$I$97*'Plan mensual'!M153+parametros_recargas!$J$97*'Plan mensual'!M154+parametros_recargas!$K$97*'Plan mensual'!M155+parametros_recargas!$L$97*'Plan mensual'!M156</f>
        <v>4524.54400601937</v>
      </c>
      <c r="L155" s="25" t="n">
        <f aca="false">parametros_recargas!$E$97*'Plan mensual'!N149+parametros_recargas!$F$97*'Plan mensual'!N150+parametros_recargas!$G$97*'Plan mensual'!N151+parametros_recargas!$H$97*'Plan mensual'!N152+parametros_recargas!$I$97*'Plan mensual'!N153+parametros_recargas!$J$97*'Plan mensual'!N154+parametros_recargas!$K$97*'Plan mensual'!N155+parametros_recargas!$L$97*'Plan mensual'!N156</f>
        <v>4642.08526253293</v>
      </c>
      <c r="M155" s="25" t="n">
        <f aca="false">parametros_recargas!$E$97*'Plan mensual'!O149+parametros_recargas!$F$97*'Plan mensual'!O150+parametros_recargas!$G$97*'Plan mensual'!O151+parametros_recargas!$H$97*'Plan mensual'!O152+parametros_recargas!$I$97*'Plan mensual'!O153+parametros_recargas!$J$97*'Plan mensual'!O154+parametros_recargas!$K$97*'Plan mensual'!O155+parametros_recargas!$L$97*'Plan mensual'!O156</f>
        <v>4762.68548337062</v>
      </c>
      <c r="N155" s="7" t="n">
        <f aca="false">SUM(B155:M155)</f>
        <v>49828.6902975689</v>
      </c>
      <c r="O155" s="26" t="n">
        <f aca="false">MAX(B155:M155)</f>
        <v>4762.68548337062</v>
      </c>
      <c r="P155" s="15" t="n">
        <f aca="false">O155/parametros_recargas!$B$6</f>
        <v>31.7512365558041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25" t="n">
        <f aca="false">parametros_recargas!$E$98*'Plan mensual'!D149+parametros_recargas!$F$98*'Plan mensual'!D150+parametros_recargas!$G$98*'Plan mensual'!D151+parametros_recargas!$H$98*'Plan mensual'!D152+parametros_recargas!$I$98*'Plan mensual'!D153+parametros_recargas!$J$98*'Plan mensual'!D154+parametros_recargas!$K$98*'Plan mensual'!D155+parametros_recargas!$L$98*'Plan mensual'!D156</f>
        <v>3592.15084576101</v>
      </c>
      <c r="C156" s="25" t="n">
        <f aca="false">parametros_recargas!$E$98*'Plan mensual'!E149+parametros_recargas!$F$98*'Plan mensual'!E150+parametros_recargas!$G$98*'Plan mensual'!E151+parametros_recargas!$H$98*'Plan mensual'!E152+parametros_recargas!$I$98*'Plan mensual'!E153+parametros_recargas!$J$98*'Plan mensual'!E154+parametros_recargas!$K$98*'Plan mensual'!E155+parametros_recargas!$L$98*'Plan mensual'!E156</f>
        <v>3685.4269421266</v>
      </c>
      <c r="D156" s="25" t="n">
        <f aca="false">parametros_recargas!$E$98*'Plan mensual'!F149+parametros_recargas!$F$98*'Plan mensual'!F150+parametros_recargas!$G$98*'Plan mensual'!F151+parametros_recargas!$H$98*'Plan mensual'!F152+parametros_recargas!$I$98*'Plan mensual'!F153+parametros_recargas!$J$98*'Plan mensual'!F154+parametros_recargas!$K$98*'Plan mensual'!F155+parametros_recargas!$L$98*'Plan mensual'!F156</f>
        <v>3781.13051170066</v>
      </c>
      <c r="E156" s="25" t="n">
        <f aca="false">parametros_recargas!$E$98*'Plan mensual'!G149+parametros_recargas!$F$98*'Plan mensual'!G150+parametros_recargas!$G$98*'Plan mensual'!G151+parametros_recargas!$H$98*'Plan mensual'!G152+parametros_recargas!$I$98*'Plan mensual'!G153+parametros_recargas!$J$98*'Plan mensual'!G154+parametros_recargas!$K$98*'Plan mensual'!G155+parametros_recargas!$L$98*'Plan mensual'!G156</f>
        <v>3879.32472850534</v>
      </c>
      <c r="F156" s="25" t="n">
        <f aca="false">parametros_recargas!$E$98*'Plan mensual'!H149+parametros_recargas!$F$98*'Plan mensual'!H150+parametros_recargas!$G$98*'Plan mensual'!H151+parametros_recargas!$H$98*'Plan mensual'!H152+parametros_recargas!$I$98*'Plan mensual'!H153+parametros_recargas!$J$98*'Plan mensual'!H154+parametros_recargas!$K$98*'Plan mensual'!H155+parametros_recargas!$L$98*'Plan mensual'!H156</f>
        <v>3980.07441064152</v>
      </c>
      <c r="G156" s="25" t="n">
        <f aca="false">parametros_recargas!$E$98*'Plan mensual'!I149+parametros_recargas!$F$98*'Plan mensual'!I150+parametros_recargas!$G$98*'Plan mensual'!I151+parametros_recargas!$H$98*'Plan mensual'!I152+parametros_recargas!$I$98*'Plan mensual'!I153+parametros_recargas!$J$98*'Plan mensual'!I154+parametros_recargas!$K$98*'Plan mensual'!I155+parametros_recargas!$L$98*'Plan mensual'!I156</f>
        <v>4083.44606307531</v>
      </c>
      <c r="H156" s="25" t="n">
        <f aca="false">parametros_recargas!$E$98*'Plan mensual'!J149+parametros_recargas!$F$98*'Plan mensual'!J150+parametros_recargas!$G$98*'Plan mensual'!J151+parametros_recargas!$H$98*'Plan mensual'!J152+parametros_recargas!$I$98*'Plan mensual'!J153+parametros_recargas!$J$98*'Plan mensual'!J154+parametros_recargas!$K$98*'Plan mensual'!J155+parametros_recargas!$L$98*'Plan mensual'!J156</f>
        <v>4189.50792153804</v>
      </c>
      <c r="I156" s="25" t="n">
        <f aca="false">parametros_recargas!$E$98*'Plan mensual'!K149+parametros_recargas!$F$98*'Plan mensual'!K150+parametros_recargas!$G$98*'Plan mensual'!K151+parametros_recargas!$H$98*'Plan mensual'!K152+parametros_recargas!$I$98*'Plan mensual'!K153+parametros_recargas!$J$98*'Plan mensual'!K154+parametros_recargas!$K$98*'Plan mensual'!K155+parametros_recargas!$L$98*'Plan mensual'!K156</f>
        <v>4298.32999756872</v>
      </c>
      <c r="J156" s="25" t="n">
        <f aca="false">parametros_recargas!$E$98*'Plan mensual'!L149+parametros_recargas!$F$98*'Plan mensual'!L150+parametros_recargas!$G$98*'Plan mensual'!L151+parametros_recargas!$H$98*'Plan mensual'!L152+parametros_recargas!$I$98*'Plan mensual'!L153+parametros_recargas!$J$98*'Plan mensual'!L154+parametros_recargas!$K$98*'Plan mensual'!L155+parametros_recargas!$L$98*'Plan mensual'!L156</f>
        <v>4409.98412472877</v>
      </c>
      <c r="K156" s="25" t="n">
        <f aca="false">parametros_recargas!$E$98*'Plan mensual'!M149+parametros_recargas!$F$98*'Plan mensual'!M150+parametros_recargas!$G$98*'Plan mensual'!M151+parametros_recargas!$H$98*'Plan mensual'!M152+parametros_recargas!$I$98*'Plan mensual'!M153+parametros_recargas!$J$98*'Plan mensual'!M154+parametros_recargas!$K$98*'Plan mensual'!M155+parametros_recargas!$L$98*'Plan mensual'!M156</f>
        <v>4524.54400601937</v>
      </c>
      <c r="L156" s="25" t="n">
        <f aca="false">parametros_recargas!$E$98*'Plan mensual'!N149+parametros_recargas!$F$98*'Plan mensual'!N150+parametros_recargas!$G$98*'Plan mensual'!N151+parametros_recargas!$H$98*'Plan mensual'!N152+parametros_recargas!$I$98*'Plan mensual'!N153+parametros_recargas!$J$98*'Plan mensual'!N154+parametros_recargas!$K$98*'Plan mensual'!N155+parametros_recargas!$L$98*'Plan mensual'!N156</f>
        <v>4642.08526253293</v>
      </c>
      <c r="M156" s="25" t="n">
        <f aca="false">parametros_recargas!$E$98*'Plan mensual'!O149+parametros_recargas!$F$98*'Plan mensual'!O150+parametros_recargas!$G$98*'Plan mensual'!O151+parametros_recargas!$H$98*'Plan mensual'!O152+parametros_recargas!$I$98*'Plan mensual'!O153+parametros_recargas!$J$98*'Plan mensual'!O154+parametros_recargas!$K$98*'Plan mensual'!O155+parametros_recargas!$L$98*'Plan mensual'!O156</f>
        <v>4762.68548337062</v>
      </c>
      <c r="N156" s="7" t="n">
        <f aca="false">SUM(B156:M156)</f>
        <v>49828.6902975689</v>
      </c>
      <c r="O156" s="26" t="n">
        <f aca="false">MAX(B156:M156)</f>
        <v>4762.68548337062</v>
      </c>
      <c r="P156" s="15" t="n">
        <f aca="false">O156/parametros_recargas!$B$6</f>
        <v>31.7512365558041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25" t="n">
        <f aca="false">parametros_recargas!$E$99*'Plan mensual'!D149+parametros_recargas!$F$99*'Plan mensual'!D150+parametros_recargas!$G$99*'Plan mensual'!D151+parametros_recargas!$H$99*'Plan mensual'!D152+parametros_recargas!$I$99*'Plan mensual'!D153+parametros_recargas!$J$99*'Plan mensual'!D154+parametros_recargas!$K$99*'Plan mensual'!D155+parametros_recargas!$L$99*'Plan mensual'!D156</f>
        <v>282.343139056173</v>
      </c>
      <c r="C157" s="25" t="n">
        <f aca="false">parametros_recargas!$E$99*'Plan mensual'!E149+parametros_recargas!$F$99*'Plan mensual'!E150+parametros_recargas!$G$99*'Plan mensual'!E151+parametros_recargas!$H$99*'Plan mensual'!E152+parametros_recargas!$I$99*'Plan mensual'!E153+parametros_recargas!$J$99*'Plan mensual'!E154+parametros_recargas!$K$99*'Plan mensual'!E155+parametros_recargas!$L$99*'Plan mensual'!E156</f>
        <v>289.674893083261</v>
      </c>
      <c r="D157" s="25" t="n">
        <f aca="false">parametros_recargas!$E$99*'Plan mensual'!F149+parametros_recargas!$F$99*'Plan mensual'!F150+parametros_recargas!$G$99*'Plan mensual'!F151+parametros_recargas!$H$99*'Plan mensual'!F152+parametros_recargas!$I$99*'Plan mensual'!F153+parametros_recargas!$J$99*'Plan mensual'!F154+parametros_recargas!$K$99*'Plan mensual'!F155+parametros_recargas!$L$99*'Plan mensual'!F156</f>
        <v>297.197453084927</v>
      </c>
      <c r="E157" s="25" t="n">
        <f aca="false">parametros_recargas!$E$99*'Plan mensual'!G149+parametros_recargas!$F$99*'Plan mensual'!G150+parametros_recargas!$G$99*'Plan mensual'!G151+parametros_recargas!$H$99*'Plan mensual'!G152+parametros_recargas!$I$99*'Plan mensual'!G153+parametros_recargas!$J$99*'Plan mensual'!G154+parametros_recargas!$K$99*'Plan mensual'!G155+parametros_recargas!$L$99*'Plan mensual'!G156</f>
        <v>304.915784710564</v>
      </c>
      <c r="F157" s="25" t="n">
        <f aca="false">parametros_recargas!$E$99*'Plan mensual'!H149+parametros_recargas!$F$99*'Plan mensual'!H150+parametros_recargas!$G$99*'Plan mensual'!H151+parametros_recargas!$H$99*'Plan mensual'!H152+parametros_recargas!$I$99*'Plan mensual'!H153+parametros_recargas!$J$99*'Plan mensual'!H154+parametros_recargas!$K$99*'Plan mensual'!H155+parametros_recargas!$L$99*'Plan mensual'!H156</f>
        <v>312.83498283861</v>
      </c>
      <c r="G157" s="25" t="n">
        <f aca="false">parametros_recargas!$E$99*'Plan mensual'!I149+parametros_recargas!$F$99*'Plan mensual'!I150+parametros_recargas!$G$99*'Plan mensual'!I151+parametros_recargas!$H$99*'Plan mensual'!I152+parametros_recargas!$I$99*'Plan mensual'!I153+parametros_recargas!$J$99*'Plan mensual'!I154+parametros_recargas!$K$99*'Plan mensual'!I155+parametros_recargas!$L$99*'Plan mensual'!I156</f>
        <v>320.960274939683</v>
      </c>
      <c r="H157" s="25" t="n">
        <f aca="false">parametros_recargas!$E$99*'Plan mensual'!J149+parametros_recargas!$F$99*'Plan mensual'!J150+parametros_recargas!$G$99*'Plan mensual'!J151+parametros_recargas!$H$99*'Plan mensual'!J152+parametros_recargas!$I$99*'Plan mensual'!J153+parametros_recargas!$J$99*'Plan mensual'!J154+parametros_recargas!$K$99*'Plan mensual'!J155+parametros_recargas!$L$99*'Plan mensual'!J156</f>
        <v>329.297024527238</v>
      </c>
      <c r="I157" s="25" t="n">
        <f aca="false">parametros_recargas!$E$99*'Plan mensual'!K149+parametros_recargas!$F$99*'Plan mensual'!K150+parametros_recargas!$G$99*'Plan mensual'!K151+parametros_recargas!$H$99*'Plan mensual'!K152+parametros_recargas!$I$99*'Plan mensual'!K153+parametros_recargas!$J$99*'Plan mensual'!K154+parametros_recargas!$K$99*'Plan mensual'!K155+parametros_recargas!$L$99*'Plan mensual'!K156</f>
        <v>337.850734698029</v>
      </c>
      <c r="J157" s="25" t="n">
        <f aca="false">parametros_recargas!$E$99*'Plan mensual'!L149+parametros_recargas!$F$99*'Plan mensual'!L150+parametros_recargas!$G$99*'Plan mensual'!L151+parametros_recargas!$H$99*'Plan mensual'!L152+parametros_recargas!$I$99*'Plan mensual'!L153+parametros_recargas!$J$99*'Plan mensual'!L154+parametros_recargas!$K$99*'Plan mensual'!L155+parametros_recargas!$L$99*'Plan mensual'!L156</f>
        <v>346.62705176471</v>
      </c>
      <c r="K157" s="25" t="n">
        <f aca="false">parametros_recargas!$E$99*'Plan mensual'!M149+parametros_recargas!$F$99*'Plan mensual'!M150+parametros_recargas!$G$99*'Plan mensual'!M151+parametros_recargas!$H$99*'Plan mensual'!M152+parametros_recargas!$I$99*'Plan mensual'!M153+parametros_recargas!$J$99*'Plan mensual'!M154+parametros_recargas!$K$99*'Plan mensual'!M155+parametros_recargas!$L$99*'Plan mensual'!M156</f>
        <v>355.631768982968</v>
      </c>
      <c r="L157" s="25" t="n">
        <f aca="false">parametros_recargas!$E$99*'Plan mensual'!N149+parametros_recargas!$F$99*'Plan mensual'!N150+parametros_recargas!$G$99*'Plan mensual'!N151+parametros_recargas!$H$99*'Plan mensual'!N152+parametros_recargas!$I$99*'Plan mensual'!N153+parametros_recargas!$J$99*'Plan mensual'!N154+parametros_recargas!$K$99*'Plan mensual'!N155+parametros_recargas!$L$99*'Plan mensual'!N156</f>
        <v>364.87083037566</v>
      </c>
      <c r="M157" s="25" t="n">
        <f aca="false">parametros_recargas!$E$99*'Plan mensual'!O149+parametros_recargas!$F$99*'Plan mensual'!O150+parametros_recargas!$G$99*'Plan mensual'!O151+parametros_recargas!$H$99*'Plan mensual'!O152+parametros_recargas!$I$99*'Plan mensual'!O153+parametros_recargas!$J$99*'Plan mensual'!O154+parametros_recargas!$K$99*'Plan mensual'!O155+parametros_recargas!$L$99*'Plan mensual'!O156</f>
        <v>374.350334656466</v>
      </c>
      <c r="N157" s="7" t="n">
        <f aca="false">SUM(B157:M157)</f>
        <v>3916.55427271829</v>
      </c>
      <c r="O157" s="26" t="n">
        <f aca="false">MAX(B157:M157)</f>
        <v>374.350334656466</v>
      </c>
      <c r="P157" s="15" t="n">
        <f aca="false">O157/parametros_recargas!$B$6</f>
        <v>2.49566889770977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25" t="n">
        <f aca="false">'Plan mensual'!D157</f>
        <v>123.741256206447</v>
      </c>
      <c r="C158" s="25" t="n">
        <f aca="false">'Plan mensual'!E157</f>
        <v>126.920367431414</v>
      </c>
      <c r="D158" s="25" t="n">
        <f aca="false">'Plan mensual'!F157</f>
        <v>130.182213758149</v>
      </c>
      <c r="E158" s="25" t="n">
        <f aca="false">'Plan mensual'!G157</f>
        <v>133.52894833468</v>
      </c>
      <c r="F158" s="25" t="n">
        <f aca="false">'Plan mensual'!H157</f>
        <v>136.962780343854</v>
      </c>
      <c r="G158" s="25" t="n">
        <f aca="false">'Plan mensual'!I157</f>
        <v>140.48597646162</v>
      </c>
      <c r="H158" s="25" t="n">
        <f aca="false">'Plan mensual'!J157</f>
        <v>144.100862353265</v>
      </c>
      <c r="I158" s="25" t="n">
        <f aca="false">'Plan mensual'!K157</f>
        <v>147.809824208588</v>
      </c>
      <c r="J158" s="25" t="n">
        <f aca="false">'Plan mensual'!L157</f>
        <v>151.615310317023</v>
      </c>
      <c r="K158" s="25" t="n">
        <f aca="false">'Plan mensual'!M157</f>
        <v>155.519832683765</v>
      </c>
      <c r="L158" s="25" t="n">
        <f aca="false">'Plan mensual'!N157</f>
        <v>159.525968687939</v>
      </c>
      <c r="M158" s="25" t="n">
        <f aca="false">'Plan mensual'!O157</f>
        <v>163.636362783933</v>
      </c>
      <c r="N158" s="7" t="n">
        <f aca="false">SUM(B158:M158)</f>
        <v>1714.02970357068</v>
      </c>
      <c r="O158" s="26" t="n">
        <f aca="false">MAX(B158:M158)</f>
        <v>163.636362783933</v>
      </c>
      <c r="P158" s="15" t="n">
        <f aca="false">O158/parametros_recargas!$B$6</f>
        <v>1.09090908522622</v>
      </c>
    </row>
    <row r="161" customFormat="false" ht="23.85" hidden="false" customHeight="false" outlineLevel="0" collapsed="false">
      <c r="A161" s="3" t="s">
        <v>284</v>
      </c>
      <c r="B161" s="3" t="s">
        <v>124</v>
      </c>
      <c r="C161" s="3" t="s">
        <v>125</v>
      </c>
      <c r="D161" s="3" t="s">
        <v>126</v>
      </c>
      <c r="E161" s="3" t="s">
        <v>127</v>
      </c>
      <c r="F161" s="3" t="s">
        <v>128</v>
      </c>
      <c r="G161" s="3" t="s">
        <v>129</v>
      </c>
      <c r="H161" s="3" t="s">
        <v>130</v>
      </c>
      <c r="I161" s="3" t="s">
        <v>131</v>
      </c>
      <c r="J161" s="3" t="s">
        <v>132</v>
      </c>
      <c r="K161" s="3" t="s">
        <v>133</v>
      </c>
      <c r="L161" s="3" t="s">
        <v>134</v>
      </c>
      <c r="M161" s="3" t="s">
        <v>135</v>
      </c>
      <c r="N161" s="3" t="s">
        <v>277</v>
      </c>
      <c r="O161" s="3" t="s">
        <v>278</v>
      </c>
      <c r="P161" s="3" t="s">
        <v>279</v>
      </c>
    </row>
    <row r="162" customFormat="false" ht="15" hidden="false" customHeight="false" outlineLevel="0" collapsed="false">
      <c r="A162" s="12" t="str">
        <f aca="false">parametros_recargas!$B$72</f>
        <v>Recepción y registro</v>
      </c>
      <c r="B162" s="25" t="n">
        <f aca="false">parametros_recargas!$E$72*'Plan mensual'!D181+parametros_recargas!$F$72*'Plan mensual'!D182+parametros_recargas!$G$72*'Plan mensual'!D183+parametros_recargas!$H$72*'Plan mensual'!D184+parametros_recargas!$I$72*'Plan mensual'!D185+parametros_recargas!$J$72*'Plan mensual'!D186+parametros_recargas!$K$72*'Plan mensual'!D187+parametros_recargas!$L$72*'Plan mensual'!D188</f>
        <v>5104.67355110508</v>
      </c>
      <c r="C162" s="25" t="n">
        <f aca="false">parametros_recargas!$E$72*'Plan mensual'!E181+parametros_recargas!$F$72*'Plan mensual'!E182+parametros_recargas!$G$72*'Plan mensual'!E183+parametros_recargas!$H$72*'Plan mensual'!E184+parametros_recargas!$I$72*'Plan mensual'!E185+parametros_recargas!$J$72*'Plan mensual'!E186+parametros_recargas!$K$72*'Plan mensual'!E187+parametros_recargas!$L$72*'Plan mensual'!E188</f>
        <v>5197.49325448531</v>
      </c>
      <c r="D162" s="25" t="n">
        <f aca="false">parametros_recargas!$E$72*'Plan mensual'!F181+parametros_recargas!$F$72*'Plan mensual'!F182+parametros_recargas!$G$72*'Plan mensual'!F183+parametros_recargas!$H$72*'Plan mensual'!F184+parametros_recargas!$I$72*'Plan mensual'!F185+parametros_recargas!$J$72*'Plan mensual'!F186+parametros_recargas!$K$72*'Plan mensual'!F187+parametros_recargas!$L$72*'Plan mensual'!F188</f>
        <v>5292.00434155955</v>
      </c>
      <c r="E162" s="25" t="n">
        <f aca="false">parametros_recargas!$E$72*'Plan mensual'!G181+parametros_recargas!$F$72*'Plan mensual'!G182+parametros_recargas!$G$72*'Plan mensual'!G183+parametros_recargas!$H$72*'Plan mensual'!G184+parametros_recargas!$I$72*'Plan mensual'!G185+parametros_recargas!$J$72*'Plan mensual'!G186+parametros_recargas!$K$72*'Plan mensual'!G187+parametros_recargas!$L$72*'Plan mensual'!G188</f>
        <v>5388.23763314166</v>
      </c>
      <c r="F162" s="25" t="n">
        <f aca="false">parametros_recargas!$E$72*'Plan mensual'!H181+parametros_recargas!$F$72*'Plan mensual'!H182+parametros_recargas!$G$72*'Plan mensual'!H183+parametros_recargas!$H$72*'Plan mensual'!H184+parametros_recargas!$I$72*'Plan mensual'!H185+parametros_recargas!$J$72*'Plan mensual'!H186+parametros_recargas!$K$72*'Plan mensual'!H187+parametros_recargas!$L$72*'Plan mensual'!H188</f>
        <v>5486.22451167002</v>
      </c>
      <c r="G162" s="25" t="n">
        <f aca="false">parametros_recargas!$E$72*'Plan mensual'!I181+parametros_recargas!$F$72*'Plan mensual'!I182+parametros_recargas!$G$72*'Plan mensual'!I183+parametros_recargas!$H$72*'Plan mensual'!I184+parametros_recargas!$I$72*'Plan mensual'!I185+parametros_recargas!$J$72*'Plan mensual'!I186+parametros_recargas!$K$72*'Plan mensual'!I187+parametros_recargas!$L$72*'Plan mensual'!I188</f>
        <v>5585.99693144162</v>
      </c>
      <c r="H162" s="25" t="n">
        <f aca="false">parametros_recargas!$E$72*'Plan mensual'!J181+parametros_recargas!$F$72*'Plan mensual'!J182+parametros_recargas!$G$72*'Plan mensual'!J183+parametros_recargas!$H$72*'Plan mensual'!J184+parametros_recargas!$I$72*'Plan mensual'!J185+parametros_recargas!$J$72*'Plan mensual'!J186+parametros_recargas!$K$72*'Plan mensual'!J187+parametros_recargas!$L$72*'Plan mensual'!J188</f>
        <v>5687.58742903256</v>
      </c>
      <c r="I162" s="25" t="n">
        <f aca="false">parametros_recargas!$E$72*'Plan mensual'!K181+parametros_recargas!$F$72*'Plan mensual'!K182+parametros_recargas!$G$72*'Plan mensual'!K183+parametros_recargas!$H$72*'Plan mensual'!K184+parametros_recargas!$I$72*'Plan mensual'!K185+parametros_recargas!$J$72*'Plan mensual'!K186+parametros_recargas!$K$72*'Plan mensual'!K187+parametros_recargas!$L$72*'Plan mensual'!K188</f>
        <v>5791.02913390853</v>
      </c>
      <c r="J162" s="25" t="n">
        <f aca="false">parametros_recargas!$E$72*'Plan mensual'!L181+parametros_recargas!$F$72*'Plan mensual'!L182+parametros_recargas!$G$72*'Plan mensual'!L183+parametros_recargas!$H$72*'Plan mensual'!L184+parametros_recargas!$I$72*'Plan mensual'!L185+parametros_recargas!$J$72*'Plan mensual'!L186+parametros_recargas!$K$72*'Plan mensual'!L187+parametros_recargas!$L$72*'Plan mensual'!L188</f>
        <v>5896.35577922857</v>
      </c>
      <c r="K162" s="25" t="n">
        <f aca="false">parametros_recargas!$E$72*'Plan mensual'!M181+parametros_recargas!$F$72*'Plan mensual'!M182+parametros_recargas!$G$72*'Plan mensual'!M183+parametros_recargas!$H$72*'Plan mensual'!M184+parametros_recargas!$I$72*'Plan mensual'!M185+parametros_recargas!$J$72*'Plan mensual'!M186+parametros_recargas!$K$72*'Plan mensual'!M187+parametros_recargas!$L$72*'Plan mensual'!M188</f>
        <v>6003.60171284572</v>
      </c>
      <c r="L162" s="25" t="n">
        <f aca="false">parametros_recargas!$E$72*'Plan mensual'!N181+parametros_recargas!$F$72*'Plan mensual'!N182+parametros_recargas!$G$72*'Plan mensual'!N183+parametros_recargas!$H$72*'Plan mensual'!N184+parametros_recargas!$I$72*'Plan mensual'!N185+parametros_recargas!$J$72*'Plan mensual'!N186+parametros_recargas!$K$72*'Plan mensual'!N187+parametros_recargas!$L$72*'Plan mensual'!N188</f>
        <v>6112.80190850814</v>
      </c>
      <c r="M162" s="25" t="n">
        <f aca="false">parametros_recargas!$E$72*'Plan mensual'!O181+parametros_recargas!$F$72*'Plan mensual'!O182+parametros_recargas!$G$72*'Plan mensual'!O183+parametros_recargas!$H$72*'Plan mensual'!O184+parametros_recargas!$I$72*'Plan mensual'!O185+parametros_recargas!$J$72*'Plan mensual'!O186+parametros_recargas!$K$72*'Plan mensual'!O187+parametros_recargas!$L$72*'Plan mensual'!O188</f>
        <v>6223.99197726431</v>
      </c>
      <c r="N162" s="7" t="n">
        <f aca="false">SUM(B162:M162)</f>
        <v>67769.9981641911</v>
      </c>
      <c r="O162" s="26" t="n">
        <f aca="false">MAX(B162:M162)</f>
        <v>6223.99197726431</v>
      </c>
      <c r="P162" s="15" t="n">
        <f aca="false">O162/parametros_recargas!$B$6</f>
        <v>41.4932798484288</v>
      </c>
    </row>
    <row r="163" customFormat="false" ht="15" hidden="false" customHeight="false" outlineLevel="0" collapsed="false">
      <c r="A163" s="12" t="str">
        <f aca="false">parametros_recargas!$B$73</f>
        <v>Inspección visual</v>
      </c>
      <c r="B163" s="25" t="n">
        <f aca="false">parametros_recargas!$E$73*'Plan mensual'!D181+parametros_recargas!$F$73*'Plan mensual'!D182+parametros_recargas!$G$73*'Plan mensual'!D183+parametros_recargas!$H$73*'Plan mensual'!D184+parametros_recargas!$I$73*'Plan mensual'!D185+parametros_recargas!$J$73*'Plan mensual'!D186+parametros_recargas!$K$73*'Plan mensual'!D187+parametros_recargas!$L$73*'Plan mensual'!D188</f>
        <v>5104.67355110508</v>
      </c>
      <c r="C163" s="25" t="n">
        <f aca="false">parametros_recargas!$E$73*'Plan mensual'!E181+parametros_recargas!$F$73*'Plan mensual'!E182+parametros_recargas!$G$73*'Plan mensual'!E183+parametros_recargas!$H$73*'Plan mensual'!E184+parametros_recargas!$I$73*'Plan mensual'!E185+parametros_recargas!$J$73*'Plan mensual'!E186+parametros_recargas!$K$73*'Plan mensual'!E187+parametros_recargas!$L$73*'Plan mensual'!E188</f>
        <v>5197.49325448531</v>
      </c>
      <c r="D163" s="25" t="n">
        <f aca="false">parametros_recargas!$E$73*'Plan mensual'!F181+parametros_recargas!$F$73*'Plan mensual'!F182+parametros_recargas!$G$73*'Plan mensual'!F183+parametros_recargas!$H$73*'Plan mensual'!F184+parametros_recargas!$I$73*'Plan mensual'!F185+parametros_recargas!$J$73*'Plan mensual'!F186+parametros_recargas!$K$73*'Plan mensual'!F187+parametros_recargas!$L$73*'Plan mensual'!F188</f>
        <v>5292.00434155955</v>
      </c>
      <c r="E163" s="25" t="n">
        <f aca="false">parametros_recargas!$E$73*'Plan mensual'!G181+parametros_recargas!$F$73*'Plan mensual'!G182+parametros_recargas!$G$73*'Plan mensual'!G183+parametros_recargas!$H$73*'Plan mensual'!G184+parametros_recargas!$I$73*'Plan mensual'!G185+parametros_recargas!$J$73*'Plan mensual'!G186+parametros_recargas!$K$73*'Plan mensual'!G187+parametros_recargas!$L$73*'Plan mensual'!G188</f>
        <v>5388.23763314166</v>
      </c>
      <c r="F163" s="25" t="n">
        <f aca="false">parametros_recargas!$E$73*'Plan mensual'!H181+parametros_recargas!$F$73*'Plan mensual'!H182+parametros_recargas!$G$73*'Plan mensual'!H183+parametros_recargas!$H$73*'Plan mensual'!H184+parametros_recargas!$I$73*'Plan mensual'!H185+parametros_recargas!$J$73*'Plan mensual'!H186+parametros_recargas!$K$73*'Plan mensual'!H187+parametros_recargas!$L$73*'Plan mensual'!H188</f>
        <v>5486.22451167002</v>
      </c>
      <c r="G163" s="25" t="n">
        <f aca="false">parametros_recargas!$E$73*'Plan mensual'!I181+parametros_recargas!$F$73*'Plan mensual'!I182+parametros_recargas!$G$73*'Plan mensual'!I183+parametros_recargas!$H$73*'Plan mensual'!I184+parametros_recargas!$I$73*'Plan mensual'!I185+parametros_recargas!$J$73*'Plan mensual'!I186+parametros_recargas!$K$73*'Plan mensual'!I187+parametros_recargas!$L$73*'Plan mensual'!I188</f>
        <v>5585.99693144162</v>
      </c>
      <c r="H163" s="25" t="n">
        <f aca="false">parametros_recargas!$E$73*'Plan mensual'!J181+parametros_recargas!$F$73*'Plan mensual'!J182+parametros_recargas!$G$73*'Plan mensual'!J183+parametros_recargas!$H$73*'Plan mensual'!J184+parametros_recargas!$I$73*'Plan mensual'!J185+parametros_recargas!$J$73*'Plan mensual'!J186+parametros_recargas!$K$73*'Plan mensual'!J187+parametros_recargas!$L$73*'Plan mensual'!J188</f>
        <v>5687.58742903256</v>
      </c>
      <c r="I163" s="25" t="n">
        <f aca="false">parametros_recargas!$E$73*'Plan mensual'!K181+parametros_recargas!$F$73*'Plan mensual'!K182+parametros_recargas!$G$73*'Plan mensual'!K183+parametros_recargas!$H$73*'Plan mensual'!K184+parametros_recargas!$I$73*'Plan mensual'!K185+parametros_recargas!$J$73*'Plan mensual'!K186+parametros_recargas!$K$73*'Plan mensual'!K187+parametros_recargas!$L$73*'Plan mensual'!K188</f>
        <v>5791.02913390853</v>
      </c>
      <c r="J163" s="25" t="n">
        <f aca="false">parametros_recargas!$E$73*'Plan mensual'!L181+parametros_recargas!$F$73*'Plan mensual'!L182+parametros_recargas!$G$73*'Plan mensual'!L183+parametros_recargas!$H$73*'Plan mensual'!L184+parametros_recargas!$I$73*'Plan mensual'!L185+parametros_recargas!$J$73*'Plan mensual'!L186+parametros_recargas!$K$73*'Plan mensual'!L187+parametros_recargas!$L$73*'Plan mensual'!L188</f>
        <v>5896.35577922857</v>
      </c>
      <c r="K163" s="25" t="n">
        <f aca="false">parametros_recargas!$E$73*'Plan mensual'!M181+parametros_recargas!$F$73*'Plan mensual'!M182+parametros_recargas!$G$73*'Plan mensual'!M183+parametros_recargas!$H$73*'Plan mensual'!M184+parametros_recargas!$I$73*'Plan mensual'!M185+parametros_recargas!$J$73*'Plan mensual'!M186+parametros_recargas!$K$73*'Plan mensual'!M187+parametros_recargas!$L$73*'Plan mensual'!M188</f>
        <v>6003.60171284572</v>
      </c>
      <c r="L163" s="25" t="n">
        <f aca="false">parametros_recargas!$E$73*'Plan mensual'!N181+parametros_recargas!$F$73*'Plan mensual'!N182+parametros_recargas!$G$73*'Plan mensual'!N183+parametros_recargas!$H$73*'Plan mensual'!N184+parametros_recargas!$I$73*'Plan mensual'!N185+parametros_recargas!$J$73*'Plan mensual'!N186+parametros_recargas!$K$73*'Plan mensual'!N187+parametros_recargas!$L$73*'Plan mensual'!N188</f>
        <v>6112.80190850814</v>
      </c>
      <c r="M163" s="25" t="n">
        <f aca="false">parametros_recargas!$E$73*'Plan mensual'!O181+parametros_recargas!$F$73*'Plan mensual'!O182+parametros_recargas!$G$73*'Plan mensual'!O183+parametros_recargas!$H$73*'Plan mensual'!O184+parametros_recargas!$I$73*'Plan mensual'!O185+parametros_recargas!$J$73*'Plan mensual'!O186+parametros_recargas!$K$73*'Plan mensual'!O187+parametros_recargas!$L$73*'Plan mensual'!O188</f>
        <v>6223.99197726431</v>
      </c>
      <c r="N163" s="7" t="n">
        <f aca="false">SUM(B163:M163)</f>
        <v>67769.9981641911</v>
      </c>
      <c r="O163" s="26" t="n">
        <f aca="false">MAX(B163:M163)</f>
        <v>6223.99197726431</v>
      </c>
      <c r="P163" s="15" t="n">
        <f aca="false">O163/parametros_recargas!$B$6</f>
        <v>41.4932798484288</v>
      </c>
    </row>
    <row r="164" customFormat="false" ht="15" hidden="false" customHeight="false" outlineLevel="0" collapsed="false">
      <c r="A164" s="12" t="str">
        <f aca="false">parametros_recargas!$B$74</f>
        <v>Descarga ABC — ruta recuperable</v>
      </c>
      <c r="B164" s="25" t="n">
        <f aca="false">parametros_recargas!$E$74*'Plan mensual'!D181+parametros_recargas!$F$74*'Plan mensual'!D182+parametros_recargas!$G$74*'Plan mensual'!D183+parametros_recargas!$H$74*'Plan mensual'!D184+parametros_recargas!$I$74*'Plan mensual'!D185+parametros_recargas!$J$74*'Plan mensual'!D186+parametros_recargas!$K$74*'Plan mensual'!D187+parametros_recargas!$L$74*'Plan mensual'!D188</f>
        <v>3764.73417550206</v>
      </c>
      <c r="C164" s="25" t="n">
        <f aca="false">parametros_recargas!$E$74*'Plan mensual'!E181+parametros_recargas!$F$74*'Plan mensual'!E182+parametros_recargas!$G$74*'Plan mensual'!E183+parametros_recargas!$H$74*'Plan mensual'!E184+parametros_recargas!$I$74*'Plan mensual'!E185+parametros_recargas!$J$74*'Plan mensual'!E186+parametros_recargas!$K$74*'Plan mensual'!E187+parametros_recargas!$L$74*'Plan mensual'!E188</f>
        <v>3833.21476710944</v>
      </c>
      <c r="D164" s="25" t="n">
        <f aca="false">parametros_recargas!$E$74*'Plan mensual'!F181+parametros_recargas!$F$74*'Plan mensual'!F182+parametros_recargas!$G$74*'Plan mensual'!F183+parametros_recargas!$H$74*'Plan mensual'!F184+parametros_recargas!$I$74*'Plan mensual'!F185+parametros_recargas!$J$74*'Plan mensual'!F186+parametros_recargas!$K$74*'Plan mensual'!F187+parametros_recargas!$L$74*'Plan mensual'!F188</f>
        <v>3902.94322906959</v>
      </c>
      <c r="E164" s="25" t="n">
        <f aca="false">parametros_recargas!$E$74*'Plan mensual'!G181+parametros_recargas!$F$74*'Plan mensual'!G182+parametros_recargas!$G$74*'Plan mensual'!G183+parametros_recargas!$H$74*'Plan mensual'!G184+parametros_recargas!$I$74*'Plan mensual'!G185+parametros_recargas!$J$74*'Plan mensual'!G186+parametros_recargas!$K$74*'Plan mensual'!G187+parametros_recargas!$L$74*'Plan mensual'!G188</f>
        <v>3973.94230038608</v>
      </c>
      <c r="F164" s="25" t="n">
        <f aca="false">parametros_recargas!$E$74*'Plan mensual'!H181+parametros_recargas!$F$74*'Plan mensual'!H182+parametros_recargas!$G$74*'Plan mensual'!H183+parametros_recargas!$H$74*'Plan mensual'!H184+parametros_recargas!$I$74*'Plan mensual'!H185+parametros_recargas!$J$74*'Plan mensual'!H186+parametros_recargas!$K$74*'Plan mensual'!H187+parametros_recargas!$L$74*'Plan mensual'!H188</f>
        <v>4046.23513441826</v>
      </c>
      <c r="G164" s="25" t="n">
        <f aca="false">parametros_recargas!$E$74*'Plan mensual'!I181+parametros_recargas!$F$74*'Plan mensual'!I182+parametros_recargas!$G$74*'Plan mensual'!I183+parametros_recargas!$H$74*'Plan mensual'!I184+parametros_recargas!$I$74*'Plan mensual'!I185+parametros_recargas!$J$74*'Plan mensual'!I186+parametros_recargas!$K$74*'Plan mensual'!I187+parametros_recargas!$L$74*'Plan mensual'!I188</f>
        <v>4119.84530643174</v>
      </c>
      <c r="H164" s="25" t="n">
        <f aca="false">parametros_recargas!$E$74*'Plan mensual'!J181+parametros_recargas!$F$74*'Plan mensual'!J182+parametros_recargas!$G$74*'Plan mensual'!J183+parametros_recargas!$H$74*'Plan mensual'!J184+parametros_recargas!$I$74*'Plan mensual'!J185+parametros_recargas!$J$74*'Plan mensual'!J186+parametros_recargas!$K$74*'Plan mensual'!J187+parametros_recargas!$L$74*'Plan mensual'!J188</f>
        <v>4194.79682128648</v>
      </c>
      <c r="I164" s="25" t="n">
        <f aca="false">parametros_recargas!$E$74*'Plan mensual'!K181+parametros_recargas!$F$74*'Plan mensual'!K182+parametros_recargas!$G$74*'Plan mensual'!K183+parametros_recargas!$H$74*'Plan mensual'!K184+parametros_recargas!$I$74*'Plan mensual'!K185+parametros_recargas!$J$74*'Plan mensual'!K186+parametros_recargas!$K$74*'Plan mensual'!K187+parametros_recargas!$L$74*'Plan mensual'!K188</f>
        <v>4271.11412126496</v>
      </c>
      <c r="J164" s="25" t="n">
        <f aca="false">parametros_recargas!$E$74*'Plan mensual'!L181+parametros_recargas!$F$74*'Plan mensual'!L182+parametros_recargas!$G$74*'Plan mensual'!L183+parametros_recargas!$H$74*'Plan mensual'!L184+parametros_recargas!$I$74*'Plan mensual'!L185+parametros_recargas!$J$74*'Plan mensual'!L186+parametros_recargas!$K$74*'Plan mensual'!L187+parametros_recargas!$L$74*'Plan mensual'!L188</f>
        <v>4348.822094043</v>
      </c>
      <c r="K164" s="25" t="n">
        <f aca="false">parametros_recargas!$E$74*'Plan mensual'!M181+parametros_recargas!$F$74*'Plan mensual'!M182+parametros_recargas!$G$74*'Plan mensual'!M183+parametros_recargas!$H$74*'Plan mensual'!M184+parametros_recargas!$I$74*'Plan mensual'!M185+parametros_recargas!$J$74*'Plan mensual'!M186+parametros_recargas!$K$74*'Plan mensual'!M187+parametros_recargas!$L$74*'Plan mensual'!M188</f>
        <v>4427.94608080584</v>
      </c>
      <c r="L164" s="25" t="n">
        <f aca="false">parametros_recargas!$E$74*'Plan mensual'!N181+parametros_recargas!$F$74*'Plan mensual'!N182+parametros_recargas!$G$74*'Plan mensual'!N183+parametros_recargas!$H$74*'Plan mensual'!N184+parametros_recargas!$I$74*'Plan mensual'!N185+parametros_recargas!$J$74*'Plan mensual'!N186+parametros_recargas!$K$74*'Plan mensual'!N187+parametros_recargas!$L$74*'Plan mensual'!N188</f>
        <v>4508.5118845121</v>
      </c>
      <c r="M164" s="25" t="n">
        <f aca="false">parametros_recargas!$E$74*'Plan mensual'!O181+parametros_recargas!$F$74*'Plan mensual'!O182+parametros_recargas!$G$74*'Plan mensual'!O183+parametros_recargas!$H$74*'Plan mensual'!O184+parametros_recargas!$I$74*'Plan mensual'!O185+parametros_recargas!$J$74*'Plan mensual'!O186+parametros_recargas!$K$74*'Plan mensual'!O187+parametros_recargas!$L$74*'Plan mensual'!O188</f>
        <v>4590.54577830829</v>
      </c>
      <c r="N164" s="7" t="n">
        <f aca="false">SUM(B164:M164)</f>
        <v>49982.6516931378</v>
      </c>
      <c r="O164" s="26" t="n">
        <f aca="false">MAX(B164:M164)</f>
        <v>4590.54577830829</v>
      </c>
      <c r="P164" s="15" t="n">
        <f aca="false">O164/parametros_recargas!$B$6</f>
        <v>30.6036385220553</v>
      </c>
    </row>
    <row r="165" customFormat="false" ht="15" hidden="false" customHeight="false" outlineLevel="0" collapsed="false">
      <c r="A165" s="12" t="str">
        <f aca="false">parametros_recargas!$B$75</f>
        <v>Descarga ABC — ruta descarte</v>
      </c>
      <c r="B165" s="25" t="n">
        <f aca="false">parametros_recargas!$E$75*'Plan mensual'!D181+parametros_recargas!$F$75*'Plan mensual'!D182+parametros_recargas!$G$75*'Plan mensual'!D183+parametros_recargas!$H$75*'Plan mensual'!D184+parametros_recargas!$I$75*'Plan mensual'!D185+parametros_recargas!$J$75*'Plan mensual'!D186+parametros_recargas!$K$75*'Plan mensual'!D187+parametros_recargas!$L$75*'Plan mensual'!D188</f>
        <v>442.909903000243</v>
      </c>
      <c r="C165" s="25" t="n">
        <f aca="false">parametros_recargas!$E$75*'Plan mensual'!E181+parametros_recargas!$F$75*'Plan mensual'!E182+parametros_recargas!$G$75*'Plan mensual'!E183+parametros_recargas!$H$75*'Plan mensual'!E184+parametros_recargas!$I$75*'Plan mensual'!E185+parametros_recargas!$J$75*'Plan mensual'!E186+parametros_recargas!$K$75*'Plan mensual'!E187+parametros_recargas!$L$75*'Plan mensual'!E188</f>
        <v>450.966443189346</v>
      </c>
      <c r="D165" s="25" t="n">
        <f aca="false">parametros_recargas!$E$75*'Plan mensual'!F181+parametros_recargas!$F$75*'Plan mensual'!F182+parametros_recargas!$G$75*'Plan mensual'!F183+parametros_recargas!$H$75*'Plan mensual'!F184+parametros_recargas!$I$75*'Plan mensual'!F185+parametros_recargas!$J$75*'Plan mensual'!F186+parametros_recargas!$K$75*'Plan mensual'!F187+parametros_recargas!$L$75*'Plan mensual'!F188</f>
        <v>459.169791655246</v>
      </c>
      <c r="E165" s="25" t="n">
        <f aca="false">parametros_recargas!$E$75*'Plan mensual'!G181+parametros_recargas!$F$75*'Plan mensual'!G182+parametros_recargas!$G$75*'Plan mensual'!G183+parametros_recargas!$H$75*'Plan mensual'!G184+parametros_recargas!$I$75*'Plan mensual'!G185+parametros_recargas!$J$75*'Plan mensual'!G186+parametros_recargas!$K$75*'Plan mensual'!G187+parametros_recargas!$L$75*'Plan mensual'!G188</f>
        <v>467.522623574833</v>
      </c>
      <c r="F165" s="25" t="n">
        <f aca="false">parametros_recargas!$E$75*'Plan mensual'!H181+parametros_recargas!$F$75*'Plan mensual'!H182+parametros_recargas!$G$75*'Plan mensual'!H183+parametros_recargas!$H$75*'Plan mensual'!H184+parametros_recargas!$I$75*'Plan mensual'!H185+parametros_recargas!$J$75*'Plan mensual'!H186+parametros_recargas!$K$75*'Plan mensual'!H187+parametros_recargas!$L$75*'Plan mensual'!H188</f>
        <v>476.027662872736</v>
      </c>
      <c r="G165" s="25" t="n">
        <f aca="false">parametros_recargas!$E$75*'Plan mensual'!I181+parametros_recargas!$F$75*'Plan mensual'!I182+parametros_recargas!$G$75*'Plan mensual'!I183+parametros_recargas!$H$75*'Plan mensual'!I184+parametros_recargas!$I$75*'Plan mensual'!I185+parametros_recargas!$J$75*'Plan mensual'!I186+parametros_recargas!$K$75*'Plan mensual'!I187+parametros_recargas!$L$75*'Plan mensual'!I188</f>
        <v>484.687683109616</v>
      </c>
      <c r="H165" s="25" t="n">
        <f aca="false">parametros_recargas!$E$75*'Plan mensual'!J181+parametros_recargas!$F$75*'Plan mensual'!J182+parametros_recargas!$G$75*'Plan mensual'!J183+parametros_recargas!$H$75*'Plan mensual'!J184+parametros_recargas!$I$75*'Plan mensual'!J185+parametros_recargas!$J$75*'Plan mensual'!J186+parametros_recargas!$K$75*'Plan mensual'!J187+parametros_recargas!$L$75*'Plan mensual'!J188</f>
        <v>493.505508386644</v>
      </c>
      <c r="I165" s="25" t="n">
        <f aca="false">parametros_recargas!$E$75*'Plan mensual'!K181+parametros_recargas!$F$75*'Plan mensual'!K182+parametros_recargas!$G$75*'Plan mensual'!K183+parametros_recargas!$H$75*'Plan mensual'!K184+parametros_recargas!$I$75*'Plan mensual'!K185+parametros_recargas!$J$75*'Plan mensual'!K186+parametros_recargas!$K$75*'Plan mensual'!K187+parametros_recargas!$L$75*'Plan mensual'!K188</f>
        <v>502.484014266465</v>
      </c>
      <c r="J165" s="25" t="n">
        <f aca="false">parametros_recargas!$E$75*'Plan mensual'!L181+parametros_recargas!$F$75*'Plan mensual'!L182+parametros_recargas!$G$75*'Plan mensual'!L183+parametros_recargas!$H$75*'Plan mensual'!L184+parametros_recargas!$I$75*'Plan mensual'!L185+parametros_recargas!$J$75*'Plan mensual'!L186+parametros_recargas!$K$75*'Plan mensual'!L187+parametros_recargas!$L$75*'Plan mensual'!L188</f>
        <v>511.626128710941</v>
      </c>
      <c r="K165" s="25" t="n">
        <f aca="false">parametros_recargas!$E$75*'Plan mensual'!M181+parametros_recargas!$F$75*'Plan mensual'!M182+parametros_recargas!$G$75*'Plan mensual'!M183+parametros_recargas!$H$75*'Plan mensual'!M184+parametros_recargas!$I$75*'Plan mensual'!M185+parametros_recargas!$J$75*'Plan mensual'!M186+parametros_recargas!$K$75*'Plan mensual'!M187+parametros_recargas!$L$75*'Plan mensual'!M188</f>
        <v>520.934833035982</v>
      </c>
      <c r="L165" s="25" t="n">
        <f aca="false">parametros_recargas!$E$75*'Plan mensual'!N181+parametros_recargas!$F$75*'Plan mensual'!N182+parametros_recargas!$G$75*'Plan mensual'!N183+parametros_recargas!$H$75*'Plan mensual'!N184+parametros_recargas!$I$75*'Plan mensual'!N185+parametros_recargas!$J$75*'Plan mensual'!N186+parametros_recargas!$K$75*'Plan mensual'!N187+parametros_recargas!$L$75*'Plan mensual'!N188</f>
        <v>530.413162883776</v>
      </c>
      <c r="M165" s="25" t="n">
        <f aca="false">parametros_recargas!$E$75*'Plan mensual'!O181+parametros_recargas!$F$75*'Plan mensual'!O182+parametros_recargas!$G$75*'Plan mensual'!O183+parametros_recargas!$H$75*'Plan mensual'!O184+parametros_recargas!$I$75*'Plan mensual'!O185+parametros_recargas!$J$75*'Plan mensual'!O186+parametros_recargas!$K$75*'Plan mensual'!O187+parametros_recargas!$L$75*'Plan mensual'!O188</f>
        <v>540.06420921274</v>
      </c>
      <c r="N165" s="7" t="n">
        <f aca="false">SUM(B165:M165)</f>
        <v>5880.31196389857</v>
      </c>
      <c r="O165" s="26" t="n">
        <f aca="false">MAX(B165:M165)</f>
        <v>540.06420921274</v>
      </c>
      <c r="P165" s="15" t="n">
        <f aca="false">O165/parametros_recargas!$B$6</f>
        <v>3.60042806141827</v>
      </c>
    </row>
    <row r="166" customFormat="false" ht="15" hidden="false" customHeight="false" outlineLevel="0" collapsed="false">
      <c r="A166" s="12" t="str">
        <f aca="false">parametros_recargas!$B$76</f>
        <v>Descarga BC</v>
      </c>
      <c r="B166" s="25" t="n">
        <f aca="false">parametros_recargas!$E$76*'Plan mensual'!D181+parametros_recargas!$F$76*'Plan mensual'!D182+parametros_recargas!$G$76*'Plan mensual'!D183+parametros_recargas!$H$76*'Plan mensual'!D184+parametros_recargas!$I$76*'Plan mensual'!D185+parametros_recargas!$J$76*'Plan mensual'!D186+parametros_recargas!$K$76*'Plan mensual'!D187+parametros_recargas!$L$76*'Plan mensual'!D188</f>
        <v>6.41880962264308</v>
      </c>
      <c r="C166" s="25" t="n">
        <f aca="false">parametros_recargas!$E$76*'Plan mensual'!E181+parametros_recargas!$F$76*'Plan mensual'!E182+parametros_recargas!$G$76*'Plan mensual'!E183+parametros_recargas!$H$76*'Plan mensual'!E184+parametros_recargas!$I$76*'Plan mensual'!E185+parametros_recargas!$J$76*'Plan mensual'!E186+parametros_recargas!$K$76*'Plan mensual'!E187+parametros_recargas!$L$76*'Plan mensual'!E188</f>
        <v>6.53425624549678</v>
      </c>
      <c r="D166" s="25" t="n">
        <f aca="false">parametros_recargas!$E$76*'Plan mensual'!F181+parametros_recargas!$F$76*'Plan mensual'!F182+parametros_recargas!$G$76*'Plan mensual'!F183+parametros_recargas!$H$76*'Plan mensual'!F184+parametros_recargas!$I$76*'Plan mensual'!F185+parametros_recargas!$J$76*'Plan mensual'!F186+parametros_recargas!$K$76*'Plan mensual'!F187+parametros_recargas!$L$76*'Plan mensual'!F188</f>
        <v>6.6518065653923</v>
      </c>
      <c r="E166" s="25" t="n">
        <f aca="false">parametros_recargas!$E$76*'Plan mensual'!G181+parametros_recargas!$F$76*'Plan mensual'!G182+parametros_recargas!$G$76*'Plan mensual'!G183+parametros_recargas!$H$76*'Plan mensual'!G184+parametros_recargas!$I$76*'Plan mensual'!G185+parametros_recargas!$J$76*'Plan mensual'!G186+parametros_recargas!$K$76*'Plan mensual'!G187+parametros_recargas!$L$76*'Plan mensual'!G188</f>
        <v>6.77149891641975</v>
      </c>
      <c r="F166" s="25" t="n">
        <f aca="false">parametros_recargas!$E$76*'Plan mensual'!H181+parametros_recargas!$F$76*'Plan mensual'!H182+parametros_recargas!$G$76*'Plan mensual'!H183+parametros_recargas!$H$76*'Plan mensual'!H184+parametros_recargas!$I$76*'Plan mensual'!H185+parametros_recargas!$J$76*'Plan mensual'!H186+parametros_recargas!$K$76*'Plan mensual'!H187+parametros_recargas!$L$76*'Plan mensual'!H188</f>
        <v>6.89337233120256</v>
      </c>
      <c r="G166" s="25" t="n">
        <f aca="false">parametros_recargas!$E$76*'Plan mensual'!I181+parametros_recargas!$F$76*'Plan mensual'!I182+parametros_recargas!$G$76*'Plan mensual'!I183+parametros_recargas!$H$76*'Plan mensual'!I184+parametros_recargas!$I$76*'Plan mensual'!I185+parametros_recargas!$J$76*'Plan mensual'!I186+parametros_recargas!$K$76*'Plan mensual'!I187+parametros_recargas!$L$76*'Plan mensual'!I188</f>
        <v>7.01746655362631</v>
      </c>
      <c r="H166" s="25" t="n">
        <f aca="false">parametros_recargas!$E$76*'Plan mensual'!J181+parametros_recargas!$F$76*'Plan mensual'!J182+parametros_recargas!$G$76*'Plan mensual'!J183+parametros_recargas!$H$76*'Plan mensual'!J184+parametros_recargas!$I$76*'Plan mensual'!J185+parametros_recargas!$J$76*'Plan mensual'!J186+parametros_recargas!$K$76*'Plan mensual'!J187+parametros_recargas!$L$76*'Plan mensual'!J188</f>
        <v>7.14382205179955</v>
      </c>
      <c r="I166" s="25" t="n">
        <f aca="false">parametros_recargas!$E$76*'Plan mensual'!K181+parametros_recargas!$F$76*'Plan mensual'!K182+parametros_recargas!$G$76*'Plan mensual'!K183+parametros_recargas!$H$76*'Plan mensual'!K184+parametros_recargas!$I$76*'Plan mensual'!K185+parametros_recargas!$J$76*'Plan mensual'!K186+parametros_recargas!$K$76*'Plan mensual'!K187+parametros_recargas!$L$76*'Plan mensual'!K188</f>
        <v>7.27248003125075</v>
      </c>
      <c r="J166" s="25" t="n">
        <f aca="false">parametros_recargas!$E$76*'Plan mensual'!L181+parametros_recargas!$F$76*'Plan mensual'!L182+parametros_recargas!$G$76*'Plan mensual'!L183+parametros_recargas!$H$76*'Plan mensual'!L184+parametros_recargas!$I$76*'Plan mensual'!L185+parametros_recargas!$J$76*'Plan mensual'!L186+parametros_recargas!$K$76*'Plan mensual'!L187+parametros_recargas!$L$76*'Plan mensual'!L188</f>
        <v>7.40348244836576</v>
      </c>
      <c r="K166" s="25" t="n">
        <f aca="false">parametros_recargas!$E$76*'Plan mensual'!M181+parametros_recargas!$F$76*'Plan mensual'!M182+parametros_recargas!$G$76*'Plan mensual'!M183+parametros_recargas!$H$76*'Plan mensual'!M184+parametros_recargas!$I$76*'Plan mensual'!M185+parametros_recargas!$J$76*'Plan mensual'!M186+parametros_recargas!$K$76*'Plan mensual'!M187+parametros_recargas!$L$76*'Plan mensual'!M188</f>
        <v>7.53687202407011</v>
      </c>
      <c r="L166" s="25" t="n">
        <f aca="false">parametros_recargas!$E$76*'Plan mensual'!N181+parametros_recargas!$F$76*'Plan mensual'!N182+parametros_recargas!$G$76*'Plan mensual'!N183+parametros_recargas!$H$76*'Plan mensual'!N184+parametros_recargas!$I$76*'Plan mensual'!N185+parametros_recargas!$J$76*'Plan mensual'!N186+parametros_recargas!$K$76*'Plan mensual'!N187+parametros_recargas!$L$76*'Plan mensual'!N188</f>
        <v>7.67269225776065</v>
      </c>
      <c r="M166" s="25" t="n">
        <f aca="false">parametros_recargas!$E$76*'Plan mensual'!O181+parametros_recargas!$F$76*'Plan mensual'!O182+parametros_recargas!$G$76*'Plan mensual'!O183+parametros_recargas!$H$76*'Plan mensual'!O184+parametros_recargas!$I$76*'Plan mensual'!O185+parametros_recargas!$J$76*'Plan mensual'!O186+parametros_recargas!$K$76*'Plan mensual'!O187+parametros_recargas!$L$76*'Plan mensual'!O188</f>
        <v>7.81098744149106</v>
      </c>
      <c r="N166" s="7" t="n">
        <f aca="false">SUM(B166:M166)</f>
        <v>85.1275464895187</v>
      </c>
      <c r="O166" s="26" t="n">
        <f aca="false">MAX(B166:M166)</f>
        <v>7.81098744149106</v>
      </c>
      <c r="P166" s="15" t="n">
        <f aca="false">O166/parametros_recargas!$B$6</f>
        <v>0.0520732496099404</v>
      </c>
    </row>
    <row r="167" customFormat="false" ht="15" hidden="false" customHeight="false" outlineLevel="0" collapsed="false">
      <c r="A167" s="12" t="str">
        <f aca="false">parametros_recargas!$B$77</f>
        <v>Descarga de agua / AFFF / sales K</v>
      </c>
      <c r="B167" s="25" t="n">
        <f aca="false">parametros_recargas!$E$77*'Plan mensual'!D181+parametros_recargas!$F$77*'Plan mensual'!D182+parametros_recargas!$G$77*'Plan mensual'!D183+parametros_recargas!$H$77*'Plan mensual'!D184+parametros_recargas!$I$77*'Plan mensual'!D185+parametros_recargas!$J$77*'Plan mensual'!D186+parametros_recargas!$K$77*'Plan mensual'!D187+parametros_recargas!$L$77*'Plan mensual'!D188</f>
        <v>227.798998835571</v>
      </c>
      <c r="C167" s="25" t="n">
        <f aca="false">parametros_recargas!$E$77*'Plan mensual'!E181+parametros_recargas!$F$77*'Plan mensual'!E182+parametros_recargas!$G$77*'Plan mensual'!E183+parametros_recargas!$H$77*'Plan mensual'!E184+parametros_recargas!$I$77*'Plan mensual'!E185+parametros_recargas!$J$77*'Plan mensual'!E186+parametros_recargas!$K$77*'Plan mensual'!E187+parametros_recargas!$L$77*'Plan mensual'!E188</f>
        <v>231.928749494176</v>
      </c>
      <c r="D167" s="25" t="n">
        <f aca="false">parametros_recargas!$E$77*'Plan mensual'!F181+parametros_recargas!$F$77*'Plan mensual'!F182+parametros_recargas!$G$77*'Plan mensual'!F183+parametros_recargas!$H$77*'Plan mensual'!F184+parametros_recargas!$I$77*'Plan mensual'!F185+parametros_recargas!$J$77*'Plan mensual'!F186+parametros_recargas!$K$77*'Plan mensual'!F187+parametros_recargas!$L$77*'Plan mensual'!F188</f>
        <v>236.133753495229</v>
      </c>
      <c r="E167" s="25" t="n">
        <f aca="false">parametros_recargas!$E$77*'Plan mensual'!G181+parametros_recargas!$F$77*'Plan mensual'!G182+parametros_recargas!$G$77*'Plan mensual'!G183+parametros_recargas!$H$77*'Plan mensual'!G184+parametros_recargas!$I$77*'Plan mensual'!G185+parametros_recargas!$J$77*'Plan mensual'!G186+parametros_recargas!$K$77*'Plan mensual'!G187+parametros_recargas!$L$77*'Plan mensual'!G188</f>
        <v>240.41538212383</v>
      </c>
      <c r="F167" s="25" t="n">
        <f aca="false">parametros_recargas!$E$77*'Plan mensual'!H181+parametros_recargas!$F$77*'Plan mensual'!H182+parametros_recargas!$G$77*'Plan mensual'!H183+parametros_recargas!$H$77*'Plan mensual'!H184+parametros_recargas!$I$77*'Plan mensual'!H185+parametros_recargas!$J$77*'Plan mensual'!H186+parametros_recargas!$K$77*'Plan mensual'!H187+parametros_recargas!$L$77*'Plan mensual'!H188</f>
        <v>244.775031652978</v>
      </c>
      <c r="G167" s="25" t="n">
        <f aca="false">parametros_recargas!$E$77*'Plan mensual'!I181+parametros_recargas!$F$77*'Plan mensual'!I182+parametros_recargas!$G$77*'Plan mensual'!I183+parametros_recargas!$H$77*'Plan mensual'!I184+parametros_recargas!$I$77*'Plan mensual'!I185+parametros_recargas!$J$77*'Plan mensual'!I186+parametros_recargas!$K$77*'Plan mensual'!I187+parametros_recargas!$L$77*'Plan mensual'!I188</f>
        <v>249.214123798904</v>
      </c>
      <c r="H167" s="25" t="n">
        <f aca="false">parametros_recargas!$E$77*'Plan mensual'!J181+parametros_recargas!$F$77*'Plan mensual'!J182+parametros_recargas!$G$77*'Plan mensual'!J183+parametros_recargas!$H$77*'Plan mensual'!J184+parametros_recargas!$I$77*'Plan mensual'!J185+parametros_recargas!$J$77*'Plan mensual'!J186+parametros_recargas!$K$77*'Plan mensual'!J187+parametros_recargas!$L$77*'Plan mensual'!J188</f>
        <v>253.734106184709</v>
      </c>
      <c r="I167" s="25" t="n">
        <f aca="false">parametros_recargas!$E$77*'Plan mensual'!K181+parametros_recargas!$F$77*'Plan mensual'!K182+parametros_recargas!$G$77*'Plan mensual'!K183+parametros_recargas!$H$77*'Plan mensual'!K184+parametros_recargas!$I$77*'Plan mensual'!K185+parametros_recargas!$J$77*'Plan mensual'!K186+parametros_recargas!$K$77*'Plan mensual'!K187+parametros_recargas!$L$77*'Plan mensual'!K188</f>
        <v>258.336452812439</v>
      </c>
      <c r="J167" s="25" t="n">
        <f aca="false">parametros_recargas!$E$77*'Plan mensual'!L181+parametros_recargas!$F$77*'Plan mensual'!L182+parametros_recargas!$G$77*'Plan mensual'!L183+parametros_recargas!$H$77*'Plan mensual'!L184+parametros_recargas!$I$77*'Plan mensual'!L185+parametros_recargas!$J$77*'Plan mensual'!L186+parametros_recargas!$K$77*'Plan mensual'!L187+parametros_recargas!$L$77*'Plan mensual'!L188</f>
        <v>263.022664543771</v>
      </c>
      <c r="K167" s="25" t="n">
        <f aca="false">parametros_recargas!$E$77*'Plan mensual'!M181+parametros_recargas!$F$77*'Plan mensual'!M182+parametros_recargas!$G$77*'Plan mensual'!M183+parametros_recargas!$H$77*'Plan mensual'!M184+parametros_recargas!$I$77*'Plan mensual'!M185+parametros_recargas!$J$77*'Plan mensual'!M186+parametros_recargas!$K$77*'Plan mensual'!M187+parametros_recargas!$L$77*'Plan mensual'!M188</f>
        <v>267.794269589457</v>
      </c>
      <c r="L167" s="25" t="n">
        <f aca="false">parametros_recargas!$E$77*'Plan mensual'!N181+parametros_recargas!$F$77*'Plan mensual'!N182+parametros_recargas!$G$77*'Plan mensual'!N183+parametros_recargas!$H$77*'Plan mensual'!N184+parametros_recargas!$I$77*'Plan mensual'!N185+parametros_recargas!$J$77*'Plan mensual'!N186+parametros_recargas!$K$77*'Plan mensual'!N187+parametros_recargas!$L$77*'Plan mensual'!N188</f>
        <v>272.652824007687</v>
      </c>
      <c r="M167" s="25" t="n">
        <f aca="false">parametros_recargas!$E$77*'Plan mensual'!O181+parametros_recargas!$F$77*'Plan mensual'!O182+parametros_recargas!$G$77*'Plan mensual'!O183+parametros_recargas!$H$77*'Plan mensual'!O184+parametros_recargas!$I$77*'Plan mensual'!O185+parametros_recargas!$J$77*'Plan mensual'!O186+parametros_recargas!$K$77*'Plan mensual'!O187+parametros_recargas!$L$77*'Plan mensual'!O188</f>
        <v>277.599912211526</v>
      </c>
      <c r="N167" s="7" t="n">
        <f aca="false">SUM(B167:M167)</f>
        <v>3023.40626875028</v>
      </c>
      <c r="O167" s="26" t="n">
        <f aca="false">MAX(B167:M167)</f>
        <v>277.599912211526</v>
      </c>
      <c r="P167" s="15" t="n">
        <f aca="false">O167/parametros_recargas!$B$6</f>
        <v>1.85066608141017</v>
      </c>
    </row>
    <row r="168" customFormat="false" ht="15" hidden="false" customHeight="false" outlineLevel="0" collapsed="false">
      <c r="A168" s="12" t="str">
        <f aca="false">parametros_recargas!$B$78</f>
        <v>Recuperación de CO₂</v>
      </c>
      <c r="B168" s="25" t="n">
        <f aca="false">parametros_recargas!$E$78*'Plan mensual'!D181+parametros_recargas!$F$78*'Plan mensual'!D182+parametros_recargas!$G$78*'Plan mensual'!D183+parametros_recargas!$H$78*'Plan mensual'!D184+parametros_recargas!$I$78*'Plan mensual'!D185+parametros_recargas!$J$78*'Plan mensual'!D186+parametros_recargas!$K$78*'Plan mensual'!D187+parametros_recargas!$L$78*'Plan mensual'!D188</f>
        <v>104.816016271091</v>
      </c>
      <c r="C168" s="25" t="n">
        <f aca="false">parametros_recargas!$E$78*'Plan mensual'!E181+parametros_recargas!$F$78*'Plan mensual'!E182+parametros_recargas!$G$78*'Plan mensual'!E183+parametros_recargas!$H$78*'Plan mensual'!E184+parametros_recargas!$I$78*'Plan mensual'!E185+parametros_recargas!$J$78*'Plan mensual'!E186+parametros_recargas!$K$78*'Plan mensual'!E187+parametros_recargas!$L$78*'Plan mensual'!E188</f>
        <v>106.718407155307</v>
      </c>
      <c r="D168" s="25" t="n">
        <f aca="false">parametros_recargas!$E$78*'Plan mensual'!F181+parametros_recargas!$F$78*'Plan mensual'!F182+parametros_recargas!$G$78*'Plan mensual'!F183+parametros_recargas!$H$78*'Plan mensual'!F184+parametros_recargas!$I$78*'Plan mensual'!F185+parametros_recargas!$J$78*'Plan mensual'!F186+parametros_recargas!$K$78*'Plan mensual'!F187+parametros_recargas!$L$78*'Plan mensual'!F188</f>
        <v>108.655463878823</v>
      </c>
      <c r="E168" s="25" t="n">
        <f aca="false">parametros_recargas!$E$78*'Plan mensual'!G181+parametros_recargas!$F$78*'Plan mensual'!G182+parametros_recargas!$G$78*'Plan mensual'!G183+parametros_recargas!$H$78*'Plan mensual'!G184+parametros_recargas!$I$78*'Plan mensual'!G185+parametros_recargas!$J$78*'Plan mensual'!G186+parametros_recargas!$K$78*'Plan mensual'!G187+parametros_recargas!$L$78*'Plan mensual'!G188</f>
        <v>110.627818131174</v>
      </c>
      <c r="F168" s="25" t="n">
        <f aca="false">parametros_recargas!$E$78*'Plan mensual'!H181+parametros_recargas!$F$78*'Plan mensual'!H182+parametros_recargas!$G$78*'Plan mensual'!H183+parametros_recargas!$H$78*'Plan mensual'!H184+parametros_recargas!$I$78*'Plan mensual'!H185+parametros_recargas!$J$78*'Plan mensual'!H186+parametros_recargas!$K$78*'Plan mensual'!H187+parametros_recargas!$L$78*'Plan mensual'!H188</f>
        <v>112.6361131127</v>
      </c>
      <c r="G168" s="25" t="n">
        <f aca="false">parametros_recargas!$E$78*'Plan mensual'!I181+parametros_recargas!$F$78*'Plan mensual'!I182+parametros_recargas!$G$78*'Plan mensual'!I183+parametros_recargas!$H$78*'Plan mensual'!I184+parametros_recargas!$I$78*'Plan mensual'!I185+parametros_recargas!$J$78*'Plan mensual'!I186+parametros_recargas!$K$78*'Plan mensual'!I187+parametros_recargas!$L$78*'Plan mensual'!I188</f>
        <v>114.681003744296</v>
      </c>
      <c r="H168" s="25" t="n">
        <f aca="false">parametros_recargas!$E$78*'Plan mensual'!J181+parametros_recargas!$F$78*'Plan mensual'!J182+parametros_recargas!$G$78*'Plan mensual'!J183+parametros_recargas!$H$78*'Plan mensual'!J184+parametros_recargas!$I$78*'Plan mensual'!J185+parametros_recargas!$J$78*'Plan mensual'!J186+parametros_recargas!$K$78*'Plan mensual'!J187+parametros_recargas!$L$78*'Plan mensual'!J188</f>
        <v>116.763156880989</v>
      </c>
      <c r="I168" s="25" t="n">
        <f aca="false">parametros_recargas!$E$78*'Plan mensual'!K181+parametros_recargas!$F$78*'Plan mensual'!K182+parametros_recargas!$G$78*'Plan mensual'!K183+parametros_recargas!$H$78*'Plan mensual'!K184+parametros_recargas!$I$78*'Plan mensual'!K185+parametros_recargas!$J$78*'Plan mensual'!K186+parametros_recargas!$K$78*'Plan mensual'!K187+parametros_recargas!$L$78*'Plan mensual'!K188</f>
        <v>118.883251529403</v>
      </c>
      <c r="J168" s="25" t="n">
        <f aca="false">parametros_recargas!$E$78*'Plan mensual'!L181+parametros_recargas!$F$78*'Plan mensual'!L182+parametros_recargas!$G$78*'Plan mensual'!L183+parametros_recargas!$H$78*'Plan mensual'!L184+parametros_recargas!$I$78*'Plan mensual'!L185+parametros_recargas!$J$78*'Plan mensual'!L186+parametros_recargas!$K$78*'Plan mensual'!L187+parametros_recargas!$L$78*'Plan mensual'!L188</f>
        <v>121.041979069193</v>
      </c>
      <c r="K168" s="25" t="n">
        <f aca="false">parametros_recargas!$E$78*'Plan mensual'!M181+parametros_recargas!$F$78*'Plan mensual'!M182+parametros_recargas!$G$78*'Plan mensual'!M183+parametros_recargas!$H$78*'Plan mensual'!M184+parametros_recargas!$I$78*'Plan mensual'!M185+parametros_recargas!$J$78*'Plan mensual'!M186+parametros_recargas!$K$78*'Plan mensual'!M187+parametros_recargas!$L$78*'Plan mensual'!M188</f>
        <v>123.2400434785</v>
      </c>
      <c r="L168" s="25" t="n">
        <f aca="false">parametros_recargas!$E$78*'Plan mensual'!N181+parametros_recargas!$F$78*'Plan mensual'!N182+parametros_recargas!$G$78*'Plan mensual'!N183+parametros_recargas!$H$78*'Plan mensual'!N184+parametros_recargas!$I$78*'Plan mensual'!N185+parametros_recargas!$J$78*'Plan mensual'!N186+parametros_recargas!$K$78*'Plan mensual'!N187+parametros_recargas!$L$78*'Plan mensual'!N188</f>
        <v>125.478161563535</v>
      </c>
      <c r="M168" s="25" t="n">
        <f aca="false">parametros_recargas!$E$78*'Plan mensual'!O181+parametros_recargas!$F$78*'Plan mensual'!O182+parametros_recargas!$G$78*'Plan mensual'!O183+parametros_recargas!$H$78*'Plan mensual'!O184+parametros_recargas!$I$78*'Plan mensual'!O185+parametros_recargas!$J$78*'Plan mensual'!O186+parametros_recargas!$K$78*'Plan mensual'!O187+parametros_recargas!$L$78*'Plan mensual'!O188</f>
        <v>127.757063192327</v>
      </c>
      <c r="N168" s="7" t="n">
        <f aca="false">SUM(B168:M168)</f>
        <v>1391.29847800734</v>
      </c>
      <c r="O168" s="26" t="n">
        <f aca="false">MAX(B168:M168)</f>
        <v>127.757063192327</v>
      </c>
      <c r="P168" s="15" t="n">
        <f aca="false">O168/parametros_recargas!$B$6</f>
        <v>0.851713754615512</v>
      </c>
    </row>
    <row r="169" customFormat="false" ht="15" hidden="false" customHeight="false" outlineLevel="0" collapsed="false">
      <c r="A169" s="12" t="str">
        <f aca="false">parametros_recargas!$B$79</f>
        <v>Recuperación de halogenado</v>
      </c>
      <c r="B169" s="25" t="n">
        <f aca="false">parametros_recargas!$E$79*'Plan mensual'!D181+parametros_recargas!$F$79*'Plan mensual'!D182+parametros_recargas!$G$79*'Plan mensual'!D183+parametros_recargas!$H$79*'Plan mensual'!D184+parametros_recargas!$I$79*'Plan mensual'!D185+parametros_recargas!$J$79*'Plan mensual'!D186+parametros_recargas!$K$79*'Plan mensual'!D187+parametros_recargas!$L$79*'Plan mensual'!D188</f>
        <v>4.11438629824086</v>
      </c>
      <c r="C169" s="25" t="n">
        <f aca="false">parametros_recargas!$E$79*'Plan mensual'!E181+parametros_recargas!$F$79*'Plan mensual'!E182+parametros_recargas!$G$79*'Plan mensual'!E183+parametros_recargas!$H$79*'Plan mensual'!E184+parametros_recargas!$I$79*'Plan mensual'!E185+parametros_recargas!$J$79*'Plan mensual'!E186+parametros_recargas!$K$79*'Plan mensual'!E187+parametros_recargas!$L$79*'Plan mensual'!E188</f>
        <v>4.1889800373207</v>
      </c>
      <c r="D169" s="25" t="n">
        <f aca="false">parametros_recargas!$E$79*'Plan mensual'!F181+parametros_recargas!$F$79*'Plan mensual'!F182+parametros_recargas!$G$79*'Plan mensual'!F183+parametros_recargas!$H$79*'Plan mensual'!F184+parametros_recargas!$I$79*'Plan mensual'!F185+parametros_recargas!$J$79*'Plan mensual'!F186+parametros_recargas!$K$79*'Plan mensual'!F187+parametros_recargas!$L$79*'Plan mensual'!F188</f>
        <v>4.26493304204524</v>
      </c>
      <c r="E169" s="25" t="n">
        <f aca="false">parametros_recargas!$E$79*'Plan mensual'!G181+parametros_recargas!$F$79*'Plan mensual'!G182+parametros_recargas!$G$79*'Plan mensual'!G183+parametros_recargas!$H$79*'Plan mensual'!G184+parametros_recargas!$I$79*'Plan mensual'!G185+parametros_recargas!$J$79*'Plan mensual'!G186+parametros_recargas!$K$79*'Plan mensual'!G187+parametros_recargas!$L$79*'Plan mensual'!G188</f>
        <v>4.34227008129072</v>
      </c>
      <c r="F169" s="25" t="n">
        <f aca="false">parametros_recargas!$E$79*'Plan mensual'!H181+parametros_recargas!$F$79*'Plan mensual'!H182+parametros_recargas!$G$79*'Plan mensual'!H183+parametros_recargas!$H$79*'Plan mensual'!H184+parametros_recargas!$I$79*'Plan mensual'!H185+parametros_recargas!$J$79*'Plan mensual'!H186+parametros_recargas!$K$79*'Plan mensual'!H187+parametros_recargas!$L$79*'Plan mensual'!H188</f>
        <v>4.42101637527802</v>
      </c>
      <c r="G169" s="25" t="n">
        <f aca="false">parametros_recargas!$E$79*'Plan mensual'!I181+parametros_recargas!$F$79*'Plan mensual'!I182+parametros_recargas!$G$79*'Plan mensual'!I183+parametros_recargas!$H$79*'Plan mensual'!I184+parametros_recargas!$I$79*'Plan mensual'!I185+parametros_recargas!$J$79*'Plan mensual'!I186+parametros_recargas!$K$79*'Plan mensual'!I187+parametros_recargas!$L$79*'Plan mensual'!I188</f>
        <v>4.50119760379715</v>
      </c>
      <c r="H169" s="25" t="n">
        <f aca="false">parametros_recargas!$E$79*'Plan mensual'!J181+parametros_recargas!$F$79*'Plan mensual'!J182+parametros_recargas!$G$79*'Plan mensual'!J183+parametros_recargas!$H$79*'Plan mensual'!J184+parametros_recargas!$I$79*'Plan mensual'!J185+parametros_recargas!$J$79*'Plan mensual'!J186+parametros_recargas!$K$79*'Plan mensual'!J187+parametros_recargas!$L$79*'Plan mensual'!J188</f>
        <v>4.58283991458161</v>
      </c>
      <c r="I169" s="25" t="n">
        <f aca="false">parametros_recargas!$E$79*'Plan mensual'!K181+parametros_recargas!$F$79*'Plan mensual'!K182+parametros_recargas!$G$79*'Plan mensual'!K183+parametros_recargas!$H$79*'Plan mensual'!K184+parametros_recargas!$I$79*'Plan mensual'!K185+parametros_recargas!$J$79*'Plan mensual'!K186+parametros_recargas!$K$79*'Plan mensual'!K187+parametros_recargas!$L$79*'Plan mensual'!K188</f>
        <v>4.66596993183543</v>
      </c>
      <c r="J169" s="25" t="n">
        <f aca="false">parametros_recargas!$E$79*'Plan mensual'!L181+parametros_recargas!$F$79*'Plan mensual'!L182+parametros_recargas!$G$79*'Plan mensual'!L183+parametros_recargas!$H$79*'Plan mensual'!L184+parametros_recargas!$I$79*'Plan mensual'!L185+parametros_recargas!$J$79*'Plan mensual'!L186+parametros_recargas!$K$79*'Plan mensual'!L187+parametros_recargas!$L$79*'Plan mensual'!L188</f>
        <v>4.75061476491547</v>
      </c>
      <c r="K169" s="25" t="n">
        <f aca="false">parametros_recargas!$E$79*'Plan mensual'!M181+parametros_recargas!$F$79*'Plan mensual'!M182+parametros_recargas!$G$79*'Plan mensual'!M183+parametros_recargas!$H$79*'Plan mensual'!M184+parametros_recargas!$I$79*'Plan mensual'!M185+parametros_recargas!$J$79*'Plan mensual'!M186+parametros_recargas!$K$79*'Plan mensual'!M187+parametros_recargas!$L$79*'Plan mensual'!M188</f>
        <v>4.83680201717205</v>
      </c>
      <c r="L169" s="25" t="n">
        <f aca="false">parametros_recargas!$E$79*'Plan mensual'!N181+parametros_recargas!$F$79*'Plan mensual'!N182+parametros_recargas!$G$79*'Plan mensual'!N183+parametros_recargas!$H$79*'Plan mensual'!N184+parametros_recargas!$I$79*'Plan mensual'!N185+parametros_recargas!$J$79*'Plan mensual'!N186+parametros_recargas!$K$79*'Plan mensual'!N187+parametros_recargas!$L$79*'Plan mensual'!N188</f>
        <v>4.92455979495057</v>
      </c>
      <c r="M169" s="25" t="n">
        <f aca="false">parametros_recargas!$E$79*'Plan mensual'!O181+parametros_recargas!$F$79*'Plan mensual'!O182+parametros_recargas!$G$79*'Plan mensual'!O183+parametros_recargas!$H$79*'Plan mensual'!O184+parametros_recargas!$I$79*'Plan mensual'!O185+parametros_recargas!$J$79*'Plan mensual'!O186+parametros_recargas!$K$79*'Plan mensual'!O187+parametros_recargas!$L$79*'Plan mensual'!O188</f>
        <v>5.01391671675727</v>
      </c>
      <c r="N169" s="7" t="n">
        <f aca="false">SUM(B169:M169)</f>
        <v>54.6074865781851</v>
      </c>
      <c r="O169" s="26" t="n">
        <f aca="false">MAX(B169:M169)</f>
        <v>5.01391671675727</v>
      </c>
      <c r="P169" s="15" t="n">
        <f aca="false">O169/parametros_recargas!$B$6</f>
        <v>0.0334261114450485</v>
      </c>
    </row>
    <row r="170" customFormat="false" ht="15" hidden="false" customHeight="false" outlineLevel="0" collapsed="false">
      <c r="A170" s="12" t="str">
        <f aca="false">parametros_recargas!$B$80</f>
        <v>Desarme y limpieza — recinto</v>
      </c>
      <c r="B170" s="25" t="n">
        <f aca="false">parametros_recargas!$E$80*'Plan mensual'!D181+parametros_recargas!$F$80*'Plan mensual'!D182+parametros_recargas!$G$80*'Plan mensual'!D183+parametros_recargas!$H$80*'Plan mensual'!D184+parametros_recargas!$I$80*'Plan mensual'!D185+parametros_recargas!$J$80*'Plan mensual'!D186+parametros_recargas!$K$80*'Plan mensual'!D187+parametros_recargas!$L$80*'Plan mensual'!D188</f>
        <v>4441.15294199218</v>
      </c>
      <c r="C170" s="25" t="n">
        <f aca="false">parametros_recargas!$E$80*'Plan mensual'!E181+parametros_recargas!$F$80*'Plan mensual'!E182+parametros_recargas!$G$80*'Plan mensual'!E183+parametros_recargas!$H$80*'Plan mensual'!E184+parametros_recargas!$I$80*'Plan mensual'!E185+parametros_recargas!$J$80*'Plan mensual'!E186+parametros_recargas!$K$80*'Plan mensual'!E187+parametros_recargas!$L$80*'Plan mensual'!E188</f>
        <v>4521.93495622062</v>
      </c>
      <c r="D170" s="25" t="n">
        <f aca="false">parametros_recargas!$E$80*'Plan mensual'!F181+parametros_recargas!$F$80*'Plan mensual'!F182+parametros_recargas!$G$80*'Plan mensual'!F183+parametros_recargas!$H$80*'Plan mensual'!F184+parametros_recargas!$I$80*'Plan mensual'!F185+parametros_recargas!$J$80*'Plan mensual'!F186+parametros_recargas!$K$80*'Plan mensual'!F187+parametros_recargas!$L$80*'Plan mensual'!F188</f>
        <v>4604.18900038084</v>
      </c>
      <c r="E170" s="25" t="n">
        <f aca="false">parametros_recargas!$E$80*'Plan mensual'!G181+parametros_recargas!$F$80*'Plan mensual'!G182+parametros_recargas!$G$80*'Plan mensual'!G183+parametros_recargas!$H$80*'Plan mensual'!G184+parametros_recargas!$I$80*'Plan mensual'!G185+parametros_recargas!$J$80*'Plan mensual'!G186+parametros_recargas!$K$80*'Plan mensual'!G187+parametros_recargas!$L$80*'Plan mensual'!G188</f>
        <v>4687.94189816797</v>
      </c>
      <c r="F170" s="25" t="n">
        <f aca="false">parametros_recargas!$E$80*'Plan mensual'!H181+parametros_recargas!$F$80*'Plan mensual'!H182+parametros_recargas!$G$80*'Plan mensual'!H183+parametros_recargas!$H$80*'Plan mensual'!H184+parametros_recargas!$I$80*'Plan mensual'!H185+parametros_recargas!$J$80*'Plan mensual'!H186+parametros_recargas!$K$80*'Plan mensual'!H187+parametros_recargas!$L$80*'Plan mensual'!H188</f>
        <v>4773.22096206513</v>
      </c>
      <c r="G170" s="25" t="n">
        <f aca="false">parametros_recargas!$E$80*'Plan mensual'!I181+parametros_recargas!$F$80*'Plan mensual'!I182+parametros_recargas!$G$80*'Plan mensual'!I183+parametros_recargas!$H$80*'Plan mensual'!I184+parametros_recargas!$I$80*'Plan mensual'!I185+parametros_recargas!$J$80*'Plan mensual'!I186+parametros_recargas!$K$80*'Plan mensual'!I187+parametros_recargas!$L$80*'Plan mensual'!I188</f>
        <v>4860.05400225034</v>
      </c>
      <c r="H170" s="25" t="n">
        <f aca="false">parametros_recargas!$E$80*'Plan mensual'!J181+parametros_recargas!$F$80*'Plan mensual'!J182+parametros_recargas!$G$80*'Plan mensual'!J183+parametros_recargas!$H$80*'Plan mensual'!J184+parametros_recargas!$I$80*'Plan mensual'!J185+parametros_recargas!$J$80*'Plan mensual'!J186+parametros_recargas!$K$80*'Plan mensual'!J187+parametros_recargas!$L$80*'Plan mensual'!J188</f>
        <v>4948.46933566557</v>
      </c>
      <c r="I170" s="25" t="n">
        <f aca="false">parametros_recargas!$E$80*'Plan mensual'!K181+parametros_recargas!$F$80*'Plan mensual'!K182+parametros_recargas!$G$80*'Plan mensual'!K183+parametros_recargas!$H$80*'Plan mensual'!K184+parametros_recargas!$I$80*'Plan mensual'!K185+parametros_recargas!$J$80*'Plan mensual'!K186+parametros_recargas!$K$80*'Plan mensual'!K187+parametros_recargas!$L$80*'Plan mensual'!K188</f>
        <v>5038.49579525114</v>
      </c>
      <c r="J170" s="25" t="n">
        <f aca="false">parametros_recargas!$E$80*'Plan mensual'!L181+parametros_recargas!$F$80*'Plan mensual'!L182+parametros_recargas!$G$80*'Plan mensual'!L183+parametros_recargas!$H$80*'Plan mensual'!L184+parametros_recargas!$I$80*'Plan mensual'!L185+parametros_recargas!$J$80*'Plan mensual'!L186+parametros_recargas!$K$80*'Plan mensual'!L187+parametros_recargas!$L$80*'Plan mensual'!L188</f>
        <v>5130.16273934837</v>
      </c>
      <c r="K170" s="25" t="n">
        <f aca="false">parametros_recargas!$E$80*'Plan mensual'!M181+parametros_recargas!$F$80*'Plan mensual'!M182+parametros_recargas!$G$80*'Plan mensual'!M183+parametros_recargas!$H$80*'Plan mensual'!M184+parametros_recargas!$I$80*'Plan mensual'!M185+parametros_recargas!$J$80*'Plan mensual'!M186+parametros_recargas!$K$80*'Plan mensual'!M187+parametros_recargas!$L$80*'Plan mensual'!M188</f>
        <v>5223.50006127358</v>
      </c>
      <c r="L170" s="25" t="n">
        <f aca="false">parametros_recargas!$E$80*'Plan mensual'!N181+parametros_recargas!$F$80*'Plan mensual'!N182+parametros_recargas!$G$80*'Plan mensual'!N183+parametros_recargas!$H$80*'Plan mensual'!N184+parametros_recargas!$I$80*'Plan mensual'!N185+parametros_recargas!$J$80*'Plan mensual'!N186+parametros_recargas!$K$80*'Plan mensual'!N187+parametros_recargas!$L$80*'Plan mensual'!N188</f>
        <v>5318.53819906651</v>
      </c>
      <c r="M170" s="25" t="n">
        <f aca="false">parametros_recargas!$E$80*'Plan mensual'!O181+parametros_recargas!$F$80*'Plan mensual'!O182+parametros_recargas!$G$80*'Plan mensual'!O183+parametros_recargas!$H$80*'Plan mensual'!O184+parametros_recargas!$I$80*'Plan mensual'!O185+parametros_recargas!$J$80*'Plan mensual'!O186+parametros_recargas!$K$80*'Plan mensual'!O187+parametros_recargas!$L$80*'Plan mensual'!O188</f>
        <v>5415.30814541645</v>
      </c>
      <c r="N170" s="7" t="n">
        <f aca="false">SUM(B170:M170)</f>
        <v>58962.9680370987</v>
      </c>
      <c r="O170" s="26" t="n">
        <f aca="false">MAX(B170:M170)</f>
        <v>5415.30814541645</v>
      </c>
      <c r="P170" s="15" t="n">
        <f aca="false">O170/parametros_recargas!$B$6</f>
        <v>36.1020543027763</v>
      </c>
    </row>
    <row r="171" customFormat="false" ht="15" hidden="false" customHeight="false" outlineLevel="0" collapsed="false">
      <c r="A171" s="12" t="str">
        <f aca="false">parametros_recargas!$B$81</f>
        <v>Desarme e inspección interior — zona general</v>
      </c>
      <c r="B171" s="25" t="n">
        <f aca="false">parametros_recargas!$E$81*'Plan mensual'!D181+parametros_recargas!$F$81*'Plan mensual'!D182+parametros_recargas!$G$81*'Plan mensual'!D183+parametros_recargas!$H$81*'Plan mensual'!D184+parametros_recargas!$I$81*'Plan mensual'!D185+parametros_recargas!$J$81*'Plan mensual'!D186+parametros_recargas!$K$81*'Plan mensual'!D187+parametros_recargas!$L$81*'Plan mensual'!D188</f>
        <v>336.729401404902</v>
      </c>
      <c r="C171" s="25" t="n">
        <f aca="false">parametros_recargas!$E$81*'Plan mensual'!E181+parametros_recargas!$F$81*'Plan mensual'!E182+parametros_recargas!$G$81*'Plan mensual'!E183+parametros_recargas!$H$81*'Plan mensual'!E184+parametros_recargas!$I$81*'Plan mensual'!E185+parametros_recargas!$J$81*'Plan mensual'!E186+parametros_recargas!$K$81*'Plan mensual'!E187+parametros_recargas!$L$81*'Plan mensual'!E188</f>
        <v>342.836136686804</v>
      </c>
      <c r="D171" s="25" t="n">
        <f aca="false">parametros_recargas!$E$81*'Plan mensual'!F181+parametros_recargas!$F$81*'Plan mensual'!F182+parametros_recargas!$G$81*'Plan mensual'!F183+parametros_recargas!$H$81*'Plan mensual'!F184+parametros_recargas!$I$81*'Plan mensual'!F185+parametros_recargas!$J$81*'Plan mensual'!F186+parametros_recargas!$K$81*'Plan mensual'!F187+parametros_recargas!$L$81*'Plan mensual'!F188</f>
        <v>349.054150416098</v>
      </c>
      <c r="E171" s="25" t="n">
        <f aca="false">parametros_recargas!$E$81*'Plan mensual'!G181+parametros_recargas!$F$81*'Plan mensual'!G182+parametros_recargas!$G$81*'Plan mensual'!G183+parametros_recargas!$H$81*'Plan mensual'!G184+parametros_recargas!$I$81*'Plan mensual'!G185+parametros_recargas!$J$81*'Plan mensual'!G186+parametros_recargas!$K$81*'Plan mensual'!G187+parametros_recargas!$L$81*'Plan mensual'!G188</f>
        <v>355.385470336295</v>
      </c>
      <c r="F171" s="25" t="n">
        <f aca="false">parametros_recargas!$E$81*'Plan mensual'!H181+parametros_recargas!$F$81*'Plan mensual'!H182+parametros_recargas!$G$81*'Plan mensual'!H183+parametros_recargas!$H$81*'Plan mensual'!H184+parametros_recargas!$I$81*'Plan mensual'!H185+parametros_recargas!$J$81*'Plan mensual'!H186+parametros_recargas!$K$81*'Plan mensual'!H187+parametros_recargas!$L$81*'Plan mensual'!H188</f>
        <v>361.832161140956</v>
      </c>
      <c r="G171" s="25" t="n">
        <f aca="false">parametros_recargas!$E$81*'Plan mensual'!I181+parametros_recargas!$F$81*'Plan mensual'!I182+parametros_recargas!$G$81*'Plan mensual'!I183+parametros_recargas!$H$81*'Plan mensual'!I184+parametros_recargas!$I$81*'Plan mensual'!I185+parametros_recargas!$J$81*'Plan mensual'!I186+parametros_recargas!$K$81*'Plan mensual'!I187+parametros_recargas!$L$81*'Plan mensual'!I188</f>
        <v>368.396325146997</v>
      </c>
      <c r="H171" s="25" t="n">
        <f aca="false">parametros_recargas!$E$81*'Plan mensual'!J181+parametros_recargas!$F$81*'Plan mensual'!J182+parametros_recargas!$G$81*'Plan mensual'!J183+parametros_recargas!$H$81*'Plan mensual'!J184+parametros_recargas!$I$81*'Plan mensual'!J185+parametros_recargas!$J$81*'Plan mensual'!J186+parametros_recargas!$K$81*'Plan mensual'!J187+parametros_recargas!$L$81*'Plan mensual'!J188</f>
        <v>375.08010298028</v>
      </c>
      <c r="I171" s="25" t="n">
        <f aca="false">parametros_recargas!$E$81*'Plan mensual'!K181+parametros_recargas!$F$81*'Plan mensual'!K182+parametros_recargas!$G$81*'Plan mensual'!K183+parametros_recargas!$H$81*'Plan mensual'!K184+parametros_recargas!$I$81*'Plan mensual'!K185+parametros_recargas!$J$81*'Plan mensual'!K186+parametros_recargas!$K$81*'Plan mensual'!K187+parametros_recargas!$L$81*'Plan mensual'!K188</f>
        <v>381.885674273678</v>
      </c>
      <c r="J171" s="25" t="n">
        <f aca="false">parametros_recargas!$E$81*'Plan mensual'!L181+parametros_recargas!$F$81*'Plan mensual'!L182+parametros_recargas!$G$81*'Plan mensual'!L183+parametros_recargas!$H$81*'Plan mensual'!L184+parametros_recargas!$I$81*'Plan mensual'!L185+parametros_recargas!$J$81*'Plan mensual'!L186+parametros_recargas!$K$81*'Plan mensual'!L187+parametros_recargas!$L$81*'Plan mensual'!L188</f>
        <v>388.815258377879</v>
      </c>
      <c r="K171" s="25" t="n">
        <f aca="false">parametros_recargas!$E$81*'Plan mensual'!M181+parametros_recargas!$F$81*'Plan mensual'!M182+parametros_recargas!$G$81*'Plan mensual'!M183+parametros_recargas!$H$81*'Plan mensual'!M184+parametros_recargas!$I$81*'Plan mensual'!M185+parametros_recargas!$J$81*'Plan mensual'!M186+parametros_recargas!$K$81*'Plan mensual'!M187+parametros_recargas!$L$81*'Plan mensual'!M188</f>
        <v>395.871115085129</v>
      </c>
      <c r="L171" s="25" t="n">
        <f aca="false">parametros_recargas!$E$81*'Plan mensual'!N181+parametros_recargas!$F$81*'Plan mensual'!N182+parametros_recargas!$G$81*'Plan mensual'!N183+parametros_recargas!$H$81*'Plan mensual'!N184+parametros_recargas!$I$81*'Plan mensual'!N185+parametros_recargas!$J$81*'Plan mensual'!N186+parametros_recargas!$K$81*'Plan mensual'!N187+parametros_recargas!$L$81*'Plan mensual'!N188</f>
        <v>403.055545366172</v>
      </c>
      <c r="M171" s="25" t="n">
        <f aca="false">parametros_recargas!$E$81*'Plan mensual'!O181+parametros_recargas!$F$81*'Plan mensual'!O182+parametros_recargas!$G$81*'Plan mensual'!O183+parametros_recargas!$H$81*'Plan mensual'!O184+parametros_recargas!$I$81*'Plan mensual'!O185+parametros_recargas!$J$81*'Plan mensual'!O186+parametros_recargas!$K$81*'Plan mensual'!O187+parametros_recargas!$L$81*'Plan mensual'!O188</f>
        <v>410.37089212061</v>
      </c>
      <c r="N171" s="7" t="n">
        <f aca="false">SUM(B171:M171)</f>
        <v>4469.3122333358</v>
      </c>
      <c r="O171" s="26" t="n">
        <f aca="false">MAX(B171:M171)</f>
        <v>410.37089212061</v>
      </c>
      <c r="P171" s="15" t="n">
        <f aca="false">O171/parametros_recargas!$B$6</f>
        <v>2.73580594747073</v>
      </c>
    </row>
    <row r="172" customFormat="false" ht="15" hidden="false" customHeight="false" outlineLevel="0" collapsed="false">
      <c r="A172" s="12" t="str">
        <f aca="false">parametros_recargas!$B$82</f>
        <v>Laboratorio — Puffer y mufla</v>
      </c>
      <c r="B172" s="25" t="n">
        <f aca="false">parametros_recargas!$E$82*'Plan mensual'!D181+parametros_recargas!$F$82*'Plan mensual'!D182+parametros_recargas!$G$82*'Plan mensual'!D183+parametros_recargas!$H$82*'Plan mensual'!D184+parametros_recargas!$I$82*'Plan mensual'!D185+parametros_recargas!$J$82*'Plan mensual'!D186+parametros_recargas!$K$82*'Plan mensual'!D187+parametros_recargas!$L$82*'Plan mensual'!D188</f>
        <v>4.43551783962507</v>
      </c>
      <c r="C172" s="25" t="n">
        <f aca="false">parametros_recargas!$E$82*'Plan mensual'!E181+parametros_recargas!$F$82*'Plan mensual'!E182+parametros_recargas!$G$82*'Plan mensual'!E183+parametros_recargas!$H$82*'Plan mensual'!E184+parametros_recargas!$I$82*'Plan mensual'!E185+parametros_recargas!$J$82*'Plan mensual'!E186+parametros_recargas!$K$82*'Plan mensual'!E187+parametros_recargas!$L$82*'Plan mensual'!E188</f>
        <v>4.51619868813896</v>
      </c>
      <c r="D172" s="25" t="n">
        <f aca="false">parametros_recargas!$E$82*'Plan mensual'!F181+parametros_recargas!$F$82*'Plan mensual'!F182+parametros_recargas!$G$82*'Plan mensual'!F183+parametros_recargas!$H$82*'Plan mensual'!F184+parametros_recargas!$I$82*'Plan mensual'!F185+parametros_recargas!$J$82*'Plan mensual'!F186+parametros_recargas!$K$82*'Plan mensual'!F187+parametros_recargas!$L$82*'Plan mensual'!F188</f>
        <v>4.59834972311785</v>
      </c>
      <c r="E172" s="25" t="n">
        <f aca="false">parametros_recargas!$E$82*'Plan mensual'!G181+parametros_recargas!$F$82*'Plan mensual'!G182+parametros_recargas!$G$82*'Plan mensual'!G183+parametros_recargas!$H$82*'Plan mensual'!G184+parametros_recargas!$I$82*'Plan mensual'!G185+parametros_recargas!$J$82*'Plan mensual'!G186+parametros_recargas!$K$82*'Plan mensual'!G187+parametros_recargas!$L$82*'Plan mensual'!G188</f>
        <v>4.68199773466475</v>
      </c>
      <c r="F172" s="25" t="n">
        <f aca="false">parametros_recargas!$E$82*'Plan mensual'!H181+parametros_recargas!$F$82*'Plan mensual'!H182+parametros_recargas!$G$82*'Plan mensual'!H183+parametros_recargas!$H$82*'Plan mensual'!H184+parametros_recargas!$I$82*'Plan mensual'!H185+parametros_recargas!$J$82*'Plan mensual'!H186+parametros_recargas!$K$82*'Plan mensual'!H187+parametros_recargas!$L$82*'Plan mensual'!H188</f>
        <v>4.76717000105857</v>
      </c>
      <c r="G172" s="25" t="n">
        <f aca="false">parametros_recargas!$E$82*'Plan mensual'!I181+parametros_recargas!$F$82*'Plan mensual'!I182+parametros_recargas!$G$82*'Plan mensual'!I183+parametros_recargas!$H$82*'Plan mensual'!I184+parametros_recargas!$I$82*'Plan mensual'!I185+parametros_recargas!$J$82*'Plan mensual'!I186+parametros_recargas!$K$82*'Plan mensual'!I187+parametros_recargas!$L$82*'Plan mensual'!I188</f>
        <v>4.85389429764979</v>
      </c>
      <c r="H172" s="25" t="n">
        <f aca="false">parametros_recargas!$E$82*'Plan mensual'!J181+parametros_recargas!$F$82*'Plan mensual'!J182+parametros_recargas!$G$82*'Plan mensual'!J183+parametros_recargas!$H$82*'Plan mensual'!J184+parametros_recargas!$I$82*'Plan mensual'!J185+parametros_recargas!$J$82*'Plan mensual'!J186+parametros_recargas!$K$82*'Plan mensual'!J187+parametros_recargas!$L$82*'Plan mensual'!J188</f>
        <v>4.94219890591824</v>
      </c>
      <c r="I172" s="25" t="n">
        <f aca="false">parametros_recargas!$E$82*'Plan mensual'!K181+parametros_recargas!$F$82*'Plan mensual'!K182+parametros_recargas!$G$82*'Plan mensual'!K183+parametros_recargas!$H$82*'Plan mensual'!K184+parametros_recargas!$I$82*'Plan mensual'!K185+parametros_recargas!$J$82*'Plan mensual'!K186+parametros_recargas!$K$82*'Plan mensual'!K187+parametros_recargas!$L$82*'Plan mensual'!K188</f>
        <v>5.0321126226959</v>
      </c>
      <c r="J172" s="25" t="n">
        <f aca="false">parametros_recargas!$E$82*'Plan mensual'!L181+parametros_recargas!$F$82*'Plan mensual'!L182+parametros_recargas!$G$82*'Plan mensual'!L183+parametros_recargas!$H$82*'Plan mensual'!L184+parametros_recargas!$I$82*'Plan mensual'!L185+parametros_recargas!$J$82*'Plan mensual'!L186+parametros_recargas!$K$82*'Plan mensual'!L187+parametros_recargas!$L$82*'Plan mensual'!L188</f>
        <v>5.12366476955778</v>
      </c>
      <c r="K172" s="25" t="n">
        <f aca="false">parametros_recargas!$E$82*'Plan mensual'!M181+parametros_recargas!$F$82*'Plan mensual'!M182+parametros_recargas!$G$82*'Plan mensual'!M183+parametros_recargas!$H$82*'Plan mensual'!M184+parametros_recargas!$I$82*'Plan mensual'!M185+parametros_recargas!$J$82*'Plan mensual'!M186+parametros_recargas!$K$82*'Plan mensual'!M187+parametros_recargas!$L$82*'Plan mensual'!M188</f>
        <v>5.21688520238389</v>
      </c>
      <c r="L172" s="25" t="n">
        <f aca="false">parametros_recargas!$E$82*'Plan mensual'!N181+parametros_recargas!$F$82*'Plan mensual'!N182+parametros_recargas!$G$82*'Plan mensual'!N183+parametros_recargas!$H$82*'Plan mensual'!N184+parametros_recargas!$I$82*'Plan mensual'!N185+parametros_recargas!$J$82*'Plan mensual'!N186+parametros_recargas!$K$82*'Plan mensual'!N187+parametros_recargas!$L$82*'Plan mensual'!N188</f>
        <v>5.31180432109552</v>
      </c>
      <c r="M172" s="25" t="n">
        <f aca="false">parametros_recargas!$E$82*'Plan mensual'!O181+parametros_recargas!$F$82*'Plan mensual'!O182+parametros_recargas!$G$82*'Plan mensual'!O183+parametros_recargas!$H$82*'Plan mensual'!O184+parametros_recargas!$I$82*'Plan mensual'!O185+parametros_recargas!$J$82*'Plan mensual'!O186+parametros_recargas!$K$82*'Plan mensual'!O187+parametros_recargas!$L$82*'Plan mensual'!O188</f>
        <v>5.40845307956889</v>
      </c>
      <c r="N172" s="7" t="n">
        <f aca="false">SUM(B172:M172)</f>
        <v>58.8882471854752</v>
      </c>
      <c r="O172" s="26" t="n">
        <f aca="false">MAX(B172:M172)</f>
        <v>5.40845307956889</v>
      </c>
      <c r="P172" s="15" t="n">
        <f aca="false">O172/parametros_recargas!$B$6</f>
        <v>0.0360563538637926</v>
      </c>
    </row>
    <row r="173" customFormat="false" ht="15" hidden="false" customHeight="false" outlineLevel="0" collapsed="false">
      <c r="A173" s="12" t="str">
        <f aca="false">parametros_recargas!$B$83</f>
        <v>Prueba hidráulica</v>
      </c>
      <c r="B173" s="25" t="n">
        <f aca="false">parametros_recargas!$E$83*'Plan mensual'!D181+parametros_recargas!$F$83*'Plan mensual'!D182+parametros_recargas!$G$83*'Plan mensual'!D183+parametros_recargas!$H$83*'Plan mensual'!D184+parametros_recargas!$I$83*'Plan mensual'!D185+parametros_recargas!$J$83*'Plan mensual'!D186+parametros_recargas!$K$83*'Plan mensual'!D187+parametros_recargas!$L$83*'Plan mensual'!D188</f>
        <v>1089.27440987169</v>
      </c>
      <c r="C173" s="25" t="n">
        <f aca="false">parametros_recargas!$E$83*'Plan mensual'!E181+parametros_recargas!$F$83*'Plan mensual'!E182+parametros_recargas!$G$83*'Plan mensual'!E183+parametros_recargas!$H$83*'Plan mensual'!E184+parametros_recargas!$I$83*'Plan mensual'!E185+parametros_recargas!$J$83*'Plan mensual'!E186+parametros_recargas!$K$83*'Plan mensual'!E187+parametros_recargas!$L$83*'Plan mensual'!E188</f>
        <v>1109.07727574531</v>
      </c>
      <c r="D173" s="25" t="n">
        <f aca="false">parametros_recargas!$E$83*'Plan mensual'!F181+parametros_recargas!$F$83*'Plan mensual'!F182+parametros_recargas!$G$83*'Plan mensual'!F183+parametros_recargas!$H$83*'Plan mensual'!F184+parametros_recargas!$I$83*'Plan mensual'!F185+parametros_recargas!$J$83*'Plan mensual'!F186+parametros_recargas!$K$83*'Plan mensual'!F187+parametros_recargas!$L$83*'Plan mensual'!F188</f>
        <v>1129.24099436048</v>
      </c>
      <c r="E173" s="25" t="n">
        <f aca="false">parametros_recargas!$E$83*'Plan mensual'!G181+parametros_recargas!$F$83*'Plan mensual'!G182+parametros_recargas!$G$83*'Plan mensual'!G183+parametros_recargas!$H$83*'Plan mensual'!G184+parametros_recargas!$I$83*'Plan mensual'!G185+parametros_recargas!$J$83*'Plan mensual'!G186+parametros_recargas!$K$83*'Plan mensual'!G187+parametros_recargas!$L$83*'Plan mensual'!G188</f>
        <v>1149.77214126548</v>
      </c>
      <c r="F173" s="25" t="n">
        <f aca="false">parametros_recargas!$E$83*'Plan mensual'!H181+parametros_recargas!$F$83*'Plan mensual'!H182+parametros_recargas!$G$83*'Plan mensual'!H183+parametros_recargas!$H$83*'Plan mensual'!H184+parametros_recargas!$I$83*'Plan mensual'!H185+parametros_recargas!$J$83*'Plan mensual'!H186+parametros_recargas!$K$83*'Plan mensual'!H187+parametros_recargas!$L$83*'Plan mensual'!H188</f>
        <v>1170.6774118299</v>
      </c>
      <c r="G173" s="25" t="n">
        <f aca="false">parametros_recargas!$E$83*'Plan mensual'!I181+parametros_recargas!$F$83*'Plan mensual'!I182+parametros_recargas!$G$83*'Plan mensual'!I183+parametros_recargas!$H$83*'Plan mensual'!I184+parametros_recargas!$I$83*'Plan mensual'!I185+parametros_recargas!$J$83*'Plan mensual'!I186+parametros_recargas!$K$83*'Plan mensual'!I187+parametros_recargas!$L$83*'Plan mensual'!I188</f>
        <v>1191.963623428</v>
      </c>
      <c r="H173" s="25" t="n">
        <f aca="false">parametros_recargas!$E$83*'Plan mensual'!J181+parametros_recargas!$F$83*'Plan mensual'!J182+parametros_recargas!$G$83*'Plan mensual'!J183+parametros_recargas!$H$83*'Plan mensual'!J184+parametros_recargas!$I$83*'Plan mensual'!J185+parametros_recargas!$J$83*'Plan mensual'!J186+parametros_recargas!$K$83*'Plan mensual'!J187+parametros_recargas!$L$83*'Plan mensual'!J188</f>
        <v>1213.63771766192</v>
      </c>
      <c r="I173" s="25" t="n">
        <f aca="false">parametros_recargas!$E$83*'Plan mensual'!K181+parametros_recargas!$F$83*'Plan mensual'!K182+parametros_recargas!$G$83*'Plan mensual'!K183+parametros_recargas!$H$83*'Plan mensual'!K184+parametros_recargas!$I$83*'Plan mensual'!K185+parametros_recargas!$J$83*'Plan mensual'!K186+parametros_recargas!$K$83*'Plan mensual'!K187+parametros_recargas!$L$83*'Plan mensual'!K188</f>
        <v>1235.70676262544</v>
      </c>
      <c r="J173" s="25" t="n">
        <f aca="false">parametros_recargas!$E$83*'Plan mensual'!L181+parametros_recargas!$F$83*'Plan mensual'!L182+parametros_recargas!$G$83*'Plan mensual'!L183+parametros_recargas!$H$83*'Plan mensual'!L184+parametros_recargas!$I$83*'Plan mensual'!L185+parametros_recargas!$J$83*'Plan mensual'!L186+parametros_recargas!$K$83*'Plan mensual'!L187+parametros_recargas!$L$83*'Plan mensual'!L188</f>
        <v>1258.17795520885</v>
      </c>
      <c r="K173" s="25" t="n">
        <f aca="false">parametros_recargas!$E$83*'Plan mensual'!M181+parametros_recargas!$F$83*'Plan mensual'!M182+parametros_recargas!$G$83*'Plan mensual'!M183+parametros_recargas!$H$83*'Plan mensual'!M184+parametros_recargas!$I$83*'Plan mensual'!M185+parametros_recargas!$J$83*'Plan mensual'!M186+parametros_recargas!$K$83*'Plan mensual'!M187+parametros_recargas!$L$83*'Plan mensual'!M188</f>
        <v>1281.05862344598</v>
      </c>
      <c r="L173" s="25" t="n">
        <f aca="false">parametros_recargas!$E$83*'Plan mensual'!N181+parametros_recargas!$F$83*'Plan mensual'!N182+parametros_recargas!$G$83*'Plan mensual'!N183+parametros_recargas!$H$83*'Plan mensual'!N184+parametros_recargas!$I$83*'Plan mensual'!N185+parametros_recargas!$J$83*'Plan mensual'!N186+parametros_recargas!$K$83*'Plan mensual'!N187+parametros_recargas!$L$83*'Plan mensual'!N188</f>
        <v>1304.35622890393</v>
      </c>
      <c r="M173" s="25" t="n">
        <f aca="false">parametros_recargas!$E$83*'Plan mensual'!O181+parametros_recargas!$F$83*'Plan mensual'!O182+parametros_recargas!$G$83*'Plan mensual'!O183+parametros_recargas!$H$83*'Plan mensual'!O184+parametros_recargas!$I$83*'Plan mensual'!O185+parametros_recargas!$J$83*'Plan mensual'!O186+parametros_recargas!$K$83*'Plan mensual'!O187+parametros_recargas!$L$83*'Plan mensual'!O188</f>
        <v>1328.07836911632</v>
      </c>
      <c r="N173" s="7" t="n">
        <f aca="false">SUM(B173:M173)</f>
        <v>14461.0215134633</v>
      </c>
      <c r="O173" s="26" t="n">
        <f aca="false">MAX(B173:M173)</f>
        <v>1328.07836911632</v>
      </c>
      <c r="P173" s="15" t="n">
        <f aca="false">O173/parametros_recargas!$B$6</f>
        <v>8.8538557941088</v>
      </c>
    </row>
    <row r="174" customFormat="false" ht="15" hidden="false" customHeight="false" outlineLevel="0" collapsed="false">
      <c r="A174" s="12" t="str">
        <f aca="false">parametros_recargas!$B$84</f>
        <v>Secado</v>
      </c>
      <c r="B174" s="25" t="n">
        <f aca="false">parametros_recargas!$E$84*'Plan mensual'!D181+parametros_recargas!$F$84*'Plan mensual'!D182+parametros_recargas!$G$84*'Plan mensual'!D183+parametros_recargas!$H$84*'Plan mensual'!D184+parametros_recargas!$I$84*'Plan mensual'!D185+parametros_recargas!$J$84*'Plan mensual'!D186+parametros_recargas!$K$84*'Plan mensual'!D187+parametros_recargas!$L$84*'Plan mensual'!D188</f>
        <v>1019.78643987382</v>
      </c>
      <c r="C174" s="25" t="n">
        <f aca="false">parametros_recargas!$E$84*'Plan mensual'!E181+parametros_recargas!$F$84*'Plan mensual'!E182+parametros_recargas!$G$84*'Plan mensual'!E183+parametros_recargas!$H$84*'Plan mensual'!E184+parametros_recargas!$I$84*'Plan mensual'!E185+parametros_recargas!$J$84*'Plan mensual'!E186+parametros_recargas!$K$84*'Plan mensual'!E187+parametros_recargas!$L$84*'Plan mensual'!E188</f>
        <v>1038.33225056043</v>
      </c>
      <c r="D174" s="25" t="n">
        <f aca="false">parametros_recargas!$E$84*'Plan mensual'!F181+parametros_recargas!$F$84*'Plan mensual'!F182+parametros_recargas!$G$84*'Plan mensual'!F183+parametros_recargas!$H$84*'Plan mensual'!F184+parametros_recargas!$I$84*'Plan mensual'!F185+parametros_recargas!$J$84*'Plan mensual'!F186+parametros_recargas!$K$84*'Plan mensual'!F187+parametros_recargas!$L$84*'Plan mensual'!F188</f>
        <v>1057.21600761667</v>
      </c>
      <c r="E174" s="25" t="n">
        <f aca="false">parametros_recargas!$E$84*'Plan mensual'!G181+parametros_recargas!$F$84*'Plan mensual'!G182+parametros_recargas!$G$84*'Plan mensual'!G183+parametros_recargas!$H$84*'Plan mensual'!G184+parametros_recargas!$I$84*'Plan mensual'!G185+parametros_recargas!$J$84*'Plan mensual'!G186+parametros_recargas!$K$84*'Plan mensual'!G187+parametros_recargas!$L$84*'Plan mensual'!G188</f>
        <v>1076.44386918525</v>
      </c>
      <c r="F174" s="25" t="n">
        <f aca="false">parametros_recargas!$E$84*'Plan mensual'!H181+parametros_recargas!$F$84*'Plan mensual'!H182+parametros_recargas!$G$84*'Plan mensual'!H183+parametros_recargas!$H$84*'Plan mensual'!H184+parametros_recargas!$I$84*'Plan mensual'!H185+parametros_recargas!$J$84*'Plan mensual'!H186+parametros_recargas!$K$84*'Plan mensual'!H187+parametros_recargas!$L$84*'Plan mensual'!H188</f>
        <v>1096.02210562406</v>
      </c>
      <c r="G174" s="25" t="n">
        <f aca="false">parametros_recargas!$E$84*'Plan mensual'!I181+parametros_recargas!$F$84*'Plan mensual'!I182+parametros_recargas!$G$84*'Plan mensual'!I183+parametros_recargas!$H$84*'Plan mensual'!I184+parametros_recargas!$I$84*'Plan mensual'!I185+parametros_recargas!$J$84*'Plan mensual'!I186+parametros_recargas!$K$84*'Plan mensual'!I187+parametros_recargas!$L$84*'Plan mensual'!I188</f>
        <v>1115.95710155105</v>
      </c>
      <c r="H174" s="25" t="n">
        <f aca="false">parametros_recargas!$E$84*'Plan mensual'!J181+parametros_recargas!$F$84*'Plan mensual'!J182+parametros_recargas!$G$84*'Plan mensual'!J183+parametros_recargas!$H$84*'Plan mensual'!J184+parametros_recargas!$I$84*'Plan mensual'!J185+parametros_recargas!$J$84*'Plan mensual'!J186+parametros_recargas!$K$84*'Plan mensual'!J187+parametros_recargas!$L$84*'Plan mensual'!J188</f>
        <v>1136.25535792623</v>
      </c>
      <c r="I174" s="25" t="n">
        <f aca="false">parametros_recargas!$E$84*'Plan mensual'!K181+parametros_recargas!$F$84*'Plan mensual'!K182+parametros_recargas!$G$84*'Plan mensual'!K183+parametros_recargas!$H$84*'Plan mensual'!K184+parametros_recargas!$I$84*'Plan mensual'!K185+parametros_recargas!$J$84*'Plan mensual'!K186+parametros_recargas!$K$84*'Plan mensual'!K187+parametros_recargas!$L$84*'Plan mensual'!K188</f>
        <v>1156.92349417173</v>
      </c>
      <c r="J174" s="25" t="n">
        <f aca="false">parametros_recargas!$E$84*'Plan mensual'!L181+parametros_recargas!$F$84*'Plan mensual'!L182+parametros_recargas!$G$84*'Plan mensual'!L183+parametros_recargas!$H$84*'Plan mensual'!L184+parametros_recargas!$I$84*'Plan mensual'!L185+parametros_recargas!$J$84*'Plan mensual'!L186+parametros_recargas!$K$84*'Plan mensual'!L187+parametros_recargas!$L$84*'Plan mensual'!L188</f>
        <v>1177.96825033044</v>
      </c>
      <c r="K174" s="25" t="n">
        <f aca="false">parametros_recargas!$E$84*'Plan mensual'!M181+parametros_recargas!$F$84*'Plan mensual'!M182+parametros_recargas!$G$84*'Plan mensual'!M183+parametros_recargas!$H$84*'Plan mensual'!M184+parametros_recargas!$I$84*'Plan mensual'!M185+parametros_recargas!$J$84*'Plan mensual'!M186+parametros_recargas!$K$84*'Plan mensual'!M187+parametros_recargas!$L$84*'Plan mensual'!M188</f>
        <v>1199.39648926399</v>
      </c>
      <c r="L174" s="25" t="n">
        <f aca="false">parametros_recargas!$E$84*'Plan mensual'!N181+parametros_recargas!$F$84*'Plan mensual'!N182+parametros_recargas!$G$84*'Plan mensual'!N183+parametros_recargas!$H$84*'Plan mensual'!N184+parametros_recargas!$I$84*'Plan mensual'!N185+parametros_recargas!$J$84*'Plan mensual'!N186+parametros_recargas!$K$84*'Plan mensual'!N187+parametros_recargas!$L$84*'Plan mensual'!N188</f>
        <v>1221.21519889076</v>
      </c>
      <c r="M174" s="25" t="n">
        <f aca="false">parametros_recargas!$E$84*'Plan mensual'!O181+parametros_recargas!$F$84*'Plan mensual'!O182+parametros_recargas!$G$84*'Plan mensual'!O183+parametros_recargas!$H$84*'Plan mensual'!O184+parametros_recargas!$I$84*'Plan mensual'!O185+parametros_recargas!$J$84*'Plan mensual'!O186+parametros_recargas!$K$84*'Plan mensual'!O187+parametros_recargas!$L$84*'Plan mensual'!O188</f>
        <v>1243.43149446472</v>
      </c>
      <c r="N174" s="7" t="n">
        <f aca="false">SUM(B174:M174)</f>
        <v>13538.9480594591</v>
      </c>
      <c r="O174" s="26" t="n">
        <f aca="false">MAX(B174:M174)</f>
        <v>1243.43149446472</v>
      </c>
      <c r="P174" s="15" t="n">
        <f aca="false">O174/parametros_recargas!$B$6</f>
        <v>8.28954329643148</v>
      </c>
    </row>
    <row r="175" customFormat="false" ht="15" hidden="false" customHeight="false" outlineLevel="0" collapsed="false">
      <c r="A175" s="12" t="str">
        <f aca="false">parametros_recargas!$B$85</f>
        <v>Inspección interior con videoscopio</v>
      </c>
      <c r="B175" s="25" t="n">
        <f aca="false">parametros_recargas!$E$85*'Plan mensual'!D181+parametros_recargas!$F$85*'Plan mensual'!D182+parametros_recargas!$G$85*'Plan mensual'!D183+parametros_recargas!$H$85*'Plan mensual'!D184+parametros_recargas!$I$85*'Plan mensual'!D185+parametros_recargas!$J$85*'Plan mensual'!D186+parametros_recargas!$K$85*'Plan mensual'!D187+parametros_recargas!$L$85*'Plan mensual'!D188</f>
        <v>1019.78643987382</v>
      </c>
      <c r="C175" s="25" t="n">
        <f aca="false">parametros_recargas!$E$85*'Plan mensual'!E181+parametros_recargas!$F$85*'Plan mensual'!E182+parametros_recargas!$G$85*'Plan mensual'!E183+parametros_recargas!$H$85*'Plan mensual'!E184+parametros_recargas!$I$85*'Plan mensual'!E185+parametros_recargas!$J$85*'Plan mensual'!E186+parametros_recargas!$K$85*'Plan mensual'!E187+parametros_recargas!$L$85*'Plan mensual'!E188</f>
        <v>1038.33225056043</v>
      </c>
      <c r="D175" s="25" t="n">
        <f aca="false">parametros_recargas!$E$85*'Plan mensual'!F181+parametros_recargas!$F$85*'Plan mensual'!F182+parametros_recargas!$G$85*'Plan mensual'!F183+parametros_recargas!$H$85*'Plan mensual'!F184+parametros_recargas!$I$85*'Plan mensual'!F185+parametros_recargas!$J$85*'Plan mensual'!F186+parametros_recargas!$K$85*'Plan mensual'!F187+parametros_recargas!$L$85*'Plan mensual'!F188</f>
        <v>1057.21600761667</v>
      </c>
      <c r="E175" s="25" t="n">
        <f aca="false">parametros_recargas!$E$85*'Plan mensual'!G181+parametros_recargas!$F$85*'Plan mensual'!G182+parametros_recargas!$G$85*'Plan mensual'!G183+parametros_recargas!$H$85*'Plan mensual'!G184+parametros_recargas!$I$85*'Plan mensual'!G185+parametros_recargas!$J$85*'Plan mensual'!G186+parametros_recargas!$K$85*'Plan mensual'!G187+parametros_recargas!$L$85*'Plan mensual'!G188</f>
        <v>1076.44386918525</v>
      </c>
      <c r="F175" s="25" t="n">
        <f aca="false">parametros_recargas!$E$85*'Plan mensual'!H181+parametros_recargas!$F$85*'Plan mensual'!H182+parametros_recargas!$G$85*'Plan mensual'!H183+parametros_recargas!$H$85*'Plan mensual'!H184+parametros_recargas!$I$85*'Plan mensual'!H185+parametros_recargas!$J$85*'Plan mensual'!H186+parametros_recargas!$K$85*'Plan mensual'!H187+parametros_recargas!$L$85*'Plan mensual'!H188</f>
        <v>1096.02210562406</v>
      </c>
      <c r="G175" s="25" t="n">
        <f aca="false">parametros_recargas!$E$85*'Plan mensual'!I181+parametros_recargas!$F$85*'Plan mensual'!I182+parametros_recargas!$G$85*'Plan mensual'!I183+parametros_recargas!$H$85*'Plan mensual'!I184+parametros_recargas!$I$85*'Plan mensual'!I185+parametros_recargas!$J$85*'Plan mensual'!I186+parametros_recargas!$K$85*'Plan mensual'!I187+parametros_recargas!$L$85*'Plan mensual'!I188</f>
        <v>1115.95710155105</v>
      </c>
      <c r="H175" s="25" t="n">
        <f aca="false">parametros_recargas!$E$85*'Plan mensual'!J181+parametros_recargas!$F$85*'Plan mensual'!J182+parametros_recargas!$G$85*'Plan mensual'!J183+parametros_recargas!$H$85*'Plan mensual'!J184+parametros_recargas!$I$85*'Plan mensual'!J185+parametros_recargas!$J$85*'Plan mensual'!J186+parametros_recargas!$K$85*'Plan mensual'!J187+parametros_recargas!$L$85*'Plan mensual'!J188</f>
        <v>1136.25535792623</v>
      </c>
      <c r="I175" s="25" t="n">
        <f aca="false">parametros_recargas!$E$85*'Plan mensual'!K181+parametros_recargas!$F$85*'Plan mensual'!K182+parametros_recargas!$G$85*'Plan mensual'!K183+parametros_recargas!$H$85*'Plan mensual'!K184+parametros_recargas!$I$85*'Plan mensual'!K185+parametros_recargas!$J$85*'Plan mensual'!K186+parametros_recargas!$K$85*'Plan mensual'!K187+parametros_recargas!$L$85*'Plan mensual'!K188</f>
        <v>1156.92349417173</v>
      </c>
      <c r="J175" s="25" t="n">
        <f aca="false">parametros_recargas!$E$85*'Plan mensual'!L181+parametros_recargas!$F$85*'Plan mensual'!L182+parametros_recargas!$G$85*'Plan mensual'!L183+parametros_recargas!$H$85*'Plan mensual'!L184+parametros_recargas!$I$85*'Plan mensual'!L185+parametros_recargas!$J$85*'Plan mensual'!L186+parametros_recargas!$K$85*'Plan mensual'!L187+parametros_recargas!$L$85*'Plan mensual'!L188</f>
        <v>1177.96825033044</v>
      </c>
      <c r="K175" s="25" t="n">
        <f aca="false">parametros_recargas!$E$85*'Plan mensual'!M181+parametros_recargas!$F$85*'Plan mensual'!M182+parametros_recargas!$G$85*'Plan mensual'!M183+parametros_recargas!$H$85*'Plan mensual'!M184+parametros_recargas!$I$85*'Plan mensual'!M185+parametros_recargas!$J$85*'Plan mensual'!M186+parametros_recargas!$K$85*'Plan mensual'!M187+parametros_recargas!$L$85*'Plan mensual'!M188</f>
        <v>1199.39648926399</v>
      </c>
      <c r="L175" s="25" t="n">
        <f aca="false">parametros_recargas!$E$85*'Plan mensual'!N181+parametros_recargas!$F$85*'Plan mensual'!N182+parametros_recargas!$G$85*'Plan mensual'!N183+parametros_recargas!$H$85*'Plan mensual'!N184+parametros_recargas!$I$85*'Plan mensual'!N185+parametros_recargas!$J$85*'Plan mensual'!N186+parametros_recargas!$K$85*'Plan mensual'!N187+parametros_recargas!$L$85*'Plan mensual'!N188</f>
        <v>1221.21519889076</v>
      </c>
      <c r="M175" s="25" t="n">
        <f aca="false">parametros_recargas!$E$85*'Plan mensual'!O181+parametros_recargas!$F$85*'Plan mensual'!O182+parametros_recargas!$G$85*'Plan mensual'!O183+parametros_recargas!$H$85*'Plan mensual'!O184+parametros_recargas!$I$85*'Plan mensual'!O185+parametros_recargas!$J$85*'Plan mensual'!O186+parametros_recargas!$K$85*'Plan mensual'!O187+parametros_recargas!$L$85*'Plan mensual'!O188</f>
        <v>1243.43149446472</v>
      </c>
      <c r="N175" s="7" t="n">
        <f aca="false">SUM(B175:M175)</f>
        <v>13538.9480594591</v>
      </c>
      <c r="O175" s="26" t="n">
        <f aca="false">MAX(B175:M175)</f>
        <v>1243.43149446472</v>
      </c>
      <c r="P175" s="15" t="n">
        <f aca="false">O175/parametros_recargas!$B$6</f>
        <v>8.28954329643148</v>
      </c>
    </row>
    <row r="176" customFormat="false" ht="15" hidden="false" customHeight="false" outlineLevel="0" collapsed="false">
      <c r="A176" s="12" t="str">
        <f aca="false">parametros_recargas!$B$86</f>
        <v>Pintura</v>
      </c>
      <c r="B176" s="25" t="n">
        <f aca="false">parametros_recargas!$E$86*'Plan mensual'!D181+parametros_recargas!$F$86*'Plan mensual'!D182+parametros_recargas!$G$86*'Plan mensual'!D183+parametros_recargas!$H$86*'Plan mensual'!D184+parametros_recargas!$I$86*'Plan mensual'!D185+parametros_recargas!$J$86*'Plan mensual'!D186+parametros_recargas!$K$86*'Plan mensual'!D187+parametros_recargas!$L$86*'Plan mensual'!D188</f>
        <v>510.467355110508</v>
      </c>
      <c r="C176" s="25" t="n">
        <f aca="false">parametros_recargas!$E$86*'Plan mensual'!E181+parametros_recargas!$F$86*'Plan mensual'!E182+parametros_recargas!$G$86*'Plan mensual'!E183+parametros_recargas!$H$86*'Plan mensual'!E184+parametros_recargas!$I$86*'Plan mensual'!E185+parametros_recargas!$J$86*'Plan mensual'!E186+parametros_recargas!$K$86*'Plan mensual'!E187+parametros_recargas!$L$86*'Plan mensual'!E188</f>
        <v>519.749325448531</v>
      </c>
      <c r="D176" s="25" t="n">
        <f aca="false">parametros_recargas!$E$86*'Plan mensual'!F181+parametros_recargas!$F$86*'Plan mensual'!F182+parametros_recargas!$G$86*'Plan mensual'!F183+parametros_recargas!$H$86*'Plan mensual'!F184+parametros_recargas!$I$86*'Plan mensual'!F185+parametros_recargas!$J$86*'Plan mensual'!F186+parametros_recargas!$K$86*'Plan mensual'!F187+parametros_recargas!$L$86*'Plan mensual'!F188</f>
        <v>529.200434155955</v>
      </c>
      <c r="E176" s="25" t="n">
        <f aca="false">parametros_recargas!$E$86*'Plan mensual'!G181+parametros_recargas!$F$86*'Plan mensual'!G182+parametros_recargas!$G$86*'Plan mensual'!G183+parametros_recargas!$H$86*'Plan mensual'!G184+parametros_recargas!$I$86*'Plan mensual'!G185+parametros_recargas!$J$86*'Plan mensual'!G186+parametros_recargas!$K$86*'Plan mensual'!G187+parametros_recargas!$L$86*'Plan mensual'!G188</f>
        <v>538.823763314166</v>
      </c>
      <c r="F176" s="25" t="n">
        <f aca="false">parametros_recargas!$E$86*'Plan mensual'!H181+parametros_recargas!$F$86*'Plan mensual'!H182+parametros_recargas!$G$86*'Plan mensual'!H183+parametros_recargas!$H$86*'Plan mensual'!H184+parametros_recargas!$I$86*'Plan mensual'!H185+parametros_recargas!$J$86*'Plan mensual'!H186+parametros_recargas!$K$86*'Plan mensual'!H187+parametros_recargas!$L$86*'Plan mensual'!H188</f>
        <v>548.622451167002</v>
      </c>
      <c r="G176" s="25" t="n">
        <f aca="false">parametros_recargas!$E$86*'Plan mensual'!I181+parametros_recargas!$F$86*'Plan mensual'!I182+parametros_recargas!$G$86*'Plan mensual'!I183+parametros_recargas!$H$86*'Plan mensual'!I184+parametros_recargas!$I$86*'Plan mensual'!I185+parametros_recargas!$J$86*'Plan mensual'!I186+parametros_recargas!$K$86*'Plan mensual'!I187+parametros_recargas!$L$86*'Plan mensual'!I188</f>
        <v>558.599693144162</v>
      </c>
      <c r="H176" s="25" t="n">
        <f aca="false">parametros_recargas!$E$86*'Plan mensual'!J181+parametros_recargas!$F$86*'Plan mensual'!J182+parametros_recargas!$G$86*'Plan mensual'!J183+parametros_recargas!$H$86*'Plan mensual'!J184+parametros_recargas!$I$86*'Plan mensual'!J185+parametros_recargas!$J$86*'Plan mensual'!J186+parametros_recargas!$K$86*'Plan mensual'!J187+parametros_recargas!$L$86*'Plan mensual'!J188</f>
        <v>568.758742903256</v>
      </c>
      <c r="I176" s="25" t="n">
        <f aca="false">parametros_recargas!$E$86*'Plan mensual'!K181+parametros_recargas!$F$86*'Plan mensual'!K182+parametros_recargas!$G$86*'Plan mensual'!K183+parametros_recargas!$H$86*'Plan mensual'!K184+parametros_recargas!$I$86*'Plan mensual'!K185+parametros_recargas!$J$86*'Plan mensual'!K186+parametros_recargas!$K$86*'Plan mensual'!K187+parametros_recargas!$L$86*'Plan mensual'!K188</f>
        <v>579.102913390853</v>
      </c>
      <c r="J176" s="25" t="n">
        <f aca="false">parametros_recargas!$E$86*'Plan mensual'!L181+parametros_recargas!$F$86*'Plan mensual'!L182+parametros_recargas!$G$86*'Plan mensual'!L183+parametros_recargas!$H$86*'Plan mensual'!L184+parametros_recargas!$I$86*'Plan mensual'!L185+parametros_recargas!$J$86*'Plan mensual'!L186+parametros_recargas!$K$86*'Plan mensual'!L187+parametros_recargas!$L$86*'Plan mensual'!L188</f>
        <v>589.635577922857</v>
      </c>
      <c r="K176" s="25" t="n">
        <f aca="false">parametros_recargas!$E$86*'Plan mensual'!M181+parametros_recargas!$F$86*'Plan mensual'!M182+parametros_recargas!$G$86*'Plan mensual'!M183+parametros_recargas!$H$86*'Plan mensual'!M184+parametros_recargas!$I$86*'Plan mensual'!M185+parametros_recargas!$J$86*'Plan mensual'!M186+parametros_recargas!$K$86*'Plan mensual'!M187+parametros_recargas!$L$86*'Plan mensual'!M188</f>
        <v>600.360171284572</v>
      </c>
      <c r="L176" s="25" t="n">
        <f aca="false">parametros_recargas!$E$86*'Plan mensual'!N181+parametros_recargas!$F$86*'Plan mensual'!N182+parametros_recargas!$G$86*'Plan mensual'!N183+parametros_recargas!$H$86*'Plan mensual'!N184+parametros_recargas!$I$86*'Plan mensual'!N185+parametros_recargas!$J$86*'Plan mensual'!N186+parametros_recargas!$K$86*'Plan mensual'!N187+parametros_recargas!$L$86*'Plan mensual'!N188</f>
        <v>611.280190850814</v>
      </c>
      <c r="M176" s="25" t="n">
        <f aca="false">parametros_recargas!$E$86*'Plan mensual'!O181+parametros_recargas!$F$86*'Plan mensual'!O182+parametros_recargas!$G$86*'Plan mensual'!O183+parametros_recargas!$H$86*'Plan mensual'!O184+parametros_recargas!$I$86*'Plan mensual'!O185+parametros_recargas!$J$86*'Plan mensual'!O186+parametros_recargas!$K$86*'Plan mensual'!O187+parametros_recargas!$L$86*'Plan mensual'!O188</f>
        <v>622.399197726431</v>
      </c>
      <c r="N176" s="7" t="n">
        <f aca="false">SUM(B176:M176)</f>
        <v>6776.99981641911</v>
      </c>
      <c r="O176" s="26" t="n">
        <f aca="false">MAX(B176:M176)</f>
        <v>622.399197726431</v>
      </c>
      <c r="P176" s="15" t="n">
        <f aca="false">O176/parametros_recargas!$B$6</f>
        <v>4.14932798484288</v>
      </c>
    </row>
    <row r="177" customFormat="false" ht="15" hidden="false" customHeight="false" outlineLevel="0" collapsed="false">
      <c r="A177" s="12" t="str">
        <f aca="false">parametros_recargas!$B$87</f>
        <v>Carga de polvo ABC</v>
      </c>
      <c r="B177" s="25" t="n">
        <f aca="false">parametros_recargas!$E$87*'Plan mensual'!D181+parametros_recargas!$F$87*'Plan mensual'!D182+parametros_recargas!$G$87*'Plan mensual'!D183+parametros_recargas!$H$87*'Plan mensual'!D184+parametros_recargas!$I$87*'Plan mensual'!D185+parametros_recargas!$J$87*'Plan mensual'!D186+parametros_recargas!$K$87*'Plan mensual'!D187+parametros_recargas!$L$87*'Plan mensual'!D188</f>
        <v>4429.09903000243</v>
      </c>
      <c r="C177" s="25" t="n">
        <f aca="false">parametros_recargas!$E$87*'Plan mensual'!E181+parametros_recargas!$F$87*'Plan mensual'!E182+parametros_recargas!$G$87*'Plan mensual'!E183+parametros_recargas!$H$87*'Plan mensual'!E184+parametros_recargas!$I$87*'Plan mensual'!E185+parametros_recargas!$J$87*'Plan mensual'!E186+parametros_recargas!$K$87*'Plan mensual'!E187+parametros_recargas!$L$87*'Plan mensual'!E188</f>
        <v>4509.66443189346</v>
      </c>
      <c r="D177" s="25" t="n">
        <f aca="false">parametros_recargas!$E$87*'Plan mensual'!F181+parametros_recargas!$F$87*'Plan mensual'!F182+parametros_recargas!$G$87*'Plan mensual'!F183+parametros_recargas!$H$87*'Plan mensual'!F184+parametros_recargas!$I$87*'Plan mensual'!F185+parametros_recargas!$J$87*'Plan mensual'!F186+parametros_recargas!$K$87*'Plan mensual'!F187+parametros_recargas!$L$87*'Plan mensual'!F188</f>
        <v>4591.69791655246</v>
      </c>
      <c r="E177" s="25" t="n">
        <f aca="false">parametros_recargas!$E$87*'Plan mensual'!G181+parametros_recargas!$F$87*'Plan mensual'!G182+parametros_recargas!$G$87*'Plan mensual'!G183+parametros_recargas!$H$87*'Plan mensual'!G184+parametros_recargas!$I$87*'Plan mensual'!G185+parametros_recargas!$J$87*'Plan mensual'!G186+parametros_recargas!$K$87*'Plan mensual'!G187+parametros_recargas!$L$87*'Plan mensual'!G188</f>
        <v>4675.22623574833</v>
      </c>
      <c r="F177" s="25" t="n">
        <f aca="false">parametros_recargas!$E$87*'Plan mensual'!H181+parametros_recargas!$F$87*'Plan mensual'!H182+parametros_recargas!$G$87*'Plan mensual'!H183+parametros_recargas!$H$87*'Plan mensual'!H184+parametros_recargas!$I$87*'Plan mensual'!H185+parametros_recargas!$J$87*'Plan mensual'!H186+parametros_recargas!$K$87*'Plan mensual'!H187+parametros_recargas!$L$87*'Plan mensual'!H188</f>
        <v>4760.27662872736</v>
      </c>
      <c r="G177" s="25" t="n">
        <f aca="false">parametros_recargas!$E$87*'Plan mensual'!I181+parametros_recargas!$F$87*'Plan mensual'!I182+parametros_recargas!$G$87*'Plan mensual'!I183+parametros_recargas!$H$87*'Plan mensual'!I184+parametros_recargas!$I$87*'Plan mensual'!I185+parametros_recargas!$J$87*'Plan mensual'!I186+parametros_recargas!$K$87*'Plan mensual'!I187+parametros_recargas!$L$87*'Plan mensual'!I188</f>
        <v>4846.87683109616</v>
      </c>
      <c r="H177" s="25" t="n">
        <f aca="false">parametros_recargas!$E$87*'Plan mensual'!J181+parametros_recargas!$F$87*'Plan mensual'!J182+parametros_recargas!$G$87*'Plan mensual'!J183+parametros_recargas!$H$87*'Plan mensual'!J184+parametros_recargas!$I$87*'Plan mensual'!J185+parametros_recargas!$J$87*'Plan mensual'!J186+parametros_recargas!$K$87*'Plan mensual'!J187+parametros_recargas!$L$87*'Plan mensual'!J188</f>
        <v>4935.05508386644</v>
      </c>
      <c r="I177" s="25" t="n">
        <f aca="false">parametros_recargas!$E$87*'Plan mensual'!K181+parametros_recargas!$F$87*'Plan mensual'!K182+parametros_recargas!$G$87*'Plan mensual'!K183+parametros_recargas!$H$87*'Plan mensual'!K184+parametros_recargas!$I$87*'Plan mensual'!K185+parametros_recargas!$J$87*'Plan mensual'!K186+parametros_recargas!$K$87*'Plan mensual'!K187+parametros_recargas!$L$87*'Plan mensual'!K188</f>
        <v>5024.84014266465</v>
      </c>
      <c r="J177" s="25" t="n">
        <f aca="false">parametros_recargas!$E$87*'Plan mensual'!L181+parametros_recargas!$F$87*'Plan mensual'!L182+parametros_recargas!$G$87*'Plan mensual'!L183+parametros_recargas!$H$87*'Plan mensual'!L184+parametros_recargas!$I$87*'Plan mensual'!L185+parametros_recargas!$J$87*'Plan mensual'!L186+parametros_recargas!$K$87*'Plan mensual'!L187+parametros_recargas!$L$87*'Plan mensual'!L188</f>
        <v>5116.26128710941</v>
      </c>
      <c r="K177" s="25" t="n">
        <f aca="false">parametros_recargas!$E$87*'Plan mensual'!M181+parametros_recargas!$F$87*'Plan mensual'!M182+parametros_recargas!$G$87*'Plan mensual'!M183+parametros_recargas!$H$87*'Plan mensual'!M184+parametros_recargas!$I$87*'Plan mensual'!M185+parametros_recargas!$J$87*'Plan mensual'!M186+parametros_recargas!$K$87*'Plan mensual'!M187+parametros_recargas!$L$87*'Plan mensual'!M188</f>
        <v>5209.34833035982</v>
      </c>
      <c r="L177" s="25" t="n">
        <f aca="false">parametros_recargas!$E$87*'Plan mensual'!N181+parametros_recargas!$F$87*'Plan mensual'!N182+parametros_recargas!$G$87*'Plan mensual'!N183+parametros_recargas!$H$87*'Plan mensual'!N184+parametros_recargas!$I$87*'Plan mensual'!N185+parametros_recargas!$J$87*'Plan mensual'!N186+parametros_recargas!$K$87*'Plan mensual'!N187+parametros_recargas!$L$87*'Plan mensual'!N188</f>
        <v>5304.13162883776</v>
      </c>
      <c r="M177" s="25" t="n">
        <f aca="false">parametros_recargas!$E$87*'Plan mensual'!O181+parametros_recargas!$F$87*'Plan mensual'!O182+parametros_recargas!$G$87*'Plan mensual'!O183+parametros_recargas!$H$87*'Plan mensual'!O184+parametros_recargas!$I$87*'Plan mensual'!O185+parametros_recargas!$J$87*'Plan mensual'!O186+parametros_recargas!$K$87*'Plan mensual'!O187+parametros_recargas!$L$87*'Plan mensual'!O188</f>
        <v>5400.6420921274</v>
      </c>
      <c r="N177" s="7" t="n">
        <f aca="false">SUM(B177:M177)</f>
        <v>58803.1196389857</v>
      </c>
      <c r="O177" s="26" t="n">
        <f aca="false">MAX(B177:M177)</f>
        <v>5400.6420921274</v>
      </c>
      <c r="P177" s="15" t="n">
        <f aca="false">O177/parametros_recargas!$B$6</f>
        <v>36.0042806141827</v>
      </c>
    </row>
    <row r="178" customFormat="false" ht="15" hidden="false" customHeight="false" outlineLevel="0" collapsed="false">
      <c r="A178" s="12" t="str">
        <f aca="false">parametros_recargas!$B$88</f>
        <v>Carga de polvo BC</v>
      </c>
      <c r="B178" s="25" t="n">
        <f aca="false">parametros_recargas!$E$88*'Plan mensual'!D181+parametros_recargas!$F$88*'Plan mensual'!D182+parametros_recargas!$G$88*'Plan mensual'!D183+parametros_recargas!$H$88*'Plan mensual'!D184+parametros_recargas!$I$88*'Plan mensual'!D185+parametros_recargas!$J$88*'Plan mensual'!D186+parametros_recargas!$K$88*'Plan mensual'!D187+parametros_recargas!$L$88*'Plan mensual'!D188</f>
        <v>6.41880962264308</v>
      </c>
      <c r="C178" s="25" t="n">
        <f aca="false">parametros_recargas!$E$88*'Plan mensual'!E181+parametros_recargas!$F$88*'Plan mensual'!E182+parametros_recargas!$G$88*'Plan mensual'!E183+parametros_recargas!$H$88*'Plan mensual'!E184+parametros_recargas!$I$88*'Plan mensual'!E185+parametros_recargas!$J$88*'Plan mensual'!E186+parametros_recargas!$K$88*'Plan mensual'!E187+parametros_recargas!$L$88*'Plan mensual'!E188</f>
        <v>6.53425624549678</v>
      </c>
      <c r="D178" s="25" t="n">
        <f aca="false">parametros_recargas!$E$88*'Plan mensual'!F181+parametros_recargas!$F$88*'Plan mensual'!F182+parametros_recargas!$G$88*'Plan mensual'!F183+parametros_recargas!$H$88*'Plan mensual'!F184+parametros_recargas!$I$88*'Plan mensual'!F185+parametros_recargas!$J$88*'Plan mensual'!F186+parametros_recargas!$K$88*'Plan mensual'!F187+parametros_recargas!$L$88*'Plan mensual'!F188</f>
        <v>6.6518065653923</v>
      </c>
      <c r="E178" s="25" t="n">
        <f aca="false">parametros_recargas!$E$88*'Plan mensual'!G181+parametros_recargas!$F$88*'Plan mensual'!G182+parametros_recargas!$G$88*'Plan mensual'!G183+parametros_recargas!$H$88*'Plan mensual'!G184+parametros_recargas!$I$88*'Plan mensual'!G185+parametros_recargas!$J$88*'Plan mensual'!G186+parametros_recargas!$K$88*'Plan mensual'!G187+parametros_recargas!$L$88*'Plan mensual'!G188</f>
        <v>6.77149891641975</v>
      </c>
      <c r="F178" s="25" t="n">
        <f aca="false">parametros_recargas!$E$88*'Plan mensual'!H181+parametros_recargas!$F$88*'Plan mensual'!H182+parametros_recargas!$G$88*'Plan mensual'!H183+parametros_recargas!$H$88*'Plan mensual'!H184+parametros_recargas!$I$88*'Plan mensual'!H185+parametros_recargas!$J$88*'Plan mensual'!H186+parametros_recargas!$K$88*'Plan mensual'!H187+parametros_recargas!$L$88*'Plan mensual'!H188</f>
        <v>6.89337233120256</v>
      </c>
      <c r="G178" s="25" t="n">
        <f aca="false">parametros_recargas!$E$88*'Plan mensual'!I181+parametros_recargas!$F$88*'Plan mensual'!I182+parametros_recargas!$G$88*'Plan mensual'!I183+parametros_recargas!$H$88*'Plan mensual'!I184+parametros_recargas!$I$88*'Plan mensual'!I185+parametros_recargas!$J$88*'Plan mensual'!I186+parametros_recargas!$K$88*'Plan mensual'!I187+parametros_recargas!$L$88*'Plan mensual'!I188</f>
        <v>7.01746655362631</v>
      </c>
      <c r="H178" s="25" t="n">
        <f aca="false">parametros_recargas!$E$88*'Plan mensual'!J181+parametros_recargas!$F$88*'Plan mensual'!J182+parametros_recargas!$G$88*'Plan mensual'!J183+parametros_recargas!$H$88*'Plan mensual'!J184+parametros_recargas!$I$88*'Plan mensual'!J185+parametros_recargas!$J$88*'Plan mensual'!J186+parametros_recargas!$K$88*'Plan mensual'!J187+parametros_recargas!$L$88*'Plan mensual'!J188</f>
        <v>7.14382205179955</v>
      </c>
      <c r="I178" s="25" t="n">
        <f aca="false">parametros_recargas!$E$88*'Plan mensual'!K181+parametros_recargas!$F$88*'Plan mensual'!K182+parametros_recargas!$G$88*'Plan mensual'!K183+parametros_recargas!$H$88*'Plan mensual'!K184+parametros_recargas!$I$88*'Plan mensual'!K185+parametros_recargas!$J$88*'Plan mensual'!K186+parametros_recargas!$K$88*'Plan mensual'!K187+parametros_recargas!$L$88*'Plan mensual'!K188</f>
        <v>7.27248003125075</v>
      </c>
      <c r="J178" s="25" t="n">
        <f aca="false">parametros_recargas!$E$88*'Plan mensual'!L181+parametros_recargas!$F$88*'Plan mensual'!L182+parametros_recargas!$G$88*'Plan mensual'!L183+parametros_recargas!$H$88*'Plan mensual'!L184+parametros_recargas!$I$88*'Plan mensual'!L185+parametros_recargas!$J$88*'Plan mensual'!L186+parametros_recargas!$K$88*'Plan mensual'!L187+parametros_recargas!$L$88*'Plan mensual'!L188</f>
        <v>7.40348244836576</v>
      </c>
      <c r="K178" s="25" t="n">
        <f aca="false">parametros_recargas!$E$88*'Plan mensual'!M181+parametros_recargas!$F$88*'Plan mensual'!M182+parametros_recargas!$G$88*'Plan mensual'!M183+parametros_recargas!$H$88*'Plan mensual'!M184+parametros_recargas!$I$88*'Plan mensual'!M185+parametros_recargas!$J$88*'Plan mensual'!M186+parametros_recargas!$K$88*'Plan mensual'!M187+parametros_recargas!$L$88*'Plan mensual'!M188</f>
        <v>7.53687202407011</v>
      </c>
      <c r="L178" s="25" t="n">
        <f aca="false">parametros_recargas!$E$88*'Plan mensual'!N181+parametros_recargas!$F$88*'Plan mensual'!N182+parametros_recargas!$G$88*'Plan mensual'!N183+parametros_recargas!$H$88*'Plan mensual'!N184+parametros_recargas!$I$88*'Plan mensual'!N185+parametros_recargas!$J$88*'Plan mensual'!N186+parametros_recargas!$K$88*'Plan mensual'!N187+parametros_recargas!$L$88*'Plan mensual'!N188</f>
        <v>7.67269225776065</v>
      </c>
      <c r="M178" s="25" t="n">
        <f aca="false">parametros_recargas!$E$88*'Plan mensual'!O181+parametros_recargas!$F$88*'Plan mensual'!O182+parametros_recargas!$G$88*'Plan mensual'!O183+parametros_recargas!$H$88*'Plan mensual'!O184+parametros_recargas!$I$88*'Plan mensual'!O185+parametros_recargas!$J$88*'Plan mensual'!O186+parametros_recargas!$K$88*'Plan mensual'!O187+parametros_recargas!$L$88*'Plan mensual'!O188</f>
        <v>7.81098744149106</v>
      </c>
      <c r="N178" s="7" t="n">
        <f aca="false">SUM(B178:M178)</f>
        <v>85.1275464895187</v>
      </c>
      <c r="O178" s="26" t="n">
        <f aca="false">MAX(B178:M178)</f>
        <v>7.81098744149106</v>
      </c>
      <c r="P178" s="15" t="n">
        <f aca="false">O178/parametros_recargas!$B$6</f>
        <v>0.0520732496099404</v>
      </c>
    </row>
    <row r="179" customFormat="false" ht="15" hidden="false" customHeight="false" outlineLevel="0" collapsed="false">
      <c r="A179" s="12" t="str">
        <f aca="false">parametros_recargas!$B$89</f>
        <v>Descarga y carga Clase D</v>
      </c>
      <c r="B179" s="25" t="n">
        <f aca="false">parametros_recargas!$E$89*'Plan mensual'!D181+parametros_recargas!$F$89*'Plan mensual'!D182+parametros_recargas!$G$89*'Plan mensual'!D183+parametros_recargas!$H$89*'Plan mensual'!D184+parametros_recargas!$I$89*'Plan mensual'!D185+parametros_recargas!$J$89*'Plan mensual'!D186+parametros_recargas!$K$89*'Plan mensual'!D187+parametros_recargas!$L$89*'Plan mensual'!D188</f>
        <v>5.6351023671135</v>
      </c>
      <c r="C179" s="25" t="n">
        <f aca="false">parametros_recargas!$E$89*'Plan mensual'!E181+parametros_recargas!$F$89*'Plan mensual'!E182+parametros_recargas!$G$89*'Plan mensual'!E183+parametros_recargas!$H$89*'Plan mensual'!E184+parametros_recargas!$I$89*'Plan mensual'!E185+parametros_recargas!$J$89*'Plan mensual'!E186+parametros_recargas!$K$89*'Plan mensual'!E187+parametros_recargas!$L$89*'Plan mensual'!E188</f>
        <v>5.73626808166209</v>
      </c>
      <c r="D179" s="25" t="n">
        <f aca="false">parametros_recargas!$E$89*'Plan mensual'!F181+parametros_recargas!$F$89*'Plan mensual'!F182+parametros_recargas!$G$89*'Plan mensual'!F183+parametros_recargas!$H$89*'Plan mensual'!F184+parametros_recargas!$I$89*'Plan mensual'!F185+parametros_recargas!$J$89*'Plan mensual'!F186+parametros_recargas!$K$89*'Plan mensual'!F187+parametros_recargas!$L$89*'Plan mensual'!F188</f>
        <v>5.83927726299359</v>
      </c>
      <c r="E179" s="25" t="n">
        <f aca="false">parametros_recargas!$E$89*'Plan mensual'!G181+parametros_recargas!$F$89*'Plan mensual'!G182+parametros_recargas!$G$89*'Plan mensual'!G183+parametros_recargas!$H$89*'Plan mensual'!G184+parametros_recargas!$I$89*'Plan mensual'!G185+parametros_recargas!$J$89*'Plan mensual'!G186+parametros_recargas!$K$89*'Plan mensual'!G187+parametros_recargas!$L$89*'Plan mensual'!G188</f>
        <v>5.94416350321767</v>
      </c>
      <c r="F179" s="25" t="n">
        <f aca="false">parametros_recargas!$E$89*'Plan mensual'!H181+parametros_recargas!$F$89*'Plan mensual'!H182+parametros_recargas!$G$89*'Plan mensual'!H183+parametros_recargas!$H$89*'Plan mensual'!H184+parametros_recargas!$I$89*'Plan mensual'!H185+parametros_recargas!$J$89*'Plan mensual'!H186+parametros_recargas!$K$89*'Plan mensual'!H187+parametros_recargas!$L$89*'Plan mensual'!H188</f>
        <v>6.0509610065678</v>
      </c>
      <c r="G179" s="25" t="n">
        <f aca="false">parametros_recargas!$E$89*'Plan mensual'!I181+parametros_recargas!$F$89*'Plan mensual'!I182+parametros_recargas!$G$89*'Plan mensual'!I183+parametros_recargas!$H$89*'Plan mensual'!I184+parametros_recargas!$I$89*'Plan mensual'!I185+parametros_recargas!$J$89*'Plan mensual'!I186+parametros_recargas!$K$89*'Plan mensual'!I187+parametros_recargas!$L$89*'Plan mensual'!I188</f>
        <v>6.15970460055547</v>
      </c>
      <c r="H179" s="25" t="n">
        <f aca="false">parametros_recargas!$E$89*'Plan mensual'!J181+parametros_recargas!$F$89*'Plan mensual'!J182+parametros_recargas!$G$89*'Plan mensual'!J183+parametros_recargas!$H$89*'Plan mensual'!J184+parametros_recargas!$I$89*'Plan mensual'!J185+parametros_recargas!$J$89*'Plan mensual'!J186+parametros_recargas!$K$89*'Plan mensual'!J187+parametros_recargas!$L$89*'Plan mensual'!J188</f>
        <v>6.27042974732774</v>
      </c>
      <c r="I179" s="25" t="n">
        <f aca="false">parametros_recargas!$E$89*'Plan mensual'!K181+parametros_recargas!$F$89*'Plan mensual'!K182+parametros_recargas!$G$89*'Plan mensual'!K183+parametros_recargas!$H$89*'Plan mensual'!K184+parametros_recargas!$I$89*'Plan mensual'!K185+parametros_recargas!$J$89*'Plan mensual'!K186+parametros_recargas!$K$89*'Plan mensual'!K187+parametros_recargas!$L$89*'Plan mensual'!K188</f>
        <v>6.38317255523173</v>
      </c>
      <c r="J179" s="25" t="n">
        <f aca="false">parametros_recargas!$E$89*'Plan mensual'!L181+parametros_recargas!$F$89*'Plan mensual'!L182+parametros_recargas!$G$89*'Plan mensual'!L183+parametros_recargas!$H$89*'Plan mensual'!L184+parametros_recargas!$I$89*'Plan mensual'!L185+parametros_recargas!$J$89*'Plan mensual'!L186+parametros_recargas!$K$89*'Plan mensual'!L187+parametros_recargas!$L$89*'Plan mensual'!L188</f>
        <v>6.49796979058981</v>
      </c>
      <c r="K179" s="25" t="n">
        <f aca="false">parametros_recargas!$E$89*'Plan mensual'!M181+parametros_recargas!$F$89*'Plan mensual'!M182+parametros_recargas!$G$89*'Plan mensual'!M183+parametros_recargas!$H$89*'Plan mensual'!M184+parametros_recargas!$I$89*'Plan mensual'!M185+parametros_recargas!$J$89*'Plan mensual'!M186+parametros_recargas!$K$89*'Plan mensual'!M187+parametros_recargas!$L$89*'Plan mensual'!M188</f>
        <v>6.61485888968944</v>
      </c>
      <c r="L179" s="25" t="n">
        <f aca="false">parametros_recargas!$E$89*'Plan mensual'!N181+parametros_recargas!$F$89*'Plan mensual'!N182+parametros_recargas!$G$89*'Plan mensual'!N183+parametros_recargas!$H$89*'Plan mensual'!N184+parametros_recargas!$I$89*'Plan mensual'!N185+parametros_recargas!$J$89*'Plan mensual'!N186+parametros_recargas!$K$89*'Plan mensual'!N187+parametros_recargas!$L$89*'Plan mensual'!N188</f>
        <v>6.73387797099139</v>
      </c>
      <c r="M179" s="25" t="n">
        <f aca="false">parametros_recargas!$E$89*'Plan mensual'!O181+parametros_recargas!$F$89*'Plan mensual'!O182+parametros_recargas!$G$89*'Plan mensual'!O183+parametros_recargas!$H$89*'Plan mensual'!O184+parametros_recargas!$I$89*'Plan mensual'!O185+parametros_recargas!$J$89*'Plan mensual'!O186+parametros_recargas!$K$89*'Plan mensual'!O187+parametros_recargas!$L$89*'Plan mensual'!O188</f>
        <v>6.85506584756051</v>
      </c>
      <c r="N179" s="7" t="n">
        <f aca="false">SUM(B179:M179)</f>
        <v>74.7208516235008</v>
      </c>
      <c r="O179" s="26" t="n">
        <f aca="false">MAX(B179:M179)</f>
        <v>6.85506584756051</v>
      </c>
      <c r="P179" s="15" t="n">
        <f aca="false">O179/parametros_recargas!$B$6</f>
        <v>0.0457004389837367</v>
      </c>
    </row>
    <row r="180" customFormat="false" ht="15" hidden="false" customHeight="false" outlineLevel="0" collapsed="false">
      <c r="A180" s="12" t="str">
        <f aca="false">parametros_recargas!$B$90</f>
        <v>Carga de agua / AFFF / sales K</v>
      </c>
      <c r="B180" s="25" t="n">
        <f aca="false">parametros_recargas!$E$90*'Plan mensual'!D181+parametros_recargas!$F$90*'Plan mensual'!D182+parametros_recargas!$G$90*'Plan mensual'!D183+parametros_recargas!$H$90*'Plan mensual'!D184+parametros_recargas!$I$90*'Plan mensual'!D185+parametros_recargas!$J$90*'Plan mensual'!D186+parametros_recargas!$K$90*'Plan mensual'!D187+parametros_recargas!$L$90*'Plan mensual'!D188</f>
        <v>227.798998835571</v>
      </c>
      <c r="C180" s="25" t="n">
        <f aca="false">parametros_recargas!$E$90*'Plan mensual'!E181+parametros_recargas!$F$90*'Plan mensual'!E182+parametros_recargas!$G$90*'Plan mensual'!E183+parametros_recargas!$H$90*'Plan mensual'!E184+parametros_recargas!$I$90*'Plan mensual'!E185+parametros_recargas!$J$90*'Plan mensual'!E186+parametros_recargas!$K$90*'Plan mensual'!E187+parametros_recargas!$L$90*'Plan mensual'!E188</f>
        <v>231.928749494176</v>
      </c>
      <c r="D180" s="25" t="n">
        <f aca="false">parametros_recargas!$E$90*'Plan mensual'!F181+parametros_recargas!$F$90*'Plan mensual'!F182+parametros_recargas!$G$90*'Plan mensual'!F183+parametros_recargas!$H$90*'Plan mensual'!F184+parametros_recargas!$I$90*'Plan mensual'!F185+parametros_recargas!$J$90*'Plan mensual'!F186+parametros_recargas!$K$90*'Plan mensual'!F187+parametros_recargas!$L$90*'Plan mensual'!F188</f>
        <v>236.133753495229</v>
      </c>
      <c r="E180" s="25" t="n">
        <f aca="false">parametros_recargas!$E$90*'Plan mensual'!G181+parametros_recargas!$F$90*'Plan mensual'!G182+parametros_recargas!$G$90*'Plan mensual'!G183+parametros_recargas!$H$90*'Plan mensual'!G184+parametros_recargas!$I$90*'Plan mensual'!G185+parametros_recargas!$J$90*'Plan mensual'!G186+parametros_recargas!$K$90*'Plan mensual'!G187+parametros_recargas!$L$90*'Plan mensual'!G188</f>
        <v>240.41538212383</v>
      </c>
      <c r="F180" s="25" t="n">
        <f aca="false">parametros_recargas!$E$90*'Plan mensual'!H181+parametros_recargas!$F$90*'Plan mensual'!H182+parametros_recargas!$G$90*'Plan mensual'!H183+parametros_recargas!$H$90*'Plan mensual'!H184+parametros_recargas!$I$90*'Plan mensual'!H185+parametros_recargas!$J$90*'Plan mensual'!H186+parametros_recargas!$K$90*'Plan mensual'!H187+parametros_recargas!$L$90*'Plan mensual'!H188</f>
        <v>244.775031652978</v>
      </c>
      <c r="G180" s="25" t="n">
        <f aca="false">parametros_recargas!$E$90*'Plan mensual'!I181+parametros_recargas!$F$90*'Plan mensual'!I182+parametros_recargas!$G$90*'Plan mensual'!I183+parametros_recargas!$H$90*'Plan mensual'!I184+parametros_recargas!$I$90*'Plan mensual'!I185+parametros_recargas!$J$90*'Plan mensual'!I186+parametros_recargas!$K$90*'Plan mensual'!I187+parametros_recargas!$L$90*'Plan mensual'!I188</f>
        <v>249.214123798904</v>
      </c>
      <c r="H180" s="25" t="n">
        <f aca="false">parametros_recargas!$E$90*'Plan mensual'!J181+parametros_recargas!$F$90*'Plan mensual'!J182+parametros_recargas!$G$90*'Plan mensual'!J183+parametros_recargas!$H$90*'Plan mensual'!J184+parametros_recargas!$I$90*'Plan mensual'!J185+parametros_recargas!$J$90*'Plan mensual'!J186+parametros_recargas!$K$90*'Plan mensual'!J187+parametros_recargas!$L$90*'Plan mensual'!J188</f>
        <v>253.734106184709</v>
      </c>
      <c r="I180" s="25" t="n">
        <f aca="false">parametros_recargas!$E$90*'Plan mensual'!K181+parametros_recargas!$F$90*'Plan mensual'!K182+parametros_recargas!$G$90*'Plan mensual'!K183+parametros_recargas!$H$90*'Plan mensual'!K184+parametros_recargas!$I$90*'Plan mensual'!K185+parametros_recargas!$J$90*'Plan mensual'!K186+parametros_recargas!$K$90*'Plan mensual'!K187+parametros_recargas!$L$90*'Plan mensual'!K188</f>
        <v>258.336452812439</v>
      </c>
      <c r="J180" s="25" t="n">
        <f aca="false">parametros_recargas!$E$90*'Plan mensual'!L181+parametros_recargas!$F$90*'Plan mensual'!L182+parametros_recargas!$G$90*'Plan mensual'!L183+parametros_recargas!$H$90*'Plan mensual'!L184+parametros_recargas!$I$90*'Plan mensual'!L185+parametros_recargas!$J$90*'Plan mensual'!L186+parametros_recargas!$K$90*'Plan mensual'!L187+parametros_recargas!$L$90*'Plan mensual'!L188</f>
        <v>263.022664543771</v>
      </c>
      <c r="K180" s="25" t="n">
        <f aca="false">parametros_recargas!$E$90*'Plan mensual'!M181+parametros_recargas!$F$90*'Plan mensual'!M182+parametros_recargas!$G$90*'Plan mensual'!M183+parametros_recargas!$H$90*'Plan mensual'!M184+parametros_recargas!$I$90*'Plan mensual'!M185+parametros_recargas!$J$90*'Plan mensual'!M186+parametros_recargas!$K$90*'Plan mensual'!M187+parametros_recargas!$L$90*'Plan mensual'!M188</f>
        <v>267.794269589457</v>
      </c>
      <c r="L180" s="25" t="n">
        <f aca="false">parametros_recargas!$E$90*'Plan mensual'!N181+parametros_recargas!$F$90*'Plan mensual'!N182+parametros_recargas!$G$90*'Plan mensual'!N183+parametros_recargas!$H$90*'Plan mensual'!N184+parametros_recargas!$I$90*'Plan mensual'!N185+parametros_recargas!$J$90*'Plan mensual'!N186+parametros_recargas!$K$90*'Plan mensual'!N187+parametros_recargas!$L$90*'Plan mensual'!N188</f>
        <v>272.652824007687</v>
      </c>
      <c r="M180" s="25" t="n">
        <f aca="false">parametros_recargas!$E$90*'Plan mensual'!O181+parametros_recargas!$F$90*'Plan mensual'!O182+parametros_recargas!$G$90*'Plan mensual'!O183+parametros_recargas!$H$90*'Plan mensual'!O184+parametros_recargas!$I$90*'Plan mensual'!O185+parametros_recargas!$J$90*'Plan mensual'!O186+parametros_recargas!$K$90*'Plan mensual'!O187+parametros_recargas!$L$90*'Plan mensual'!O188</f>
        <v>277.599912211526</v>
      </c>
      <c r="N180" s="7" t="n">
        <f aca="false">SUM(B180:M180)</f>
        <v>3023.40626875028</v>
      </c>
      <c r="O180" s="26" t="n">
        <f aca="false">MAX(B180:M180)</f>
        <v>277.599912211526</v>
      </c>
      <c r="P180" s="15" t="n">
        <f aca="false">O180/parametros_recargas!$B$6</f>
        <v>1.85066608141017</v>
      </c>
    </row>
    <row r="181" customFormat="false" ht="15" hidden="false" customHeight="false" outlineLevel="0" collapsed="false">
      <c r="A181" s="12" t="str">
        <f aca="false">parametros_recargas!$B$91</f>
        <v>Carga de CO₂</v>
      </c>
      <c r="B181" s="25" t="n">
        <f aca="false">parametros_recargas!$E$91*'Plan mensual'!D181+parametros_recargas!$F$91*'Plan mensual'!D182+parametros_recargas!$G$91*'Plan mensual'!D183+parametros_recargas!$H$91*'Plan mensual'!D184+parametros_recargas!$I$91*'Plan mensual'!D185+parametros_recargas!$J$91*'Plan mensual'!D186+parametros_recargas!$K$91*'Plan mensual'!D187+parametros_recargas!$L$91*'Plan mensual'!D188</f>
        <v>125.779219525309</v>
      </c>
      <c r="C181" s="25" t="n">
        <f aca="false">parametros_recargas!$E$91*'Plan mensual'!E181+parametros_recargas!$F$91*'Plan mensual'!E182+parametros_recargas!$G$91*'Plan mensual'!E183+parametros_recargas!$H$91*'Plan mensual'!E184+parametros_recargas!$I$91*'Plan mensual'!E185+parametros_recargas!$J$91*'Plan mensual'!E186+parametros_recargas!$K$91*'Plan mensual'!E187+parametros_recargas!$L$91*'Plan mensual'!E188</f>
        <v>128.062088586369</v>
      </c>
      <c r="D181" s="25" t="n">
        <f aca="false">parametros_recargas!$E$91*'Plan mensual'!F181+parametros_recargas!$F$91*'Plan mensual'!F182+parametros_recargas!$G$91*'Plan mensual'!F183+parametros_recargas!$H$91*'Plan mensual'!F184+parametros_recargas!$I$91*'Plan mensual'!F185+parametros_recargas!$J$91*'Plan mensual'!F186+parametros_recargas!$K$91*'Plan mensual'!F187+parametros_recargas!$L$91*'Plan mensual'!F188</f>
        <v>130.386556654588</v>
      </c>
      <c r="E181" s="25" t="n">
        <f aca="false">parametros_recargas!$E$91*'Plan mensual'!G181+parametros_recargas!$F$91*'Plan mensual'!G182+parametros_recargas!$G$91*'Plan mensual'!G183+parametros_recargas!$H$91*'Plan mensual'!G184+parametros_recargas!$I$91*'Plan mensual'!G185+parametros_recargas!$J$91*'Plan mensual'!G186+parametros_recargas!$K$91*'Plan mensual'!G187+parametros_recargas!$L$91*'Plan mensual'!G188</f>
        <v>132.753381757409</v>
      </c>
      <c r="F181" s="25" t="n">
        <f aca="false">parametros_recargas!$E$91*'Plan mensual'!H181+parametros_recargas!$F$91*'Plan mensual'!H182+parametros_recargas!$G$91*'Plan mensual'!H183+parametros_recargas!$H$91*'Plan mensual'!H184+parametros_recargas!$I$91*'Plan mensual'!H185+parametros_recargas!$J$91*'Plan mensual'!H186+parametros_recargas!$K$91*'Plan mensual'!H187+parametros_recargas!$L$91*'Plan mensual'!H188</f>
        <v>135.16333573524</v>
      </c>
      <c r="G181" s="25" t="n">
        <f aca="false">parametros_recargas!$E$91*'Plan mensual'!I181+parametros_recargas!$F$91*'Plan mensual'!I182+parametros_recargas!$G$91*'Plan mensual'!I183+parametros_recargas!$H$91*'Plan mensual'!I184+parametros_recargas!$I$91*'Plan mensual'!I185+parametros_recargas!$J$91*'Plan mensual'!I186+parametros_recargas!$K$91*'Plan mensual'!I187+parametros_recargas!$L$91*'Plan mensual'!I188</f>
        <v>137.617204493155</v>
      </c>
      <c r="H181" s="25" t="n">
        <f aca="false">parametros_recargas!$E$91*'Plan mensual'!J181+parametros_recargas!$F$91*'Plan mensual'!J182+parametros_recargas!$G$91*'Plan mensual'!J183+parametros_recargas!$H$91*'Plan mensual'!J184+parametros_recargas!$I$91*'Plan mensual'!J185+parametros_recargas!$J$91*'Plan mensual'!J186+parametros_recargas!$K$91*'Plan mensual'!J187+parametros_recargas!$L$91*'Plan mensual'!J188</f>
        <v>140.115788257186</v>
      </c>
      <c r="I181" s="25" t="n">
        <f aca="false">parametros_recargas!$E$91*'Plan mensual'!K181+parametros_recargas!$F$91*'Plan mensual'!K182+parametros_recargas!$G$91*'Plan mensual'!K183+parametros_recargas!$H$91*'Plan mensual'!K184+parametros_recargas!$I$91*'Plan mensual'!K185+parametros_recargas!$J$91*'Plan mensual'!K186+parametros_recargas!$K$91*'Plan mensual'!K187+parametros_recargas!$L$91*'Plan mensual'!K188</f>
        <v>142.659901835284</v>
      </c>
      <c r="J181" s="25" t="n">
        <f aca="false">parametros_recargas!$E$91*'Plan mensual'!L181+parametros_recargas!$F$91*'Plan mensual'!L182+parametros_recargas!$G$91*'Plan mensual'!L183+parametros_recargas!$H$91*'Plan mensual'!L184+parametros_recargas!$I$91*'Plan mensual'!L185+parametros_recargas!$J$91*'Plan mensual'!L186+parametros_recargas!$K$91*'Plan mensual'!L187+parametros_recargas!$L$91*'Plan mensual'!L188</f>
        <v>145.250374883031</v>
      </c>
      <c r="K181" s="25" t="n">
        <f aca="false">parametros_recargas!$E$91*'Plan mensual'!M181+parametros_recargas!$F$91*'Plan mensual'!M182+parametros_recargas!$G$91*'Plan mensual'!M183+parametros_recargas!$H$91*'Plan mensual'!M184+parametros_recargas!$I$91*'Plan mensual'!M185+parametros_recargas!$J$91*'Plan mensual'!M186+parametros_recargas!$K$91*'Plan mensual'!M187+parametros_recargas!$L$91*'Plan mensual'!M188</f>
        <v>147.8880521742</v>
      </c>
      <c r="L181" s="25" t="n">
        <f aca="false">parametros_recargas!$E$91*'Plan mensual'!N181+parametros_recargas!$F$91*'Plan mensual'!N182+parametros_recargas!$G$91*'Plan mensual'!N183+parametros_recargas!$H$91*'Plan mensual'!N184+parametros_recargas!$I$91*'Plan mensual'!N185+parametros_recargas!$J$91*'Plan mensual'!N186+parametros_recargas!$K$91*'Plan mensual'!N187+parametros_recargas!$L$91*'Plan mensual'!N188</f>
        <v>150.573793876242</v>
      </c>
      <c r="M181" s="25" t="n">
        <f aca="false">parametros_recargas!$E$91*'Plan mensual'!O181+parametros_recargas!$F$91*'Plan mensual'!O182+parametros_recargas!$G$91*'Plan mensual'!O183+parametros_recargas!$H$91*'Plan mensual'!O184+parametros_recargas!$I$91*'Plan mensual'!O185+parametros_recargas!$J$91*'Plan mensual'!O186+parametros_recargas!$K$91*'Plan mensual'!O187+parametros_recargas!$L$91*'Plan mensual'!O188</f>
        <v>153.308475830792</v>
      </c>
      <c r="N181" s="7" t="n">
        <f aca="false">SUM(B181:M181)</f>
        <v>1669.55817360881</v>
      </c>
      <c r="O181" s="26" t="n">
        <f aca="false">MAX(B181:M181)</f>
        <v>153.308475830792</v>
      </c>
      <c r="P181" s="15" t="n">
        <f aca="false">O181/parametros_recargas!$B$6</f>
        <v>1.02205650553861</v>
      </c>
    </row>
    <row r="182" customFormat="false" ht="15" hidden="false" customHeight="false" outlineLevel="0" collapsed="false">
      <c r="A182" s="12" t="str">
        <f aca="false">parametros_recargas!$B$92</f>
        <v>Ensamblaje y marbete — recinto</v>
      </c>
      <c r="B182" s="25" t="n">
        <f aca="false">parametros_recargas!$E$92*'Plan mensual'!D181+parametros_recargas!$F$92*'Plan mensual'!D182+parametros_recargas!$G$92*'Plan mensual'!D183+parametros_recargas!$H$92*'Plan mensual'!D184+parametros_recargas!$I$92*'Plan mensual'!D185+parametros_recargas!$J$92*'Plan mensual'!D186+parametros_recargas!$K$92*'Plan mensual'!D187+parametros_recargas!$L$92*'Plan mensual'!D188</f>
        <v>4441.15294199218</v>
      </c>
      <c r="C182" s="25" t="n">
        <f aca="false">parametros_recargas!$E$92*'Plan mensual'!E181+parametros_recargas!$F$92*'Plan mensual'!E182+parametros_recargas!$G$92*'Plan mensual'!E183+parametros_recargas!$H$92*'Plan mensual'!E184+parametros_recargas!$I$92*'Plan mensual'!E185+parametros_recargas!$J$92*'Plan mensual'!E186+parametros_recargas!$K$92*'Plan mensual'!E187+parametros_recargas!$L$92*'Plan mensual'!E188</f>
        <v>4521.93495622062</v>
      </c>
      <c r="D182" s="25" t="n">
        <f aca="false">parametros_recargas!$E$92*'Plan mensual'!F181+parametros_recargas!$F$92*'Plan mensual'!F182+parametros_recargas!$G$92*'Plan mensual'!F183+parametros_recargas!$H$92*'Plan mensual'!F184+parametros_recargas!$I$92*'Plan mensual'!F185+parametros_recargas!$J$92*'Plan mensual'!F186+parametros_recargas!$K$92*'Plan mensual'!F187+parametros_recargas!$L$92*'Plan mensual'!F188</f>
        <v>4604.18900038084</v>
      </c>
      <c r="E182" s="25" t="n">
        <f aca="false">parametros_recargas!$E$92*'Plan mensual'!G181+parametros_recargas!$F$92*'Plan mensual'!G182+parametros_recargas!$G$92*'Plan mensual'!G183+parametros_recargas!$H$92*'Plan mensual'!G184+parametros_recargas!$I$92*'Plan mensual'!G185+parametros_recargas!$J$92*'Plan mensual'!G186+parametros_recargas!$K$92*'Plan mensual'!G187+parametros_recargas!$L$92*'Plan mensual'!G188</f>
        <v>4687.94189816797</v>
      </c>
      <c r="F182" s="25" t="n">
        <f aca="false">parametros_recargas!$E$92*'Plan mensual'!H181+parametros_recargas!$F$92*'Plan mensual'!H182+parametros_recargas!$G$92*'Plan mensual'!H183+parametros_recargas!$H$92*'Plan mensual'!H184+parametros_recargas!$I$92*'Plan mensual'!H185+parametros_recargas!$J$92*'Plan mensual'!H186+parametros_recargas!$K$92*'Plan mensual'!H187+parametros_recargas!$L$92*'Plan mensual'!H188</f>
        <v>4773.22096206513</v>
      </c>
      <c r="G182" s="25" t="n">
        <f aca="false">parametros_recargas!$E$92*'Plan mensual'!I181+parametros_recargas!$F$92*'Plan mensual'!I182+parametros_recargas!$G$92*'Plan mensual'!I183+parametros_recargas!$H$92*'Plan mensual'!I184+parametros_recargas!$I$92*'Plan mensual'!I185+parametros_recargas!$J$92*'Plan mensual'!I186+parametros_recargas!$K$92*'Plan mensual'!I187+parametros_recargas!$L$92*'Plan mensual'!I188</f>
        <v>4860.05400225034</v>
      </c>
      <c r="H182" s="25" t="n">
        <f aca="false">parametros_recargas!$E$92*'Plan mensual'!J181+parametros_recargas!$F$92*'Plan mensual'!J182+parametros_recargas!$G$92*'Plan mensual'!J183+parametros_recargas!$H$92*'Plan mensual'!J184+parametros_recargas!$I$92*'Plan mensual'!J185+parametros_recargas!$J$92*'Plan mensual'!J186+parametros_recargas!$K$92*'Plan mensual'!J187+parametros_recargas!$L$92*'Plan mensual'!J188</f>
        <v>4948.46933566557</v>
      </c>
      <c r="I182" s="25" t="n">
        <f aca="false">parametros_recargas!$E$92*'Plan mensual'!K181+parametros_recargas!$F$92*'Plan mensual'!K182+parametros_recargas!$G$92*'Plan mensual'!K183+parametros_recargas!$H$92*'Plan mensual'!K184+parametros_recargas!$I$92*'Plan mensual'!K185+parametros_recargas!$J$92*'Plan mensual'!K186+parametros_recargas!$K$92*'Plan mensual'!K187+parametros_recargas!$L$92*'Plan mensual'!K188</f>
        <v>5038.49579525114</v>
      </c>
      <c r="J182" s="25" t="n">
        <f aca="false">parametros_recargas!$E$92*'Plan mensual'!L181+parametros_recargas!$F$92*'Plan mensual'!L182+parametros_recargas!$G$92*'Plan mensual'!L183+parametros_recargas!$H$92*'Plan mensual'!L184+parametros_recargas!$I$92*'Plan mensual'!L185+parametros_recargas!$J$92*'Plan mensual'!L186+parametros_recargas!$K$92*'Plan mensual'!L187+parametros_recargas!$L$92*'Plan mensual'!L188</f>
        <v>5130.16273934837</v>
      </c>
      <c r="K182" s="25" t="n">
        <f aca="false">parametros_recargas!$E$92*'Plan mensual'!M181+parametros_recargas!$F$92*'Plan mensual'!M182+parametros_recargas!$G$92*'Plan mensual'!M183+parametros_recargas!$H$92*'Plan mensual'!M184+parametros_recargas!$I$92*'Plan mensual'!M185+parametros_recargas!$J$92*'Plan mensual'!M186+parametros_recargas!$K$92*'Plan mensual'!M187+parametros_recargas!$L$92*'Plan mensual'!M188</f>
        <v>5223.50006127358</v>
      </c>
      <c r="L182" s="25" t="n">
        <f aca="false">parametros_recargas!$E$92*'Plan mensual'!N181+parametros_recargas!$F$92*'Plan mensual'!N182+parametros_recargas!$G$92*'Plan mensual'!N183+parametros_recargas!$H$92*'Plan mensual'!N184+parametros_recargas!$I$92*'Plan mensual'!N185+parametros_recargas!$J$92*'Plan mensual'!N186+parametros_recargas!$K$92*'Plan mensual'!N187+parametros_recargas!$L$92*'Plan mensual'!N188</f>
        <v>5318.53819906651</v>
      </c>
      <c r="M182" s="25" t="n">
        <f aca="false">parametros_recargas!$E$92*'Plan mensual'!O181+parametros_recargas!$F$92*'Plan mensual'!O182+parametros_recargas!$G$92*'Plan mensual'!O183+parametros_recargas!$H$92*'Plan mensual'!O184+parametros_recargas!$I$92*'Plan mensual'!O185+parametros_recargas!$J$92*'Plan mensual'!O186+parametros_recargas!$K$92*'Plan mensual'!O187+parametros_recargas!$L$92*'Plan mensual'!O188</f>
        <v>5415.30814541645</v>
      </c>
      <c r="N182" s="7" t="n">
        <f aca="false">SUM(B182:M182)</f>
        <v>58962.9680370987</v>
      </c>
      <c r="O182" s="26" t="n">
        <f aca="false">MAX(B182:M182)</f>
        <v>5415.30814541645</v>
      </c>
      <c r="P182" s="15" t="n">
        <f aca="false">O182/parametros_recargas!$B$6</f>
        <v>36.1020543027763</v>
      </c>
    </row>
    <row r="183" customFormat="false" ht="15" hidden="false" customHeight="false" outlineLevel="0" collapsed="false">
      <c r="A183" s="12" t="str">
        <f aca="false">parametros_recargas!$B$93</f>
        <v>Presurización — recinto</v>
      </c>
      <c r="B183" s="25" t="n">
        <f aca="false">parametros_recargas!$E$93*'Plan mensual'!D181+parametros_recargas!$F$93*'Plan mensual'!D182+parametros_recargas!$G$93*'Plan mensual'!D183+parametros_recargas!$H$93*'Plan mensual'!D184+parametros_recargas!$I$93*'Plan mensual'!D185+parametros_recargas!$J$93*'Plan mensual'!D186+parametros_recargas!$K$93*'Plan mensual'!D187+parametros_recargas!$L$93*'Plan mensual'!D188</f>
        <v>4441.15294199218</v>
      </c>
      <c r="C183" s="25" t="n">
        <f aca="false">parametros_recargas!$E$93*'Plan mensual'!E181+parametros_recargas!$F$93*'Plan mensual'!E182+parametros_recargas!$G$93*'Plan mensual'!E183+parametros_recargas!$H$93*'Plan mensual'!E184+parametros_recargas!$I$93*'Plan mensual'!E185+parametros_recargas!$J$93*'Plan mensual'!E186+parametros_recargas!$K$93*'Plan mensual'!E187+parametros_recargas!$L$93*'Plan mensual'!E188</f>
        <v>4521.93495622062</v>
      </c>
      <c r="D183" s="25" t="n">
        <f aca="false">parametros_recargas!$E$93*'Plan mensual'!F181+parametros_recargas!$F$93*'Plan mensual'!F182+parametros_recargas!$G$93*'Plan mensual'!F183+parametros_recargas!$H$93*'Plan mensual'!F184+parametros_recargas!$I$93*'Plan mensual'!F185+parametros_recargas!$J$93*'Plan mensual'!F186+parametros_recargas!$K$93*'Plan mensual'!F187+parametros_recargas!$L$93*'Plan mensual'!F188</f>
        <v>4604.18900038084</v>
      </c>
      <c r="E183" s="25" t="n">
        <f aca="false">parametros_recargas!$E$93*'Plan mensual'!G181+parametros_recargas!$F$93*'Plan mensual'!G182+parametros_recargas!$G$93*'Plan mensual'!G183+parametros_recargas!$H$93*'Plan mensual'!G184+parametros_recargas!$I$93*'Plan mensual'!G185+parametros_recargas!$J$93*'Plan mensual'!G186+parametros_recargas!$K$93*'Plan mensual'!G187+parametros_recargas!$L$93*'Plan mensual'!G188</f>
        <v>4687.94189816797</v>
      </c>
      <c r="F183" s="25" t="n">
        <f aca="false">parametros_recargas!$E$93*'Plan mensual'!H181+parametros_recargas!$F$93*'Plan mensual'!H182+parametros_recargas!$G$93*'Plan mensual'!H183+parametros_recargas!$H$93*'Plan mensual'!H184+parametros_recargas!$I$93*'Plan mensual'!H185+parametros_recargas!$J$93*'Plan mensual'!H186+parametros_recargas!$K$93*'Plan mensual'!H187+parametros_recargas!$L$93*'Plan mensual'!H188</f>
        <v>4773.22096206513</v>
      </c>
      <c r="G183" s="25" t="n">
        <f aca="false">parametros_recargas!$E$93*'Plan mensual'!I181+parametros_recargas!$F$93*'Plan mensual'!I182+parametros_recargas!$G$93*'Plan mensual'!I183+parametros_recargas!$H$93*'Plan mensual'!I184+parametros_recargas!$I$93*'Plan mensual'!I185+parametros_recargas!$J$93*'Plan mensual'!I186+parametros_recargas!$K$93*'Plan mensual'!I187+parametros_recargas!$L$93*'Plan mensual'!I188</f>
        <v>4860.05400225034</v>
      </c>
      <c r="H183" s="25" t="n">
        <f aca="false">parametros_recargas!$E$93*'Plan mensual'!J181+parametros_recargas!$F$93*'Plan mensual'!J182+parametros_recargas!$G$93*'Plan mensual'!J183+parametros_recargas!$H$93*'Plan mensual'!J184+parametros_recargas!$I$93*'Plan mensual'!J185+parametros_recargas!$J$93*'Plan mensual'!J186+parametros_recargas!$K$93*'Plan mensual'!J187+parametros_recargas!$L$93*'Plan mensual'!J188</f>
        <v>4948.46933566557</v>
      </c>
      <c r="I183" s="25" t="n">
        <f aca="false">parametros_recargas!$E$93*'Plan mensual'!K181+parametros_recargas!$F$93*'Plan mensual'!K182+parametros_recargas!$G$93*'Plan mensual'!K183+parametros_recargas!$H$93*'Plan mensual'!K184+parametros_recargas!$I$93*'Plan mensual'!K185+parametros_recargas!$J$93*'Plan mensual'!K186+parametros_recargas!$K$93*'Plan mensual'!K187+parametros_recargas!$L$93*'Plan mensual'!K188</f>
        <v>5038.49579525114</v>
      </c>
      <c r="J183" s="25" t="n">
        <f aca="false">parametros_recargas!$E$93*'Plan mensual'!L181+parametros_recargas!$F$93*'Plan mensual'!L182+parametros_recargas!$G$93*'Plan mensual'!L183+parametros_recargas!$H$93*'Plan mensual'!L184+parametros_recargas!$I$93*'Plan mensual'!L185+parametros_recargas!$J$93*'Plan mensual'!L186+parametros_recargas!$K$93*'Plan mensual'!L187+parametros_recargas!$L$93*'Plan mensual'!L188</f>
        <v>5130.16273934837</v>
      </c>
      <c r="K183" s="25" t="n">
        <f aca="false">parametros_recargas!$E$93*'Plan mensual'!M181+parametros_recargas!$F$93*'Plan mensual'!M182+parametros_recargas!$G$93*'Plan mensual'!M183+parametros_recargas!$H$93*'Plan mensual'!M184+parametros_recargas!$I$93*'Plan mensual'!M185+parametros_recargas!$J$93*'Plan mensual'!M186+parametros_recargas!$K$93*'Plan mensual'!M187+parametros_recargas!$L$93*'Plan mensual'!M188</f>
        <v>5223.50006127358</v>
      </c>
      <c r="L183" s="25" t="n">
        <f aca="false">parametros_recargas!$E$93*'Plan mensual'!N181+parametros_recargas!$F$93*'Plan mensual'!N182+parametros_recargas!$G$93*'Plan mensual'!N183+parametros_recargas!$H$93*'Plan mensual'!N184+parametros_recargas!$I$93*'Plan mensual'!N185+parametros_recargas!$J$93*'Plan mensual'!N186+parametros_recargas!$K$93*'Plan mensual'!N187+parametros_recargas!$L$93*'Plan mensual'!N188</f>
        <v>5318.53819906651</v>
      </c>
      <c r="M183" s="25" t="n">
        <f aca="false">parametros_recargas!$E$93*'Plan mensual'!O181+parametros_recargas!$F$93*'Plan mensual'!O182+parametros_recargas!$G$93*'Plan mensual'!O183+parametros_recargas!$H$93*'Plan mensual'!O184+parametros_recargas!$I$93*'Plan mensual'!O185+parametros_recargas!$J$93*'Plan mensual'!O186+parametros_recargas!$K$93*'Plan mensual'!O187+parametros_recargas!$L$93*'Plan mensual'!O188</f>
        <v>5415.30814541645</v>
      </c>
      <c r="N183" s="7" t="n">
        <f aca="false">SUM(B183:M183)</f>
        <v>58962.9680370987</v>
      </c>
      <c r="O183" s="26" t="n">
        <f aca="false">MAX(B183:M183)</f>
        <v>5415.30814541645</v>
      </c>
      <c r="P183" s="15" t="n">
        <f aca="false">O183/parametros_recargas!$B$6</f>
        <v>36.1020543027763</v>
      </c>
    </row>
    <row r="184" customFormat="false" ht="15" hidden="false" customHeight="false" outlineLevel="0" collapsed="false">
      <c r="A184" s="12" t="str">
        <f aca="false">parametros_recargas!$B$94</f>
        <v>Ensamblaje y presurización — zona general</v>
      </c>
      <c r="B184" s="25" t="n">
        <f aca="false">parametros_recargas!$E$94*'Plan mensual'!D181+parametros_recargas!$F$94*'Plan mensual'!D182+parametros_recargas!$G$94*'Plan mensual'!D183+parametros_recargas!$H$94*'Plan mensual'!D184+parametros_recargas!$I$94*'Plan mensual'!D185+parametros_recargas!$J$94*'Plan mensual'!D186+parametros_recargas!$K$94*'Plan mensual'!D187+parametros_recargas!$L$94*'Plan mensual'!D188</f>
        <v>336.729401404902</v>
      </c>
      <c r="C184" s="25" t="n">
        <f aca="false">parametros_recargas!$E$94*'Plan mensual'!E181+parametros_recargas!$F$94*'Plan mensual'!E182+parametros_recargas!$G$94*'Plan mensual'!E183+parametros_recargas!$H$94*'Plan mensual'!E184+parametros_recargas!$I$94*'Plan mensual'!E185+parametros_recargas!$J$94*'Plan mensual'!E186+parametros_recargas!$K$94*'Plan mensual'!E187+parametros_recargas!$L$94*'Plan mensual'!E188</f>
        <v>342.836136686804</v>
      </c>
      <c r="D184" s="25" t="n">
        <f aca="false">parametros_recargas!$E$94*'Plan mensual'!F181+parametros_recargas!$F$94*'Plan mensual'!F182+parametros_recargas!$G$94*'Plan mensual'!F183+parametros_recargas!$H$94*'Plan mensual'!F184+parametros_recargas!$I$94*'Plan mensual'!F185+parametros_recargas!$J$94*'Plan mensual'!F186+parametros_recargas!$K$94*'Plan mensual'!F187+parametros_recargas!$L$94*'Plan mensual'!F188</f>
        <v>349.054150416098</v>
      </c>
      <c r="E184" s="25" t="n">
        <f aca="false">parametros_recargas!$E$94*'Plan mensual'!G181+parametros_recargas!$F$94*'Plan mensual'!G182+parametros_recargas!$G$94*'Plan mensual'!G183+parametros_recargas!$H$94*'Plan mensual'!G184+parametros_recargas!$I$94*'Plan mensual'!G185+parametros_recargas!$J$94*'Plan mensual'!G186+parametros_recargas!$K$94*'Plan mensual'!G187+parametros_recargas!$L$94*'Plan mensual'!G188</f>
        <v>355.385470336295</v>
      </c>
      <c r="F184" s="25" t="n">
        <f aca="false">parametros_recargas!$E$94*'Plan mensual'!H181+parametros_recargas!$F$94*'Plan mensual'!H182+parametros_recargas!$G$94*'Plan mensual'!H183+parametros_recargas!$H$94*'Plan mensual'!H184+parametros_recargas!$I$94*'Plan mensual'!H185+parametros_recargas!$J$94*'Plan mensual'!H186+parametros_recargas!$K$94*'Plan mensual'!H187+parametros_recargas!$L$94*'Plan mensual'!H188</f>
        <v>361.832161140956</v>
      </c>
      <c r="G184" s="25" t="n">
        <f aca="false">parametros_recargas!$E$94*'Plan mensual'!I181+parametros_recargas!$F$94*'Plan mensual'!I182+parametros_recargas!$G$94*'Plan mensual'!I183+parametros_recargas!$H$94*'Plan mensual'!I184+parametros_recargas!$I$94*'Plan mensual'!I185+parametros_recargas!$J$94*'Plan mensual'!I186+parametros_recargas!$K$94*'Plan mensual'!I187+parametros_recargas!$L$94*'Plan mensual'!I188</f>
        <v>368.396325146997</v>
      </c>
      <c r="H184" s="25" t="n">
        <f aca="false">parametros_recargas!$E$94*'Plan mensual'!J181+parametros_recargas!$F$94*'Plan mensual'!J182+parametros_recargas!$G$94*'Plan mensual'!J183+parametros_recargas!$H$94*'Plan mensual'!J184+parametros_recargas!$I$94*'Plan mensual'!J185+parametros_recargas!$J$94*'Plan mensual'!J186+parametros_recargas!$K$94*'Plan mensual'!J187+parametros_recargas!$L$94*'Plan mensual'!J188</f>
        <v>375.08010298028</v>
      </c>
      <c r="I184" s="25" t="n">
        <f aca="false">parametros_recargas!$E$94*'Plan mensual'!K181+parametros_recargas!$F$94*'Plan mensual'!K182+parametros_recargas!$G$94*'Plan mensual'!K183+parametros_recargas!$H$94*'Plan mensual'!K184+parametros_recargas!$I$94*'Plan mensual'!K185+parametros_recargas!$J$94*'Plan mensual'!K186+parametros_recargas!$K$94*'Plan mensual'!K187+parametros_recargas!$L$94*'Plan mensual'!K188</f>
        <v>381.885674273678</v>
      </c>
      <c r="J184" s="25" t="n">
        <f aca="false">parametros_recargas!$E$94*'Plan mensual'!L181+parametros_recargas!$F$94*'Plan mensual'!L182+parametros_recargas!$G$94*'Plan mensual'!L183+parametros_recargas!$H$94*'Plan mensual'!L184+parametros_recargas!$I$94*'Plan mensual'!L185+parametros_recargas!$J$94*'Plan mensual'!L186+parametros_recargas!$K$94*'Plan mensual'!L187+parametros_recargas!$L$94*'Plan mensual'!L188</f>
        <v>388.815258377879</v>
      </c>
      <c r="K184" s="25" t="n">
        <f aca="false">parametros_recargas!$E$94*'Plan mensual'!M181+parametros_recargas!$F$94*'Plan mensual'!M182+parametros_recargas!$G$94*'Plan mensual'!M183+parametros_recargas!$H$94*'Plan mensual'!M184+parametros_recargas!$I$94*'Plan mensual'!M185+parametros_recargas!$J$94*'Plan mensual'!M186+parametros_recargas!$K$94*'Plan mensual'!M187+parametros_recargas!$L$94*'Plan mensual'!M188</f>
        <v>395.871115085129</v>
      </c>
      <c r="L184" s="25" t="n">
        <f aca="false">parametros_recargas!$E$94*'Plan mensual'!N181+parametros_recargas!$F$94*'Plan mensual'!N182+parametros_recargas!$G$94*'Plan mensual'!N183+parametros_recargas!$H$94*'Plan mensual'!N184+parametros_recargas!$I$94*'Plan mensual'!N185+parametros_recargas!$J$94*'Plan mensual'!N186+parametros_recargas!$K$94*'Plan mensual'!N187+parametros_recargas!$L$94*'Plan mensual'!N188</f>
        <v>403.055545366172</v>
      </c>
      <c r="M184" s="25" t="n">
        <f aca="false">parametros_recargas!$E$94*'Plan mensual'!O181+parametros_recargas!$F$94*'Plan mensual'!O182+parametros_recargas!$G$94*'Plan mensual'!O183+parametros_recargas!$H$94*'Plan mensual'!O184+parametros_recargas!$I$94*'Plan mensual'!O185+parametros_recargas!$J$94*'Plan mensual'!O186+parametros_recargas!$K$94*'Plan mensual'!O187+parametros_recargas!$L$94*'Plan mensual'!O188</f>
        <v>410.37089212061</v>
      </c>
      <c r="N184" s="7" t="n">
        <f aca="false">SUM(B184:M184)</f>
        <v>4469.3122333358</v>
      </c>
      <c r="O184" s="26" t="n">
        <f aca="false">MAX(B184:M184)</f>
        <v>410.37089212061</v>
      </c>
      <c r="P184" s="15" t="n">
        <f aca="false">O184/parametros_recargas!$B$6</f>
        <v>2.73580594747073</v>
      </c>
    </row>
    <row r="185" customFormat="false" ht="15" hidden="false" customHeight="false" outlineLevel="0" collapsed="false">
      <c r="A185" s="12" t="str">
        <f aca="false">parametros_recargas!$B$95</f>
        <v>Carga y presurización de halogenado</v>
      </c>
      <c r="B185" s="25" t="n">
        <f aca="false">parametros_recargas!$E$95*'Plan mensual'!D181+parametros_recargas!$F$95*'Plan mensual'!D182+parametros_recargas!$G$95*'Plan mensual'!D183+parametros_recargas!$H$95*'Plan mensual'!D184+parametros_recargas!$I$95*'Plan mensual'!D185+parametros_recargas!$J$95*'Plan mensual'!D186+parametros_recargas!$K$95*'Plan mensual'!D187+parametros_recargas!$L$95*'Plan mensual'!D188</f>
        <v>4.11438629824086</v>
      </c>
      <c r="C185" s="25" t="n">
        <f aca="false">parametros_recargas!$E$95*'Plan mensual'!E181+parametros_recargas!$F$95*'Plan mensual'!E182+parametros_recargas!$G$95*'Plan mensual'!E183+parametros_recargas!$H$95*'Plan mensual'!E184+parametros_recargas!$I$95*'Plan mensual'!E185+parametros_recargas!$J$95*'Plan mensual'!E186+parametros_recargas!$K$95*'Plan mensual'!E187+parametros_recargas!$L$95*'Plan mensual'!E188</f>
        <v>4.1889800373207</v>
      </c>
      <c r="D185" s="25" t="n">
        <f aca="false">parametros_recargas!$E$95*'Plan mensual'!F181+parametros_recargas!$F$95*'Plan mensual'!F182+parametros_recargas!$G$95*'Plan mensual'!F183+parametros_recargas!$H$95*'Plan mensual'!F184+parametros_recargas!$I$95*'Plan mensual'!F185+parametros_recargas!$J$95*'Plan mensual'!F186+parametros_recargas!$K$95*'Plan mensual'!F187+parametros_recargas!$L$95*'Plan mensual'!F188</f>
        <v>4.26493304204524</v>
      </c>
      <c r="E185" s="25" t="n">
        <f aca="false">parametros_recargas!$E$95*'Plan mensual'!G181+parametros_recargas!$F$95*'Plan mensual'!G182+parametros_recargas!$G$95*'Plan mensual'!G183+parametros_recargas!$H$95*'Plan mensual'!G184+parametros_recargas!$I$95*'Plan mensual'!G185+parametros_recargas!$J$95*'Plan mensual'!G186+parametros_recargas!$K$95*'Plan mensual'!G187+parametros_recargas!$L$95*'Plan mensual'!G188</f>
        <v>4.34227008129072</v>
      </c>
      <c r="F185" s="25" t="n">
        <f aca="false">parametros_recargas!$E$95*'Plan mensual'!H181+parametros_recargas!$F$95*'Plan mensual'!H182+parametros_recargas!$G$95*'Plan mensual'!H183+parametros_recargas!$H$95*'Plan mensual'!H184+parametros_recargas!$I$95*'Plan mensual'!H185+parametros_recargas!$J$95*'Plan mensual'!H186+parametros_recargas!$K$95*'Plan mensual'!H187+parametros_recargas!$L$95*'Plan mensual'!H188</f>
        <v>4.42101637527802</v>
      </c>
      <c r="G185" s="25" t="n">
        <f aca="false">parametros_recargas!$E$95*'Plan mensual'!I181+parametros_recargas!$F$95*'Plan mensual'!I182+parametros_recargas!$G$95*'Plan mensual'!I183+parametros_recargas!$H$95*'Plan mensual'!I184+parametros_recargas!$I$95*'Plan mensual'!I185+parametros_recargas!$J$95*'Plan mensual'!I186+parametros_recargas!$K$95*'Plan mensual'!I187+parametros_recargas!$L$95*'Plan mensual'!I188</f>
        <v>4.50119760379715</v>
      </c>
      <c r="H185" s="25" t="n">
        <f aca="false">parametros_recargas!$E$95*'Plan mensual'!J181+parametros_recargas!$F$95*'Plan mensual'!J182+parametros_recargas!$G$95*'Plan mensual'!J183+parametros_recargas!$H$95*'Plan mensual'!J184+parametros_recargas!$I$95*'Plan mensual'!J185+parametros_recargas!$J$95*'Plan mensual'!J186+parametros_recargas!$K$95*'Plan mensual'!J187+parametros_recargas!$L$95*'Plan mensual'!J188</f>
        <v>4.58283991458161</v>
      </c>
      <c r="I185" s="25" t="n">
        <f aca="false">parametros_recargas!$E$95*'Plan mensual'!K181+parametros_recargas!$F$95*'Plan mensual'!K182+parametros_recargas!$G$95*'Plan mensual'!K183+parametros_recargas!$H$95*'Plan mensual'!K184+parametros_recargas!$I$95*'Plan mensual'!K185+parametros_recargas!$J$95*'Plan mensual'!K186+parametros_recargas!$K$95*'Plan mensual'!K187+parametros_recargas!$L$95*'Plan mensual'!K188</f>
        <v>4.66596993183543</v>
      </c>
      <c r="J185" s="25" t="n">
        <f aca="false">parametros_recargas!$E$95*'Plan mensual'!L181+parametros_recargas!$F$95*'Plan mensual'!L182+parametros_recargas!$G$95*'Plan mensual'!L183+parametros_recargas!$H$95*'Plan mensual'!L184+parametros_recargas!$I$95*'Plan mensual'!L185+parametros_recargas!$J$95*'Plan mensual'!L186+parametros_recargas!$K$95*'Plan mensual'!L187+parametros_recargas!$L$95*'Plan mensual'!L188</f>
        <v>4.75061476491547</v>
      </c>
      <c r="K185" s="25" t="n">
        <f aca="false">parametros_recargas!$E$95*'Plan mensual'!M181+parametros_recargas!$F$95*'Plan mensual'!M182+parametros_recargas!$G$95*'Plan mensual'!M183+parametros_recargas!$H$95*'Plan mensual'!M184+parametros_recargas!$I$95*'Plan mensual'!M185+parametros_recargas!$J$95*'Plan mensual'!M186+parametros_recargas!$K$95*'Plan mensual'!M187+parametros_recargas!$L$95*'Plan mensual'!M188</f>
        <v>4.83680201717205</v>
      </c>
      <c r="L185" s="25" t="n">
        <f aca="false">parametros_recargas!$E$95*'Plan mensual'!N181+parametros_recargas!$F$95*'Plan mensual'!N182+parametros_recargas!$G$95*'Plan mensual'!N183+parametros_recargas!$H$95*'Plan mensual'!N184+parametros_recargas!$I$95*'Plan mensual'!N185+parametros_recargas!$J$95*'Plan mensual'!N186+parametros_recargas!$K$95*'Plan mensual'!N187+parametros_recargas!$L$95*'Plan mensual'!N188</f>
        <v>4.92455979495057</v>
      </c>
      <c r="M185" s="25" t="n">
        <f aca="false">parametros_recargas!$E$95*'Plan mensual'!O181+parametros_recargas!$F$95*'Plan mensual'!O182+parametros_recargas!$G$95*'Plan mensual'!O183+parametros_recargas!$H$95*'Plan mensual'!O184+parametros_recargas!$I$95*'Plan mensual'!O185+parametros_recargas!$J$95*'Plan mensual'!O186+parametros_recargas!$K$95*'Plan mensual'!O187+parametros_recargas!$L$95*'Plan mensual'!O188</f>
        <v>5.01391671675727</v>
      </c>
      <c r="N185" s="7" t="n">
        <f aca="false">SUM(B185:M185)</f>
        <v>54.6074865781851</v>
      </c>
      <c r="O185" s="26" t="n">
        <f aca="false">MAX(B185:M185)</f>
        <v>5.01391671675727</v>
      </c>
      <c r="P185" s="15" t="n">
        <f aca="false">O185/parametros_recargas!$B$6</f>
        <v>0.0334261114450485</v>
      </c>
    </row>
    <row r="186" customFormat="false" ht="15" hidden="false" customHeight="false" outlineLevel="0" collapsed="false">
      <c r="A186" s="12" t="str">
        <f aca="false">parametros_recargas!$B$96</f>
        <v>Control de peso (CO₂ y halogenados sin recarga)</v>
      </c>
      <c r="B186" s="25" t="n">
        <f aca="false">parametros_recargas!$E$96*'Plan mensual'!D181+parametros_recargas!$F$96*'Plan mensual'!D182+parametros_recargas!$G$96*'Plan mensual'!D183+parametros_recargas!$H$96*'Plan mensual'!D184+parametros_recargas!$I$96*'Plan mensual'!D185+parametros_recargas!$J$96*'Plan mensual'!D186+parametros_recargas!$K$96*'Plan mensual'!D187+parametros_recargas!$L$96*'Plan mensual'!D188</f>
        <v>305.828004453776</v>
      </c>
      <c r="C186" s="25" t="n">
        <f aca="false">parametros_recargas!$E$96*'Plan mensual'!E181+parametros_recargas!$F$96*'Plan mensual'!E182+parametros_recargas!$G$96*'Plan mensual'!E183+parametros_recargas!$H$96*'Plan mensual'!E184+parametros_recargas!$I$96*'Plan mensual'!E185+parametros_recargas!$J$96*'Plan mensual'!E186+parametros_recargas!$K$96*'Plan mensual'!E187+parametros_recargas!$L$96*'Plan mensual'!E188</f>
        <v>311.378480146822</v>
      </c>
      <c r="D186" s="25" t="n">
        <f aca="false">parametros_recargas!$E$96*'Plan mensual'!F181+parametros_recargas!$F$96*'Plan mensual'!F182+parametros_recargas!$G$96*'Plan mensual'!F183+parametros_recargas!$H$96*'Plan mensual'!F184+parametros_recargas!$I$96*'Plan mensual'!F185+parametros_recargas!$J$96*'Plan mensual'!F186+parametros_recargas!$K$96*'Plan mensual'!F187+parametros_recargas!$L$96*'Plan mensual'!F188</f>
        <v>317.030097986841</v>
      </c>
      <c r="E186" s="25" t="n">
        <f aca="false">parametros_recargas!$E$96*'Plan mensual'!G181+parametros_recargas!$F$96*'Plan mensual'!G182+parametros_recargas!$G$96*'Plan mensual'!G183+parametros_recargas!$H$96*'Plan mensual'!G184+parametros_recargas!$I$96*'Plan mensual'!G185+parametros_recargas!$J$96*'Plan mensual'!G186+parametros_recargas!$K$96*'Plan mensual'!G187+parametros_recargas!$L$96*'Plan mensual'!G188</f>
        <v>322.784701011161</v>
      </c>
      <c r="F186" s="25" t="n">
        <f aca="false">parametros_recargas!$E$96*'Plan mensual'!H181+parametros_recargas!$F$96*'Plan mensual'!H182+parametros_recargas!$G$96*'Plan mensual'!H183+parametros_recargas!$H$96*'Plan mensual'!H184+parametros_recargas!$I$96*'Plan mensual'!H185+parametros_recargas!$J$96*'Plan mensual'!H186+parametros_recargas!$K$96*'Plan mensual'!H187+parametros_recargas!$L$96*'Plan mensual'!H188</f>
        <v>328.644165841394</v>
      </c>
      <c r="G186" s="25" t="n">
        <f aca="false">parametros_recargas!$E$96*'Plan mensual'!I181+parametros_recargas!$F$96*'Plan mensual'!I182+parametros_recargas!$G$96*'Plan mensual'!I183+parametros_recargas!$H$96*'Plan mensual'!I184+parametros_recargas!$I$96*'Plan mensual'!I185+parametros_recargas!$J$96*'Plan mensual'!I186+parametros_recargas!$K$96*'Plan mensual'!I187+parametros_recargas!$L$96*'Plan mensual'!I188</f>
        <v>334.61040329542</v>
      </c>
      <c r="H186" s="25" t="n">
        <f aca="false">parametros_recargas!$E$96*'Plan mensual'!J181+parametros_recargas!$F$96*'Plan mensual'!J182+parametros_recargas!$G$96*'Plan mensual'!J183+parametros_recargas!$H$96*'Plan mensual'!J184+parametros_recargas!$I$96*'Plan mensual'!J185+parametros_recargas!$J$96*'Plan mensual'!J186+parametros_recargas!$K$96*'Plan mensual'!J187+parametros_recargas!$L$96*'Plan mensual'!J188</f>
        <v>340.685359010513</v>
      </c>
      <c r="I186" s="25" t="n">
        <f aca="false">parametros_recargas!$E$96*'Plan mensual'!K181+parametros_recargas!$F$96*'Plan mensual'!K182+parametros_recargas!$G$96*'Plan mensual'!K183+parametros_recargas!$H$96*'Plan mensual'!K184+parametros_recargas!$I$96*'Plan mensual'!K185+parametros_recargas!$J$96*'Plan mensual'!K186+parametros_recargas!$K$96*'Plan mensual'!K187+parametros_recargas!$L$96*'Plan mensual'!K188</f>
        <v>346.871014077836</v>
      </c>
      <c r="J186" s="25" t="n">
        <f aca="false">parametros_recargas!$E$96*'Plan mensual'!L181+parametros_recargas!$F$96*'Plan mensual'!L182+parametros_recargas!$G$96*'Plan mensual'!L183+parametros_recargas!$H$96*'Plan mensual'!L184+parametros_recargas!$I$96*'Plan mensual'!L185+parametros_recargas!$J$96*'Plan mensual'!L186+parametros_recargas!$K$96*'Plan mensual'!L187+parametros_recargas!$L$96*'Plan mensual'!L188</f>
        <v>353.169385688486</v>
      </c>
      <c r="K186" s="25" t="n">
        <f aca="false">parametros_recargas!$E$96*'Plan mensual'!M181+parametros_recargas!$F$96*'Plan mensual'!M182+parametros_recargas!$G$96*'Plan mensual'!M183+parametros_recargas!$H$96*'Plan mensual'!M184+parametros_recargas!$I$96*'Plan mensual'!M185+parametros_recargas!$J$96*'Plan mensual'!M186+parametros_recargas!$K$96*'Plan mensual'!M187+parametros_recargas!$L$96*'Plan mensual'!M188</f>
        <v>359.582527791317</v>
      </c>
      <c r="L186" s="25" t="n">
        <f aca="false">parametros_recargas!$E$96*'Plan mensual'!N181+parametros_recargas!$F$96*'Plan mensual'!N182+parametros_recargas!$G$96*'Plan mensual'!N183+parametros_recargas!$H$96*'Plan mensual'!N184+parametros_recargas!$I$96*'Plan mensual'!N185+parametros_recargas!$J$96*'Plan mensual'!N186+parametros_recargas!$K$96*'Plan mensual'!N187+parametros_recargas!$L$96*'Plan mensual'!N188</f>
        <v>366.11253176275</v>
      </c>
      <c r="M186" s="25" t="n">
        <f aca="false">parametros_recargas!$E$96*'Plan mensual'!O181+parametros_recargas!$F$96*'Plan mensual'!O182+parametros_recargas!$G$96*'Plan mensual'!O183+parametros_recargas!$H$96*'Plan mensual'!O184+parametros_recargas!$I$96*'Plan mensual'!O185+parametros_recargas!$J$96*'Plan mensual'!O186+parametros_recargas!$K$96*'Plan mensual'!O187+parametros_recargas!$L$96*'Plan mensual'!O188</f>
        <v>372.761527088787</v>
      </c>
      <c r="N186" s="7" t="n">
        <f aca="false">SUM(B186:M186)</f>
        <v>4059.4581981551</v>
      </c>
      <c r="O186" s="26" t="n">
        <f aca="false">MAX(B186:M186)</f>
        <v>372.761527088787</v>
      </c>
      <c r="P186" s="15" t="n">
        <f aca="false">O186/parametros_recargas!$B$6</f>
        <v>2.48507684725858</v>
      </c>
    </row>
    <row r="187" customFormat="false" ht="15" hidden="false" customHeight="false" outlineLevel="0" collapsed="false">
      <c r="A187" s="12" t="str">
        <f aca="false">parametros_recargas!$B$97</f>
        <v>Ensayo de pérdidas</v>
      </c>
      <c r="B187" s="25" t="n">
        <f aca="false">parametros_recargas!$E$97*'Plan mensual'!D181+parametros_recargas!$F$97*'Plan mensual'!D182+parametros_recargas!$G$97*'Plan mensual'!D183+parametros_recargas!$H$97*'Plan mensual'!D184+parametros_recargas!$I$97*'Plan mensual'!D185+parametros_recargas!$J$97*'Plan mensual'!D186+parametros_recargas!$K$97*'Plan mensual'!D187+parametros_recargas!$L$97*'Plan mensual'!D188</f>
        <v>5104.67355110508</v>
      </c>
      <c r="C187" s="25" t="n">
        <f aca="false">parametros_recargas!$E$97*'Plan mensual'!E181+parametros_recargas!$F$97*'Plan mensual'!E182+parametros_recargas!$G$97*'Plan mensual'!E183+parametros_recargas!$H$97*'Plan mensual'!E184+parametros_recargas!$I$97*'Plan mensual'!E185+parametros_recargas!$J$97*'Plan mensual'!E186+parametros_recargas!$K$97*'Plan mensual'!E187+parametros_recargas!$L$97*'Plan mensual'!E188</f>
        <v>5197.49325448531</v>
      </c>
      <c r="D187" s="25" t="n">
        <f aca="false">parametros_recargas!$E$97*'Plan mensual'!F181+parametros_recargas!$F$97*'Plan mensual'!F182+parametros_recargas!$G$97*'Plan mensual'!F183+parametros_recargas!$H$97*'Plan mensual'!F184+parametros_recargas!$I$97*'Plan mensual'!F185+parametros_recargas!$J$97*'Plan mensual'!F186+parametros_recargas!$K$97*'Plan mensual'!F187+parametros_recargas!$L$97*'Plan mensual'!F188</f>
        <v>5292.00434155955</v>
      </c>
      <c r="E187" s="25" t="n">
        <f aca="false">parametros_recargas!$E$97*'Plan mensual'!G181+parametros_recargas!$F$97*'Plan mensual'!G182+parametros_recargas!$G$97*'Plan mensual'!G183+parametros_recargas!$H$97*'Plan mensual'!G184+parametros_recargas!$I$97*'Plan mensual'!G185+parametros_recargas!$J$97*'Plan mensual'!G186+parametros_recargas!$K$97*'Plan mensual'!G187+parametros_recargas!$L$97*'Plan mensual'!G188</f>
        <v>5388.23763314166</v>
      </c>
      <c r="F187" s="25" t="n">
        <f aca="false">parametros_recargas!$E$97*'Plan mensual'!H181+parametros_recargas!$F$97*'Plan mensual'!H182+parametros_recargas!$G$97*'Plan mensual'!H183+parametros_recargas!$H$97*'Plan mensual'!H184+parametros_recargas!$I$97*'Plan mensual'!H185+parametros_recargas!$J$97*'Plan mensual'!H186+parametros_recargas!$K$97*'Plan mensual'!H187+parametros_recargas!$L$97*'Plan mensual'!H188</f>
        <v>5486.22451167002</v>
      </c>
      <c r="G187" s="25" t="n">
        <f aca="false">parametros_recargas!$E$97*'Plan mensual'!I181+parametros_recargas!$F$97*'Plan mensual'!I182+parametros_recargas!$G$97*'Plan mensual'!I183+parametros_recargas!$H$97*'Plan mensual'!I184+parametros_recargas!$I$97*'Plan mensual'!I185+parametros_recargas!$J$97*'Plan mensual'!I186+parametros_recargas!$K$97*'Plan mensual'!I187+parametros_recargas!$L$97*'Plan mensual'!I188</f>
        <v>5585.99693144162</v>
      </c>
      <c r="H187" s="25" t="n">
        <f aca="false">parametros_recargas!$E$97*'Plan mensual'!J181+parametros_recargas!$F$97*'Plan mensual'!J182+parametros_recargas!$G$97*'Plan mensual'!J183+parametros_recargas!$H$97*'Plan mensual'!J184+parametros_recargas!$I$97*'Plan mensual'!J185+parametros_recargas!$J$97*'Plan mensual'!J186+parametros_recargas!$K$97*'Plan mensual'!J187+parametros_recargas!$L$97*'Plan mensual'!J188</f>
        <v>5687.58742903256</v>
      </c>
      <c r="I187" s="25" t="n">
        <f aca="false">parametros_recargas!$E$97*'Plan mensual'!K181+parametros_recargas!$F$97*'Plan mensual'!K182+parametros_recargas!$G$97*'Plan mensual'!K183+parametros_recargas!$H$97*'Plan mensual'!K184+parametros_recargas!$I$97*'Plan mensual'!K185+parametros_recargas!$J$97*'Plan mensual'!K186+parametros_recargas!$K$97*'Plan mensual'!K187+parametros_recargas!$L$97*'Plan mensual'!K188</f>
        <v>5791.02913390853</v>
      </c>
      <c r="J187" s="25" t="n">
        <f aca="false">parametros_recargas!$E$97*'Plan mensual'!L181+parametros_recargas!$F$97*'Plan mensual'!L182+parametros_recargas!$G$97*'Plan mensual'!L183+parametros_recargas!$H$97*'Plan mensual'!L184+parametros_recargas!$I$97*'Plan mensual'!L185+parametros_recargas!$J$97*'Plan mensual'!L186+parametros_recargas!$K$97*'Plan mensual'!L187+parametros_recargas!$L$97*'Plan mensual'!L188</f>
        <v>5896.35577922857</v>
      </c>
      <c r="K187" s="25" t="n">
        <f aca="false">parametros_recargas!$E$97*'Plan mensual'!M181+parametros_recargas!$F$97*'Plan mensual'!M182+parametros_recargas!$G$97*'Plan mensual'!M183+parametros_recargas!$H$97*'Plan mensual'!M184+parametros_recargas!$I$97*'Plan mensual'!M185+parametros_recargas!$J$97*'Plan mensual'!M186+parametros_recargas!$K$97*'Plan mensual'!M187+parametros_recargas!$L$97*'Plan mensual'!M188</f>
        <v>6003.60171284572</v>
      </c>
      <c r="L187" s="25" t="n">
        <f aca="false">parametros_recargas!$E$97*'Plan mensual'!N181+parametros_recargas!$F$97*'Plan mensual'!N182+parametros_recargas!$G$97*'Plan mensual'!N183+parametros_recargas!$H$97*'Plan mensual'!N184+parametros_recargas!$I$97*'Plan mensual'!N185+parametros_recargas!$J$97*'Plan mensual'!N186+parametros_recargas!$K$97*'Plan mensual'!N187+parametros_recargas!$L$97*'Plan mensual'!N188</f>
        <v>6112.80190850814</v>
      </c>
      <c r="M187" s="25" t="n">
        <f aca="false">parametros_recargas!$E$97*'Plan mensual'!O181+parametros_recargas!$F$97*'Plan mensual'!O182+parametros_recargas!$G$97*'Plan mensual'!O183+parametros_recargas!$H$97*'Plan mensual'!O184+parametros_recargas!$I$97*'Plan mensual'!O185+parametros_recargas!$J$97*'Plan mensual'!O186+parametros_recargas!$K$97*'Plan mensual'!O187+parametros_recargas!$L$97*'Plan mensual'!O188</f>
        <v>6223.99197726431</v>
      </c>
      <c r="N187" s="7" t="n">
        <f aca="false">SUM(B187:M187)</f>
        <v>67769.9981641911</v>
      </c>
      <c r="O187" s="26" t="n">
        <f aca="false">MAX(B187:M187)</f>
        <v>6223.99197726431</v>
      </c>
      <c r="P187" s="15" t="n">
        <f aca="false">O187/parametros_recargas!$B$6</f>
        <v>41.4932798484288</v>
      </c>
    </row>
    <row r="188" customFormat="false" ht="15" hidden="false" customHeight="false" outlineLevel="0" collapsed="false">
      <c r="A188" s="12" t="str">
        <f aca="false">parametros_recargas!$B$98</f>
        <v>Precinto, etiqueta y despacho</v>
      </c>
      <c r="B188" s="25" t="n">
        <f aca="false">parametros_recargas!$E$98*'Plan mensual'!D181+parametros_recargas!$F$98*'Plan mensual'!D182+parametros_recargas!$G$98*'Plan mensual'!D183+parametros_recargas!$H$98*'Plan mensual'!D184+parametros_recargas!$I$98*'Plan mensual'!D185+parametros_recargas!$J$98*'Plan mensual'!D186+parametros_recargas!$K$98*'Plan mensual'!D187+parametros_recargas!$L$98*'Plan mensual'!D188</f>
        <v>5104.67355110508</v>
      </c>
      <c r="C188" s="25" t="n">
        <f aca="false">parametros_recargas!$E$98*'Plan mensual'!E181+parametros_recargas!$F$98*'Plan mensual'!E182+parametros_recargas!$G$98*'Plan mensual'!E183+parametros_recargas!$H$98*'Plan mensual'!E184+parametros_recargas!$I$98*'Plan mensual'!E185+parametros_recargas!$J$98*'Plan mensual'!E186+parametros_recargas!$K$98*'Plan mensual'!E187+parametros_recargas!$L$98*'Plan mensual'!E188</f>
        <v>5197.49325448531</v>
      </c>
      <c r="D188" s="25" t="n">
        <f aca="false">parametros_recargas!$E$98*'Plan mensual'!F181+parametros_recargas!$F$98*'Plan mensual'!F182+parametros_recargas!$G$98*'Plan mensual'!F183+parametros_recargas!$H$98*'Plan mensual'!F184+parametros_recargas!$I$98*'Plan mensual'!F185+parametros_recargas!$J$98*'Plan mensual'!F186+parametros_recargas!$K$98*'Plan mensual'!F187+parametros_recargas!$L$98*'Plan mensual'!F188</f>
        <v>5292.00434155955</v>
      </c>
      <c r="E188" s="25" t="n">
        <f aca="false">parametros_recargas!$E$98*'Plan mensual'!G181+parametros_recargas!$F$98*'Plan mensual'!G182+parametros_recargas!$G$98*'Plan mensual'!G183+parametros_recargas!$H$98*'Plan mensual'!G184+parametros_recargas!$I$98*'Plan mensual'!G185+parametros_recargas!$J$98*'Plan mensual'!G186+parametros_recargas!$K$98*'Plan mensual'!G187+parametros_recargas!$L$98*'Plan mensual'!G188</f>
        <v>5388.23763314166</v>
      </c>
      <c r="F188" s="25" t="n">
        <f aca="false">parametros_recargas!$E$98*'Plan mensual'!H181+parametros_recargas!$F$98*'Plan mensual'!H182+parametros_recargas!$G$98*'Plan mensual'!H183+parametros_recargas!$H$98*'Plan mensual'!H184+parametros_recargas!$I$98*'Plan mensual'!H185+parametros_recargas!$J$98*'Plan mensual'!H186+parametros_recargas!$K$98*'Plan mensual'!H187+parametros_recargas!$L$98*'Plan mensual'!H188</f>
        <v>5486.22451167002</v>
      </c>
      <c r="G188" s="25" t="n">
        <f aca="false">parametros_recargas!$E$98*'Plan mensual'!I181+parametros_recargas!$F$98*'Plan mensual'!I182+parametros_recargas!$G$98*'Plan mensual'!I183+parametros_recargas!$H$98*'Plan mensual'!I184+parametros_recargas!$I$98*'Plan mensual'!I185+parametros_recargas!$J$98*'Plan mensual'!I186+parametros_recargas!$K$98*'Plan mensual'!I187+parametros_recargas!$L$98*'Plan mensual'!I188</f>
        <v>5585.99693144162</v>
      </c>
      <c r="H188" s="25" t="n">
        <f aca="false">parametros_recargas!$E$98*'Plan mensual'!J181+parametros_recargas!$F$98*'Plan mensual'!J182+parametros_recargas!$G$98*'Plan mensual'!J183+parametros_recargas!$H$98*'Plan mensual'!J184+parametros_recargas!$I$98*'Plan mensual'!J185+parametros_recargas!$J$98*'Plan mensual'!J186+parametros_recargas!$K$98*'Plan mensual'!J187+parametros_recargas!$L$98*'Plan mensual'!J188</f>
        <v>5687.58742903256</v>
      </c>
      <c r="I188" s="25" t="n">
        <f aca="false">parametros_recargas!$E$98*'Plan mensual'!K181+parametros_recargas!$F$98*'Plan mensual'!K182+parametros_recargas!$G$98*'Plan mensual'!K183+parametros_recargas!$H$98*'Plan mensual'!K184+parametros_recargas!$I$98*'Plan mensual'!K185+parametros_recargas!$J$98*'Plan mensual'!K186+parametros_recargas!$K$98*'Plan mensual'!K187+parametros_recargas!$L$98*'Plan mensual'!K188</f>
        <v>5791.02913390853</v>
      </c>
      <c r="J188" s="25" t="n">
        <f aca="false">parametros_recargas!$E$98*'Plan mensual'!L181+parametros_recargas!$F$98*'Plan mensual'!L182+parametros_recargas!$G$98*'Plan mensual'!L183+parametros_recargas!$H$98*'Plan mensual'!L184+parametros_recargas!$I$98*'Plan mensual'!L185+parametros_recargas!$J$98*'Plan mensual'!L186+parametros_recargas!$K$98*'Plan mensual'!L187+parametros_recargas!$L$98*'Plan mensual'!L188</f>
        <v>5896.35577922857</v>
      </c>
      <c r="K188" s="25" t="n">
        <f aca="false">parametros_recargas!$E$98*'Plan mensual'!M181+parametros_recargas!$F$98*'Plan mensual'!M182+parametros_recargas!$G$98*'Plan mensual'!M183+parametros_recargas!$H$98*'Plan mensual'!M184+parametros_recargas!$I$98*'Plan mensual'!M185+parametros_recargas!$J$98*'Plan mensual'!M186+parametros_recargas!$K$98*'Plan mensual'!M187+parametros_recargas!$L$98*'Plan mensual'!M188</f>
        <v>6003.60171284572</v>
      </c>
      <c r="L188" s="25" t="n">
        <f aca="false">parametros_recargas!$E$98*'Plan mensual'!N181+parametros_recargas!$F$98*'Plan mensual'!N182+parametros_recargas!$G$98*'Plan mensual'!N183+parametros_recargas!$H$98*'Plan mensual'!N184+parametros_recargas!$I$98*'Plan mensual'!N185+parametros_recargas!$J$98*'Plan mensual'!N186+parametros_recargas!$K$98*'Plan mensual'!N187+parametros_recargas!$L$98*'Plan mensual'!N188</f>
        <v>6112.80190850814</v>
      </c>
      <c r="M188" s="25" t="n">
        <f aca="false">parametros_recargas!$E$98*'Plan mensual'!O181+parametros_recargas!$F$98*'Plan mensual'!O182+parametros_recargas!$G$98*'Plan mensual'!O183+parametros_recargas!$H$98*'Plan mensual'!O184+parametros_recargas!$I$98*'Plan mensual'!O185+parametros_recargas!$J$98*'Plan mensual'!O186+parametros_recargas!$K$98*'Plan mensual'!O187+parametros_recargas!$L$98*'Plan mensual'!O188</f>
        <v>6223.99197726431</v>
      </c>
      <c r="N188" s="7" t="n">
        <f aca="false">SUM(B188:M188)</f>
        <v>67769.9981641911</v>
      </c>
      <c r="O188" s="26" t="n">
        <f aca="false">MAX(B188:M188)</f>
        <v>6223.99197726431</v>
      </c>
      <c r="P188" s="15" t="n">
        <f aca="false">O188/parametros_recargas!$B$6</f>
        <v>41.4932798484288</v>
      </c>
    </row>
    <row r="189" customFormat="false" ht="15" hidden="false" customHeight="false" outlineLevel="0" collapsed="false">
      <c r="A189" s="12" t="str">
        <f aca="false">parametros_recargas!$B$99</f>
        <v>Inutilización y disposición final</v>
      </c>
      <c r="B189" s="25" t="n">
        <f aca="false">parametros_recargas!$E$99*'Plan mensual'!D181+parametros_recargas!$F$99*'Plan mensual'!D182+parametros_recargas!$G$99*'Plan mensual'!D183+parametros_recargas!$H$99*'Plan mensual'!D184+parametros_recargas!$I$99*'Plan mensual'!D185+parametros_recargas!$J$99*'Plan mensual'!D186+parametros_recargas!$K$99*'Plan mensual'!D187+parametros_recargas!$L$99*'Plan mensual'!D188</f>
        <v>401.386149670334</v>
      </c>
      <c r="C189" s="25" t="n">
        <f aca="false">parametros_recargas!$E$99*'Plan mensual'!E181+parametros_recargas!$F$99*'Plan mensual'!E182+parametros_recargas!$G$99*'Plan mensual'!E183+parametros_recargas!$H$99*'Plan mensual'!E184+parametros_recargas!$I$99*'Plan mensual'!E185+parametros_recargas!$J$99*'Plan mensual'!E186+parametros_recargas!$K$99*'Plan mensual'!E187+parametros_recargas!$L$99*'Plan mensual'!E188</f>
        <v>408.684899881804</v>
      </c>
      <c r="D189" s="25" t="n">
        <f aca="false">parametros_recargas!$E$99*'Plan mensual'!F181+parametros_recargas!$F$99*'Plan mensual'!F182+parametros_recargas!$G$99*'Plan mensual'!F183+parametros_recargas!$H$99*'Plan mensual'!F184+parametros_recargas!$I$99*'Plan mensual'!F185+parametros_recargas!$J$99*'Plan mensual'!F186+parametros_recargas!$K$99*'Plan mensual'!F187+parametros_recargas!$L$99*'Plan mensual'!F188</f>
        <v>416.116649732842</v>
      </c>
      <c r="E189" s="25" t="n">
        <f aca="false">parametros_recargas!$E$99*'Plan mensual'!G181+parametros_recargas!$F$99*'Plan mensual'!G182+parametros_recargas!$G$99*'Plan mensual'!G183+parametros_recargas!$H$99*'Plan mensual'!G184+parametros_recargas!$I$99*'Plan mensual'!G185+parametros_recargas!$J$99*'Plan mensual'!G186+parametros_recargas!$K$99*'Plan mensual'!G187+parametros_recargas!$L$99*'Plan mensual'!G188</f>
        <v>423.683822775921</v>
      </c>
      <c r="F189" s="25" t="n">
        <f aca="false">parametros_recargas!$E$99*'Plan mensual'!H181+parametros_recargas!$F$99*'Plan mensual'!H182+parametros_recargas!$G$99*'Plan mensual'!H183+parametros_recargas!$H$99*'Plan mensual'!H184+parametros_recargas!$I$99*'Plan mensual'!H185+parametros_recargas!$J$99*'Plan mensual'!H186+parametros_recargas!$K$99*'Plan mensual'!H187+parametros_recargas!$L$99*'Plan mensual'!H188</f>
        <v>431.388886726089</v>
      </c>
      <c r="G189" s="25" t="n">
        <f aca="false">parametros_recargas!$E$99*'Plan mensual'!I181+parametros_recargas!$F$99*'Plan mensual'!I182+parametros_recargas!$G$99*'Plan mensual'!I183+parametros_recargas!$H$99*'Plan mensual'!I184+parametros_recargas!$I$99*'Plan mensual'!I185+parametros_recargas!$J$99*'Plan mensual'!I186+parametros_recargas!$K$99*'Plan mensual'!I187+parametros_recargas!$L$99*'Plan mensual'!I188</f>
        <v>439.23435426571</v>
      </c>
      <c r="H189" s="25" t="n">
        <f aca="false">parametros_recargas!$E$99*'Plan mensual'!J181+parametros_recargas!$F$99*'Plan mensual'!J182+parametros_recargas!$G$99*'Plan mensual'!J183+parametros_recargas!$H$99*'Plan mensual'!J184+parametros_recargas!$I$99*'Plan mensual'!J185+parametros_recargas!$J$99*'Plan mensual'!J186+parametros_recargas!$K$99*'Plan mensual'!J187+parametros_recargas!$L$99*'Plan mensual'!J188</f>
        <v>447.222783863872</v>
      </c>
      <c r="I189" s="25" t="n">
        <f aca="false">parametros_recargas!$E$99*'Plan mensual'!K181+parametros_recargas!$F$99*'Plan mensual'!K182+parametros_recargas!$G$99*'Plan mensual'!K183+parametros_recargas!$H$99*'Plan mensual'!K184+parametros_recargas!$I$99*'Plan mensual'!K185+parametros_recargas!$J$99*'Plan mensual'!K186+parametros_recargas!$K$99*'Plan mensual'!K187+parametros_recargas!$L$99*'Plan mensual'!K188</f>
        <v>455.356780610722</v>
      </c>
      <c r="J189" s="25" t="n">
        <f aca="false">parametros_recargas!$E$99*'Plan mensual'!L181+parametros_recargas!$F$99*'Plan mensual'!L182+parametros_recargas!$G$99*'Plan mensual'!L183+parametros_recargas!$H$99*'Plan mensual'!L184+parametros_recargas!$I$99*'Plan mensual'!L185+parametros_recargas!$J$99*'Plan mensual'!L186+parametros_recargas!$K$99*'Plan mensual'!L187+parametros_recargas!$L$99*'Plan mensual'!L188</f>
        <v>463.638997067006</v>
      </c>
      <c r="K189" s="25" t="n">
        <f aca="false">parametros_recargas!$E$99*'Plan mensual'!M181+parametros_recargas!$F$99*'Plan mensual'!M182+parametros_recargas!$G$99*'Plan mensual'!M183+parametros_recargas!$H$99*'Plan mensual'!M184+parametros_recargas!$I$99*'Plan mensual'!M185+parametros_recargas!$J$99*'Plan mensual'!M186+parametros_recargas!$K$99*'Plan mensual'!M187+parametros_recargas!$L$99*'Plan mensual'!M188</f>
        <v>472.072134129091</v>
      </c>
      <c r="L189" s="25" t="n">
        <f aca="false">parametros_recargas!$E$99*'Plan mensual'!N181+parametros_recargas!$F$99*'Plan mensual'!N182+parametros_recargas!$G$99*'Plan mensual'!N183+parametros_recargas!$H$99*'Plan mensual'!N184+parametros_recargas!$I$99*'Plan mensual'!N185+parametros_recargas!$J$99*'Plan mensual'!N186+parametros_recargas!$K$99*'Plan mensual'!N187+parametros_recargas!$L$99*'Plan mensual'!N188</f>
        <v>480.658941909749</v>
      </c>
      <c r="M189" s="25" t="n">
        <f aca="false">parametros_recargas!$E$99*'Plan mensual'!O181+parametros_recargas!$F$99*'Plan mensual'!O182+parametros_recargas!$G$99*'Plan mensual'!O183+parametros_recargas!$H$99*'Plan mensual'!O184+parametros_recargas!$I$99*'Plan mensual'!O185+parametros_recargas!$J$99*'Plan mensual'!O186+parametros_recargas!$K$99*'Plan mensual'!O187+parametros_recargas!$L$99*'Plan mensual'!O188</f>
        <v>489.40222063499</v>
      </c>
      <c r="N189" s="7" t="n">
        <f aca="false">SUM(B189:M189)</f>
        <v>5328.84662126813</v>
      </c>
      <c r="O189" s="26" t="n">
        <f aca="false">MAX(B189:M189)</f>
        <v>489.40222063499</v>
      </c>
      <c r="P189" s="15" t="n">
        <f aca="false">O189/parametros_recargas!$B$6</f>
        <v>3.26268147089993</v>
      </c>
    </row>
    <row r="190" customFormat="false" ht="15" hidden="false" customHeight="false" outlineLevel="0" collapsed="false">
      <c r="A190" s="12" t="str">
        <f aca="false">parametros_recargas!$B$100</f>
        <v>PH de mangueras (CO₂ y rodantes)</v>
      </c>
      <c r="B190" s="25" t="n">
        <f aca="false">'Plan mensual'!D189</f>
        <v>171.630085193951</v>
      </c>
      <c r="C190" s="25" t="n">
        <f aca="false">'Plan mensual'!E189</f>
        <v>174.719608226521</v>
      </c>
      <c r="D190" s="25" t="n">
        <f aca="false">'Plan mensual'!F189</f>
        <v>177.865429315314</v>
      </c>
      <c r="E190" s="25" t="n">
        <f aca="false">'Plan mensual'!G189</f>
        <v>181.068574337498</v>
      </c>
      <c r="F190" s="25" t="n">
        <f aca="false">'Plan mensual'!H189</f>
        <v>184.330087864027</v>
      </c>
      <c r="G190" s="25" t="n">
        <f aca="false">'Plan mensual'!I189</f>
        <v>187.651033500287</v>
      </c>
      <c r="H190" s="25" t="n">
        <f aca="false">'Plan mensual'!J189</f>
        <v>191.032494232948</v>
      </c>
      <c r="I190" s="25" t="n">
        <f aca="false">'Plan mensual'!K189</f>
        <v>194.475572783129</v>
      </c>
      <c r="J190" s="25" t="n">
        <f aca="false">'Plan mensual'!L189</f>
        <v>197.981391966008</v>
      </c>
      <c r="K190" s="25" t="n">
        <f aca="false">'Plan mensual'!M189</f>
        <v>201.551095056981</v>
      </c>
      <c r="L190" s="25" t="n">
        <f aca="false">'Plan mensual'!N189</f>
        <v>205.185846164493</v>
      </c>
      <c r="M190" s="25" t="n">
        <f aca="false">'Plan mensual'!O189</f>
        <v>208.88683060966</v>
      </c>
      <c r="N190" s="7" t="n">
        <f aca="false">SUM(B190:M190)</f>
        <v>2276.37804925082</v>
      </c>
      <c r="O190" s="26" t="n">
        <f aca="false">MAX(B190:M190)</f>
        <v>208.88683060966</v>
      </c>
      <c r="P190" s="15" t="n">
        <f aca="false">O190/parametros_recargas!$B$6</f>
        <v>1.39257887073107</v>
      </c>
    </row>
    <row r="193" customFormat="false" ht="23.85" hidden="false" customHeight="false" outlineLevel="0" collapsed="false">
      <c r="A193" s="3" t="s">
        <v>285</v>
      </c>
      <c r="B193" s="3" t="s">
        <v>124</v>
      </c>
      <c r="C193" s="3" t="s">
        <v>125</v>
      </c>
      <c r="D193" s="3" t="s">
        <v>126</v>
      </c>
      <c r="E193" s="3" t="s">
        <v>127</v>
      </c>
      <c r="F193" s="3" t="s">
        <v>128</v>
      </c>
      <c r="G193" s="3" t="s">
        <v>129</v>
      </c>
      <c r="H193" s="3" t="s">
        <v>130</v>
      </c>
      <c r="I193" s="3" t="s">
        <v>131</v>
      </c>
      <c r="J193" s="3" t="s">
        <v>132</v>
      </c>
      <c r="K193" s="3" t="s">
        <v>133</v>
      </c>
      <c r="L193" s="3" t="s">
        <v>134</v>
      </c>
      <c r="M193" s="3" t="s">
        <v>135</v>
      </c>
      <c r="N193" s="3" t="s">
        <v>277</v>
      </c>
      <c r="O193" s="3" t="s">
        <v>278</v>
      </c>
      <c r="P193" s="3" t="s">
        <v>279</v>
      </c>
    </row>
    <row r="194" customFormat="false" ht="15" hidden="false" customHeight="false" outlineLevel="0" collapsed="false">
      <c r="A194" s="12" t="str">
        <f aca="false">parametros_recargas!$B$72</f>
        <v>Recepción y registro</v>
      </c>
      <c r="B194" s="25" t="n">
        <f aca="false">parametros_recargas!$E$72*'Plan mensual'!D213+parametros_recargas!$F$72*'Plan mensual'!D214+parametros_recargas!$G$72*'Plan mensual'!D215+parametros_recargas!$H$72*'Plan mensual'!D216+parametros_recargas!$I$72*'Plan mensual'!D217+parametros_recargas!$J$72*'Plan mensual'!D218+parametros_recargas!$K$72*'Plan mensual'!D219+parametros_recargas!$L$72*'Plan mensual'!D220</f>
        <v>6649.8615768359</v>
      </c>
      <c r="C194" s="25" t="n">
        <f aca="false">parametros_recargas!$E$72*'Plan mensual'!E213+parametros_recargas!$F$72*'Plan mensual'!E214+parametros_recargas!$G$72*'Plan mensual'!E215+parametros_recargas!$H$72*'Plan mensual'!E216+parametros_recargas!$I$72*'Plan mensual'!E217+parametros_recargas!$J$72*'Plan mensual'!E218+parametros_recargas!$K$72*'Plan mensual'!E219+parametros_recargas!$L$72*'Plan mensual'!E220</f>
        <v>6720.72570295086</v>
      </c>
      <c r="D194" s="25" t="n">
        <f aca="false">parametros_recargas!$E$72*'Plan mensual'!F213+parametros_recargas!$F$72*'Plan mensual'!F214+parametros_recargas!$G$72*'Plan mensual'!F215+parametros_recargas!$H$72*'Plan mensual'!F216+parametros_recargas!$I$72*'Plan mensual'!F217+parametros_recargas!$J$72*'Plan mensual'!F218+parametros_recargas!$K$72*'Plan mensual'!F219+parametros_recargas!$L$72*'Plan mensual'!F220</f>
        <v>6792.35130847288</v>
      </c>
      <c r="E194" s="25" t="n">
        <f aca="false">parametros_recargas!$E$72*'Plan mensual'!G213+parametros_recargas!$F$72*'Plan mensual'!G214+parametros_recargas!$G$72*'Plan mensual'!G215+parametros_recargas!$H$72*'Plan mensual'!G216+parametros_recargas!$I$72*'Plan mensual'!G217+parametros_recargas!$J$72*'Plan mensual'!G218+parametros_recargas!$K$72*'Plan mensual'!G219+parametros_recargas!$L$72*'Plan mensual'!G220</f>
        <v>6864.74657597501</v>
      </c>
      <c r="F194" s="25" t="n">
        <f aca="false">parametros_recargas!$E$72*'Plan mensual'!H213+parametros_recargas!$F$72*'Plan mensual'!H214+parametros_recargas!$G$72*'Plan mensual'!H215+parametros_recargas!$H$72*'Plan mensual'!H216+parametros_recargas!$I$72*'Plan mensual'!H217+parametros_recargas!$J$72*'Plan mensual'!H218+parametros_recargas!$K$72*'Plan mensual'!H219+parametros_recargas!$L$72*'Plan mensual'!H220</f>
        <v>6937.91977595716</v>
      </c>
      <c r="G194" s="25" t="n">
        <f aca="false">parametros_recargas!$E$72*'Plan mensual'!I213+parametros_recargas!$F$72*'Plan mensual'!I214+parametros_recargas!$G$72*'Plan mensual'!I215+parametros_recargas!$H$72*'Plan mensual'!I216+parametros_recargas!$I$72*'Plan mensual'!I217+parametros_recargas!$J$72*'Plan mensual'!I218+parametros_recargas!$K$72*'Plan mensual'!I219+parametros_recargas!$L$72*'Plan mensual'!I220</f>
        <v>7011.87926779093</v>
      </c>
      <c r="H194" s="25" t="n">
        <f aca="false">parametros_recargas!$E$72*'Plan mensual'!J213+parametros_recargas!$F$72*'Plan mensual'!J214+parametros_recargas!$G$72*'Plan mensual'!J215+parametros_recargas!$H$72*'Plan mensual'!J216+parametros_recargas!$I$72*'Plan mensual'!J217+parametros_recargas!$J$72*'Plan mensual'!J218+parametros_recargas!$K$72*'Plan mensual'!J219+parametros_recargas!$L$72*'Plan mensual'!J220</f>
        <v>7086.6335006746</v>
      </c>
      <c r="I194" s="25" t="n">
        <f aca="false">parametros_recargas!$E$72*'Plan mensual'!K213+parametros_recargas!$F$72*'Plan mensual'!K214+parametros_recargas!$G$72*'Plan mensual'!K215+parametros_recargas!$H$72*'Plan mensual'!K216+parametros_recargas!$I$72*'Plan mensual'!K217+parametros_recargas!$J$72*'Plan mensual'!K218+parametros_recargas!$K$72*'Plan mensual'!K219+parametros_recargas!$L$72*'Plan mensual'!K220</f>
        <v>7162.19101459838</v>
      </c>
      <c r="J194" s="25" t="n">
        <f aca="false">parametros_recargas!$E$72*'Plan mensual'!L213+parametros_recargas!$F$72*'Plan mensual'!L214+parametros_recargas!$G$72*'Plan mensual'!L215+parametros_recargas!$H$72*'Plan mensual'!L216+parametros_recargas!$I$72*'Plan mensual'!L217+parametros_recargas!$J$72*'Plan mensual'!L218+parametros_recargas!$K$72*'Plan mensual'!L219+parametros_recargas!$L$72*'Plan mensual'!L220</f>
        <v>7238.56044132004</v>
      </c>
      <c r="K194" s="25" t="n">
        <f aca="false">parametros_recargas!$E$72*'Plan mensual'!M213+parametros_recargas!$F$72*'Plan mensual'!M214+parametros_recargas!$G$72*'Plan mensual'!M215+parametros_recargas!$H$72*'Plan mensual'!M216+parametros_recargas!$I$72*'Plan mensual'!M217+parametros_recargas!$J$72*'Plan mensual'!M218+parametros_recargas!$K$72*'Plan mensual'!M219+parametros_recargas!$L$72*'Plan mensual'!M220</f>
        <v>7315.75050535096</v>
      </c>
      <c r="L194" s="25" t="n">
        <f aca="false">parametros_recargas!$E$72*'Plan mensual'!N213+parametros_recargas!$F$72*'Plan mensual'!N214+parametros_recargas!$G$72*'Plan mensual'!N215+parametros_recargas!$H$72*'Plan mensual'!N216+parametros_recargas!$I$72*'Plan mensual'!N217+parametros_recargas!$J$72*'Plan mensual'!N218+parametros_recargas!$K$72*'Plan mensual'!N219+parametros_recargas!$L$72*'Plan mensual'!N220</f>
        <v>7393.77002495289</v>
      </c>
      <c r="M194" s="25" t="n">
        <f aca="false">parametros_recargas!$E$72*'Plan mensual'!O213+parametros_recargas!$F$72*'Plan mensual'!O214+parametros_recargas!$G$72*'Plan mensual'!O215+parametros_recargas!$H$72*'Plan mensual'!O216+parametros_recargas!$I$72*'Plan mensual'!O217+parametros_recargas!$J$72*'Plan mensual'!O218+parametros_recargas!$K$72*'Plan mensual'!O219+parametros_recargas!$L$72*'Plan mensual'!O220</f>
        <v>7472.62791314531</v>
      </c>
      <c r="N194" s="7" t="n">
        <f aca="false">SUM(B194:M194)</f>
        <v>84647.0176080249</v>
      </c>
      <c r="O194" s="26" t="n">
        <f aca="false">MAX(B194:M194)</f>
        <v>7472.62791314531</v>
      </c>
      <c r="P194" s="15" t="n">
        <f aca="false">O194/parametros_recargas!$B$6</f>
        <v>49.8175194209687</v>
      </c>
    </row>
    <row r="195" customFormat="false" ht="15" hidden="false" customHeight="false" outlineLevel="0" collapsed="false">
      <c r="A195" s="12" t="str">
        <f aca="false">parametros_recargas!$B$73</f>
        <v>Inspección visual</v>
      </c>
      <c r="B195" s="25" t="n">
        <f aca="false">parametros_recargas!$E$73*'Plan mensual'!D213+parametros_recargas!$F$73*'Plan mensual'!D214+parametros_recargas!$G$73*'Plan mensual'!D215+parametros_recargas!$H$73*'Plan mensual'!D216+parametros_recargas!$I$73*'Plan mensual'!D217+parametros_recargas!$J$73*'Plan mensual'!D218+parametros_recargas!$K$73*'Plan mensual'!D219+parametros_recargas!$L$73*'Plan mensual'!D220</f>
        <v>6649.8615768359</v>
      </c>
      <c r="C195" s="25" t="n">
        <f aca="false">parametros_recargas!$E$73*'Plan mensual'!E213+parametros_recargas!$F$73*'Plan mensual'!E214+parametros_recargas!$G$73*'Plan mensual'!E215+parametros_recargas!$H$73*'Plan mensual'!E216+parametros_recargas!$I$73*'Plan mensual'!E217+parametros_recargas!$J$73*'Plan mensual'!E218+parametros_recargas!$K$73*'Plan mensual'!E219+parametros_recargas!$L$73*'Plan mensual'!E220</f>
        <v>6720.72570295086</v>
      </c>
      <c r="D195" s="25" t="n">
        <f aca="false">parametros_recargas!$E$73*'Plan mensual'!F213+parametros_recargas!$F$73*'Plan mensual'!F214+parametros_recargas!$G$73*'Plan mensual'!F215+parametros_recargas!$H$73*'Plan mensual'!F216+parametros_recargas!$I$73*'Plan mensual'!F217+parametros_recargas!$J$73*'Plan mensual'!F218+parametros_recargas!$K$73*'Plan mensual'!F219+parametros_recargas!$L$73*'Plan mensual'!F220</f>
        <v>6792.35130847288</v>
      </c>
      <c r="E195" s="25" t="n">
        <f aca="false">parametros_recargas!$E$73*'Plan mensual'!G213+parametros_recargas!$F$73*'Plan mensual'!G214+parametros_recargas!$G$73*'Plan mensual'!G215+parametros_recargas!$H$73*'Plan mensual'!G216+parametros_recargas!$I$73*'Plan mensual'!G217+parametros_recargas!$J$73*'Plan mensual'!G218+parametros_recargas!$K$73*'Plan mensual'!G219+parametros_recargas!$L$73*'Plan mensual'!G220</f>
        <v>6864.74657597501</v>
      </c>
      <c r="F195" s="25" t="n">
        <f aca="false">parametros_recargas!$E$73*'Plan mensual'!H213+parametros_recargas!$F$73*'Plan mensual'!H214+parametros_recargas!$G$73*'Plan mensual'!H215+parametros_recargas!$H$73*'Plan mensual'!H216+parametros_recargas!$I$73*'Plan mensual'!H217+parametros_recargas!$J$73*'Plan mensual'!H218+parametros_recargas!$K$73*'Plan mensual'!H219+parametros_recargas!$L$73*'Plan mensual'!H220</f>
        <v>6937.91977595716</v>
      </c>
      <c r="G195" s="25" t="n">
        <f aca="false">parametros_recargas!$E$73*'Plan mensual'!I213+parametros_recargas!$F$73*'Plan mensual'!I214+parametros_recargas!$G$73*'Plan mensual'!I215+parametros_recargas!$H$73*'Plan mensual'!I216+parametros_recargas!$I$73*'Plan mensual'!I217+parametros_recargas!$J$73*'Plan mensual'!I218+parametros_recargas!$K$73*'Plan mensual'!I219+parametros_recargas!$L$73*'Plan mensual'!I220</f>
        <v>7011.87926779093</v>
      </c>
      <c r="H195" s="25" t="n">
        <f aca="false">parametros_recargas!$E$73*'Plan mensual'!J213+parametros_recargas!$F$73*'Plan mensual'!J214+parametros_recargas!$G$73*'Plan mensual'!J215+parametros_recargas!$H$73*'Plan mensual'!J216+parametros_recargas!$I$73*'Plan mensual'!J217+parametros_recargas!$J$73*'Plan mensual'!J218+parametros_recargas!$K$73*'Plan mensual'!J219+parametros_recargas!$L$73*'Plan mensual'!J220</f>
        <v>7086.6335006746</v>
      </c>
      <c r="I195" s="25" t="n">
        <f aca="false">parametros_recargas!$E$73*'Plan mensual'!K213+parametros_recargas!$F$73*'Plan mensual'!K214+parametros_recargas!$G$73*'Plan mensual'!K215+parametros_recargas!$H$73*'Plan mensual'!K216+parametros_recargas!$I$73*'Plan mensual'!K217+parametros_recargas!$J$73*'Plan mensual'!K218+parametros_recargas!$K$73*'Plan mensual'!K219+parametros_recargas!$L$73*'Plan mensual'!K220</f>
        <v>7162.19101459838</v>
      </c>
      <c r="J195" s="25" t="n">
        <f aca="false">parametros_recargas!$E$73*'Plan mensual'!L213+parametros_recargas!$F$73*'Plan mensual'!L214+parametros_recargas!$G$73*'Plan mensual'!L215+parametros_recargas!$H$73*'Plan mensual'!L216+parametros_recargas!$I$73*'Plan mensual'!L217+parametros_recargas!$J$73*'Plan mensual'!L218+parametros_recargas!$K$73*'Plan mensual'!L219+parametros_recargas!$L$73*'Plan mensual'!L220</f>
        <v>7238.56044132004</v>
      </c>
      <c r="K195" s="25" t="n">
        <f aca="false">parametros_recargas!$E$73*'Plan mensual'!M213+parametros_recargas!$F$73*'Plan mensual'!M214+parametros_recargas!$G$73*'Plan mensual'!M215+parametros_recargas!$H$73*'Plan mensual'!M216+parametros_recargas!$I$73*'Plan mensual'!M217+parametros_recargas!$J$73*'Plan mensual'!M218+parametros_recargas!$K$73*'Plan mensual'!M219+parametros_recargas!$L$73*'Plan mensual'!M220</f>
        <v>7315.75050535096</v>
      </c>
      <c r="L195" s="25" t="n">
        <f aca="false">parametros_recargas!$E$73*'Plan mensual'!N213+parametros_recargas!$F$73*'Plan mensual'!N214+parametros_recargas!$G$73*'Plan mensual'!N215+parametros_recargas!$H$73*'Plan mensual'!N216+parametros_recargas!$I$73*'Plan mensual'!N217+parametros_recargas!$J$73*'Plan mensual'!N218+parametros_recargas!$K$73*'Plan mensual'!N219+parametros_recargas!$L$73*'Plan mensual'!N220</f>
        <v>7393.77002495289</v>
      </c>
      <c r="M195" s="25" t="n">
        <f aca="false">parametros_recargas!$E$73*'Plan mensual'!O213+parametros_recargas!$F$73*'Plan mensual'!O214+parametros_recargas!$G$73*'Plan mensual'!O215+parametros_recargas!$H$73*'Plan mensual'!O216+parametros_recargas!$I$73*'Plan mensual'!O217+parametros_recargas!$J$73*'Plan mensual'!O218+parametros_recargas!$K$73*'Plan mensual'!O219+parametros_recargas!$L$73*'Plan mensual'!O220</f>
        <v>7472.62791314531</v>
      </c>
      <c r="N195" s="7" t="n">
        <f aca="false">SUM(B195:M195)</f>
        <v>84647.0176080249</v>
      </c>
      <c r="O195" s="26" t="n">
        <f aca="false">MAX(B195:M195)</f>
        <v>7472.62791314531</v>
      </c>
      <c r="P195" s="15" t="n">
        <f aca="false">O195/parametros_recargas!$B$6</f>
        <v>49.8175194209687</v>
      </c>
    </row>
    <row r="196" customFormat="false" ht="15" hidden="false" customHeight="false" outlineLevel="0" collapsed="false">
      <c r="A196" s="12" t="str">
        <f aca="false">parametros_recargas!$B$74</f>
        <v>Descarga ABC — ruta recuperable</v>
      </c>
      <c r="B196" s="25" t="n">
        <f aca="false">parametros_recargas!$E$74*'Plan mensual'!D213+parametros_recargas!$F$74*'Plan mensual'!D214+parametros_recargas!$G$74*'Plan mensual'!D215+parametros_recargas!$H$74*'Plan mensual'!D216+parametros_recargas!$I$74*'Plan mensual'!D217+parametros_recargas!$J$74*'Plan mensual'!D218+parametros_recargas!$K$74*'Plan mensual'!D219+parametros_recargas!$L$74*'Plan mensual'!D220</f>
        <v>4914.49904857195</v>
      </c>
      <c r="C196" s="25" t="n">
        <f aca="false">parametros_recargas!$E$74*'Plan mensual'!E213+parametros_recargas!$F$74*'Plan mensual'!E214+parametros_recargas!$G$74*'Plan mensual'!E215+parametros_recargas!$H$74*'Plan mensual'!E216+parametros_recargas!$I$74*'Plan mensual'!E217+parametros_recargas!$J$74*'Plan mensual'!E218+parametros_recargas!$K$74*'Plan mensual'!E219+parametros_recargas!$L$74*'Plan mensual'!E220</f>
        <v>4966.86542965171</v>
      </c>
      <c r="D196" s="25" t="n">
        <f aca="false">parametros_recargas!$E$74*'Plan mensual'!F213+parametros_recargas!$F$74*'Plan mensual'!F214+parametros_recargas!$G$74*'Plan mensual'!F215+parametros_recargas!$H$74*'Plan mensual'!F216+parametros_recargas!$I$74*'Plan mensual'!F217+parametros_recargas!$J$74*'Plan mensual'!F218+parametros_recargas!$K$74*'Plan mensual'!F219+parametros_recargas!$L$74*'Plan mensual'!F220</f>
        <v>5019.79452028568</v>
      </c>
      <c r="E196" s="25" t="n">
        <f aca="false">parametros_recargas!$E$74*'Plan mensual'!G213+parametros_recargas!$F$74*'Plan mensual'!G214+parametros_recargas!$G$74*'Plan mensual'!G215+parametros_recargas!$H$74*'Plan mensual'!G216+parametros_recargas!$I$74*'Plan mensual'!G217+parametros_recargas!$J$74*'Plan mensual'!G218+parametros_recargas!$K$74*'Plan mensual'!G219+parametros_recargas!$L$74*'Plan mensual'!G220</f>
        <v>5073.29236714036</v>
      </c>
      <c r="F196" s="25" t="n">
        <f aca="false">parametros_recargas!$E$74*'Plan mensual'!H213+parametros_recargas!$F$74*'Plan mensual'!H214+parametros_recargas!$G$74*'Plan mensual'!H215+parametros_recargas!$H$74*'Plan mensual'!H216+parametros_recargas!$I$74*'Plan mensual'!H217+parametros_recargas!$J$74*'Plan mensual'!H218+parametros_recargas!$K$74*'Plan mensual'!H219+parametros_recargas!$L$74*'Plan mensual'!H220</f>
        <v>5127.36508185747</v>
      </c>
      <c r="G196" s="25" t="n">
        <f aca="false">parametros_recargas!$E$74*'Plan mensual'!I213+parametros_recargas!$F$74*'Plan mensual'!I214+parametros_recargas!$G$74*'Plan mensual'!I215+parametros_recargas!$H$74*'Plan mensual'!I216+parametros_recargas!$I$74*'Plan mensual'!I217+parametros_recargas!$J$74*'Plan mensual'!I218+parametros_recargas!$K$74*'Plan mensual'!I219+parametros_recargas!$L$74*'Plan mensual'!I220</f>
        <v>5182.01884175215</v>
      </c>
      <c r="H196" s="25" t="n">
        <f aca="false">parametros_recargas!$E$74*'Plan mensual'!J213+parametros_recargas!$F$74*'Plan mensual'!J214+parametros_recargas!$G$74*'Plan mensual'!J215+parametros_recargas!$H$74*'Plan mensual'!J216+parametros_recargas!$I$74*'Plan mensual'!J217+parametros_recargas!$J$74*'Plan mensual'!J218+parametros_recargas!$K$74*'Plan mensual'!J219+parametros_recargas!$L$74*'Plan mensual'!J220</f>
        <v>5237.25989051866</v>
      </c>
      <c r="I196" s="25" t="n">
        <f aca="false">parametros_recargas!$E$74*'Plan mensual'!K213+parametros_recargas!$F$74*'Plan mensual'!K214+parametros_recargas!$G$74*'Plan mensual'!K215+parametros_recargas!$H$74*'Plan mensual'!K216+parametros_recargas!$I$74*'Plan mensual'!K217+parametros_recargas!$J$74*'Plan mensual'!K218+parametros_recargas!$K$74*'Plan mensual'!K219+parametros_recargas!$L$74*'Plan mensual'!K220</f>
        <v>5293.09453894365</v>
      </c>
      <c r="J196" s="25" t="n">
        <f aca="false">parametros_recargas!$E$74*'Plan mensual'!L213+parametros_recargas!$F$74*'Plan mensual'!L214+parametros_recargas!$G$74*'Plan mensual'!L215+parametros_recargas!$H$74*'Plan mensual'!L216+parametros_recargas!$I$74*'Plan mensual'!L217+parametros_recargas!$J$74*'Plan mensual'!L218+parametros_recargas!$K$74*'Plan mensual'!L219+parametros_recargas!$L$74*'Plan mensual'!L220</f>
        <v>5349.52916562715</v>
      </c>
      <c r="K196" s="25" t="n">
        <f aca="false">parametros_recargas!$E$74*'Plan mensual'!M213+parametros_recargas!$F$74*'Plan mensual'!M214+parametros_recargas!$G$74*'Plan mensual'!M215+parametros_recargas!$H$74*'Plan mensual'!M216+parametros_recargas!$I$74*'Plan mensual'!M217+parametros_recargas!$J$74*'Plan mensual'!M218+parametros_recargas!$K$74*'Plan mensual'!M219+parametros_recargas!$L$74*'Plan mensual'!M220</f>
        <v>5406.57021771122</v>
      </c>
      <c r="L196" s="25" t="n">
        <f aca="false">parametros_recargas!$E$74*'Plan mensual'!N213+parametros_recargas!$F$74*'Plan mensual'!N214+parametros_recargas!$G$74*'Plan mensual'!N215+parametros_recargas!$H$74*'Plan mensual'!N216+parametros_recargas!$I$74*'Plan mensual'!N217+parametros_recargas!$J$74*'Plan mensual'!N218+parametros_recargas!$K$74*'Plan mensual'!N219+parametros_recargas!$L$74*'Plan mensual'!N220</f>
        <v>5464.22421161651</v>
      </c>
      <c r="M196" s="25" t="n">
        <f aca="false">parametros_recargas!$E$74*'Plan mensual'!O213+parametros_recargas!$F$74*'Plan mensual'!O214+parametros_recargas!$G$74*'Plan mensual'!O215+parametros_recargas!$H$74*'Plan mensual'!O216+parametros_recargas!$I$74*'Plan mensual'!O217+parametros_recargas!$J$74*'Plan mensual'!O218+parametros_recargas!$K$74*'Plan mensual'!O219+parametros_recargas!$L$74*'Plan mensual'!O220</f>
        <v>5522.49773378669</v>
      </c>
      <c r="N196" s="7" t="n">
        <f aca="false">SUM(B196:M196)</f>
        <v>62557.0110474632</v>
      </c>
      <c r="O196" s="26" t="n">
        <f aca="false">MAX(B196:M196)</f>
        <v>5522.49773378669</v>
      </c>
      <c r="P196" s="15" t="n">
        <f aca="false">O196/parametros_recargas!$B$6</f>
        <v>36.8166515585779</v>
      </c>
    </row>
    <row r="197" customFormat="false" ht="15" hidden="false" customHeight="false" outlineLevel="0" collapsed="false">
      <c r="A197" s="12" t="str">
        <f aca="false">parametros_recargas!$B$75</f>
        <v>Descarga ABC — ruta descarte</v>
      </c>
      <c r="B197" s="25" t="n">
        <f aca="false">parametros_recargas!$E$75*'Plan mensual'!D213+parametros_recargas!$F$75*'Plan mensual'!D214+parametros_recargas!$G$75*'Plan mensual'!D215+parametros_recargas!$H$75*'Plan mensual'!D216+parametros_recargas!$I$75*'Plan mensual'!D217+parametros_recargas!$J$75*'Plan mensual'!D218+parametros_recargas!$K$75*'Plan mensual'!D219+parametros_recargas!$L$75*'Plan mensual'!D220</f>
        <v>578.176358655523</v>
      </c>
      <c r="C197" s="25" t="n">
        <f aca="false">parametros_recargas!$E$75*'Plan mensual'!E213+parametros_recargas!$F$75*'Plan mensual'!E214+parametros_recargas!$G$75*'Plan mensual'!E215+parametros_recargas!$H$75*'Plan mensual'!E216+parametros_recargas!$I$75*'Plan mensual'!E217+parametros_recargas!$J$75*'Plan mensual'!E218+parametros_recargas!$K$75*'Plan mensual'!E219+parametros_recargas!$L$75*'Plan mensual'!E220</f>
        <v>584.33710937079</v>
      </c>
      <c r="D197" s="25" t="n">
        <f aca="false">parametros_recargas!$E$75*'Plan mensual'!F213+parametros_recargas!$F$75*'Plan mensual'!F214+parametros_recargas!$G$75*'Plan mensual'!F215+parametros_recargas!$H$75*'Plan mensual'!F216+parametros_recargas!$I$75*'Plan mensual'!F217+parametros_recargas!$J$75*'Plan mensual'!F218+parametros_recargas!$K$75*'Plan mensual'!F219+parametros_recargas!$L$75*'Plan mensual'!F220</f>
        <v>590.56406121008</v>
      </c>
      <c r="E197" s="25" t="n">
        <f aca="false">parametros_recargas!$E$75*'Plan mensual'!G213+parametros_recargas!$F$75*'Plan mensual'!G214+parametros_recargas!$G$75*'Plan mensual'!G215+parametros_recargas!$H$75*'Plan mensual'!G216+parametros_recargas!$I$75*'Plan mensual'!G217+parametros_recargas!$J$75*'Plan mensual'!G218+parametros_recargas!$K$75*'Plan mensual'!G219+parametros_recargas!$L$75*'Plan mensual'!G220</f>
        <v>596.857925545925</v>
      </c>
      <c r="F197" s="25" t="n">
        <f aca="false">parametros_recargas!$E$75*'Plan mensual'!H213+parametros_recargas!$F$75*'Plan mensual'!H214+parametros_recargas!$G$75*'Plan mensual'!H215+parametros_recargas!$H$75*'Plan mensual'!H216+parametros_recargas!$I$75*'Plan mensual'!H217+parametros_recargas!$J$75*'Plan mensual'!H218+parametros_recargas!$K$75*'Plan mensual'!H219+parametros_recargas!$L$75*'Plan mensual'!H220</f>
        <v>603.219421394997</v>
      </c>
      <c r="G197" s="25" t="n">
        <f aca="false">parametros_recargas!$E$75*'Plan mensual'!I213+parametros_recargas!$F$75*'Plan mensual'!I214+parametros_recargas!$G$75*'Plan mensual'!I215+parametros_recargas!$H$75*'Plan mensual'!I216+parametros_recargas!$I$75*'Plan mensual'!I217+parametros_recargas!$J$75*'Plan mensual'!I218+parametros_recargas!$K$75*'Plan mensual'!I219+parametros_recargas!$L$75*'Plan mensual'!I220</f>
        <v>609.649275500254</v>
      </c>
      <c r="H197" s="25" t="n">
        <f aca="false">parametros_recargas!$E$75*'Plan mensual'!J213+parametros_recargas!$F$75*'Plan mensual'!J214+parametros_recargas!$G$75*'Plan mensual'!J215+parametros_recargas!$H$75*'Plan mensual'!J216+parametros_recargas!$I$75*'Plan mensual'!J217+parametros_recargas!$J$75*'Plan mensual'!J218+parametros_recargas!$K$75*'Plan mensual'!J219+parametros_recargas!$L$75*'Plan mensual'!J220</f>
        <v>616.14822241396</v>
      </c>
      <c r="I197" s="25" t="n">
        <f aca="false">parametros_recargas!$E$75*'Plan mensual'!K213+parametros_recargas!$F$75*'Plan mensual'!K214+parametros_recargas!$G$75*'Plan mensual'!K215+parametros_recargas!$H$75*'Plan mensual'!K216+parametros_recargas!$I$75*'Plan mensual'!K217+parametros_recargas!$J$75*'Plan mensual'!K218+parametros_recargas!$K$75*'Plan mensual'!K219+parametros_recargas!$L$75*'Plan mensual'!K220</f>
        <v>622.717004581606</v>
      </c>
      <c r="J197" s="25" t="n">
        <f aca="false">parametros_recargas!$E$75*'Plan mensual'!L213+parametros_recargas!$F$75*'Plan mensual'!L214+parametros_recargas!$G$75*'Plan mensual'!L215+parametros_recargas!$H$75*'Plan mensual'!L216+parametros_recargas!$I$75*'Plan mensual'!L217+parametros_recargas!$J$75*'Plan mensual'!L218+parametros_recargas!$K$75*'Plan mensual'!L219+parametros_recargas!$L$75*'Plan mensual'!L220</f>
        <v>629.356372426724</v>
      </c>
      <c r="K197" s="25" t="n">
        <f aca="false">parametros_recargas!$E$75*'Plan mensual'!M213+parametros_recargas!$F$75*'Plan mensual'!M214+parametros_recargas!$G$75*'Plan mensual'!M215+parametros_recargas!$H$75*'Plan mensual'!M216+parametros_recargas!$I$75*'Plan mensual'!M217+parametros_recargas!$J$75*'Plan mensual'!M218+parametros_recargas!$K$75*'Plan mensual'!M219+parametros_recargas!$L$75*'Plan mensual'!M220</f>
        <v>636.067084436615</v>
      </c>
      <c r="L197" s="25" t="n">
        <f aca="false">parametros_recargas!$E$75*'Plan mensual'!N213+parametros_recargas!$F$75*'Plan mensual'!N214+parametros_recargas!$G$75*'Plan mensual'!N215+parametros_recargas!$H$75*'Plan mensual'!N216+parametros_recargas!$I$75*'Plan mensual'!N217+parametros_recargas!$J$75*'Plan mensual'!N218+parametros_recargas!$K$75*'Plan mensual'!N219+parametros_recargas!$L$75*'Plan mensual'!N220</f>
        <v>642.849907249001</v>
      </c>
      <c r="M197" s="25" t="n">
        <f aca="false">parametros_recargas!$E$75*'Plan mensual'!O213+parametros_recargas!$F$75*'Plan mensual'!O214+parametros_recargas!$G$75*'Plan mensual'!O215+parametros_recargas!$H$75*'Plan mensual'!O216+parametros_recargas!$I$75*'Plan mensual'!O217+parametros_recargas!$J$75*'Plan mensual'!O218+parametros_recargas!$K$75*'Plan mensual'!O219+parametros_recargas!$L$75*'Plan mensual'!O220</f>
        <v>649.70561573961</v>
      </c>
      <c r="N197" s="7" t="n">
        <f aca="false">SUM(B197:M197)</f>
        <v>7359.64835852509</v>
      </c>
      <c r="O197" s="26" t="n">
        <f aca="false">MAX(B197:M197)</f>
        <v>649.70561573961</v>
      </c>
      <c r="P197" s="15" t="n">
        <f aca="false">O197/parametros_recargas!$B$6</f>
        <v>4.3313707715974</v>
      </c>
    </row>
    <row r="198" customFormat="false" ht="15" hidden="false" customHeight="false" outlineLevel="0" collapsed="false">
      <c r="A198" s="12" t="str">
        <f aca="false">parametros_recargas!$B$76</f>
        <v>Descarga BC</v>
      </c>
      <c r="B198" s="25" t="n">
        <f aca="false">parametros_recargas!$E$76*'Plan mensual'!D213+parametros_recargas!$F$76*'Plan mensual'!D214+parametros_recargas!$G$76*'Plan mensual'!D215+parametros_recargas!$H$76*'Plan mensual'!D216+parametros_recargas!$I$76*'Plan mensual'!D217+parametros_recargas!$J$76*'Plan mensual'!D218+parametros_recargas!$K$76*'Plan mensual'!D219+parametros_recargas!$L$76*'Plan mensual'!D220</f>
        <v>8.5147119663623</v>
      </c>
      <c r="C198" s="25" t="n">
        <f aca="false">parametros_recargas!$E$76*'Plan mensual'!E213+parametros_recargas!$F$76*'Plan mensual'!E214+parametros_recargas!$G$76*'Plan mensual'!E215+parametros_recargas!$H$76*'Plan mensual'!E216+parametros_recargas!$I$76*'Plan mensual'!E217+parametros_recargas!$J$76*'Plan mensual'!E218+parametros_recargas!$K$76*'Plan mensual'!E219+parametros_recargas!$L$76*'Plan mensual'!E220</f>
        <v>8.60441694028289</v>
      </c>
      <c r="D198" s="25" t="n">
        <f aca="false">parametros_recargas!$E$76*'Plan mensual'!F213+parametros_recargas!$F$76*'Plan mensual'!F214+parametros_recargas!$G$76*'Plan mensual'!F215+parametros_recargas!$H$76*'Plan mensual'!F216+parametros_recargas!$I$76*'Plan mensual'!F217+parametros_recargas!$J$76*'Plan mensual'!F218+parametros_recargas!$K$76*'Plan mensual'!F219+parametros_recargas!$L$76*'Plan mensual'!F220</f>
        <v>8.69508585031752</v>
      </c>
      <c r="E198" s="25" t="n">
        <f aca="false">parametros_recargas!$E$76*'Plan mensual'!G213+parametros_recargas!$F$76*'Plan mensual'!G214+parametros_recargas!$G$76*'Plan mensual'!G215+parametros_recargas!$H$76*'Plan mensual'!G216+parametros_recargas!$I$76*'Plan mensual'!G217+parametros_recargas!$J$76*'Plan mensual'!G218+parametros_recargas!$K$76*'Plan mensual'!G219+parametros_recargas!$L$76*'Plan mensual'!G220</f>
        <v>8.78672905456332</v>
      </c>
      <c r="F198" s="25" t="n">
        <f aca="false">parametros_recargas!$E$76*'Plan mensual'!H213+parametros_recargas!$F$76*'Plan mensual'!H214+parametros_recargas!$G$76*'Plan mensual'!H215+parametros_recargas!$H$76*'Plan mensual'!H216+parametros_recargas!$I$76*'Plan mensual'!H217+parametros_recargas!$J$76*'Plan mensual'!H218+parametros_recargas!$K$76*'Plan mensual'!H219+parametros_recargas!$L$76*'Plan mensual'!H220</f>
        <v>8.87935702242165</v>
      </c>
      <c r="G198" s="25" t="n">
        <f aca="false">parametros_recargas!$E$76*'Plan mensual'!I213+parametros_recargas!$F$76*'Plan mensual'!I214+parametros_recargas!$G$76*'Plan mensual'!I215+parametros_recargas!$H$76*'Plan mensual'!I216+parametros_recargas!$I$76*'Plan mensual'!I217+parametros_recargas!$J$76*'Plan mensual'!I218+parametros_recargas!$K$76*'Plan mensual'!I219+parametros_recargas!$L$76*'Plan mensual'!I220</f>
        <v>8.97298033579414</v>
      </c>
      <c r="H198" s="25" t="n">
        <f aca="false">parametros_recargas!$E$76*'Plan mensual'!J213+parametros_recargas!$F$76*'Plan mensual'!J214+parametros_recargas!$G$76*'Plan mensual'!J215+parametros_recargas!$H$76*'Plan mensual'!J216+parametros_recargas!$I$76*'Plan mensual'!J217+parametros_recargas!$J$76*'Plan mensual'!J218+parametros_recargas!$K$76*'Plan mensual'!J219+parametros_recargas!$L$76*'Plan mensual'!J220</f>
        <v>9.06760969029159</v>
      </c>
      <c r="I198" s="25" t="n">
        <f aca="false">parametros_recargas!$E$76*'Plan mensual'!K213+parametros_recargas!$F$76*'Plan mensual'!K214+parametros_recargas!$G$76*'Plan mensual'!K215+parametros_recargas!$H$76*'Plan mensual'!K216+parametros_recargas!$I$76*'Plan mensual'!K217+parametros_recargas!$J$76*'Plan mensual'!K218+parametros_recargas!$K$76*'Plan mensual'!K219+parametros_recargas!$L$76*'Plan mensual'!K220</f>
        <v>9.1632558964558</v>
      </c>
      <c r="J198" s="25" t="n">
        <f aca="false">parametros_recargas!$E$76*'Plan mensual'!L213+parametros_recargas!$F$76*'Plan mensual'!L214+parametros_recargas!$G$76*'Plan mensual'!L215+parametros_recargas!$H$76*'Plan mensual'!L216+parametros_recargas!$I$76*'Plan mensual'!L217+parametros_recargas!$J$76*'Plan mensual'!L218+parametros_recargas!$K$76*'Plan mensual'!L219+parametros_recargas!$L$76*'Plan mensual'!L220</f>
        <v>9.25992988099466</v>
      </c>
      <c r="K198" s="25" t="n">
        <f aca="false">parametros_recargas!$E$76*'Plan mensual'!M213+parametros_recargas!$F$76*'Plan mensual'!M214+parametros_recargas!$G$76*'Plan mensual'!M215+parametros_recargas!$H$76*'Plan mensual'!M216+parametros_recargas!$I$76*'Plan mensual'!M217+parametros_recargas!$J$76*'Plan mensual'!M218+parametros_recargas!$K$76*'Plan mensual'!M219+parametros_recargas!$L$76*'Plan mensual'!M220</f>
        <v>9.35764268803034</v>
      </c>
      <c r="L198" s="25" t="n">
        <f aca="false">parametros_recargas!$E$76*'Plan mensual'!N213+parametros_recargas!$F$76*'Plan mensual'!N214+parametros_recargas!$G$76*'Plan mensual'!N215+parametros_recargas!$H$76*'Plan mensual'!N216+parametros_recargas!$I$76*'Plan mensual'!N217+parametros_recargas!$J$76*'Plan mensual'!N218+parametros_recargas!$K$76*'Plan mensual'!N219+parametros_recargas!$L$76*'Plan mensual'!N220</f>
        <v>9.45640548036105</v>
      </c>
      <c r="M198" s="25" t="n">
        <f aca="false">parametros_recargas!$E$76*'Plan mensual'!O213+parametros_recargas!$F$76*'Plan mensual'!O214+parametros_recargas!$G$76*'Plan mensual'!O215+parametros_recargas!$H$76*'Plan mensual'!O216+parametros_recargas!$I$76*'Plan mensual'!O217+parametros_recargas!$J$76*'Plan mensual'!O218+parametros_recargas!$K$76*'Plan mensual'!O219+parametros_recargas!$L$76*'Plan mensual'!O220</f>
        <v>9.55622954073622</v>
      </c>
      <c r="N198" s="7" t="n">
        <f aca="false">SUM(B198:M198)</f>
        <v>108.314354346611</v>
      </c>
      <c r="O198" s="26" t="n">
        <f aca="false">MAX(B198:M198)</f>
        <v>9.55622954073622</v>
      </c>
      <c r="P198" s="15" t="n">
        <f aca="false">O198/parametros_recargas!$B$6</f>
        <v>0.0637081969382415</v>
      </c>
    </row>
    <row r="199" customFormat="false" ht="15" hidden="false" customHeight="false" outlineLevel="0" collapsed="false">
      <c r="A199" s="12" t="str">
        <f aca="false">parametros_recargas!$B$77</f>
        <v>Descarga de agua / AFFF / sales K</v>
      </c>
      <c r="B199" s="25" t="n">
        <f aca="false">parametros_recargas!$E$77*'Plan mensual'!D213+parametros_recargas!$F$77*'Plan mensual'!D214+parametros_recargas!$G$77*'Plan mensual'!D215+parametros_recargas!$H$77*'Plan mensual'!D216+parametros_recargas!$I$77*'Plan mensual'!D217+parametros_recargas!$J$77*'Plan mensual'!D218+parametros_recargas!$K$77*'Plan mensual'!D219+parametros_recargas!$L$77*'Plan mensual'!D220</f>
        <v>292.534467102286</v>
      </c>
      <c r="C199" s="25" t="n">
        <f aca="false">parametros_recargas!$E$77*'Plan mensual'!E213+parametros_recargas!$F$77*'Plan mensual'!E214+parametros_recargas!$G$77*'Plan mensual'!E215+parametros_recargas!$H$77*'Plan mensual'!E216+parametros_recargas!$I$77*'Plan mensual'!E217+parametros_recargas!$J$77*'Plan mensual'!E218+parametros_recargas!$K$77*'Plan mensual'!E219+parametros_recargas!$L$77*'Plan mensual'!E220</f>
        <v>295.651964526853</v>
      </c>
      <c r="D199" s="25" t="n">
        <f aca="false">parametros_recargas!$E$77*'Plan mensual'!F213+parametros_recargas!$F$77*'Plan mensual'!F214+parametros_recargas!$G$77*'Plan mensual'!F215+parametros_recargas!$H$77*'Plan mensual'!F216+parametros_recargas!$I$77*'Plan mensual'!F217+parametros_recargas!$J$77*'Plan mensual'!F218+parametros_recargas!$K$77*'Plan mensual'!F219+parametros_recargas!$L$77*'Plan mensual'!F220</f>
        <v>298.802961413286</v>
      </c>
      <c r="E199" s="25" t="n">
        <f aca="false">parametros_recargas!$E$77*'Plan mensual'!G213+parametros_recargas!$F$77*'Plan mensual'!G214+parametros_recargas!$G$77*'Plan mensual'!G215+parametros_recargas!$H$77*'Plan mensual'!G216+parametros_recargas!$I$77*'Plan mensual'!G217+parametros_recargas!$J$77*'Plan mensual'!G218+parametros_recargas!$K$77*'Plan mensual'!G219+parametros_recargas!$L$77*'Plan mensual'!G220</f>
        <v>301.987817734279</v>
      </c>
      <c r="F199" s="25" t="n">
        <f aca="false">parametros_recargas!$E$77*'Plan mensual'!H213+parametros_recargas!$F$77*'Plan mensual'!H214+parametros_recargas!$G$77*'Plan mensual'!H215+parametros_recargas!$H$77*'Plan mensual'!H216+parametros_recargas!$I$77*'Plan mensual'!H217+parametros_recargas!$J$77*'Plan mensual'!H218+parametros_recargas!$K$77*'Plan mensual'!H219+parametros_recargas!$L$77*'Plan mensual'!H220</f>
        <v>305.206897330655</v>
      </c>
      <c r="G199" s="25" t="n">
        <f aca="false">parametros_recargas!$E$77*'Plan mensual'!I213+parametros_recargas!$F$77*'Plan mensual'!I214+parametros_recargas!$G$77*'Plan mensual'!I215+parametros_recargas!$H$77*'Plan mensual'!I216+parametros_recargas!$I$77*'Plan mensual'!I217+parametros_recargas!$J$77*'Plan mensual'!I218+parametros_recargas!$K$77*'Plan mensual'!I219+parametros_recargas!$L$77*'Plan mensual'!I220</f>
        <v>308.46056795294</v>
      </c>
      <c r="H199" s="25" t="n">
        <f aca="false">parametros_recargas!$E$77*'Plan mensual'!J213+parametros_recargas!$F$77*'Plan mensual'!J214+parametros_recargas!$G$77*'Plan mensual'!J215+parametros_recargas!$H$77*'Plan mensual'!J216+parametros_recargas!$I$77*'Plan mensual'!J217+parametros_recargas!$J$77*'Plan mensual'!J218+parametros_recargas!$K$77*'Plan mensual'!J219+parametros_recargas!$L$77*'Plan mensual'!J220</f>
        <v>311.749201303365</v>
      </c>
      <c r="I199" s="25" t="n">
        <f aca="false">parametros_recargas!$E$77*'Plan mensual'!K213+parametros_recargas!$F$77*'Plan mensual'!K214+parametros_recargas!$G$77*'Plan mensual'!K215+parametros_recargas!$H$77*'Plan mensual'!K216+parametros_recargas!$I$77*'Plan mensual'!K217+parametros_recargas!$J$77*'Plan mensual'!K218+parametros_recargas!$K$77*'Plan mensual'!K219+parametros_recargas!$L$77*'Plan mensual'!K220</f>
        <v>315.073173078337</v>
      </c>
      <c r="J199" s="25" t="n">
        <f aca="false">parametros_recargas!$E$77*'Plan mensual'!L213+parametros_recargas!$F$77*'Plan mensual'!L214+parametros_recargas!$G$77*'Plan mensual'!L215+parametros_recargas!$H$77*'Plan mensual'!L216+parametros_recargas!$I$77*'Plan mensual'!L217+parametros_recargas!$J$77*'Plan mensual'!L218+parametros_recargas!$K$77*'Plan mensual'!L219+parametros_recargas!$L$77*'Plan mensual'!L220</f>
        <v>318.432863011354</v>
      </c>
      <c r="K199" s="25" t="n">
        <f aca="false">parametros_recargas!$E$77*'Plan mensual'!M213+parametros_recargas!$F$77*'Plan mensual'!M214+parametros_recargas!$G$77*'Plan mensual'!M215+parametros_recargas!$H$77*'Plan mensual'!M216+parametros_recargas!$I$77*'Plan mensual'!M217+parametros_recargas!$J$77*'Plan mensual'!M218+parametros_recargas!$K$77*'Plan mensual'!M219+parametros_recargas!$L$77*'Plan mensual'!M220</f>
        <v>321.828654916391</v>
      </c>
      <c r="L199" s="25" t="n">
        <f aca="false">parametros_recargas!$E$77*'Plan mensual'!N213+parametros_recargas!$F$77*'Plan mensual'!N214+parametros_recargas!$G$77*'Plan mensual'!N215+parametros_recargas!$H$77*'Plan mensual'!N216+parametros_recargas!$I$77*'Plan mensual'!N217+parametros_recargas!$J$77*'Plan mensual'!N218+parametros_recargas!$K$77*'Plan mensual'!N219+parametros_recargas!$L$77*'Plan mensual'!N220</f>
        <v>325.260936731741</v>
      </c>
      <c r="M199" s="25" t="n">
        <f aca="false">parametros_recargas!$E$77*'Plan mensual'!O213+parametros_recargas!$F$77*'Plan mensual'!O214+parametros_recargas!$G$77*'Plan mensual'!O215+parametros_recargas!$H$77*'Plan mensual'!O216+parametros_recargas!$I$77*'Plan mensual'!O217+parametros_recargas!$J$77*'Plan mensual'!O218+parametros_recargas!$K$77*'Plan mensual'!O219+parametros_recargas!$L$77*'Plan mensual'!O220</f>
        <v>328.730100564339</v>
      </c>
      <c r="N199" s="7" t="n">
        <f aca="false">SUM(B199:M199)</f>
        <v>3723.71960566583</v>
      </c>
      <c r="O199" s="26" t="n">
        <f aca="false">MAX(B199:M199)</f>
        <v>328.730100564339</v>
      </c>
      <c r="P199" s="15" t="n">
        <f aca="false">O199/parametros_recargas!$B$6</f>
        <v>2.19153400376226</v>
      </c>
    </row>
    <row r="200" customFormat="false" ht="15" hidden="false" customHeight="false" outlineLevel="0" collapsed="false">
      <c r="A200" s="12" t="str">
        <f aca="false">parametros_recargas!$B$78</f>
        <v>Recuperación de CO₂</v>
      </c>
      <c r="B200" s="25" t="n">
        <f aca="false">parametros_recargas!$E$78*'Plan mensual'!D213+parametros_recargas!$F$78*'Plan mensual'!D214+parametros_recargas!$G$78*'Plan mensual'!D215+parametros_recargas!$H$78*'Plan mensual'!D216+parametros_recargas!$I$78*'Plan mensual'!D217+parametros_recargas!$J$78*'Plan mensual'!D218+parametros_recargas!$K$78*'Plan mensual'!D219+parametros_recargas!$L$78*'Plan mensual'!D220</f>
        <v>134.474412049599</v>
      </c>
      <c r="C200" s="25" t="n">
        <f aca="false">parametros_recargas!$E$78*'Plan mensual'!E213+parametros_recargas!$F$78*'Plan mensual'!E214+parametros_recargas!$G$78*'Plan mensual'!E215+parametros_recargas!$H$78*'Plan mensual'!E216+parametros_recargas!$I$78*'Plan mensual'!E217+parametros_recargas!$J$78*'Plan mensual'!E218+parametros_recargas!$K$78*'Plan mensual'!E219+parametros_recargas!$L$78*'Plan mensual'!E220</f>
        <v>135.909349784458</v>
      </c>
      <c r="D200" s="25" t="n">
        <f aca="false">parametros_recargas!$E$78*'Plan mensual'!F213+parametros_recargas!$F$78*'Plan mensual'!F214+parametros_recargas!$G$78*'Plan mensual'!F215+parametros_recargas!$H$78*'Plan mensual'!F216+parametros_recargas!$I$78*'Plan mensual'!F217+parametros_recargas!$J$78*'Plan mensual'!F218+parametros_recargas!$K$78*'Plan mensual'!F219+parametros_recargas!$L$78*'Plan mensual'!F220</f>
        <v>137.359706823773</v>
      </c>
      <c r="E200" s="25" t="n">
        <f aca="false">parametros_recargas!$E$78*'Plan mensual'!G213+parametros_recargas!$F$78*'Plan mensual'!G214+parametros_recargas!$G$78*'Plan mensual'!G215+parametros_recargas!$H$78*'Plan mensual'!G216+parametros_recargas!$I$78*'Plan mensual'!G217+parametros_recargas!$J$78*'Plan mensual'!G218+parametros_recargas!$K$78*'Plan mensual'!G219+parametros_recargas!$L$78*'Plan mensual'!G220</f>
        <v>138.825648857624</v>
      </c>
      <c r="F200" s="25" t="n">
        <f aca="false">parametros_recargas!$E$78*'Plan mensual'!H213+parametros_recargas!$F$78*'Plan mensual'!H214+parametros_recargas!$G$78*'Plan mensual'!H215+parametros_recargas!$H$78*'Plan mensual'!H216+parametros_recargas!$I$78*'Plan mensual'!H217+parametros_recargas!$J$78*'Plan mensual'!H218+parametros_recargas!$K$78*'Plan mensual'!H219+parametros_recargas!$L$78*'Plan mensual'!H220</f>
        <v>140.307343356536</v>
      </c>
      <c r="G200" s="25" t="n">
        <f aca="false">parametros_recargas!$E$78*'Plan mensual'!I213+parametros_recargas!$F$78*'Plan mensual'!I214+parametros_recargas!$G$78*'Plan mensual'!I215+parametros_recargas!$H$78*'Plan mensual'!I216+parametros_recargas!$I$78*'Plan mensual'!I217+parametros_recargas!$J$78*'Plan mensual'!I218+parametros_recargas!$K$78*'Plan mensual'!I219+parametros_recargas!$L$78*'Plan mensual'!I220</f>
        <v>141.804959590611</v>
      </c>
      <c r="H200" s="25" t="n">
        <f aca="false">parametros_recargas!$E$78*'Plan mensual'!J213+parametros_recargas!$F$78*'Plan mensual'!J214+parametros_recargas!$G$78*'Plan mensual'!J215+parametros_recargas!$H$78*'Plan mensual'!J216+parametros_recargas!$I$78*'Plan mensual'!J217+parametros_recargas!$J$78*'Plan mensual'!J218+parametros_recargas!$K$78*'Plan mensual'!J219+parametros_recargas!$L$78*'Plan mensual'!J220</f>
        <v>143.318668648861</v>
      </c>
      <c r="I200" s="25" t="n">
        <f aca="false">parametros_recargas!$E$78*'Plan mensual'!K213+parametros_recargas!$F$78*'Plan mensual'!K214+parametros_recargas!$G$78*'Plan mensual'!K215+parametros_recargas!$H$78*'Plan mensual'!K216+parametros_recargas!$I$78*'Plan mensual'!K217+parametros_recargas!$J$78*'Plan mensual'!K218+parametros_recargas!$K$78*'Plan mensual'!K219+parametros_recargas!$L$78*'Plan mensual'!K220</f>
        <v>144.84864345876</v>
      </c>
      <c r="J200" s="25" t="n">
        <f aca="false">parametros_recargas!$E$78*'Plan mensual'!L213+parametros_recargas!$F$78*'Plan mensual'!L214+parametros_recargas!$G$78*'Plan mensual'!L215+parametros_recargas!$H$78*'Plan mensual'!L216+parametros_recargas!$I$78*'Plan mensual'!L217+parametros_recargas!$J$78*'Plan mensual'!L218+parametros_recargas!$K$78*'Plan mensual'!L219+parametros_recargas!$L$78*'Plan mensual'!L220</f>
        <v>146.395058805993</v>
      </c>
      <c r="K200" s="25" t="n">
        <f aca="false">parametros_recargas!$E$78*'Plan mensual'!M213+parametros_recargas!$F$78*'Plan mensual'!M214+parametros_recargas!$G$78*'Plan mensual'!M215+parametros_recargas!$H$78*'Plan mensual'!M216+parametros_recargas!$I$78*'Plan mensual'!M217+parametros_recargas!$J$78*'Plan mensual'!M218+parametros_recargas!$K$78*'Plan mensual'!M219+parametros_recargas!$L$78*'Plan mensual'!M220</f>
        <v>147.95809135443</v>
      </c>
      <c r="L200" s="25" t="n">
        <f aca="false">parametros_recargas!$E$78*'Plan mensual'!N213+parametros_recargas!$F$78*'Plan mensual'!N214+parametros_recargas!$G$78*'Plan mensual'!N215+parametros_recargas!$H$78*'Plan mensual'!N216+parametros_recargas!$I$78*'Plan mensual'!N217+parametros_recargas!$J$78*'Plan mensual'!N218+parametros_recargas!$K$78*'Plan mensual'!N219+parametros_recargas!$L$78*'Plan mensual'!N220</f>
        <v>149.5379196663</v>
      </c>
      <c r="M200" s="25" t="n">
        <f aca="false">parametros_recargas!$E$78*'Plan mensual'!O213+parametros_recargas!$F$78*'Plan mensual'!O214+parametros_recargas!$G$78*'Plan mensual'!O215+parametros_recargas!$H$78*'Plan mensual'!O216+parametros_recargas!$I$78*'Plan mensual'!O217+parametros_recargas!$J$78*'Plan mensual'!O218+parametros_recargas!$K$78*'Plan mensual'!O219+parametros_recargas!$L$78*'Plan mensual'!O220</f>
        <v>151.1347242226</v>
      </c>
      <c r="N200" s="7" t="n">
        <f aca="false">SUM(B200:M200)</f>
        <v>1711.87452661955</v>
      </c>
      <c r="O200" s="26" t="n">
        <f aca="false">MAX(B200:M200)</f>
        <v>151.1347242226</v>
      </c>
      <c r="P200" s="15" t="n">
        <f aca="false">O200/parametros_recargas!$B$6</f>
        <v>1.00756482815067</v>
      </c>
    </row>
    <row r="201" customFormat="false" ht="15" hidden="false" customHeight="false" outlineLevel="0" collapsed="false">
      <c r="A201" s="12" t="str">
        <f aca="false">parametros_recargas!$B$79</f>
        <v>Recuperación de halogenado</v>
      </c>
      <c r="B201" s="25" t="n">
        <f aca="false">parametros_recargas!$E$79*'Plan mensual'!D213+parametros_recargas!$F$79*'Plan mensual'!D214+parametros_recargas!$G$79*'Plan mensual'!D215+parametros_recargas!$H$79*'Plan mensual'!D216+parametros_recargas!$I$79*'Plan mensual'!D217+parametros_recargas!$J$79*'Plan mensual'!D218+parametros_recargas!$K$79*'Plan mensual'!D219+parametros_recargas!$L$79*'Plan mensual'!D220</f>
        <v>5.38785455616864</v>
      </c>
      <c r="C201" s="25" t="n">
        <f aca="false">parametros_recargas!$E$79*'Plan mensual'!E213+parametros_recargas!$F$79*'Plan mensual'!E214+parametros_recargas!$G$79*'Plan mensual'!E215+parametros_recargas!$H$79*'Plan mensual'!E216+parametros_recargas!$I$79*'Plan mensual'!E217+parametros_recargas!$J$79*'Plan mensual'!E218+parametros_recargas!$K$79*'Plan mensual'!E219+parametros_recargas!$L$79*'Plan mensual'!E220</f>
        <v>5.44530269258685</v>
      </c>
      <c r="D201" s="25" t="n">
        <f aca="false">parametros_recargas!$E$79*'Plan mensual'!F213+parametros_recargas!$F$79*'Plan mensual'!F214+parametros_recargas!$G$79*'Plan mensual'!F215+parametros_recargas!$H$79*'Plan mensual'!F216+parametros_recargas!$I$79*'Plan mensual'!F217+parametros_recargas!$J$79*'Plan mensual'!F218+parametros_recargas!$K$79*'Plan mensual'!F219+parametros_recargas!$L$79*'Plan mensual'!F220</f>
        <v>5.50336814520235</v>
      </c>
      <c r="E201" s="25" t="n">
        <f aca="false">parametros_recargas!$E$79*'Plan mensual'!G213+parametros_recargas!$F$79*'Plan mensual'!G214+parametros_recargas!$G$79*'Plan mensual'!G215+parametros_recargas!$H$79*'Plan mensual'!G216+parametros_recargas!$I$79*'Plan mensual'!G217+parametros_recargas!$J$79*'Plan mensual'!G218+parametros_recargas!$K$79*'Plan mensual'!G219+parametros_recargas!$L$79*'Plan mensual'!G220</f>
        <v>5.56205754746421</v>
      </c>
      <c r="F201" s="25" t="n">
        <f aca="false">parametros_recargas!$E$79*'Plan mensual'!H213+parametros_recargas!$F$79*'Plan mensual'!H214+parametros_recargas!$G$79*'Plan mensual'!H215+parametros_recargas!$H$79*'Plan mensual'!H216+parametros_recargas!$I$79*'Plan mensual'!H217+parametros_recargas!$J$79*'Plan mensual'!H218+parametros_recargas!$K$79*'Plan mensual'!H219+parametros_recargas!$L$79*'Plan mensual'!H220</f>
        <v>5.62137760410207</v>
      </c>
      <c r="G201" s="25" t="n">
        <f aca="false">parametros_recargas!$E$79*'Plan mensual'!I213+parametros_recargas!$F$79*'Plan mensual'!I214+parametros_recargas!$G$79*'Plan mensual'!I215+parametros_recargas!$H$79*'Plan mensual'!I216+parametros_recargas!$I$79*'Plan mensual'!I217+parametros_recargas!$J$79*'Plan mensual'!I218+parametros_recargas!$K$79*'Plan mensual'!I219+parametros_recargas!$L$79*'Plan mensual'!I220</f>
        <v>5.68133509189209</v>
      </c>
      <c r="H201" s="25" t="n">
        <f aca="false">parametros_recargas!$E$79*'Plan mensual'!J213+parametros_recargas!$F$79*'Plan mensual'!J214+parametros_recargas!$G$79*'Plan mensual'!J215+parametros_recargas!$H$79*'Plan mensual'!J216+parametros_recargas!$I$79*'Plan mensual'!J217+parametros_recargas!$J$79*'Plan mensual'!J218+parametros_recargas!$K$79*'Plan mensual'!J219+parametros_recargas!$L$79*'Plan mensual'!J220</f>
        <v>5.74193686043114</v>
      </c>
      <c r="I201" s="25" t="n">
        <f aca="false">parametros_recargas!$E$79*'Plan mensual'!K213+parametros_recargas!$F$79*'Plan mensual'!K214+parametros_recargas!$G$79*'Plan mensual'!K215+parametros_recargas!$H$79*'Plan mensual'!K216+parametros_recargas!$I$79*'Plan mensual'!K217+parametros_recargas!$J$79*'Plan mensual'!K218+parametros_recargas!$K$79*'Plan mensual'!K219+parametros_recargas!$L$79*'Plan mensual'!K220</f>
        <v>5.80318983291927</v>
      </c>
      <c r="J201" s="25" t="n">
        <f aca="false">parametros_recargas!$E$79*'Plan mensual'!L213+parametros_recargas!$F$79*'Plan mensual'!L214+parametros_recargas!$G$79*'Plan mensual'!L215+parametros_recargas!$H$79*'Plan mensual'!L216+parametros_recargas!$I$79*'Plan mensual'!L217+parametros_recargas!$J$79*'Plan mensual'!L218+parametros_recargas!$K$79*'Plan mensual'!L219+parametros_recargas!$L$79*'Plan mensual'!L220</f>
        <v>5.86510100695068</v>
      </c>
      <c r="K201" s="25" t="n">
        <f aca="false">parametros_recargas!$E$79*'Plan mensual'!M213+parametros_recargas!$F$79*'Plan mensual'!M214+parametros_recargas!$G$79*'Plan mensual'!M215+parametros_recargas!$H$79*'Plan mensual'!M216+parametros_recargas!$I$79*'Plan mensual'!M217+parametros_recargas!$J$79*'Plan mensual'!M218+parametros_recargas!$K$79*'Plan mensual'!M219+parametros_recargas!$L$79*'Plan mensual'!M220</f>
        <v>5.92767745531308</v>
      </c>
      <c r="L201" s="25" t="n">
        <f aca="false">parametros_recargas!$E$79*'Plan mensual'!N213+parametros_recargas!$F$79*'Plan mensual'!N214+parametros_recargas!$G$79*'Plan mensual'!N215+parametros_recargas!$H$79*'Plan mensual'!N216+parametros_recargas!$I$79*'Plan mensual'!N217+parametros_recargas!$J$79*'Plan mensual'!N218+parametros_recargas!$K$79*'Plan mensual'!N219+parametros_recargas!$L$79*'Plan mensual'!N220</f>
        <v>5.99092632679573</v>
      </c>
      <c r="M201" s="25" t="n">
        <f aca="false">parametros_recargas!$E$79*'Plan mensual'!O213+parametros_recargas!$F$79*'Plan mensual'!O214+parametros_recargas!$G$79*'Plan mensual'!O215+parametros_recargas!$H$79*'Plan mensual'!O216+parametros_recargas!$I$79*'Plan mensual'!O217+parametros_recargas!$J$79*'Plan mensual'!O218+parametros_recargas!$K$79*'Plan mensual'!O219+parametros_recargas!$L$79*'Plan mensual'!O220</f>
        <v>6.0548548470061</v>
      </c>
      <c r="N201" s="7" t="n">
        <f aca="false">SUM(B201:M201)</f>
        <v>68.5849819668322</v>
      </c>
      <c r="O201" s="26" t="n">
        <f aca="false">MAX(B201:M201)</f>
        <v>6.0548548470061</v>
      </c>
      <c r="P201" s="15" t="n">
        <f aca="false">O201/parametros_recargas!$B$6</f>
        <v>0.0403656989800407</v>
      </c>
    </row>
    <row r="202" customFormat="false" ht="15" hidden="false" customHeight="false" outlineLevel="0" collapsed="false">
      <c r="A202" s="12" t="str">
        <f aca="false">parametros_recargas!$B$80</f>
        <v>Desarme y limpieza — recinto</v>
      </c>
      <c r="B202" s="25" t="n">
        <f aca="false">parametros_recargas!$E$80*'Plan mensual'!D213+parametros_recargas!$F$80*'Plan mensual'!D214+parametros_recargas!$G$80*'Plan mensual'!D215+parametros_recargas!$H$80*'Plan mensual'!D216+parametros_recargas!$I$80*'Plan mensual'!D217+parametros_recargas!$J$80*'Plan mensual'!D218+parametros_recargas!$K$80*'Plan mensual'!D219+parametros_recargas!$L$80*'Plan mensual'!D220</f>
        <v>5797.87804331055</v>
      </c>
      <c r="C202" s="25" t="n">
        <f aca="false">parametros_recargas!$E$80*'Plan mensual'!E213+parametros_recargas!$F$80*'Plan mensual'!E214+parametros_recargas!$G$80*'Plan mensual'!E215+parametros_recargas!$H$80*'Plan mensual'!E216+parametros_recargas!$I$80*'Plan mensual'!E217+parametros_recargas!$J$80*'Plan mensual'!E218+parametros_recargas!$K$80*'Plan mensual'!E219+parametros_recargas!$L$80*'Plan mensual'!E220</f>
        <v>5859.65512851582</v>
      </c>
      <c r="D202" s="25" t="n">
        <f aca="false">parametros_recargas!$E$80*'Plan mensual'!F213+parametros_recargas!$F$80*'Plan mensual'!F214+parametros_recargas!$G$80*'Plan mensual'!F215+parametros_recargas!$H$80*'Plan mensual'!F216+parametros_recargas!$I$80*'Plan mensual'!F217+parametros_recargas!$J$80*'Plan mensual'!F218+parametros_recargas!$K$80*'Plan mensual'!F219+parametros_recargas!$L$80*'Plan mensual'!F220</f>
        <v>5922.09604718369</v>
      </c>
      <c r="E202" s="25" t="n">
        <f aca="false">parametros_recargas!$E$80*'Plan mensual'!G213+parametros_recargas!$F$80*'Plan mensual'!G214+parametros_recargas!$G$80*'Plan mensual'!G215+parametros_recargas!$H$80*'Plan mensual'!G216+parametros_recargas!$I$80*'Plan mensual'!G217+parametros_recargas!$J$80*'Plan mensual'!G218+parametros_recargas!$K$80*'Plan mensual'!G219+parametros_recargas!$L$80*'Plan mensual'!G220</f>
        <v>5985.20793262038</v>
      </c>
      <c r="F202" s="25" t="n">
        <f aca="false">parametros_recargas!$E$80*'Plan mensual'!H213+parametros_recargas!$F$80*'Plan mensual'!H214+parametros_recargas!$G$80*'Plan mensual'!H215+parametros_recargas!$H$80*'Plan mensual'!H216+parametros_recargas!$I$80*'Plan mensual'!H217+parametros_recargas!$J$80*'Plan mensual'!H218+parametros_recargas!$K$80*'Plan mensual'!H219+parametros_recargas!$L$80*'Plan mensual'!H220</f>
        <v>6048.99799478395</v>
      </c>
      <c r="G202" s="25" t="n">
        <f aca="false">parametros_recargas!$E$80*'Plan mensual'!I213+parametros_recargas!$F$80*'Plan mensual'!I214+parametros_recargas!$G$80*'Plan mensual'!I215+parametros_recargas!$H$80*'Plan mensual'!I216+parametros_recargas!$I$80*'Plan mensual'!I217+parametros_recargas!$J$80*'Plan mensual'!I218+parametros_recargas!$K$80*'Plan mensual'!I219+parametros_recargas!$L$80*'Plan mensual'!I220</f>
        <v>6113.47352110798</v>
      </c>
      <c r="H202" s="25" t="n">
        <f aca="false">parametros_recargas!$E$80*'Plan mensual'!J213+parametros_recargas!$F$80*'Plan mensual'!J214+parametros_recargas!$G$80*'Plan mensual'!J215+parametros_recargas!$H$80*'Plan mensual'!J216+parametros_recargas!$I$80*'Plan mensual'!J217+parametros_recargas!$J$80*'Plan mensual'!J218+parametros_recargas!$K$80*'Plan mensual'!J219+parametros_recargas!$L$80*'Plan mensual'!J220</f>
        <v>6178.64187733406</v>
      </c>
      <c r="I202" s="25" t="n">
        <f aca="false">parametros_recargas!$E$80*'Plan mensual'!K213+parametros_recargas!$F$80*'Plan mensual'!K214+parametros_recargas!$G$80*'Plan mensual'!K215+parametros_recargas!$H$80*'Plan mensual'!K216+parametros_recargas!$I$80*'Plan mensual'!K217+parametros_recargas!$J$80*'Plan mensual'!K218+parametros_recargas!$K$80*'Plan mensual'!K219+parametros_recargas!$L$80*'Plan mensual'!K220</f>
        <v>6244.51050835333</v>
      </c>
      <c r="J202" s="25" t="n">
        <f aca="false">parametros_recargas!$E$80*'Plan mensual'!L213+parametros_recargas!$F$80*'Plan mensual'!L214+parametros_recargas!$G$80*'Plan mensual'!L215+parametros_recargas!$H$80*'Plan mensual'!L216+parametros_recargas!$I$80*'Plan mensual'!L217+parametros_recargas!$J$80*'Plan mensual'!L218+parametros_recargas!$K$80*'Plan mensual'!L219+parametros_recargas!$L$80*'Plan mensual'!L220</f>
        <v>6311.08693905691</v>
      </c>
      <c r="K202" s="25" t="n">
        <f aca="false">parametros_recargas!$E$80*'Plan mensual'!M213+parametros_recargas!$F$80*'Plan mensual'!M214+parametros_recargas!$G$80*'Plan mensual'!M215+parametros_recargas!$H$80*'Plan mensual'!M216+parametros_recargas!$I$80*'Plan mensual'!M217+parametros_recargas!$J$80*'Plan mensual'!M218+parametros_recargas!$K$80*'Plan mensual'!M219+parametros_recargas!$L$80*'Plan mensual'!M220</f>
        <v>6378.3787751956</v>
      </c>
      <c r="L202" s="25" t="n">
        <f aca="false">parametros_recargas!$E$80*'Plan mensual'!N213+parametros_recargas!$F$80*'Plan mensual'!N214+parametros_recargas!$G$80*'Plan mensual'!N215+parametros_recargas!$H$80*'Plan mensual'!N216+parametros_recargas!$I$80*'Plan mensual'!N217+parametros_recargas!$J$80*'Plan mensual'!N218+parametros_recargas!$K$80*'Plan mensual'!N219+parametros_recargas!$L$80*'Plan mensual'!N220</f>
        <v>6446.39370424877</v>
      </c>
      <c r="M202" s="25" t="n">
        <f aca="false">parametros_recargas!$E$80*'Plan mensual'!O213+parametros_recargas!$F$80*'Plan mensual'!O214+parametros_recargas!$G$80*'Plan mensual'!O215+parametros_recargas!$H$80*'Plan mensual'!O216+parametros_recargas!$I$80*'Plan mensual'!O217+parametros_recargas!$J$80*'Plan mensual'!O218+parametros_recargas!$K$80*'Plan mensual'!O219+parametros_recargas!$L$80*'Plan mensual'!O220</f>
        <v>6515.13949630254</v>
      </c>
      <c r="N202" s="7" t="n">
        <f aca="false">SUM(B202:M202)</f>
        <v>73801.4599680136</v>
      </c>
      <c r="O202" s="26" t="n">
        <f aca="false">MAX(B202:M202)</f>
        <v>6515.13949630254</v>
      </c>
      <c r="P202" s="15" t="n">
        <f aca="false">O202/parametros_recargas!$B$6</f>
        <v>43.4342633086836</v>
      </c>
    </row>
    <row r="203" customFormat="false" ht="15" hidden="false" customHeight="false" outlineLevel="0" collapsed="false">
      <c r="A203" s="12" t="str">
        <f aca="false">parametros_recargas!$B$81</f>
        <v>Desarme e inspección interior — zona general</v>
      </c>
      <c r="B203" s="25" t="n">
        <f aca="false">parametros_recargas!$E$81*'Plan mensual'!D213+parametros_recargas!$F$81*'Plan mensual'!D214+parametros_recargas!$G$81*'Plan mensual'!D215+parametros_recargas!$H$81*'Plan mensual'!D216+parametros_recargas!$I$81*'Plan mensual'!D217+parametros_recargas!$J$81*'Plan mensual'!D218+parametros_recargas!$K$81*'Plan mensual'!D219+parametros_recargas!$L$81*'Plan mensual'!D220</f>
        <v>432.396733708054</v>
      </c>
      <c r="C203" s="25" t="n">
        <f aca="false">parametros_recargas!$E$81*'Plan mensual'!E213+parametros_recargas!$F$81*'Plan mensual'!E214+parametros_recargas!$G$81*'Plan mensual'!E215+parametros_recargas!$H$81*'Plan mensual'!E216+parametros_recargas!$I$81*'Plan mensual'!E217+parametros_recargas!$J$81*'Plan mensual'!E218+parametros_recargas!$K$81*'Plan mensual'!E219+parametros_recargas!$L$81*'Plan mensual'!E220</f>
        <v>437.006617003899</v>
      </c>
      <c r="D203" s="25" t="n">
        <f aca="false">parametros_recargas!$E$81*'Plan mensual'!F213+parametros_recargas!$F$81*'Plan mensual'!F214+parametros_recargas!$G$81*'Plan mensual'!F215+parametros_recargas!$H$81*'Plan mensual'!F216+parametros_recargas!$I$81*'Plan mensual'!F217+parametros_recargas!$J$81*'Plan mensual'!F218+parametros_recargas!$K$81*'Plan mensual'!F219+parametros_recargas!$L$81*'Plan mensual'!F220</f>
        <v>441.666036382261</v>
      </c>
      <c r="E203" s="25" t="n">
        <f aca="false">parametros_recargas!$E$81*'Plan mensual'!G213+parametros_recargas!$F$81*'Plan mensual'!G214+parametros_recargas!$G$81*'Plan mensual'!G215+parametros_recargas!$H$81*'Plan mensual'!G216+parametros_recargas!$I$81*'Plan mensual'!G217+parametros_recargas!$J$81*'Plan mensual'!G218+parametros_recargas!$K$81*'Plan mensual'!G219+parametros_recargas!$L$81*'Plan mensual'!G220</f>
        <v>446.375524139366</v>
      </c>
      <c r="F203" s="25" t="n">
        <f aca="false">parametros_recargas!$E$81*'Plan mensual'!H213+parametros_recargas!$F$81*'Plan mensual'!H214+parametros_recargas!$G$81*'Plan mensual'!H215+parametros_recargas!$H$81*'Plan mensual'!H216+parametros_recargas!$I$81*'Plan mensual'!H217+parametros_recargas!$J$81*'Plan mensual'!H218+parametros_recargas!$K$81*'Plan mensual'!H219+parametros_recargas!$L$81*'Plan mensual'!H220</f>
        <v>451.135618291293</v>
      </c>
      <c r="G203" s="25" t="n">
        <f aca="false">parametros_recargas!$E$81*'Plan mensual'!I213+parametros_recargas!$F$81*'Plan mensual'!I214+parametros_recargas!$G$81*'Plan mensual'!I215+parametros_recargas!$H$81*'Plan mensual'!I216+parametros_recargas!$I$81*'Plan mensual'!I217+parametros_recargas!$J$81*'Plan mensual'!I218+parametros_recargas!$K$81*'Plan mensual'!I219+parametros_recargas!$L$81*'Plan mensual'!I220</f>
        <v>455.946862635443</v>
      </c>
      <c r="H203" s="25" t="n">
        <f aca="false">parametros_recargas!$E$81*'Plan mensual'!J213+parametros_recargas!$F$81*'Plan mensual'!J214+parametros_recargas!$G$81*'Plan mensual'!J215+parametros_recargas!$H$81*'Plan mensual'!J216+parametros_recargas!$I$81*'Plan mensual'!J217+parametros_recargas!$J$81*'Plan mensual'!J218+parametros_recargas!$K$81*'Plan mensual'!J219+parametros_recargas!$L$81*'Plan mensual'!J220</f>
        <v>460.809806812658</v>
      </c>
      <c r="I203" s="25" t="n">
        <f aca="false">parametros_recargas!$E$81*'Plan mensual'!K213+parametros_recargas!$F$81*'Plan mensual'!K214+parametros_recargas!$G$81*'Plan mensual'!K215+parametros_recargas!$H$81*'Plan mensual'!K216+parametros_recargas!$I$81*'Plan mensual'!K217+parametros_recargas!$J$81*'Plan mensual'!K218+parametros_recargas!$K$81*'Plan mensual'!K219+parametros_recargas!$L$81*'Plan mensual'!K220</f>
        <v>465.725006370016</v>
      </c>
      <c r="J203" s="25" t="n">
        <f aca="false">parametros_recargas!$E$81*'Plan mensual'!L213+parametros_recargas!$F$81*'Plan mensual'!L214+parametros_recargas!$G$81*'Plan mensual'!L215+parametros_recargas!$H$81*'Plan mensual'!L216+parametros_recargas!$I$81*'Plan mensual'!L217+parametros_recargas!$J$81*'Plan mensual'!L218+parametros_recargas!$K$81*'Plan mensual'!L219+parametros_recargas!$L$81*'Plan mensual'!L220</f>
        <v>470.693022824299</v>
      </c>
      <c r="K203" s="25" t="n">
        <f aca="false">parametros_recargas!$E$81*'Plan mensual'!M213+parametros_recargas!$F$81*'Plan mensual'!M214+parametros_recargas!$G$81*'Plan mensual'!M215+parametros_recargas!$H$81*'Plan mensual'!M216+parametros_recargas!$I$81*'Plan mensual'!M217+parametros_recargas!$J$81*'Plan mensual'!M218+parametros_recargas!$K$81*'Plan mensual'!M219+parametros_recargas!$L$81*'Plan mensual'!M220</f>
        <v>475.714423726133</v>
      </c>
      <c r="L203" s="25" t="n">
        <f aca="false">parametros_recargas!$E$81*'Plan mensual'!N213+parametros_recargas!$F$81*'Plan mensual'!N214+parametros_recargas!$G$81*'Plan mensual'!N215+parametros_recargas!$H$81*'Plan mensual'!N216+parametros_recargas!$I$81*'Plan mensual'!N217+parametros_recargas!$J$81*'Plan mensual'!N218+parametros_recargas!$K$81*'Plan mensual'!N219+parametros_recargas!$L$81*'Plan mensual'!N220</f>
        <v>480.789782724837</v>
      </c>
      <c r="M203" s="25" t="n">
        <f aca="false">parametros_recargas!$E$81*'Plan mensual'!O213+parametros_recargas!$F$81*'Plan mensual'!O214+parametros_recargas!$G$81*'Plan mensual'!O215+parametros_recargas!$H$81*'Plan mensual'!O216+parametros_recargas!$I$81*'Plan mensual'!O217+parametros_recargas!$J$81*'Plan mensual'!O218+parametros_recargas!$K$81*'Plan mensual'!O219+parametros_recargas!$L$81*'Plan mensual'!O220</f>
        <v>485.919679633946</v>
      </c>
      <c r="N203" s="7" t="n">
        <f aca="false">SUM(B203:M203)</f>
        <v>5504.1791142522</v>
      </c>
      <c r="O203" s="26" t="n">
        <f aca="false">MAX(B203:M203)</f>
        <v>485.919679633946</v>
      </c>
      <c r="P203" s="15" t="n">
        <f aca="false">O203/parametros_recargas!$B$6</f>
        <v>3.23946453089297</v>
      </c>
    </row>
    <row r="204" customFormat="false" ht="15" hidden="false" customHeight="false" outlineLevel="0" collapsed="false">
      <c r="A204" s="12" t="str">
        <f aca="false">parametros_recargas!$B$82</f>
        <v>Laboratorio — Puffer y mufla</v>
      </c>
      <c r="B204" s="25" t="n">
        <f aca="false">parametros_recargas!$E$82*'Plan mensual'!D213+parametros_recargas!$F$82*'Plan mensual'!D214+parametros_recargas!$G$82*'Plan mensual'!D215+parametros_recargas!$H$82*'Plan mensual'!D216+parametros_recargas!$I$82*'Plan mensual'!D217+parametros_recargas!$J$82*'Plan mensual'!D218+parametros_recargas!$K$82*'Plan mensual'!D219+parametros_recargas!$L$82*'Plan mensual'!D220</f>
        <v>5.79027829852159</v>
      </c>
      <c r="C204" s="25" t="n">
        <f aca="false">parametros_recargas!$E$82*'Plan mensual'!E213+parametros_recargas!$F$82*'Plan mensual'!E214+parametros_recargas!$G$82*'Plan mensual'!E215+parametros_recargas!$H$82*'Plan mensual'!E216+parametros_recargas!$I$82*'Plan mensual'!E217+parametros_recargas!$J$82*'Plan mensual'!E218+parametros_recargas!$K$82*'Plan mensual'!E219+parametros_recargas!$L$82*'Plan mensual'!E220</f>
        <v>5.85197551064818</v>
      </c>
      <c r="D204" s="25" t="n">
        <f aca="false">parametros_recargas!$E$82*'Plan mensual'!F213+parametros_recargas!$F$82*'Plan mensual'!F214+parametros_recargas!$G$82*'Plan mensual'!F215+parametros_recargas!$H$82*'Plan mensual'!F216+parametros_recargas!$I$82*'Plan mensual'!F217+parametros_recargas!$J$82*'Plan mensual'!F218+parametros_recargas!$K$82*'Plan mensual'!F219+parametros_recargas!$L$82*'Plan mensual'!F220</f>
        <v>5.91433569795112</v>
      </c>
      <c r="E204" s="25" t="n">
        <f aca="false">parametros_recargas!$E$82*'Plan mensual'!G213+parametros_recargas!$F$82*'Plan mensual'!G214+parametros_recargas!$G$82*'Plan mensual'!G215+parametros_recargas!$H$82*'Plan mensual'!G216+parametros_recargas!$I$82*'Plan mensual'!G217+parametros_recargas!$J$82*'Plan mensual'!G218+parametros_recargas!$K$82*'Plan mensual'!G219+parametros_recargas!$L$82*'Plan mensual'!G220</f>
        <v>5.97736598451381</v>
      </c>
      <c r="F204" s="25" t="n">
        <f aca="false">parametros_recargas!$E$82*'Plan mensual'!H213+parametros_recargas!$F$82*'Plan mensual'!H214+parametros_recargas!$G$82*'Plan mensual'!H215+parametros_recargas!$H$82*'Plan mensual'!H216+parametros_recargas!$I$82*'Plan mensual'!H217+parametros_recargas!$J$82*'Plan mensual'!H218+parametros_recargas!$K$82*'Plan mensual'!H219+parametros_recargas!$L$82*'Plan mensual'!H220</f>
        <v>6.04107357097239</v>
      </c>
      <c r="G204" s="25" t="n">
        <f aca="false">parametros_recargas!$E$82*'Plan mensual'!I213+parametros_recargas!$F$82*'Plan mensual'!I214+parametros_recargas!$G$82*'Plan mensual'!I215+parametros_recargas!$H$82*'Plan mensual'!I216+parametros_recargas!$I$82*'Plan mensual'!I217+parametros_recargas!$J$82*'Plan mensual'!I218+parametros_recargas!$K$82*'Plan mensual'!I219+parametros_recargas!$L$82*'Plan mensual'!I220</f>
        <v>6.10546573533833</v>
      </c>
      <c r="H204" s="25" t="n">
        <f aca="false">parametros_recargas!$E$82*'Plan mensual'!J213+parametros_recargas!$F$82*'Plan mensual'!J214+parametros_recargas!$G$82*'Plan mensual'!J215+parametros_recargas!$H$82*'Plan mensual'!J216+parametros_recargas!$I$82*'Plan mensual'!J217+parametros_recargas!$J$82*'Plan mensual'!J218+parametros_recargas!$K$82*'Plan mensual'!J219+parametros_recargas!$L$82*'Plan mensual'!J220</f>
        <v>6.17054983382989</v>
      </c>
      <c r="I204" s="25" t="n">
        <f aca="false">parametros_recargas!$E$82*'Plan mensual'!K213+parametros_recargas!$F$82*'Plan mensual'!K214+parametros_recargas!$G$82*'Plan mensual'!K215+parametros_recargas!$H$82*'Plan mensual'!K216+parametros_recargas!$I$82*'Plan mensual'!K217+parametros_recargas!$J$82*'Plan mensual'!K218+parametros_recargas!$K$82*'Plan mensual'!K219+parametros_recargas!$L$82*'Plan mensual'!K220</f>
        <v>6.23633330171252</v>
      </c>
      <c r="J204" s="25" t="n">
        <f aca="false">parametros_recargas!$E$82*'Plan mensual'!L213+parametros_recargas!$F$82*'Plan mensual'!L214+parametros_recargas!$G$82*'Plan mensual'!L215+parametros_recargas!$H$82*'Plan mensual'!L216+parametros_recargas!$I$82*'Plan mensual'!L217+parametros_recargas!$J$82*'Plan mensual'!L218+parametros_recargas!$K$82*'Plan mensual'!L219+parametros_recargas!$L$82*'Plan mensual'!L220</f>
        <v>6.30282365414823</v>
      </c>
      <c r="K204" s="25" t="n">
        <f aca="false">parametros_recargas!$E$82*'Plan mensual'!M213+parametros_recargas!$F$82*'Plan mensual'!M214+parametros_recargas!$G$82*'Plan mensual'!M215+parametros_recargas!$H$82*'Plan mensual'!M216+parametros_recargas!$I$82*'Plan mensual'!M217+parametros_recargas!$J$82*'Plan mensual'!M218+parametros_recargas!$K$82*'Plan mensual'!M219+parametros_recargas!$L$82*'Plan mensual'!M220</f>
        <v>6.37002848705418</v>
      </c>
      <c r="L204" s="25" t="n">
        <f aca="false">parametros_recargas!$E$82*'Plan mensual'!N213+parametros_recargas!$F$82*'Plan mensual'!N214+parametros_recargas!$G$82*'Plan mensual'!N215+parametros_recargas!$H$82*'Plan mensual'!N216+parametros_recargas!$I$82*'Plan mensual'!N217+parametros_recargas!$J$82*'Plan mensual'!N218+parametros_recargas!$K$82*'Plan mensual'!N219+parametros_recargas!$L$82*'Plan mensual'!N220</f>
        <v>6.43795547797038</v>
      </c>
      <c r="M204" s="25" t="n">
        <f aca="false">parametros_recargas!$E$82*'Plan mensual'!O213+parametros_recargas!$F$82*'Plan mensual'!O214+parametros_recargas!$G$82*'Plan mensual'!O215+parametros_recargas!$H$82*'Plan mensual'!O216+parametros_recargas!$I$82*'Plan mensual'!O217+parametros_recargas!$J$82*'Plan mensual'!O218+parametros_recargas!$K$82*'Plan mensual'!O219+parametros_recargas!$L$82*'Plan mensual'!O220</f>
        <v>6.50661238693684</v>
      </c>
      <c r="N204" s="7" t="n">
        <f aca="false">SUM(B204:M204)</f>
        <v>73.7047979395975</v>
      </c>
      <c r="O204" s="26" t="n">
        <f aca="false">MAX(B204:M204)</f>
        <v>6.50661238693684</v>
      </c>
      <c r="P204" s="15" t="n">
        <f aca="false">O204/parametros_recargas!$B$6</f>
        <v>0.0433774159129123</v>
      </c>
    </row>
    <row r="205" customFormat="false" ht="15" hidden="false" customHeight="false" outlineLevel="0" collapsed="false">
      <c r="A205" s="12" t="str">
        <f aca="false">parametros_recargas!$B$83</f>
        <v>Prueba hidráulica</v>
      </c>
      <c r="B205" s="25" t="n">
        <f aca="false">parametros_recargas!$E$83*'Plan mensual'!D213+parametros_recargas!$F$83*'Plan mensual'!D214+parametros_recargas!$G$83*'Plan mensual'!D215+parametros_recargas!$H$83*'Plan mensual'!D216+parametros_recargas!$I$83*'Plan mensual'!D217+parametros_recargas!$J$83*'Plan mensual'!D218+parametros_recargas!$K$83*'Plan mensual'!D219+parametros_recargas!$L$83*'Plan mensual'!D220</f>
        <v>1417.73265549787</v>
      </c>
      <c r="C205" s="25" t="n">
        <f aca="false">parametros_recargas!$E$83*'Plan mensual'!E213+parametros_recargas!$F$83*'Plan mensual'!E214+parametros_recargas!$G$83*'Plan mensual'!E215+parametros_recargas!$H$83*'Plan mensual'!E216+parametros_recargas!$I$83*'Plan mensual'!E217+parametros_recargas!$J$83*'Plan mensual'!E218+parametros_recargas!$K$83*'Plan mensual'!E219+parametros_recargas!$L$83*'Plan mensual'!E220</f>
        <v>1432.84072994823</v>
      </c>
      <c r="D205" s="25" t="n">
        <f aca="false">parametros_recargas!$E$83*'Plan mensual'!F213+parametros_recargas!$F$83*'Plan mensual'!F214+parametros_recargas!$G$83*'Plan mensual'!F215+parametros_recargas!$H$83*'Plan mensual'!F216+parametros_recargas!$I$83*'Plan mensual'!F217+parametros_recargas!$J$83*'Plan mensual'!F218+parametros_recargas!$K$83*'Plan mensual'!F219+parametros_recargas!$L$83*'Plan mensual'!F220</f>
        <v>1448.11115011856</v>
      </c>
      <c r="E205" s="25" t="n">
        <f aca="false">parametros_recargas!$E$83*'Plan mensual'!G213+parametros_recargas!$F$83*'Plan mensual'!G214+parametros_recargas!$G$83*'Plan mensual'!G215+parametros_recargas!$H$83*'Plan mensual'!G216+parametros_recargas!$I$83*'Plan mensual'!G217+parametros_recargas!$J$83*'Plan mensual'!G218+parametros_recargas!$K$83*'Plan mensual'!G219+parametros_recargas!$L$83*'Plan mensual'!G220</f>
        <v>1463.54566051529</v>
      </c>
      <c r="F205" s="25" t="n">
        <f aca="false">parametros_recargas!$E$83*'Plan mensual'!H213+parametros_recargas!$F$83*'Plan mensual'!H214+parametros_recargas!$G$83*'Plan mensual'!H215+parametros_recargas!$H$83*'Plan mensual'!H216+parametros_recargas!$I$83*'Plan mensual'!H217+parametros_recargas!$J$83*'Plan mensual'!H218+parametros_recargas!$K$83*'Plan mensual'!H219+parametros_recargas!$L$83*'Plan mensual'!H220</f>
        <v>1479.14602439063</v>
      </c>
      <c r="G205" s="25" t="n">
        <f aca="false">parametros_recargas!$E$83*'Plan mensual'!I213+parametros_recargas!$F$83*'Plan mensual'!I214+parametros_recargas!$G$83*'Plan mensual'!I215+parametros_recargas!$H$83*'Plan mensual'!I216+parametros_recargas!$I$83*'Plan mensual'!I217+parametros_recargas!$J$83*'Plan mensual'!I218+parametros_recargas!$K$83*'Plan mensual'!I219+parametros_recargas!$L$83*'Plan mensual'!I220</f>
        <v>1494.91402394407</v>
      </c>
      <c r="H205" s="25" t="n">
        <f aca="false">parametros_recargas!$E$83*'Plan mensual'!J213+parametros_recargas!$F$83*'Plan mensual'!J214+parametros_recargas!$G$83*'Plan mensual'!J215+parametros_recargas!$H$83*'Plan mensual'!J216+parametros_recargas!$I$83*'Plan mensual'!J217+parametros_recargas!$J$83*'Plan mensual'!J218+parametros_recargas!$K$83*'Plan mensual'!J219+parametros_recargas!$L$83*'Plan mensual'!J220</f>
        <v>1510.85146052593</v>
      </c>
      <c r="I205" s="25" t="n">
        <f aca="false">parametros_recargas!$E$83*'Plan mensual'!K213+parametros_recargas!$F$83*'Plan mensual'!K214+parametros_recargas!$G$83*'Plan mensual'!K215+parametros_recargas!$H$83*'Plan mensual'!K216+parametros_recargas!$I$83*'Plan mensual'!K217+parametros_recargas!$J$83*'Plan mensual'!K218+parametros_recargas!$K$83*'Plan mensual'!K219+parametros_recargas!$L$83*'Plan mensual'!K220</f>
        <v>1526.96015484318</v>
      </c>
      <c r="J205" s="25" t="n">
        <f aca="false">parametros_recargas!$E$83*'Plan mensual'!L213+parametros_recargas!$F$83*'Plan mensual'!L214+parametros_recargas!$G$83*'Plan mensual'!L215+parametros_recargas!$H$83*'Plan mensual'!L216+parametros_recargas!$I$83*'Plan mensual'!L217+parametros_recargas!$J$83*'Plan mensual'!L218+parametros_recargas!$K$83*'Plan mensual'!L219+parametros_recargas!$L$83*'Plan mensual'!L220</f>
        <v>1543.24194716741</v>
      </c>
      <c r="K205" s="25" t="n">
        <f aca="false">parametros_recargas!$E$83*'Plan mensual'!M213+parametros_recargas!$F$83*'Plan mensual'!M214+parametros_recargas!$G$83*'Plan mensual'!M215+parametros_recargas!$H$83*'Plan mensual'!M216+parametros_recargas!$I$83*'Plan mensual'!M217+parametros_recargas!$J$83*'Plan mensual'!M218+parametros_recargas!$K$83*'Plan mensual'!M219+parametros_recargas!$L$83*'Plan mensual'!M220</f>
        <v>1559.69869754511</v>
      </c>
      <c r="L205" s="25" t="n">
        <f aca="false">parametros_recargas!$E$83*'Plan mensual'!N213+parametros_recargas!$F$83*'Plan mensual'!N214+parametros_recargas!$G$83*'Plan mensual'!N215+parametros_recargas!$H$83*'Plan mensual'!N216+parametros_recargas!$I$83*'Plan mensual'!N217+parametros_recargas!$J$83*'Plan mensual'!N218+parametros_recargas!$K$83*'Plan mensual'!N219+parametros_recargas!$L$83*'Plan mensual'!N220</f>
        <v>1576.3322860101</v>
      </c>
      <c r="M205" s="25" t="n">
        <f aca="false">parametros_recargas!$E$83*'Plan mensual'!O213+parametros_recargas!$F$83*'Plan mensual'!O214+parametros_recargas!$G$83*'Plan mensual'!O215+parametros_recargas!$H$83*'Plan mensual'!O216+parametros_recargas!$I$83*'Plan mensual'!O217+parametros_recargas!$J$83*'Plan mensual'!O218+parametros_recargas!$K$83*'Plan mensual'!O219+parametros_recargas!$L$83*'Plan mensual'!O220</f>
        <v>1593.14461279836</v>
      </c>
      <c r="N205" s="7" t="n">
        <f aca="false">SUM(B205:M205)</f>
        <v>18046.5194033047</v>
      </c>
      <c r="O205" s="26" t="n">
        <f aca="false">MAX(B205:M205)</f>
        <v>1593.14461279836</v>
      </c>
      <c r="P205" s="15" t="n">
        <f aca="false">O205/parametros_recargas!$B$6</f>
        <v>10.6209640853224</v>
      </c>
    </row>
    <row r="206" customFormat="false" ht="15" hidden="false" customHeight="false" outlineLevel="0" collapsed="false">
      <c r="A206" s="12" t="str">
        <f aca="false">parametros_recargas!$B$84</f>
        <v>Secado</v>
      </c>
      <c r="B206" s="25" t="n">
        <f aca="false">parametros_recargas!$E$84*'Plan mensual'!D213+parametros_recargas!$F$84*'Plan mensual'!D214+parametros_recargas!$G$84*'Plan mensual'!D215+parametros_recargas!$H$84*'Plan mensual'!D216+parametros_recargas!$I$84*'Plan mensual'!D217+parametros_recargas!$J$84*'Plan mensual'!D218+parametros_recargas!$K$84*'Plan mensual'!D219+parametros_recargas!$L$84*'Plan mensual'!D220</f>
        <v>1329.44420237983</v>
      </c>
      <c r="C206" s="25" t="n">
        <f aca="false">parametros_recargas!$E$84*'Plan mensual'!E213+parametros_recargas!$F$84*'Plan mensual'!E214+parametros_recargas!$G$84*'Plan mensual'!E215+parametros_recargas!$H$84*'Plan mensual'!E216+parametros_recargas!$I$84*'Plan mensual'!E217+parametros_recargas!$J$84*'Plan mensual'!E218+parametros_recargas!$K$84*'Plan mensual'!E219+parametros_recargas!$L$84*'Plan mensual'!E220</f>
        <v>1343.61129896996</v>
      </c>
      <c r="D206" s="25" t="n">
        <f aca="false">parametros_recargas!$E$84*'Plan mensual'!F213+parametros_recargas!$F$84*'Plan mensual'!F214+parametros_recargas!$G$84*'Plan mensual'!F215+parametros_recargas!$H$84*'Plan mensual'!F216+parametros_recargas!$I$84*'Plan mensual'!F217+parametros_recargas!$J$84*'Plan mensual'!F218+parametros_recargas!$K$84*'Plan mensual'!F219+parametros_recargas!$L$84*'Plan mensual'!F220</f>
        <v>1357.93062988376</v>
      </c>
      <c r="E206" s="25" t="n">
        <f aca="false">parametros_recargas!$E$84*'Plan mensual'!G213+parametros_recargas!$F$84*'Plan mensual'!G214+parametros_recargas!$G$84*'Plan mensual'!G215+parametros_recargas!$H$84*'Plan mensual'!G216+parametros_recargas!$I$84*'Plan mensual'!G217+parametros_recargas!$J$84*'Plan mensual'!G218+parametros_recargas!$K$84*'Plan mensual'!G219+parametros_recargas!$L$84*'Plan mensual'!G220</f>
        <v>1372.40383097435</v>
      </c>
      <c r="F206" s="25" t="n">
        <f aca="false">parametros_recargas!$E$84*'Plan mensual'!H213+parametros_recargas!$F$84*'Plan mensual'!H214+parametros_recargas!$G$84*'Plan mensual'!H215+parametros_recargas!$H$84*'Plan mensual'!H216+parametros_recargas!$I$84*'Plan mensual'!H217+parametros_recargas!$J$84*'Plan mensual'!H218+parametros_recargas!$K$84*'Plan mensual'!H219+parametros_recargas!$L$84*'Plan mensual'!H220</f>
        <v>1387.03255567314</v>
      </c>
      <c r="G206" s="25" t="n">
        <f aca="false">parametros_recargas!$E$84*'Plan mensual'!I213+parametros_recargas!$F$84*'Plan mensual'!I214+parametros_recargas!$G$84*'Plan mensual'!I215+parametros_recargas!$H$84*'Plan mensual'!I216+parametros_recargas!$I$84*'Plan mensual'!I217+parametros_recargas!$J$84*'Plan mensual'!I218+parametros_recargas!$K$84*'Plan mensual'!I219+parametros_recargas!$L$84*'Plan mensual'!I220</f>
        <v>1401.81847517868</v>
      </c>
      <c r="H206" s="25" t="n">
        <f aca="false">parametros_recargas!$E$84*'Plan mensual'!J213+parametros_recargas!$F$84*'Plan mensual'!J214+parametros_recargas!$G$84*'Plan mensual'!J215+parametros_recargas!$H$84*'Plan mensual'!J216+parametros_recargas!$I$84*'Plan mensual'!J217+parametros_recargas!$J$84*'Plan mensual'!J218+parametros_recargas!$K$84*'Plan mensual'!J219+parametros_recargas!$L$84*'Plan mensual'!J220</f>
        <v>1416.76327864759</v>
      </c>
      <c r="I206" s="25" t="n">
        <f aca="false">parametros_recargas!$E$84*'Plan mensual'!K213+parametros_recargas!$F$84*'Plan mensual'!K214+parametros_recargas!$G$84*'Plan mensual'!K215+parametros_recargas!$H$84*'Plan mensual'!K216+parametros_recargas!$I$84*'Plan mensual'!K217+parametros_recargas!$J$84*'Plan mensual'!K218+parametros_recargas!$K$84*'Plan mensual'!K219+parametros_recargas!$L$84*'Plan mensual'!K220</f>
        <v>1431.86867338754</v>
      </c>
      <c r="J206" s="25" t="n">
        <f aca="false">parametros_recargas!$E$84*'Plan mensual'!L213+parametros_recargas!$F$84*'Plan mensual'!L214+parametros_recargas!$G$84*'Plan mensual'!L215+parametros_recargas!$H$84*'Plan mensual'!L216+parametros_recargas!$I$84*'Plan mensual'!L217+parametros_recargas!$J$84*'Plan mensual'!L218+parametros_recargas!$K$84*'Plan mensual'!L219+parametros_recargas!$L$84*'Plan mensual'!L220</f>
        <v>1447.13638505231</v>
      </c>
      <c r="K206" s="25" t="n">
        <f aca="false">parametros_recargas!$E$84*'Plan mensual'!M213+parametros_recargas!$F$84*'Plan mensual'!M214+parametros_recargas!$G$84*'Plan mensual'!M215+parametros_recargas!$H$84*'Plan mensual'!M216+parametros_recargas!$I$84*'Plan mensual'!M217+parametros_recargas!$J$84*'Plan mensual'!M218+parametros_recargas!$K$84*'Plan mensual'!M219+parametros_recargas!$L$84*'Plan mensual'!M220</f>
        <v>1462.56815783887</v>
      </c>
      <c r="L206" s="25" t="n">
        <f aca="false">parametros_recargas!$E$84*'Plan mensual'!N213+parametros_recargas!$F$84*'Plan mensual'!N214+parametros_recargas!$G$84*'Plan mensual'!N215+parametros_recargas!$H$84*'Plan mensual'!N216+parametros_recargas!$I$84*'Plan mensual'!N217+parametros_recargas!$J$84*'Plan mensual'!N218+parametros_recargas!$K$84*'Plan mensual'!N219+parametros_recargas!$L$84*'Plan mensual'!N220</f>
        <v>1478.16575468672</v>
      </c>
      <c r="M206" s="25" t="n">
        <f aca="false">parametros_recargas!$E$84*'Plan mensual'!O213+parametros_recargas!$F$84*'Plan mensual'!O214+parametros_recargas!$G$84*'Plan mensual'!O215+parametros_recargas!$H$84*'Plan mensual'!O216+parametros_recargas!$I$84*'Plan mensual'!O217+parametros_recargas!$J$84*'Plan mensual'!O218+parametros_recargas!$K$84*'Plan mensual'!O219+parametros_recargas!$L$84*'Plan mensual'!O220</f>
        <v>1493.93095747922</v>
      </c>
      <c r="N206" s="7" t="n">
        <f aca="false">SUM(B206:M206)</f>
        <v>16922.674200152</v>
      </c>
      <c r="O206" s="26" t="n">
        <f aca="false">MAX(B206:M206)</f>
        <v>1493.93095747922</v>
      </c>
      <c r="P206" s="15" t="n">
        <f aca="false">O206/parametros_recargas!$B$6</f>
        <v>9.95953971652813</v>
      </c>
    </row>
    <row r="207" customFormat="false" ht="15" hidden="false" customHeight="false" outlineLevel="0" collapsed="false">
      <c r="A207" s="12" t="str">
        <f aca="false">parametros_recargas!$B$85</f>
        <v>Inspección interior con videoscopio</v>
      </c>
      <c r="B207" s="25" t="n">
        <f aca="false">parametros_recargas!$E$85*'Plan mensual'!D213+parametros_recargas!$F$85*'Plan mensual'!D214+parametros_recargas!$G$85*'Plan mensual'!D215+parametros_recargas!$H$85*'Plan mensual'!D216+parametros_recargas!$I$85*'Plan mensual'!D217+parametros_recargas!$J$85*'Plan mensual'!D218+parametros_recargas!$K$85*'Plan mensual'!D219+parametros_recargas!$L$85*'Plan mensual'!D220</f>
        <v>1329.44420237983</v>
      </c>
      <c r="C207" s="25" t="n">
        <f aca="false">parametros_recargas!$E$85*'Plan mensual'!E213+parametros_recargas!$F$85*'Plan mensual'!E214+parametros_recargas!$G$85*'Plan mensual'!E215+parametros_recargas!$H$85*'Plan mensual'!E216+parametros_recargas!$I$85*'Plan mensual'!E217+parametros_recargas!$J$85*'Plan mensual'!E218+parametros_recargas!$K$85*'Plan mensual'!E219+parametros_recargas!$L$85*'Plan mensual'!E220</f>
        <v>1343.61129896996</v>
      </c>
      <c r="D207" s="25" t="n">
        <f aca="false">parametros_recargas!$E$85*'Plan mensual'!F213+parametros_recargas!$F$85*'Plan mensual'!F214+parametros_recargas!$G$85*'Plan mensual'!F215+parametros_recargas!$H$85*'Plan mensual'!F216+parametros_recargas!$I$85*'Plan mensual'!F217+parametros_recargas!$J$85*'Plan mensual'!F218+parametros_recargas!$K$85*'Plan mensual'!F219+parametros_recargas!$L$85*'Plan mensual'!F220</f>
        <v>1357.93062988376</v>
      </c>
      <c r="E207" s="25" t="n">
        <f aca="false">parametros_recargas!$E$85*'Plan mensual'!G213+parametros_recargas!$F$85*'Plan mensual'!G214+parametros_recargas!$G$85*'Plan mensual'!G215+parametros_recargas!$H$85*'Plan mensual'!G216+parametros_recargas!$I$85*'Plan mensual'!G217+parametros_recargas!$J$85*'Plan mensual'!G218+parametros_recargas!$K$85*'Plan mensual'!G219+parametros_recargas!$L$85*'Plan mensual'!G220</f>
        <v>1372.40383097435</v>
      </c>
      <c r="F207" s="25" t="n">
        <f aca="false">parametros_recargas!$E$85*'Plan mensual'!H213+parametros_recargas!$F$85*'Plan mensual'!H214+parametros_recargas!$G$85*'Plan mensual'!H215+parametros_recargas!$H$85*'Plan mensual'!H216+parametros_recargas!$I$85*'Plan mensual'!H217+parametros_recargas!$J$85*'Plan mensual'!H218+parametros_recargas!$K$85*'Plan mensual'!H219+parametros_recargas!$L$85*'Plan mensual'!H220</f>
        <v>1387.03255567314</v>
      </c>
      <c r="G207" s="25" t="n">
        <f aca="false">parametros_recargas!$E$85*'Plan mensual'!I213+parametros_recargas!$F$85*'Plan mensual'!I214+parametros_recargas!$G$85*'Plan mensual'!I215+parametros_recargas!$H$85*'Plan mensual'!I216+parametros_recargas!$I$85*'Plan mensual'!I217+parametros_recargas!$J$85*'Plan mensual'!I218+parametros_recargas!$K$85*'Plan mensual'!I219+parametros_recargas!$L$85*'Plan mensual'!I220</f>
        <v>1401.81847517868</v>
      </c>
      <c r="H207" s="25" t="n">
        <f aca="false">parametros_recargas!$E$85*'Plan mensual'!J213+parametros_recargas!$F$85*'Plan mensual'!J214+parametros_recargas!$G$85*'Plan mensual'!J215+parametros_recargas!$H$85*'Plan mensual'!J216+parametros_recargas!$I$85*'Plan mensual'!J217+parametros_recargas!$J$85*'Plan mensual'!J218+parametros_recargas!$K$85*'Plan mensual'!J219+parametros_recargas!$L$85*'Plan mensual'!J220</f>
        <v>1416.76327864759</v>
      </c>
      <c r="I207" s="25" t="n">
        <f aca="false">parametros_recargas!$E$85*'Plan mensual'!K213+parametros_recargas!$F$85*'Plan mensual'!K214+parametros_recargas!$G$85*'Plan mensual'!K215+parametros_recargas!$H$85*'Plan mensual'!K216+parametros_recargas!$I$85*'Plan mensual'!K217+parametros_recargas!$J$85*'Plan mensual'!K218+parametros_recargas!$K$85*'Plan mensual'!K219+parametros_recargas!$L$85*'Plan mensual'!K220</f>
        <v>1431.86867338754</v>
      </c>
      <c r="J207" s="25" t="n">
        <f aca="false">parametros_recargas!$E$85*'Plan mensual'!L213+parametros_recargas!$F$85*'Plan mensual'!L214+parametros_recargas!$G$85*'Plan mensual'!L215+parametros_recargas!$H$85*'Plan mensual'!L216+parametros_recargas!$I$85*'Plan mensual'!L217+parametros_recargas!$J$85*'Plan mensual'!L218+parametros_recargas!$K$85*'Plan mensual'!L219+parametros_recargas!$L$85*'Plan mensual'!L220</f>
        <v>1447.13638505231</v>
      </c>
      <c r="K207" s="25" t="n">
        <f aca="false">parametros_recargas!$E$85*'Plan mensual'!M213+parametros_recargas!$F$85*'Plan mensual'!M214+parametros_recargas!$G$85*'Plan mensual'!M215+parametros_recargas!$H$85*'Plan mensual'!M216+parametros_recargas!$I$85*'Plan mensual'!M217+parametros_recargas!$J$85*'Plan mensual'!M218+parametros_recargas!$K$85*'Plan mensual'!M219+parametros_recargas!$L$85*'Plan mensual'!M220</f>
        <v>1462.56815783887</v>
      </c>
      <c r="L207" s="25" t="n">
        <f aca="false">parametros_recargas!$E$85*'Plan mensual'!N213+parametros_recargas!$F$85*'Plan mensual'!N214+parametros_recargas!$G$85*'Plan mensual'!N215+parametros_recargas!$H$85*'Plan mensual'!N216+parametros_recargas!$I$85*'Plan mensual'!N217+parametros_recargas!$J$85*'Plan mensual'!N218+parametros_recargas!$K$85*'Plan mensual'!N219+parametros_recargas!$L$85*'Plan mensual'!N220</f>
        <v>1478.16575468672</v>
      </c>
      <c r="M207" s="25" t="n">
        <f aca="false">parametros_recargas!$E$85*'Plan mensual'!O213+parametros_recargas!$F$85*'Plan mensual'!O214+parametros_recargas!$G$85*'Plan mensual'!O215+parametros_recargas!$H$85*'Plan mensual'!O216+parametros_recargas!$I$85*'Plan mensual'!O217+parametros_recargas!$J$85*'Plan mensual'!O218+parametros_recargas!$K$85*'Plan mensual'!O219+parametros_recargas!$L$85*'Plan mensual'!O220</f>
        <v>1493.93095747922</v>
      </c>
      <c r="N207" s="7" t="n">
        <f aca="false">SUM(B207:M207)</f>
        <v>16922.674200152</v>
      </c>
      <c r="O207" s="26" t="n">
        <f aca="false">MAX(B207:M207)</f>
        <v>1493.93095747922</v>
      </c>
      <c r="P207" s="15" t="n">
        <f aca="false">O207/parametros_recargas!$B$6</f>
        <v>9.95953971652813</v>
      </c>
    </row>
    <row r="208" customFormat="false" ht="15" hidden="false" customHeight="false" outlineLevel="0" collapsed="false">
      <c r="A208" s="12" t="str">
        <f aca="false">parametros_recargas!$B$86</f>
        <v>Pintura</v>
      </c>
      <c r="B208" s="25" t="n">
        <f aca="false">parametros_recargas!$E$86*'Plan mensual'!D213+parametros_recargas!$F$86*'Plan mensual'!D214+parametros_recargas!$G$86*'Plan mensual'!D215+parametros_recargas!$H$86*'Plan mensual'!D216+parametros_recargas!$I$86*'Plan mensual'!D217+parametros_recargas!$J$86*'Plan mensual'!D218+parametros_recargas!$K$86*'Plan mensual'!D219+parametros_recargas!$L$86*'Plan mensual'!D220</f>
        <v>664.986157683591</v>
      </c>
      <c r="C208" s="25" t="n">
        <f aca="false">parametros_recargas!$E$86*'Plan mensual'!E213+parametros_recargas!$F$86*'Plan mensual'!E214+parametros_recargas!$G$86*'Plan mensual'!E215+parametros_recargas!$H$86*'Plan mensual'!E216+parametros_recargas!$I$86*'Plan mensual'!E217+parametros_recargas!$J$86*'Plan mensual'!E218+parametros_recargas!$K$86*'Plan mensual'!E219+parametros_recargas!$L$86*'Plan mensual'!E220</f>
        <v>672.072570295085</v>
      </c>
      <c r="D208" s="25" t="n">
        <f aca="false">parametros_recargas!$E$86*'Plan mensual'!F213+parametros_recargas!$F$86*'Plan mensual'!F214+parametros_recargas!$G$86*'Plan mensual'!F215+parametros_recargas!$H$86*'Plan mensual'!F216+parametros_recargas!$I$86*'Plan mensual'!F217+parametros_recargas!$J$86*'Plan mensual'!F218+parametros_recargas!$K$86*'Plan mensual'!F219+parametros_recargas!$L$86*'Plan mensual'!F220</f>
        <v>679.235130847288</v>
      </c>
      <c r="E208" s="25" t="n">
        <f aca="false">parametros_recargas!$E$86*'Plan mensual'!G213+parametros_recargas!$F$86*'Plan mensual'!G214+parametros_recargas!$G$86*'Plan mensual'!G215+parametros_recargas!$H$86*'Plan mensual'!G216+parametros_recargas!$I$86*'Plan mensual'!G217+parametros_recargas!$J$86*'Plan mensual'!G218+parametros_recargas!$K$86*'Plan mensual'!G219+parametros_recargas!$L$86*'Plan mensual'!G220</f>
        <v>686.474657597501</v>
      </c>
      <c r="F208" s="25" t="n">
        <f aca="false">parametros_recargas!$E$86*'Plan mensual'!H213+parametros_recargas!$F$86*'Plan mensual'!H214+parametros_recargas!$G$86*'Plan mensual'!H215+parametros_recargas!$H$86*'Plan mensual'!H216+parametros_recargas!$I$86*'Plan mensual'!H217+parametros_recargas!$J$86*'Plan mensual'!H218+parametros_recargas!$K$86*'Plan mensual'!H219+parametros_recargas!$L$86*'Plan mensual'!H220</f>
        <v>693.791977595716</v>
      </c>
      <c r="G208" s="25" t="n">
        <f aca="false">parametros_recargas!$E$86*'Plan mensual'!I213+parametros_recargas!$F$86*'Plan mensual'!I214+parametros_recargas!$G$86*'Plan mensual'!I215+parametros_recargas!$H$86*'Plan mensual'!I216+parametros_recargas!$I$86*'Plan mensual'!I217+parametros_recargas!$J$86*'Plan mensual'!I218+parametros_recargas!$K$86*'Plan mensual'!I219+parametros_recargas!$L$86*'Plan mensual'!I220</f>
        <v>701.187926779093</v>
      </c>
      <c r="H208" s="25" t="n">
        <f aca="false">parametros_recargas!$E$86*'Plan mensual'!J213+parametros_recargas!$F$86*'Plan mensual'!J214+parametros_recargas!$G$86*'Plan mensual'!J215+parametros_recargas!$H$86*'Plan mensual'!J216+parametros_recargas!$I$86*'Plan mensual'!J217+parametros_recargas!$J$86*'Plan mensual'!J218+parametros_recargas!$K$86*'Plan mensual'!J219+parametros_recargas!$L$86*'Plan mensual'!J220</f>
        <v>708.66335006746</v>
      </c>
      <c r="I208" s="25" t="n">
        <f aca="false">parametros_recargas!$E$86*'Plan mensual'!K213+parametros_recargas!$F$86*'Plan mensual'!K214+parametros_recargas!$G$86*'Plan mensual'!K215+parametros_recargas!$H$86*'Plan mensual'!K216+parametros_recargas!$I$86*'Plan mensual'!K217+parametros_recargas!$J$86*'Plan mensual'!K218+parametros_recargas!$K$86*'Plan mensual'!K219+parametros_recargas!$L$86*'Plan mensual'!K220</f>
        <v>716.219101459838</v>
      </c>
      <c r="J208" s="25" t="n">
        <f aca="false">parametros_recargas!$E$86*'Plan mensual'!L213+parametros_recargas!$F$86*'Plan mensual'!L214+parametros_recargas!$G$86*'Plan mensual'!L215+parametros_recargas!$H$86*'Plan mensual'!L216+parametros_recargas!$I$86*'Plan mensual'!L217+parametros_recargas!$J$86*'Plan mensual'!L218+parametros_recargas!$K$86*'Plan mensual'!L219+parametros_recargas!$L$86*'Plan mensual'!L220</f>
        <v>723.856044132004</v>
      </c>
      <c r="K208" s="25" t="n">
        <f aca="false">parametros_recargas!$E$86*'Plan mensual'!M213+parametros_recargas!$F$86*'Plan mensual'!M214+parametros_recargas!$G$86*'Plan mensual'!M215+parametros_recargas!$H$86*'Plan mensual'!M216+parametros_recargas!$I$86*'Plan mensual'!M217+parametros_recargas!$J$86*'Plan mensual'!M218+parametros_recargas!$K$86*'Plan mensual'!M219+parametros_recargas!$L$86*'Plan mensual'!M220</f>
        <v>731.575050535097</v>
      </c>
      <c r="L208" s="25" t="n">
        <f aca="false">parametros_recargas!$E$86*'Plan mensual'!N213+parametros_recargas!$F$86*'Plan mensual'!N214+parametros_recargas!$G$86*'Plan mensual'!N215+parametros_recargas!$H$86*'Plan mensual'!N216+parametros_recargas!$I$86*'Plan mensual'!N217+parametros_recargas!$J$86*'Plan mensual'!N218+parametros_recargas!$K$86*'Plan mensual'!N219+parametros_recargas!$L$86*'Plan mensual'!N220</f>
        <v>739.377002495289</v>
      </c>
      <c r="M208" s="25" t="n">
        <f aca="false">parametros_recargas!$E$86*'Plan mensual'!O213+parametros_recargas!$F$86*'Plan mensual'!O214+parametros_recargas!$G$86*'Plan mensual'!O215+parametros_recargas!$H$86*'Plan mensual'!O216+parametros_recargas!$I$86*'Plan mensual'!O217+parametros_recargas!$J$86*'Plan mensual'!O218+parametros_recargas!$K$86*'Plan mensual'!O219+parametros_recargas!$L$86*'Plan mensual'!O220</f>
        <v>747.262791314531</v>
      </c>
      <c r="N208" s="7" t="n">
        <f aca="false">SUM(B208:M208)</f>
        <v>8464.70176080249</v>
      </c>
      <c r="O208" s="26" t="n">
        <f aca="false">MAX(B208:M208)</f>
        <v>747.262791314531</v>
      </c>
      <c r="P208" s="15" t="n">
        <f aca="false">O208/parametros_recargas!$B$6</f>
        <v>4.98175194209687</v>
      </c>
    </row>
    <row r="209" customFormat="false" ht="15" hidden="false" customHeight="false" outlineLevel="0" collapsed="false">
      <c r="A209" s="12" t="str">
        <f aca="false">parametros_recargas!$B$87</f>
        <v>Carga de polvo ABC</v>
      </c>
      <c r="B209" s="25" t="n">
        <f aca="false">parametros_recargas!$E$87*'Plan mensual'!D213+parametros_recargas!$F$87*'Plan mensual'!D214+parametros_recargas!$G$87*'Plan mensual'!D215+parametros_recargas!$H$87*'Plan mensual'!D216+parametros_recargas!$I$87*'Plan mensual'!D217+parametros_recargas!$J$87*'Plan mensual'!D218+parametros_recargas!$K$87*'Plan mensual'!D219+parametros_recargas!$L$87*'Plan mensual'!D220</f>
        <v>5781.76358655523</v>
      </c>
      <c r="C209" s="25" t="n">
        <f aca="false">parametros_recargas!$E$87*'Plan mensual'!E213+parametros_recargas!$F$87*'Plan mensual'!E214+parametros_recargas!$G$87*'Plan mensual'!E215+parametros_recargas!$H$87*'Plan mensual'!E216+parametros_recargas!$I$87*'Plan mensual'!E217+parametros_recargas!$J$87*'Plan mensual'!E218+parametros_recargas!$K$87*'Plan mensual'!E219+parametros_recargas!$L$87*'Plan mensual'!E220</f>
        <v>5843.3710937079</v>
      </c>
      <c r="D209" s="25" t="n">
        <f aca="false">parametros_recargas!$E$87*'Plan mensual'!F213+parametros_recargas!$F$87*'Plan mensual'!F214+parametros_recargas!$G$87*'Plan mensual'!F215+parametros_recargas!$H$87*'Plan mensual'!F216+parametros_recargas!$I$87*'Plan mensual'!F217+parametros_recargas!$J$87*'Plan mensual'!F218+parametros_recargas!$K$87*'Plan mensual'!F219+parametros_recargas!$L$87*'Plan mensual'!F220</f>
        <v>5905.6406121008</v>
      </c>
      <c r="E209" s="25" t="n">
        <f aca="false">parametros_recargas!$E$87*'Plan mensual'!G213+parametros_recargas!$F$87*'Plan mensual'!G214+parametros_recargas!$G$87*'Plan mensual'!G215+parametros_recargas!$H$87*'Plan mensual'!G216+parametros_recargas!$I$87*'Plan mensual'!G217+parametros_recargas!$J$87*'Plan mensual'!G218+parametros_recargas!$K$87*'Plan mensual'!G219+parametros_recargas!$L$87*'Plan mensual'!G220</f>
        <v>5968.57925545925</v>
      </c>
      <c r="F209" s="25" t="n">
        <f aca="false">parametros_recargas!$E$87*'Plan mensual'!H213+parametros_recargas!$F$87*'Plan mensual'!H214+parametros_recargas!$G$87*'Plan mensual'!H215+parametros_recargas!$H$87*'Plan mensual'!H216+parametros_recargas!$I$87*'Plan mensual'!H217+parametros_recargas!$J$87*'Plan mensual'!H218+parametros_recargas!$K$87*'Plan mensual'!H219+parametros_recargas!$L$87*'Plan mensual'!H220</f>
        <v>6032.19421394997</v>
      </c>
      <c r="G209" s="25" t="n">
        <f aca="false">parametros_recargas!$E$87*'Plan mensual'!I213+parametros_recargas!$F$87*'Plan mensual'!I214+parametros_recargas!$G$87*'Plan mensual'!I215+parametros_recargas!$H$87*'Plan mensual'!I216+parametros_recargas!$I$87*'Plan mensual'!I217+parametros_recargas!$J$87*'Plan mensual'!I218+parametros_recargas!$K$87*'Plan mensual'!I219+parametros_recargas!$L$87*'Plan mensual'!I220</f>
        <v>6096.49275500253</v>
      </c>
      <c r="H209" s="25" t="n">
        <f aca="false">parametros_recargas!$E$87*'Plan mensual'!J213+parametros_recargas!$F$87*'Plan mensual'!J214+parametros_recargas!$G$87*'Plan mensual'!J215+parametros_recargas!$H$87*'Plan mensual'!J216+parametros_recargas!$I$87*'Plan mensual'!J217+parametros_recargas!$J$87*'Plan mensual'!J218+parametros_recargas!$K$87*'Plan mensual'!J219+parametros_recargas!$L$87*'Plan mensual'!J220</f>
        <v>6161.4822241396</v>
      </c>
      <c r="I209" s="25" t="n">
        <f aca="false">parametros_recargas!$E$87*'Plan mensual'!K213+parametros_recargas!$F$87*'Plan mensual'!K214+parametros_recargas!$G$87*'Plan mensual'!K215+parametros_recargas!$H$87*'Plan mensual'!K216+parametros_recargas!$I$87*'Plan mensual'!K217+parametros_recargas!$J$87*'Plan mensual'!K218+parametros_recargas!$K$87*'Plan mensual'!K219+parametros_recargas!$L$87*'Plan mensual'!K220</f>
        <v>6227.17004581606</v>
      </c>
      <c r="J209" s="25" t="n">
        <f aca="false">parametros_recargas!$E$87*'Plan mensual'!L213+parametros_recargas!$F$87*'Plan mensual'!L214+parametros_recargas!$G$87*'Plan mensual'!L215+parametros_recargas!$H$87*'Plan mensual'!L216+parametros_recargas!$I$87*'Plan mensual'!L217+parametros_recargas!$J$87*'Plan mensual'!L218+parametros_recargas!$K$87*'Plan mensual'!L219+parametros_recargas!$L$87*'Plan mensual'!L220</f>
        <v>6293.56372426724</v>
      </c>
      <c r="K209" s="25" t="n">
        <f aca="false">parametros_recargas!$E$87*'Plan mensual'!M213+parametros_recargas!$F$87*'Plan mensual'!M214+parametros_recargas!$G$87*'Plan mensual'!M215+parametros_recargas!$H$87*'Plan mensual'!M216+parametros_recargas!$I$87*'Plan mensual'!M217+parametros_recargas!$J$87*'Plan mensual'!M218+parametros_recargas!$K$87*'Plan mensual'!M219+parametros_recargas!$L$87*'Plan mensual'!M220</f>
        <v>6360.67084436615</v>
      </c>
      <c r="L209" s="25" t="n">
        <f aca="false">parametros_recargas!$E$87*'Plan mensual'!N213+parametros_recargas!$F$87*'Plan mensual'!N214+parametros_recargas!$G$87*'Plan mensual'!N215+parametros_recargas!$H$87*'Plan mensual'!N216+parametros_recargas!$I$87*'Plan mensual'!N217+parametros_recargas!$J$87*'Plan mensual'!N218+parametros_recargas!$K$87*'Plan mensual'!N219+parametros_recargas!$L$87*'Plan mensual'!N220</f>
        <v>6428.49907249001</v>
      </c>
      <c r="M209" s="25" t="n">
        <f aca="false">parametros_recargas!$E$87*'Plan mensual'!O213+parametros_recargas!$F$87*'Plan mensual'!O214+parametros_recargas!$G$87*'Plan mensual'!O215+parametros_recargas!$H$87*'Plan mensual'!O216+parametros_recargas!$I$87*'Plan mensual'!O217+parametros_recargas!$J$87*'Plan mensual'!O218+parametros_recargas!$K$87*'Plan mensual'!O219+parametros_recargas!$L$87*'Plan mensual'!O220</f>
        <v>6497.0561573961</v>
      </c>
      <c r="N209" s="7" t="n">
        <f aca="false">SUM(B209:M209)</f>
        <v>73596.4835852508</v>
      </c>
      <c r="O209" s="26" t="n">
        <f aca="false">MAX(B209:M209)</f>
        <v>6497.0561573961</v>
      </c>
      <c r="P209" s="15" t="n">
        <f aca="false">O209/parametros_recargas!$B$6</f>
        <v>43.313707715974</v>
      </c>
    </row>
    <row r="210" customFormat="false" ht="15" hidden="false" customHeight="false" outlineLevel="0" collapsed="false">
      <c r="A210" s="12" t="str">
        <f aca="false">parametros_recargas!$B$88</f>
        <v>Carga de polvo BC</v>
      </c>
      <c r="B210" s="25" t="n">
        <f aca="false">parametros_recargas!$E$88*'Plan mensual'!D213+parametros_recargas!$F$88*'Plan mensual'!D214+parametros_recargas!$G$88*'Plan mensual'!D215+parametros_recargas!$H$88*'Plan mensual'!D216+parametros_recargas!$I$88*'Plan mensual'!D217+parametros_recargas!$J$88*'Plan mensual'!D218+parametros_recargas!$K$88*'Plan mensual'!D219+parametros_recargas!$L$88*'Plan mensual'!D220</f>
        <v>8.5147119663623</v>
      </c>
      <c r="C210" s="25" t="n">
        <f aca="false">parametros_recargas!$E$88*'Plan mensual'!E213+parametros_recargas!$F$88*'Plan mensual'!E214+parametros_recargas!$G$88*'Plan mensual'!E215+parametros_recargas!$H$88*'Plan mensual'!E216+parametros_recargas!$I$88*'Plan mensual'!E217+parametros_recargas!$J$88*'Plan mensual'!E218+parametros_recargas!$K$88*'Plan mensual'!E219+parametros_recargas!$L$88*'Plan mensual'!E220</f>
        <v>8.60441694028289</v>
      </c>
      <c r="D210" s="25" t="n">
        <f aca="false">parametros_recargas!$E$88*'Plan mensual'!F213+parametros_recargas!$F$88*'Plan mensual'!F214+parametros_recargas!$G$88*'Plan mensual'!F215+parametros_recargas!$H$88*'Plan mensual'!F216+parametros_recargas!$I$88*'Plan mensual'!F217+parametros_recargas!$J$88*'Plan mensual'!F218+parametros_recargas!$K$88*'Plan mensual'!F219+parametros_recargas!$L$88*'Plan mensual'!F220</f>
        <v>8.69508585031752</v>
      </c>
      <c r="E210" s="25" t="n">
        <f aca="false">parametros_recargas!$E$88*'Plan mensual'!G213+parametros_recargas!$F$88*'Plan mensual'!G214+parametros_recargas!$G$88*'Plan mensual'!G215+parametros_recargas!$H$88*'Plan mensual'!G216+parametros_recargas!$I$88*'Plan mensual'!G217+parametros_recargas!$J$88*'Plan mensual'!G218+parametros_recargas!$K$88*'Plan mensual'!G219+parametros_recargas!$L$88*'Plan mensual'!G220</f>
        <v>8.78672905456332</v>
      </c>
      <c r="F210" s="25" t="n">
        <f aca="false">parametros_recargas!$E$88*'Plan mensual'!H213+parametros_recargas!$F$88*'Plan mensual'!H214+parametros_recargas!$G$88*'Plan mensual'!H215+parametros_recargas!$H$88*'Plan mensual'!H216+parametros_recargas!$I$88*'Plan mensual'!H217+parametros_recargas!$J$88*'Plan mensual'!H218+parametros_recargas!$K$88*'Plan mensual'!H219+parametros_recargas!$L$88*'Plan mensual'!H220</f>
        <v>8.87935702242165</v>
      </c>
      <c r="G210" s="25" t="n">
        <f aca="false">parametros_recargas!$E$88*'Plan mensual'!I213+parametros_recargas!$F$88*'Plan mensual'!I214+parametros_recargas!$G$88*'Plan mensual'!I215+parametros_recargas!$H$88*'Plan mensual'!I216+parametros_recargas!$I$88*'Plan mensual'!I217+parametros_recargas!$J$88*'Plan mensual'!I218+parametros_recargas!$K$88*'Plan mensual'!I219+parametros_recargas!$L$88*'Plan mensual'!I220</f>
        <v>8.97298033579414</v>
      </c>
      <c r="H210" s="25" t="n">
        <f aca="false">parametros_recargas!$E$88*'Plan mensual'!J213+parametros_recargas!$F$88*'Plan mensual'!J214+parametros_recargas!$G$88*'Plan mensual'!J215+parametros_recargas!$H$88*'Plan mensual'!J216+parametros_recargas!$I$88*'Plan mensual'!J217+parametros_recargas!$J$88*'Plan mensual'!J218+parametros_recargas!$K$88*'Plan mensual'!J219+parametros_recargas!$L$88*'Plan mensual'!J220</f>
        <v>9.06760969029159</v>
      </c>
      <c r="I210" s="25" t="n">
        <f aca="false">parametros_recargas!$E$88*'Plan mensual'!K213+parametros_recargas!$F$88*'Plan mensual'!K214+parametros_recargas!$G$88*'Plan mensual'!K215+parametros_recargas!$H$88*'Plan mensual'!K216+parametros_recargas!$I$88*'Plan mensual'!K217+parametros_recargas!$J$88*'Plan mensual'!K218+parametros_recargas!$K$88*'Plan mensual'!K219+parametros_recargas!$L$88*'Plan mensual'!K220</f>
        <v>9.1632558964558</v>
      </c>
      <c r="J210" s="25" t="n">
        <f aca="false">parametros_recargas!$E$88*'Plan mensual'!L213+parametros_recargas!$F$88*'Plan mensual'!L214+parametros_recargas!$G$88*'Plan mensual'!L215+parametros_recargas!$H$88*'Plan mensual'!L216+parametros_recargas!$I$88*'Plan mensual'!L217+parametros_recargas!$J$88*'Plan mensual'!L218+parametros_recargas!$K$88*'Plan mensual'!L219+parametros_recargas!$L$88*'Plan mensual'!L220</f>
        <v>9.25992988099466</v>
      </c>
      <c r="K210" s="25" t="n">
        <f aca="false">parametros_recargas!$E$88*'Plan mensual'!M213+parametros_recargas!$F$88*'Plan mensual'!M214+parametros_recargas!$G$88*'Plan mensual'!M215+parametros_recargas!$H$88*'Plan mensual'!M216+parametros_recargas!$I$88*'Plan mensual'!M217+parametros_recargas!$J$88*'Plan mensual'!M218+parametros_recargas!$K$88*'Plan mensual'!M219+parametros_recargas!$L$88*'Plan mensual'!M220</f>
        <v>9.35764268803034</v>
      </c>
      <c r="L210" s="25" t="n">
        <f aca="false">parametros_recargas!$E$88*'Plan mensual'!N213+parametros_recargas!$F$88*'Plan mensual'!N214+parametros_recargas!$G$88*'Plan mensual'!N215+parametros_recargas!$H$88*'Plan mensual'!N216+parametros_recargas!$I$88*'Plan mensual'!N217+parametros_recargas!$J$88*'Plan mensual'!N218+parametros_recargas!$K$88*'Plan mensual'!N219+parametros_recargas!$L$88*'Plan mensual'!N220</f>
        <v>9.45640548036105</v>
      </c>
      <c r="M210" s="25" t="n">
        <f aca="false">parametros_recargas!$E$88*'Plan mensual'!O213+parametros_recargas!$F$88*'Plan mensual'!O214+parametros_recargas!$G$88*'Plan mensual'!O215+parametros_recargas!$H$88*'Plan mensual'!O216+parametros_recargas!$I$88*'Plan mensual'!O217+parametros_recargas!$J$88*'Plan mensual'!O218+parametros_recargas!$K$88*'Plan mensual'!O219+parametros_recargas!$L$88*'Plan mensual'!O220</f>
        <v>9.55622954073622</v>
      </c>
      <c r="N210" s="7" t="n">
        <f aca="false">SUM(B210:M210)</f>
        <v>108.314354346611</v>
      </c>
      <c r="O210" s="26" t="n">
        <f aca="false">MAX(B210:M210)</f>
        <v>9.55622954073622</v>
      </c>
      <c r="P210" s="15" t="n">
        <f aca="false">O210/parametros_recargas!$B$6</f>
        <v>0.0637081969382415</v>
      </c>
    </row>
    <row r="211" customFormat="false" ht="15" hidden="false" customHeight="false" outlineLevel="0" collapsed="false">
      <c r="A211" s="12" t="str">
        <f aca="false">parametros_recargas!$B$89</f>
        <v>Descarga y carga Clase D</v>
      </c>
      <c r="B211" s="25" t="n">
        <f aca="false">parametros_recargas!$E$89*'Plan mensual'!D213+parametros_recargas!$F$89*'Plan mensual'!D214+parametros_recargas!$G$89*'Plan mensual'!D215+parametros_recargas!$H$89*'Plan mensual'!D216+parametros_recargas!$I$89*'Plan mensual'!D217+parametros_recargas!$J$89*'Plan mensual'!D218+parametros_recargas!$K$89*'Plan mensual'!D219+parametros_recargas!$L$89*'Plan mensual'!D220</f>
        <v>7.59974478895359</v>
      </c>
      <c r="C211" s="25" t="n">
        <f aca="false">parametros_recargas!$E$89*'Plan mensual'!E213+parametros_recargas!$F$89*'Plan mensual'!E214+parametros_recargas!$G$89*'Plan mensual'!E215+parametros_recargas!$H$89*'Plan mensual'!E216+parametros_recargas!$I$89*'Plan mensual'!E217+parametros_recargas!$J$89*'Plan mensual'!E218+parametros_recargas!$K$89*'Plan mensual'!E219+parametros_recargas!$L$89*'Plan mensual'!E220</f>
        <v>7.6796178676411</v>
      </c>
      <c r="D211" s="25" t="n">
        <f aca="false">parametros_recargas!$E$89*'Plan mensual'!F213+parametros_recargas!$F$89*'Plan mensual'!F214+parametros_recargas!$G$89*'Plan mensual'!F215+parametros_recargas!$H$89*'Plan mensual'!F216+parametros_recargas!$I$89*'Plan mensual'!F217+parametros_recargas!$J$89*'Plan mensual'!F218+parametros_recargas!$K$89*'Plan mensual'!F219+parametros_recargas!$L$89*'Plan mensual'!F220</f>
        <v>7.76034923257207</v>
      </c>
      <c r="E211" s="25" t="n">
        <f aca="false">parametros_recargas!$E$89*'Plan mensual'!G213+parametros_recargas!$F$89*'Plan mensual'!G214+parametros_recargas!$G$89*'Plan mensual'!G215+parametros_recargas!$H$89*'Plan mensual'!G216+parametros_recargas!$I$89*'Plan mensual'!G217+parametros_recargas!$J$89*'Plan mensual'!G218+parametros_recargas!$K$89*'Plan mensual'!G219+parametros_recargas!$L$89*'Plan mensual'!G220</f>
        <v>7.84194810656963</v>
      </c>
      <c r="F211" s="25" t="n">
        <f aca="false">parametros_recargas!$E$89*'Plan mensual'!H213+parametros_recargas!$F$89*'Plan mensual'!H214+parametros_recargas!$G$89*'Plan mensual'!H215+parametros_recargas!$H$89*'Plan mensual'!H216+parametros_recargas!$I$89*'Plan mensual'!H217+parametros_recargas!$J$89*'Plan mensual'!H218+parametros_recargas!$K$89*'Plan mensual'!H219+parametros_recargas!$L$89*'Plan mensual'!H220</f>
        <v>7.92442381156188</v>
      </c>
      <c r="G211" s="25" t="n">
        <f aca="false">parametros_recargas!$E$89*'Plan mensual'!I213+parametros_recargas!$F$89*'Plan mensual'!I214+parametros_recargas!$G$89*'Plan mensual'!I215+parametros_recargas!$H$89*'Plan mensual'!I216+parametros_recargas!$I$89*'Plan mensual'!I217+parametros_recargas!$J$89*'Plan mensual'!I218+parametros_recargas!$K$89*'Plan mensual'!I219+parametros_recargas!$L$89*'Plan mensual'!I220</f>
        <v>8.0077857696469</v>
      </c>
      <c r="H211" s="25" t="n">
        <f aca="false">parametros_recargas!$E$89*'Plan mensual'!J213+parametros_recargas!$F$89*'Plan mensual'!J214+parametros_recargas!$G$89*'Plan mensual'!J215+parametros_recargas!$H$89*'Plan mensual'!J216+parametros_recargas!$I$89*'Plan mensual'!J217+parametros_recargas!$J$89*'Plan mensual'!J218+parametros_recargas!$K$89*'Plan mensual'!J219+parametros_recargas!$L$89*'Plan mensual'!J220</f>
        <v>8.0920435041691</v>
      </c>
      <c r="I211" s="25" t="n">
        <f aca="false">parametros_recargas!$E$89*'Plan mensual'!K213+parametros_recargas!$F$89*'Plan mensual'!K214+parametros_recargas!$G$89*'Plan mensual'!K215+parametros_recargas!$H$89*'Plan mensual'!K216+parametros_recargas!$I$89*'Plan mensual'!K217+parametros_recargas!$J$89*'Plan mensual'!K218+parametros_recargas!$K$89*'Plan mensual'!K219+parametros_recargas!$L$89*'Plan mensual'!K220</f>
        <v>8.17720664080719</v>
      </c>
      <c r="J211" s="25" t="n">
        <f aca="false">parametros_recargas!$E$89*'Plan mensual'!L213+parametros_recargas!$F$89*'Plan mensual'!L214+parametros_recargas!$G$89*'Plan mensual'!L215+parametros_recargas!$H$89*'Plan mensual'!L216+parametros_recargas!$I$89*'Plan mensual'!L217+parametros_recargas!$J$89*'Plan mensual'!L218+parametros_recargas!$K$89*'Plan mensual'!L219+parametros_recargas!$L$89*'Plan mensual'!L220</f>
        <v>8.26328490867384</v>
      </c>
      <c r="K211" s="25" t="n">
        <f aca="false">parametros_recargas!$E$89*'Plan mensual'!M213+parametros_recargas!$F$89*'Plan mensual'!M214+parametros_recargas!$G$89*'Plan mensual'!M215+parametros_recargas!$H$89*'Plan mensual'!M216+parametros_recargas!$I$89*'Plan mensual'!M217+parametros_recargas!$J$89*'Plan mensual'!M218+parametros_recargas!$K$89*'Plan mensual'!M219+parametros_recargas!$L$89*'Plan mensual'!M220</f>
        <v>8.3502881414271</v>
      </c>
      <c r="L211" s="25" t="n">
        <f aca="false">parametros_recargas!$E$89*'Plan mensual'!N213+parametros_recargas!$F$89*'Plan mensual'!N214+parametros_recargas!$G$89*'Plan mensual'!N215+parametros_recargas!$H$89*'Plan mensual'!N216+parametros_recargas!$I$89*'Plan mensual'!N217+parametros_recargas!$J$89*'Plan mensual'!N218+parametros_recargas!$K$89*'Plan mensual'!N219+parametros_recargas!$L$89*'Plan mensual'!N220</f>
        <v>8.43822627839385</v>
      </c>
      <c r="M211" s="25" t="n">
        <f aca="false">parametros_recargas!$E$89*'Plan mensual'!O213+parametros_recargas!$F$89*'Plan mensual'!O214+parametros_recargas!$G$89*'Plan mensual'!O215+parametros_recargas!$H$89*'Plan mensual'!O216+parametros_recargas!$I$89*'Plan mensual'!O217+parametros_recargas!$J$89*'Plan mensual'!O218+parametros_recargas!$K$89*'Plan mensual'!O219+parametros_recargas!$L$89*'Plan mensual'!O220</f>
        <v>8.52710936570528</v>
      </c>
      <c r="N211" s="7" t="n">
        <f aca="false">SUM(B211:M211)</f>
        <v>96.6620284161215</v>
      </c>
      <c r="O211" s="26" t="n">
        <f aca="false">MAX(B211:M211)</f>
        <v>8.52710936570528</v>
      </c>
      <c r="P211" s="15" t="n">
        <f aca="false">O211/parametros_recargas!$B$6</f>
        <v>0.0568473957713685</v>
      </c>
    </row>
    <row r="212" customFormat="false" ht="15" hidden="false" customHeight="false" outlineLevel="0" collapsed="false">
      <c r="A212" s="12" t="str">
        <f aca="false">parametros_recargas!$B$90</f>
        <v>Carga de agua / AFFF / sales K</v>
      </c>
      <c r="B212" s="25" t="n">
        <f aca="false">parametros_recargas!$E$90*'Plan mensual'!D213+parametros_recargas!$F$90*'Plan mensual'!D214+parametros_recargas!$G$90*'Plan mensual'!D215+parametros_recargas!$H$90*'Plan mensual'!D216+parametros_recargas!$I$90*'Plan mensual'!D217+parametros_recargas!$J$90*'Plan mensual'!D218+parametros_recargas!$K$90*'Plan mensual'!D219+parametros_recargas!$L$90*'Plan mensual'!D220</f>
        <v>292.534467102286</v>
      </c>
      <c r="C212" s="25" t="n">
        <f aca="false">parametros_recargas!$E$90*'Plan mensual'!E213+parametros_recargas!$F$90*'Plan mensual'!E214+parametros_recargas!$G$90*'Plan mensual'!E215+parametros_recargas!$H$90*'Plan mensual'!E216+parametros_recargas!$I$90*'Plan mensual'!E217+parametros_recargas!$J$90*'Plan mensual'!E218+parametros_recargas!$K$90*'Plan mensual'!E219+parametros_recargas!$L$90*'Plan mensual'!E220</f>
        <v>295.651964526853</v>
      </c>
      <c r="D212" s="25" t="n">
        <f aca="false">parametros_recargas!$E$90*'Plan mensual'!F213+parametros_recargas!$F$90*'Plan mensual'!F214+parametros_recargas!$G$90*'Plan mensual'!F215+parametros_recargas!$H$90*'Plan mensual'!F216+parametros_recargas!$I$90*'Plan mensual'!F217+parametros_recargas!$J$90*'Plan mensual'!F218+parametros_recargas!$K$90*'Plan mensual'!F219+parametros_recargas!$L$90*'Plan mensual'!F220</f>
        <v>298.802961413286</v>
      </c>
      <c r="E212" s="25" t="n">
        <f aca="false">parametros_recargas!$E$90*'Plan mensual'!G213+parametros_recargas!$F$90*'Plan mensual'!G214+parametros_recargas!$G$90*'Plan mensual'!G215+parametros_recargas!$H$90*'Plan mensual'!G216+parametros_recargas!$I$90*'Plan mensual'!G217+parametros_recargas!$J$90*'Plan mensual'!G218+parametros_recargas!$K$90*'Plan mensual'!G219+parametros_recargas!$L$90*'Plan mensual'!G220</f>
        <v>301.987817734279</v>
      </c>
      <c r="F212" s="25" t="n">
        <f aca="false">parametros_recargas!$E$90*'Plan mensual'!H213+parametros_recargas!$F$90*'Plan mensual'!H214+parametros_recargas!$G$90*'Plan mensual'!H215+parametros_recargas!$H$90*'Plan mensual'!H216+parametros_recargas!$I$90*'Plan mensual'!H217+parametros_recargas!$J$90*'Plan mensual'!H218+parametros_recargas!$K$90*'Plan mensual'!H219+parametros_recargas!$L$90*'Plan mensual'!H220</f>
        <v>305.206897330655</v>
      </c>
      <c r="G212" s="25" t="n">
        <f aca="false">parametros_recargas!$E$90*'Plan mensual'!I213+parametros_recargas!$F$90*'Plan mensual'!I214+parametros_recargas!$G$90*'Plan mensual'!I215+parametros_recargas!$H$90*'Plan mensual'!I216+parametros_recargas!$I$90*'Plan mensual'!I217+parametros_recargas!$J$90*'Plan mensual'!I218+parametros_recargas!$K$90*'Plan mensual'!I219+parametros_recargas!$L$90*'Plan mensual'!I220</f>
        <v>308.46056795294</v>
      </c>
      <c r="H212" s="25" t="n">
        <f aca="false">parametros_recargas!$E$90*'Plan mensual'!J213+parametros_recargas!$F$90*'Plan mensual'!J214+parametros_recargas!$G$90*'Plan mensual'!J215+parametros_recargas!$H$90*'Plan mensual'!J216+parametros_recargas!$I$90*'Plan mensual'!J217+parametros_recargas!$J$90*'Plan mensual'!J218+parametros_recargas!$K$90*'Plan mensual'!J219+parametros_recargas!$L$90*'Plan mensual'!J220</f>
        <v>311.749201303365</v>
      </c>
      <c r="I212" s="25" t="n">
        <f aca="false">parametros_recargas!$E$90*'Plan mensual'!K213+parametros_recargas!$F$90*'Plan mensual'!K214+parametros_recargas!$G$90*'Plan mensual'!K215+parametros_recargas!$H$90*'Plan mensual'!K216+parametros_recargas!$I$90*'Plan mensual'!K217+parametros_recargas!$J$90*'Plan mensual'!K218+parametros_recargas!$K$90*'Plan mensual'!K219+parametros_recargas!$L$90*'Plan mensual'!K220</f>
        <v>315.073173078337</v>
      </c>
      <c r="J212" s="25" t="n">
        <f aca="false">parametros_recargas!$E$90*'Plan mensual'!L213+parametros_recargas!$F$90*'Plan mensual'!L214+parametros_recargas!$G$90*'Plan mensual'!L215+parametros_recargas!$H$90*'Plan mensual'!L216+parametros_recargas!$I$90*'Plan mensual'!L217+parametros_recargas!$J$90*'Plan mensual'!L218+parametros_recargas!$K$90*'Plan mensual'!L219+parametros_recargas!$L$90*'Plan mensual'!L220</f>
        <v>318.432863011354</v>
      </c>
      <c r="K212" s="25" t="n">
        <f aca="false">parametros_recargas!$E$90*'Plan mensual'!M213+parametros_recargas!$F$90*'Plan mensual'!M214+parametros_recargas!$G$90*'Plan mensual'!M215+parametros_recargas!$H$90*'Plan mensual'!M216+parametros_recargas!$I$90*'Plan mensual'!M217+parametros_recargas!$J$90*'Plan mensual'!M218+parametros_recargas!$K$90*'Plan mensual'!M219+parametros_recargas!$L$90*'Plan mensual'!M220</f>
        <v>321.828654916391</v>
      </c>
      <c r="L212" s="25" t="n">
        <f aca="false">parametros_recargas!$E$90*'Plan mensual'!N213+parametros_recargas!$F$90*'Plan mensual'!N214+parametros_recargas!$G$90*'Plan mensual'!N215+parametros_recargas!$H$90*'Plan mensual'!N216+parametros_recargas!$I$90*'Plan mensual'!N217+parametros_recargas!$J$90*'Plan mensual'!N218+parametros_recargas!$K$90*'Plan mensual'!N219+parametros_recargas!$L$90*'Plan mensual'!N220</f>
        <v>325.260936731741</v>
      </c>
      <c r="M212" s="25" t="n">
        <f aca="false">parametros_recargas!$E$90*'Plan mensual'!O213+parametros_recargas!$F$90*'Plan mensual'!O214+parametros_recargas!$G$90*'Plan mensual'!O215+parametros_recargas!$H$90*'Plan mensual'!O216+parametros_recargas!$I$90*'Plan mensual'!O217+parametros_recargas!$J$90*'Plan mensual'!O218+parametros_recargas!$K$90*'Plan mensual'!O219+parametros_recargas!$L$90*'Plan mensual'!O220</f>
        <v>328.730100564339</v>
      </c>
      <c r="N212" s="7" t="n">
        <f aca="false">SUM(B212:M212)</f>
        <v>3723.71960566583</v>
      </c>
      <c r="O212" s="26" t="n">
        <f aca="false">MAX(B212:M212)</f>
        <v>328.730100564339</v>
      </c>
      <c r="P212" s="15" t="n">
        <f aca="false">O212/parametros_recargas!$B$6</f>
        <v>2.19153400376226</v>
      </c>
    </row>
    <row r="213" customFormat="false" ht="15" hidden="false" customHeight="false" outlineLevel="0" collapsed="false">
      <c r="A213" s="12" t="str">
        <f aca="false">parametros_recargas!$B$91</f>
        <v>Carga de CO₂</v>
      </c>
      <c r="B213" s="25" t="n">
        <f aca="false">parametros_recargas!$E$91*'Plan mensual'!D213+parametros_recargas!$F$91*'Plan mensual'!D214+parametros_recargas!$G$91*'Plan mensual'!D215+parametros_recargas!$H$91*'Plan mensual'!D216+parametros_recargas!$I$91*'Plan mensual'!D217+parametros_recargas!$J$91*'Plan mensual'!D218+parametros_recargas!$K$91*'Plan mensual'!D219+parametros_recargas!$L$91*'Plan mensual'!D220</f>
        <v>161.369294459519</v>
      </c>
      <c r="C213" s="25" t="n">
        <f aca="false">parametros_recargas!$E$91*'Plan mensual'!E213+parametros_recargas!$F$91*'Plan mensual'!E214+parametros_recargas!$G$91*'Plan mensual'!E215+parametros_recargas!$H$91*'Plan mensual'!E216+parametros_recargas!$I$91*'Plan mensual'!E217+parametros_recargas!$J$91*'Plan mensual'!E218+parametros_recargas!$K$91*'Plan mensual'!E219+parametros_recargas!$L$91*'Plan mensual'!E220</f>
        <v>163.09121974135</v>
      </c>
      <c r="D213" s="25" t="n">
        <f aca="false">parametros_recargas!$E$91*'Plan mensual'!F213+parametros_recargas!$F$91*'Plan mensual'!F214+parametros_recargas!$G$91*'Plan mensual'!F215+parametros_recargas!$H$91*'Plan mensual'!F216+parametros_recargas!$I$91*'Plan mensual'!F217+parametros_recargas!$J$91*'Plan mensual'!F218+parametros_recargas!$K$91*'Plan mensual'!F219+parametros_recargas!$L$91*'Plan mensual'!F220</f>
        <v>164.831648188527</v>
      </c>
      <c r="E213" s="25" t="n">
        <f aca="false">parametros_recargas!$E$91*'Plan mensual'!G213+parametros_recargas!$F$91*'Plan mensual'!G214+parametros_recargas!$G$91*'Plan mensual'!G215+parametros_recargas!$H$91*'Plan mensual'!G216+parametros_recargas!$I$91*'Plan mensual'!G217+parametros_recargas!$J$91*'Plan mensual'!G218+parametros_recargas!$K$91*'Plan mensual'!G219+parametros_recargas!$L$91*'Plan mensual'!G220</f>
        <v>166.590778629148</v>
      </c>
      <c r="F213" s="25" t="n">
        <f aca="false">parametros_recargas!$E$91*'Plan mensual'!H213+parametros_recargas!$F$91*'Plan mensual'!H214+parametros_recargas!$G$91*'Plan mensual'!H215+parametros_recargas!$H$91*'Plan mensual'!H216+parametros_recargas!$I$91*'Plan mensual'!H217+parametros_recargas!$J$91*'Plan mensual'!H218+parametros_recargas!$K$91*'Plan mensual'!H219+parametros_recargas!$L$91*'Plan mensual'!H220</f>
        <v>168.368812027843</v>
      </c>
      <c r="G213" s="25" t="n">
        <f aca="false">parametros_recargas!$E$91*'Plan mensual'!I213+parametros_recargas!$F$91*'Plan mensual'!I214+parametros_recargas!$G$91*'Plan mensual'!I215+parametros_recargas!$H$91*'Plan mensual'!I216+parametros_recargas!$I$91*'Plan mensual'!I217+parametros_recargas!$J$91*'Plan mensual'!I218+parametros_recargas!$K$91*'Plan mensual'!I219+parametros_recargas!$L$91*'Plan mensual'!I220</f>
        <v>170.165951508733</v>
      </c>
      <c r="H213" s="25" t="n">
        <f aca="false">parametros_recargas!$E$91*'Plan mensual'!J213+parametros_recargas!$F$91*'Plan mensual'!J214+parametros_recargas!$G$91*'Plan mensual'!J215+parametros_recargas!$H$91*'Plan mensual'!J216+parametros_recargas!$I$91*'Plan mensual'!J217+parametros_recargas!$J$91*'Plan mensual'!J218+parametros_recargas!$K$91*'Plan mensual'!J219+parametros_recargas!$L$91*'Plan mensual'!J220</f>
        <v>171.982402378633</v>
      </c>
      <c r="I213" s="25" t="n">
        <f aca="false">parametros_recargas!$E$91*'Plan mensual'!K213+parametros_recargas!$F$91*'Plan mensual'!K214+parametros_recargas!$G$91*'Plan mensual'!K215+parametros_recargas!$H$91*'Plan mensual'!K216+parametros_recargas!$I$91*'Plan mensual'!K217+parametros_recargas!$J$91*'Plan mensual'!K218+parametros_recargas!$K$91*'Plan mensual'!K219+parametros_recargas!$L$91*'Plan mensual'!K220</f>
        <v>173.818372150512</v>
      </c>
      <c r="J213" s="25" t="n">
        <f aca="false">parametros_recargas!$E$91*'Plan mensual'!L213+parametros_recargas!$F$91*'Plan mensual'!L214+parametros_recargas!$G$91*'Plan mensual'!L215+parametros_recargas!$H$91*'Plan mensual'!L216+parametros_recargas!$I$91*'Plan mensual'!L217+parametros_recargas!$J$91*'Plan mensual'!L218+parametros_recargas!$K$91*'Plan mensual'!L219+parametros_recargas!$L$91*'Plan mensual'!L220</f>
        <v>175.674070567192</v>
      </c>
      <c r="K213" s="25" t="n">
        <f aca="false">parametros_recargas!$E$91*'Plan mensual'!M213+parametros_recargas!$F$91*'Plan mensual'!M214+parametros_recargas!$G$91*'Plan mensual'!M215+parametros_recargas!$H$91*'Plan mensual'!M216+parametros_recargas!$I$91*'Plan mensual'!M217+parametros_recargas!$J$91*'Plan mensual'!M218+parametros_recargas!$K$91*'Plan mensual'!M219+parametros_recargas!$L$91*'Plan mensual'!M220</f>
        <v>177.549709625315</v>
      </c>
      <c r="L213" s="25" t="n">
        <f aca="false">parametros_recargas!$E$91*'Plan mensual'!N213+parametros_recargas!$F$91*'Plan mensual'!N214+parametros_recargas!$G$91*'Plan mensual'!N215+parametros_recargas!$H$91*'Plan mensual'!N216+parametros_recargas!$I$91*'Plan mensual'!N217+parametros_recargas!$J$91*'Plan mensual'!N218+parametros_recargas!$K$91*'Plan mensual'!N219+parametros_recargas!$L$91*'Plan mensual'!N220</f>
        <v>179.44550359956</v>
      </c>
      <c r="M213" s="25" t="n">
        <f aca="false">parametros_recargas!$E$91*'Plan mensual'!O213+parametros_recargas!$F$91*'Plan mensual'!O214+parametros_recargas!$G$91*'Plan mensual'!O215+parametros_recargas!$H$91*'Plan mensual'!O216+parametros_recargas!$I$91*'Plan mensual'!O217+parametros_recargas!$J$91*'Plan mensual'!O218+parametros_recargas!$K$91*'Plan mensual'!O219+parametros_recargas!$L$91*'Plan mensual'!O220</f>
        <v>181.36166906712</v>
      </c>
      <c r="N213" s="7" t="n">
        <f aca="false">SUM(B213:M213)</f>
        <v>2054.24943194345</v>
      </c>
      <c r="O213" s="26" t="n">
        <f aca="false">MAX(B213:M213)</f>
        <v>181.36166906712</v>
      </c>
      <c r="P213" s="15" t="n">
        <f aca="false">O213/parametros_recargas!$B$6</f>
        <v>1.2090777937808</v>
      </c>
    </row>
    <row r="214" customFormat="false" ht="15" hidden="false" customHeight="false" outlineLevel="0" collapsed="false">
      <c r="A214" s="12" t="str">
        <f aca="false">parametros_recargas!$B$92</f>
        <v>Ensamblaje y marbete — recinto</v>
      </c>
      <c r="B214" s="25" t="n">
        <f aca="false">parametros_recargas!$E$92*'Plan mensual'!D213+parametros_recargas!$F$92*'Plan mensual'!D214+parametros_recargas!$G$92*'Plan mensual'!D215+parametros_recargas!$H$92*'Plan mensual'!D216+parametros_recargas!$I$92*'Plan mensual'!D217+parametros_recargas!$J$92*'Plan mensual'!D218+parametros_recargas!$K$92*'Plan mensual'!D219+parametros_recargas!$L$92*'Plan mensual'!D220</f>
        <v>5797.87804331055</v>
      </c>
      <c r="C214" s="25" t="n">
        <f aca="false">parametros_recargas!$E$92*'Plan mensual'!E213+parametros_recargas!$F$92*'Plan mensual'!E214+parametros_recargas!$G$92*'Plan mensual'!E215+parametros_recargas!$H$92*'Plan mensual'!E216+parametros_recargas!$I$92*'Plan mensual'!E217+parametros_recargas!$J$92*'Plan mensual'!E218+parametros_recargas!$K$92*'Plan mensual'!E219+parametros_recargas!$L$92*'Plan mensual'!E220</f>
        <v>5859.65512851582</v>
      </c>
      <c r="D214" s="25" t="n">
        <f aca="false">parametros_recargas!$E$92*'Plan mensual'!F213+parametros_recargas!$F$92*'Plan mensual'!F214+parametros_recargas!$G$92*'Plan mensual'!F215+parametros_recargas!$H$92*'Plan mensual'!F216+parametros_recargas!$I$92*'Plan mensual'!F217+parametros_recargas!$J$92*'Plan mensual'!F218+parametros_recargas!$K$92*'Plan mensual'!F219+parametros_recargas!$L$92*'Plan mensual'!F220</f>
        <v>5922.09604718369</v>
      </c>
      <c r="E214" s="25" t="n">
        <f aca="false">parametros_recargas!$E$92*'Plan mensual'!G213+parametros_recargas!$F$92*'Plan mensual'!G214+parametros_recargas!$G$92*'Plan mensual'!G215+parametros_recargas!$H$92*'Plan mensual'!G216+parametros_recargas!$I$92*'Plan mensual'!G217+parametros_recargas!$J$92*'Plan mensual'!G218+parametros_recargas!$K$92*'Plan mensual'!G219+parametros_recargas!$L$92*'Plan mensual'!G220</f>
        <v>5985.20793262038</v>
      </c>
      <c r="F214" s="25" t="n">
        <f aca="false">parametros_recargas!$E$92*'Plan mensual'!H213+parametros_recargas!$F$92*'Plan mensual'!H214+parametros_recargas!$G$92*'Plan mensual'!H215+parametros_recargas!$H$92*'Plan mensual'!H216+parametros_recargas!$I$92*'Plan mensual'!H217+parametros_recargas!$J$92*'Plan mensual'!H218+parametros_recargas!$K$92*'Plan mensual'!H219+parametros_recargas!$L$92*'Plan mensual'!H220</f>
        <v>6048.99799478395</v>
      </c>
      <c r="G214" s="25" t="n">
        <f aca="false">parametros_recargas!$E$92*'Plan mensual'!I213+parametros_recargas!$F$92*'Plan mensual'!I214+parametros_recargas!$G$92*'Plan mensual'!I215+parametros_recargas!$H$92*'Plan mensual'!I216+parametros_recargas!$I$92*'Plan mensual'!I217+parametros_recargas!$J$92*'Plan mensual'!I218+parametros_recargas!$K$92*'Plan mensual'!I219+parametros_recargas!$L$92*'Plan mensual'!I220</f>
        <v>6113.47352110798</v>
      </c>
      <c r="H214" s="25" t="n">
        <f aca="false">parametros_recargas!$E$92*'Plan mensual'!J213+parametros_recargas!$F$92*'Plan mensual'!J214+parametros_recargas!$G$92*'Plan mensual'!J215+parametros_recargas!$H$92*'Plan mensual'!J216+parametros_recargas!$I$92*'Plan mensual'!J217+parametros_recargas!$J$92*'Plan mensual'!J218+parametros_recargas!$K$92*'Plan mensual'!J219+parametros_recargas!$L$92*'Plan mensual'!J220</f>
        <v>6178.64187733406</v>
      </c>
      <c r="I214" s="25" t="n">
        <f aca="false">parametros_recargas!$E$92*'Plan mensual'!K213+parametros_recargas!$F$92*'Plan mensual'!K214+parametros_recargas!$G$92*'Plan mensual'!K215+parametros_recargas!$H$92*'Plan mensual'!K216+parametros_recargas!$I$92*'Plan mensual'!K217+parametros_recargas!$J$92*'Plan mensual'!K218+parametros_recargas!$K$92*'Plan mensual'!K219+parametros_recargas!$L$92*'Plan mensual'!K220</f>
        <v>6244.51050835333</v>
      </c>
      <c r="J214" s="25" t="n">
        <f aca="false">parametros_recargas!$E$92*'Plan mensual'!L213+parametros_recargas!$F$92*'Plan mensual'!L214+parametros_recargas!$G$92*'Plan mensual'!L215+parametros_recargas!$H$92*'Plan mensual'!L216+parametros_recargas!$I$92*'Plan mensual'!L217+parametros_recargas!$J$92*'Plan mensual'!L218+parametros_recargas!$K$92*'Plan mensual'!L219+parametros_recargas!$L$92*'Plan mensual'!L220</f>
        <v>6311.08693905691</v>
      </c>
      <c r="K214" s="25" t="n">
        <f aca="false">parametros_recargas!$E$92*'Plan mensual'!M213+parametros_recargas!$F$92*'Plan mensual'!M214+parametros_recargas!$G$92*'Plan mensual'!M215+parametros_recargas!$H$92*'Plan mensual'!M216+parametros_recargas!$I$92*'Plan mensual'!M217+parametros_recargas!$J$92*'Plan mensual'!M218+parametros_recargas!$K$92*'Plan mensual'!M219+parametros_recargas!$L$92*'Plan mensual'!M220</f>
        <v>6378.3787751956</v>
      </c>
      <c r="L214" s="25" t="n">
        <f aca="false">parametros_recargas!$E$92*'Plan mensual'!N213+parametros_recargas!$F$92*'Plan mensual'!N214+parametros_recargas!$G$92*'Plan mensual'!N215+parametros_recargas!$H$92*'Plan mensual'!N216+parametros_recargas!$I$92*'Plan mensual'!N217+parametros_recargas!$J$92*'Plan mensual'!N218+parametros_recargas!$K$92*'Plan mensual'!N219+parametros_recargas!$L$92*'Plan mensual'!N220</f>
        <v>6446.39370424877</v>
      </c>
      <c r="M214" s="25" t="n">
        <f aca="false">parametros_recargas!$E$92*'Plan mensual'!O213+parametros_recargas!$F$92*'Plan mensual'!O214+parametros_recargas!$G$92*'Plan mensual'!O215+parametros_recargas!$H$92*'Plan mensual'!O216+parametros_recargas!$I$92*'Plan mensual'!O217+parametros_recargas!$J$92*'Plan mensual'!O218+parametros_recargas!$K$92*'Plan mensual'!O219+parametros_recargas!$L$92*'Plan mensual'!O220</f>
        <v>6515.13949630254</v>
      </c>
      <c r="N214" s="7" t="n">
        <f aca="false">SUM(B214:M214)</f>
        <v>73801.4599680136</v>
      </c>
      <c r="O214" s="26" t="n">
        <f aca="false">MAX(B214:M214)</f>
        <v>6515.13949630254</v>
      </c>
      <c r="P214" s="15" t="n">
        <f aca="false">O214/parametros_recargas!$B$6</f>
        <v>43.4342633086836</v>
      </c>
    </row>
    <row r="215" customFormat="false" ht="15" hidden="false" customHeight="false" outlineLevel="0" collapsed="false">
      <c r="A215" s="12" t="str">
        <f aca="false">parametros_recargas!$B$93</f>
        <v>Presurización — recinto</v>
      </c>
      <c r="B215" s="25" t="n">
        <f aca="false">parametros_recargas!$E$93*'Plan mensual'!D213+parametros_recargas!$F$93*'Plan mensual'!D214+parametros_recargas!$G$93*'Plan mensual'!D215+parametros_recargas!$H$93*'Plan mensual'!D216+parametros_recargas!$I$93*'Plan mensual'!D217+parametros_recargas!$J$93*'Plan mensual'!D218+parametros_recargas!$K$93*'Plan mensual'!D219+parametros_recargas!$L$93*'Plan mensual'!D220</f>
        <v>5797.87804331055</v>
      </c>
      <c r="C215" s="25" t="n">
        <f aca="false">parametros_recargas!$E$93*'Plan mensual'!E213+parametros_recargas!$F$93*'Plan mensual'!E214+parametros_recargas!$G$93*'Plan mensual'!E215+parametros_recargas!$H$93*'Plan mensual'!E216+parametros_recargas!$I$93*'Plan mensual'!E217+parametros_recargas!$J$93*'Plan mensual'!E218+parametros_recargas!$K$93*'Plan mensual'!E219+parametros_recargas!$L$93*'Plan mensual'!E220</f>
        <v>5859.65512851582</v>
      </c>
      <c r="D215" s="25" t="n">
        <f aca="false">parametros_recargas!$E$93*'Plan mensual'!F213+parametros_recargas!$F$93*'Plan mensual'!F214+parametros_recargas!$G$93*'Plan mensual'!F215+parametros_recargas!$H$93*'Plan mensual'!F216+parametros_recargas!$I$93*'Plan mensual'!F217+parametros_recargas!$J$93*'Plan mensual'!F218+parametros_recargas!$K$93*'Plan mensual'!F219+parametros_recargas!$L$93*'Plan mensual'!F220</f>
        <v>5922.09604718369</v>
      </c>
      <c r="E215" s="25" t="n">
        <f aca="false">parametros_recargas!$E$93*'Plan mensual'!G213+parametros_recargas!$F$93*'Plan mensual'!G214+parametros_recargas!$G$93*'Plan mensual'!G215+parametros_recargas!$H$93*'Plan mensual'!G216+parametros_recargas!$I$93*'Plan mensual'!G217+parametros_recargas!$J$93*'Plan mensual'!G218+parametros_recargas!$K$93*'Plan mensual'!G219+parametros_recargas!$L$93*'Plan mensual'!G220</f>
        <v>5985.20793262038</v>
      </c>
      <c r="F215" s="25" t="n">
        <f aca="false">parametros_recargas!$E$93*'Plan mensual'!H213+parametros_recargas!$F$93*'Plan mensual'!H214+parametros_recargas!$G$93*'Plan mensual'!H215+parametros_recargas!$H$93*'Plan mensual'!H216+parametros_recargas!$I$93*'Plan mensual'!H217+parametros_recargas!$J$93*'Plan mensual'!H218+parametros_recargas!$K$93*'Plan mensual'!H219+parametros_recargas!$L$93*'Plan mensual'!H220</f>
        <v>6048.99799478395</v>
      </c>
      <c r="G215" s="25" t="n">
        <f aca="false">parametros_recargas!$E$93*'Plan mensual'!I213+parametros_recargas!$F$93*'Plan mensual'!I214+parametros_recargas!$G$93*'Plan mensual'!I215+parametros_recargas!$H$93*'Plan mensual'!I216+parametros_recargas!$I$93*'Plan mensual'!I217+parametros_recargas!$J$93*'Plan mensual'!I218+parametros_recargas!$K$93*'Plan mensual'!I219+parametros_recargas!$L$93*'Plan mensual'!I220</f>
        <v>6113.47352110798</v>
      </c>
      <c r="H215" s="25" t="n">
        <f aca="false">parametros_recargas!$E$93*'Plan mensual'!J213+parametros_recargas!$F$93*'Plan mensual'!J214+parametros_recargas!$G$93*'Plan mensual'!J215+parametros_recargas!$H$93*'Plan mensual'!J216+parametros_recargas!$I$93*'Plan mensual'!J217+parametros_recargas!$J$93*'Plan mensual'!J218+parametros_recargas!$K$93*'Plan mensual'!J219+parametros_recargas!$L$93*'Plan mensual'!J220</f>
        <v>6178.64187733406</v>
      </c>
      <c r="I215" s="25" t="n">
        <f aca="false">parametros_recargas!$E$93*'Plan mensual'!K213+parametros_recargas!$F$93*'Plan mensual'!K214+parametros_recargas!$G$93*'Plan mensual'!K215+parametros_recargas!$H$93*'Plan mensual'!K216+parametros_recargas!$I$93*'Plan mensual'!K217+parametros_recargas!$J$93*'Plan mensual'!K218+parametros_recargas!$K$93*'Plan mensual'!K219+parametros_recargas!$L$93*'Plan mensual'!K220</f>
        <v>6244.51050835333</v>
      </c>
      <c r="J215" s="25" t="n">
        <f aca="false">parametros_recargas!$E$93*'Plan mensual'!L213+parametros_recargas!$F$93*'Plan mensual'!L214+parametros_recargas!$G$93*'Plan mensual'!L215+parametros_recargas!$H$93*'Plan mensual'!L216+parametros_recargas!$I$93*'Plan mensual'!L217+parametros_recargas!$J$93*'Plan mensual'!L218+parametros_recargas!$K$93*'Plan mensual'!L219+parametros_recargas!$L$93*'Plan mensual'!L220</f>
        <v>6311.08693905691</v>
      </c>
      <c r="K215" s="25" t="n">
        <f aca="false">parametros_recargas!$E$93*'Plan mensual'!M213+parametros_recargas!$F$93*'Plan mensual'!M214+parametros_recargas!$G$93*'Plan mensual'!M215+parametros_recargas!$H$93*'Plan mensual'!M216+parametros_recargas!$I$93*'Plan mensual'!M217+parametros_recargas!$J$93*'Plan mensual'!M218+parametros_recargas!$K$93*'Plan mensual'!M219+parametros_recargas!$L$93*'Plan mensual'!M220</f>
        <v>6378.3787751956</v>
      </c>
      <c r="L215" s="25" t="n">
        <f aca="false">parametros_recargas!$E$93*'Plan mensual'!N213+parametros_recargas!$F$93*'Plan mensual'!N214+parametros_recargas!$G$93*'Plan mensual'!N215+parametros_recargas!$H$93*'Plan mensual'!N216+parametros_recargas!$I$93*'Plan mensual'!N217+parametros_recargas!$J$93*'Plan mensual'!N218+parametros_recargas!$K$93*'Plan mensual'!N219+parametros_recargas!$L$93*'Plan mensual'!N220</f>
        <v>6446.39370424877</v>
      </c>
      <c r="M215" s="25" t="n">
        <f aca="false">parametros_recargas!$E$93*'Plan mensual'!O213+parametros_recargas!$F$93*'Plan mensual'!O214+parametros_recargas!$G$93*'Plan mensual'!O215+parametros_recargas!$H$93*'Plan mensual'!O216+parametros_recargas!$I$93*'Plan mensual'!O217+parametros_recargas!$J$93*'Plan mensual'!O218+parametros_recargas!$K$93*'Plan mensual'!O219+parametros_recargas!$L$93*'Plan mensual'!O220</f>
        <v>6515.13949630254</v>
      </c>
      <c r="N215" s="7" t="n">
        <f aca="false">SUM(B215:M215)</f>
        <v>73801.4599680136</v>
      </c>
      <c r="O215" s="26" t="n">
        <f aca="false">MAX(B215:M215)</f>
        <v>6515.13949630254</v>
      </c>
      <c r="P215" s="15" t="n">
        <f aca="false">O215/parametros_recargas!$B$6</f>
        <v>43.4342633086836</v>
      </c>
    </row>
    <row r="216" customFormat="false" ht="15" hidden="false" customHeight="false" outlineLevel="0" collapsed="false">
      <c r="A216" s="12" t="str">
        <f aca="false">parametros_recargas!$B$94</f>
        <v>Ensamblaje y presurización — zona general</v>
      </c>
      <c r="B216" s="25" t="n">
        <f aca="false">parametros_recargas!$E$94*'Plan mensual'!D213+parametros_recargas!$F$94*'Plan mensual'!D214+parametros_recargas!$G$94*'Plan mensual'!D215+parametros_recargas!$H$94*'Plan mensual'!D216+parametros_recargas!$I$94*'Plan mensual'!D217+parametros_recargas!$J$94*'Plan mensual'!D218+parametros_recargas!$K$94*'Plan mensual'!D219+parametros_recargas!$L$94*'Plan mensual'!D220</f>
        <v>432.396733708054</v>
      </c>
      <c r="C216" s="25" t="n">
        <f aca="false">parametros_recargas!$E$94*'Plan mensual'!E213+parametros_recargas!$F$94*'Plan mensual'!E214+parametros_recargas!$G$94*'Plan mensual'!E215+parametros_recargas!$H$94*'Plan mensual'!E216+parametros_recargas!$I$94*'Plan mensual'!E217+parametros_recargas!$J$94*'Plan mensual'!E218+parametros_recargas!$K$94*'Plan mensual'!E219+parametros_recargas!$L$94*'Plan mensual'!E220</f>
        <v>437.006617003899</v>
      </c>
      <c r="D216" s="25" t="n">
        <f aca="false">parametros_recargas!$E$94*'Plan mensual'!F213+parametros_recargas!$F$94*'Plan mensual'!F214+parametros_recargas!$G$94*'Plan mensual'!F215+parametros_recargas!$H$94*'Plan mensual'!F216+parametros_recargas!$I$94*'Plan mensual'!F217+parametros_recargas!$J$94*'Plan mensual'!F218+parametros_recargas!$K$94*'Plan mensual'!F219+parametros_recargas!$L$94*'Plan mensual'!F220</f>
        <v>441.666036382261</v>
      </c>
      <c r="E216" s="25" t="n">
        <f aca="false">parametros_recargas!$E$94*'Plan mensual'!G213+parametros_recargas!$F$94*'Plan mensual'!G214+parametros_recargas!$G$94*'Plan mensual'!G215+parametros_recargas!$H$94*'Plan mensual'!G216+parametros_recargas!$I$94*'Plan mensual'!G217+parametros_recargas!$J$94*'Plan mensual'!G218+parametros_recargas!$K$94*'Plan mensual'!G219+parametros_recargas!$L$94*'Plan mensual'!G220</f>
        <v>446.375524139366</v>
      </c>
      <c r="F216" s="25" t="n">
        <f aca="false">parametros_recargas!$E$94*'Plan mensual'!H213+parametros_recargas!$F$94*'Plan mensual'!H214+parametros_recargas!$G$94*'Plan mensual'!H215+parametros_recargas!$H$94*'Plan mensual'!H216+parametros_recargas!$I$94*'Plan mensual'!H217+parametros_recargas!$J$94*'Plan mensual'!H218+parametros_recargas!$K$94*'Plan mensual'!H219+parametros_recargas!$L$94*'Plan mensual'!H220</f>
        <v>451.135618291293</v>
      </c>
      <c r="G216" s="25" t="n">
        <f aca="false">parametros_recargas!$E$94*'Plan mensual'!I213+parametros_recargas!$F$94*'Plan mensual'!I214+parametros_recargas!$G$94*'Plan mensual'!I215+parametros_recargas!$H$94*'Plan mensual'!I216+parametros_recargas!$I$94*'Plan mensual'!I217+parametros_recargas!$J$94*'Plan mensual'!I218+parametros_recargas!$K$94*'Plan mensual'!I219+parametros_recargas!$L$94*'Plan mensual'!I220</f>
        <v>455.946862635443</v>
      </c>
      <c r="H216" s="25" t="n">
        <f aca="false">parametros_recargas!$E$94*'Plan mensual'!J213+parametros_recargas!$F$94*'Plan mensual'!J214+parametros_recargas!$G$94*'Plan mensual'!J215+parametros_recargas!$H$94*'Plan mensual'!J216+parametros_recargas!$I$94*'Plan mensual'!J217+parametros_recargas!$J$94*'Plan mensual'!J218+parametros_recargas!$K$94*'Plan mensual'!J219+parametros_recargas!$L$94*'Plan mensual'!J220</f>
        <v>460.809806812658</v>
      </c>
      <c r="I216" s="25" t="n">
        <f aca="false">parametros_recargas!$E$94*'Plan mensual'!K213+parametros_recargas!$F$94*'Plan mensual'!K214+parametros_recargas!$G$94*'Plan mensual'!K215+parametros_recargas!$H$94*'Plan mensual'!K216+parametros_recargas!$I$94*'Plan mensual'!K217+parametros_recargas!$J$94*'Plan mensual'!K218+parametros_recargas!$K$94*'Plan mensual'!K219+parametros_recargas!$L$94*'Plan mensual'!K220</f>
        <v>465.725006370016</v>
      </c>
      <c r="J216" s="25" t="n">
        <f aca="false">parametros_recargas!$E$94*'Plan mensual'!L213+parametros_recargas!$F$94*'Plan mensual'!L214+parametros_recargas!$G$94*'Plan mensual'!L215+parametros_recargas!$H$94*'Plan mensual'!L216+parametros_recargas!$I$94*'Plan mensual'!L217+parametros_recargas!$J$94*'Plan mensual'!L218+parametros_recargas!$K$94*'Plan mensual'!L219+parametros_recargas!$L$94*'Plan mensual'!L220</f>
        <v>470.693022824299</v>
      </c>
      <c r="K216" s="25" t="n">
        <f aca="false">parametros_recargas!$E$94*'Plan mensual'!M213+parametros_recargas!$F$94*'Plan mensual'!M214+parametros_recargas!$G$94*'Plan mensual'!M215+parametros_recargas!$H$94*'Plan mensual'!M216+parametros_recargas!$I$94*'Plan mensual'!M217+parametros_recargas!$J$94*'Plan mensual'!M218+parametros_recargas!$K$94*'Plan mensual'!M219+parametros_recargas!$L$94*'Plan mensual'!M220</f>
        <v>475.714423726133</v>
      </c>
      <c r="L216" s="25" t="n">
        <f aca="false">parametros_recargas!$E$94*'Plan mensual'!N213+parametros_recargas!$F$94*'Plan mensual'!N214+parametros_recargas!$G$94*'Plan mensual'!N215+parametros_recargas!$H$94*'Plan mensual'!N216+parametros_recargas!$I$94*'Plan mensual'!N217+parametros_recargas!$J$94*'Plan mensual'!N218+parametros_recargas!$K$94*'Plan mensual'!N219+parametros_recargas!$L$94*'Plan mensual'!N220</f>
        <v>480.789782724837</v>
      </c>
      <c r="M216" s="25" t="n">
        <f aca="false">parametros_recargas!$E$94*'Plan mensual'!O213+parametros_recargas!$F$94*'Plan mensual'!O214+parametros_recargas!$G$94*'Plan mensual'!O215+parametros_recargas!$H$94*'Plan mensual'!O216+parametros_recargas!$I$94*'Plan mensual'!O217+parametros_recargas!$J$94*'Plan mensual'!O218+parametros_recargas!$K$94*'Plan mensual'!O219+parametros_recargas!$L$94*'Plan mensual'!O220</f>
        <v>485.919679633946</v>
      </c>
      <c r="N216" s="7" t="n">
        <f aca="false">SUM(B216:M216)</f>
        <v>5504.1791142522</v>
      </c>
      <c r="O216" s="26" t="n">
        <f aca="false">MAX(B216:M216)</f>
        <v>485.919679633946</v>
      </c>
      <c r="P216" s="15" t="n">
        <f aca="false">O216/parametros_recargas!$B$6</f>
        <v>3.23946453089297</v>
      </c>
    </row>
    <row r="217" customFormat="false" ht="15" hidden="false" customHeight="false" outlineLevel="0" collapsed="false">
      <c r="A217" s="12" t="str">
        <f aca="false">parametros_recargas!$B$95</f>
        <v>Carga y presurización de halogenado</v>
      </c>
      <c r="B217" s="25" t="n">
        <f aca="false">parametros_recargas!$E$95*'Plan mensual'!D213+parametros_recargas!$F$95*'Plan mensual'!D214+parametros_recargas!$G$95*'Plan mensual'!D215+parametros_recargas!$H$95*'Plan mensual'!D216+parametros_recargas!$I$95*'Plan mensual'!D217+parametros_recargas!$J$95*'Plan mensual'!D218+parametros_recargas!$K$95*'Plan mensual'!D219+parametros_recargas!$L$95*'Plan mensual'!D220</f>
        <v>5.38785455616864</v>
      </c>
      <c r="C217" s="25" t="n">
        <f aca="false">parametros_recargas!$E$95*'Plan mensual'!E213+parametros_recargas!$F$95*'Plan mensual'!E214+parametros_recargas!$G$95*'Plan mensual'!E215+parametros_recargas!$H$95*'Plan mensual'!E216+parametros_recargas!$I$95*'Plan mensual'!E217+parametros_recargas!$J$95*'Plan mensual'!E218+parametros_recargas!$K$95*'Plan mensual'!E219+parametros_recargas!$L$95*'Plan mensual'!E220</f>
        <v>5.44530269258685</v>
      </c>
      <c r="D217" s="25" t="n">
        <f aca="false">parametros_recargas!$E$95*'Plan mensual'!F213+parametros_recargas!$F$95*'Plan mensual'!F214+parametros_recargas!$G$95*'Plan mensual'!F215+parametros_recargas!$H$95*'Plan mensual'!F216+parametros_recargas!$I$95*'Plan mensual'!F217+parametros_recargas!$J$95*'Plan mensual'!F218+parametros_recargas!$K$95*'Plan mensual'!F219+parametros_recargas!$L$95*'Plan mensual'!F220</f>
        <v>5.50336814520235</v>
      </c>
      <c r="E217" s="25" t="n">
        <f aca="false">parametros_recargas!$E$95*'Plan mensual'!G213+parametros_recargas!$F$95*'Plan mensual'!G214+parametros_recargas!$G$95*'Plan mensual'!G215+parametros_recargas!$H$95*'Plan mensual'!G216+parametros_recargas!$I$95*'Plan mensual'!G217+parametros_recargas!$J$95*'Plan mensual'!G218+parametros_recargas!$K$95*'Plan mensual'!G219+parametros_recargas!$L$95*'Plan mensual'!G220</f>
        <v>5.56205754746421</v>
      </c>
      <c r="F217" s="25" t="n">
        <f aca="false">parametros_recargas!$E$95*'Plan mensual'!H213+parametros_recargas!$F$95*'Plan mensual'!H214+parametros_recargas!$G$95*'Plan mensual'!H215+parametros_recargas!$H$95*'Plan mensual'!H216+parametros_recargas!$I$95*'Plan mensual'!H217+parametros_recargas!$J$95*'Plan mensual'!H218+parametros_recargas!$K$95*'Plan mensual'!H219+parametros_recargas!$L$95*'Plan mensual'!H220</f>
        <v>5.62137760410207</v>
      </c>
      <c r="G217" s="25" t="n">
        <f aca="false">parametros_recargas!$E$95*'Plan mensual'!I213+parametros_recargas!$F$95*'Plan mensual'!I214+parametros_recargas!$G$95*'Plan mensual'!I215+parametros_recargas!$H$95*'Plan mensual'!I216+parametros_recargas!$I$95*'Plan mensual'!I217+parametros_recargas!$J$95*'Plan mensual'!I218+parametros_recargas!$K$95*'Plan mensual'!I219+parametros_recargas!$L$95*'Plan mensual'!I220</f>
        <v>5.68133509189209</v>
      </c>
      <c r="H217" s="25" t="n">
        <f aca="false">parametros_recargas!$E$95*'Plan mensual'!J213+parametros_recargas!$F$95*'Plan mensual'!J214+parametros_recargas!$G$95*'Plan mensual'!J215+parametros_recargas!$H$95*'Plan mensual'!J216+parametros_recargas!$I$95*'Plan mensual'!J217+parametros_recargas!$J$95*'Plan mensual'!J218+parametros_recargas!$K$95*'Plan mensual'!J219+parametros_recargas!$L$95*'Plan mensual'!J220</f>
        <v>5.74193686043114</v>
      </c>
      <c r="I217" s="25" t="n">
        <f aca="false">parametros_recargas!$E$95*'Plan mensual'!K213+parametros_recargas!$F$95*'Plan mensual'!K214+parametros_recargas!$G$95*'Plan mensual'!K215+parametros_recargas!$H$95*'Plan mensual'!K216+parametros_recargas!$I$95*'Plan mensual'!K217+parametros_recargas!$J$95*'Plan mensual'!K218+parametros_recargas!$K$95*'Plan mensual'!K219+parametros_recargas!$L$95*'Plan mensual'!K220</f>
        <v>5.80318983291927</v>
      </c>
      <c r="J217" s="25" t="n">
        <f aca="false">parametros_recargas!$E$95*'Plan mensual'!L213+parametros_recargas!$F$95*'Plan mensual'!L214+parametros_recargas!$G$95*'Plan mensual'!L215+parametros_recargas!$H$95*'Plan mensual'!L216+parametros_recargas!$I$95*'Plan mensual'!L217+parametros_recargas!$J$95*'Plan mensual'!L218+parametros_recargas!$K$95*'Plan mensual'!L219+parametros_recargas!$L$95*'Plan mensual'!L220</f>
        <v>5.86510100695068</v>
      </c>
      <c r="K217" s="25" t="n">
        <f aca="false">parametros_recargas!$E$95*'Plan mensual'!M213+parametros_recargas!$F$95*'Plan mensual'!M214+parametros_recargas!$G$95*'Plan mensual'!M215+parametros_recargas!$H$95*'Plan mensual'!M216+parametros_recargas!$I$95*'Plan mensual'!M217+parametros_recargas!$J$95*'Plan mensual'!M218+parametros_recargas!$K$95*'Plan mensual'!M219+parametros_recargas!$L$95*'Plan mensual'!M220</f>
        <v>5.92767745531308</v>
      </c>
      <c r="L217" s="25" t="n">
        <f aca="false">parametros_recargas!$E$95*'Plan mensual'!N213+parametros_recargas!$F$95*'Plan mensual'!N214+parametros_recargas!$G$95*'Plan mensual'!N215+parametros_recargas!$H$95*'Plan mensual'!N216+parametros_recargas!$I$95*'Plan mensual'!N217+parametros_recargas!$J$95*'Plan mensual'!N218+parametros_recargas!$K$95*'Plan mensual'!N219+parametros_recargas!$L$95*'Plan mensual'!N220</f>
        <v>5.99092632679573</v>
      </c>
      <c r="M217" s="25" t="n">
        <f aca="false">parametros_recargas!$E$95*'Plan mensual'!O213+parametros_recargas!$F$95*'Plan mensual'!O214+parametros_recargas!$G$95*'Plan mensual'!O215+parametros_recargas!$H$95*'Plan mensual'!O216+parametros_recargas!$I$95*'Plan mensual'!O217+parametros_recargas!$J$95*'Plan mensual'!O218+parametros_recargas!$K$95*'Plan mensual'!O219+parametros_recargas!$L$95*'Plan mensual'!O220</f>
        <v>6.0548548470061</v>
      </c>
      <c r="N217" s="7" t="n">
        <f aca="false">SUM(B217:M217)</f>
        <v>68.5849819668322</v>
      </c>
      <c r="O217" s="26" t="n">
        <f aca="false">MAX(B217:M217)</f>
        <v>6.0548548470061</v>
      </c>
      <c r="P217" s="15" t="n">
        <f aca="false">O217/parametros_recargas!$B$6</f>
        <v>0.0403656989800407</v>
      </c>
    </row>
    <row r="218" customFormat="false" ht="15" hidden="false" customHeight="false" outlineLevel="0" collapsed="false">
      <c r="A218" s="12" t="str">
        <f aca="false">parametros_recargas!$B$96</f>
        <v>Control de peso (CO₂ y halogenados sin recarga)</v>
      </c>
      <c r="B218" s="25" t="n">
        <f aca="false">parametros_recargas!$E$96*'Plan mensual'!D213+parametros_recargas!$F$96*'Plan mensual'!D214+parametros_recargas!$G$96*'Plan mensual'!D215+parametros_recargas!$H$96*'Plan mensual'!D216+parametros_recargas!$I$96*'Plan mensual'!D217+parametros_recargas!$J$96*'Plan mensual'!D218+parametros_recargas!$K$96*'Plan mensual'!D219+parametros_recargas!$L$96*'Plan mensual'!D220</f>
        <v>392.691917407384</v>
      </c>
      <c r="C218" s="25" t="n">
        <f aca="false">parametros_recargas!$E$96*'Plan mensual'!E213+parametros_recargas!$F$96*'Plan mensual'!E214+parametros_recargas!$G$96*'Plan mensual'!E215+parametros_recargas!$H$96*'Plan mensual'!E216+parametros_recargas!$I$96*'Plan mensual'!E217+parametros_recargas!$J$96*'Plan mensual'!E218+parametros_recargas!$K$96*'Plan mensual'!E219+parametros_recargas!$L$96*'Plan mensual'!E220</f>
        <v>396.882087474244</v>
      </c>
      <c r="D218" s="25" t="n">
        <f aca="false">parametros_recargas!$E$96*'Plan mensual'!F213+parametros_recargas!$F$96*'Plan mensual'!F214+parametros_recargas!$G$96*'Plan mensual'!F215+parametros_recargas!$H$96*'Plan mensual'!F216+parametros_recargas!$I$96*'Plan mensual'!F217+parametros_recargas!$J$96*'Plan mensual'!F218+parametros_recargas!$K$96*'Plan mensual'!F219+parametros_recargas!$L$96*'Plan mensual'!F220</f>
        <v>401.11728354217</v>
      </c>
      <c r="E218" s="25" t="n">
        <f aca="false">parametros_recargas!$E$96*'Plan mensual'!G213+parametros_recargas!$F$96*'Plan mensual'!G214+parametros_recargas!$G$96*'Plan mensual'!G215+parametros_recargas!$H$96*'Plan mensual'!G216+parametros_recargas!$I$96*'Plan mensual'!G217+parametros_recargas!$J$96*'Plan mensual'!G218+parametros_recargas!$K$96*'Plan mensual'!G219+parametros_recargas!$L$96*'Plan mensual'!G220</f>
        <v>405.397989443738</v>
      </c>
      <c r="F218" s="25" t="n">
        <f aca="false">parametros_recargas!$E$96*'Plan mensual'!H213+parametros_recargas!$F$96*'Plan mensual'!H214+parametros_recargas!$G$96*'Plan mensual'!H215+parametros_recargas!$H$96*'Plan mensual'!H216+parametros_recargas!$I$96*'Plan mensual'!H217+parametros_recargas!$J$96*'Plan mensual'!H218+parametros_recargas!$K$96*'Plan mensual'!H219+parametros_recargas!$L$96*'Plan mensual'!H220</f>
        <v>409.724694210607</v>
      </c>
      <c r="G218" s="25" t="n">
        <f aca="false">parametros_recargas!$E$96*'Plan mensual'!I213+parametros_recargas!$F$96*'Plan mensual'!I214+parametros_recargas!$G$96*'Plan mensual'!I215+parametros_recargas!$H$96*'Plan mensual'!I216+parametros_recargas!$I$96*'Plan mensual'!I217+parametros_recargas!$J$96*'Plan mensual'!I218+parametros_recargas!$K$96*'Plan mensual'!I219+parametros_recargas!$L$96*'Plan mensual'!I220</f>
        <v>414.097892129386</v>
      </c>
      <c r="H218" s="25" t="n">
        <f aca="false">parametros_recargas!$E$96*'Plan mensual'!J213+parametros_recargas!$F$96*'Plan mensual'!J214+parametros_recargas!$G$96*'Plan mensual'!J215+parametros_recargas!$H$96*'Plan mensual'!J216+parametros_recargas!$I$96*'Plan mensual'!J217+parametros_recargas!$J$96*'Plan mensual'!J218+parametros_recargas!$K$96*'Plan mensual'!J219+parametros_recargas!$L$96*'Plan mensual'!J220</f>
        <v>418.518082798104</v>
      </c>
      <c r="I218" s="25" t="n">
        <f aca="false">parametros_recargas!$E$96*'Plan mensual'!K213+parametros_recargas!$F$96*'Plan mensual'!K214+parametros_recargas!$G$96*'Plan mensual'!K215+parametros_recargas!$H$96*'Plan mensual'!K216+parametros_recargas!$I$96*'Plan mensual'!K217+parametros_recargas!$J$96*'Plan mensual'!K218+parametros_recargas!$K$96*'Plan mensual'!K219+parametros_recargas!$L$96*'Plan mensual'!K220</f>
        <v>422.985771183285</v>
      </c>
      <c r="J218" s="25" t="n">
        <f aca="false">parametros_recargas!$E$96*'Plan mensual'!L213+parametros_recargas!$F$96*'Plan mensual'!L214+parametros_recargas!$G$96*'Plan mensual'!L215+parametros_recargas!$H$96*'Plan mensual'!L216+parametros_recargas!$I$96*'Plan mensual'!L217+parametros_recargas!$J$96*'Plan mensual'!L218+parametros_recargas!$K$96*'Plan mensual'!L219+parametros_recargas!$L$96*'Plan mensual'!L220</f>
        <v>427.501467677634</v>
      </c>
      <c r="K218" s="25" t="n">
        <f aca="false">parametros_recargas!$E$96*'Plan mensual'!M213+parametros_recargas!$F$96*'Plan mensual'!M214+parametros_recargas!$G$96*'Plan mensual'!M215+parametros_recargas!$H$96*'Plan mensual'!M216+parametros_recargas!$I$96*'Plan mensual'!M217+parametros_recargas!$J$96*'Plan mensual'!M218+parametros_recargas!$K$96*'Plan mensual'!M219+parametros_recargas!$L$96*'Plan mensual'!M220</f>
        <v>432.065688158342</v>
      </c>
      <c r="L218" s="25" t="n">
        <f aca="false">parametros_recargas!$E$96*'Plan mensual'!N213+parametros_recargas!$F$96*'Plan mensual'!N214+parametros_recargas!$G$96*'Plan mensual'!N215+parametros_recargas!$H$96*'Plan mensual'!N216+parametros_recargas!$I$96*'Plan mensual'!N217+parametros_recargas!$J$96*'Plan mensual'!N218+parametros_recargas!$K$96*'Plan mensual'!N219+parametros_recargas!$L$96*'Plan mensual'!N220</f>
        <v>436.678954046028</v>
      </c>
      <c r="M218" s="25" t="n">
        <f aca="false">parametros_recargas!$E$96*'Plan mensual'!O213+parametros_recargas!$F$96*'Plan mensual'!O214+parametros_recargas!$G$96*'Plan mensual'!O215+parametros_recargas!$H$96*'Plan mensual'!O216+parametros_recargas!$I$96*'Plan mensual'!O217+parametros_recargas!$J$96*'Plan mensual'!O218+parametros_recargas!$K$96*'Plan mensual'!O219+parametros_recargas!$L$96*'Plan mensual'!O220</f>
        <v>441.341792364299</v>
      </c>
      <c r="N218" s="7" t="n">
        <f aca="false">SUM(B218:M218)</f>
        <v>4999.00362043522</v>
      </c>
      <c r="O218" s="26" t="n">
        <f aca="false">MAX(B218:M218)</f>
        <v>441.341792364299</v>
      </c>
      <c r="P218" s="15" t="n">
        <f aca="false">O218/parametros_recargas!$B$6</f>
        <v>2.942278615762</v>
      </c>
    </row>
    <row r="219" customFormat="false" ht="15" hidden="false" customHeight="false" outlineLevel="0" collapsed="false">
      <c r="A219" s="12" t="str">
        <f aca="false">parametros_recargas!$B$97</f>
        <v>Ensayo de pérdidas</v>
      </c>
      <c r="B219" s="25" t="n">
        <f aca="false">parametros_recargas!$E$97*'Plan mensual'!D213+parametros_recargas!$F$97*'Plan mensual'!D214+parametros_recargas!$G$97*'Plan mensual'!D215+parametros_recargas!$H$97*'Plan mensual'!D216+parametros_recargas!$I$97*'Plan mensual'!D217+parametros_recargas!$J$97*'Plan mensual'!D218+parametros_recargas!$K$97*'Plan mensual'!D219+parametros_recargas!$L$97*'Plan mensual'!D220</f>
        <v>6649.8615768359</v>
      </c>
      <c r="C219" s="25" t="n">
        <f aca="false">parametros_recargas!$E$97*'Plan mensual'!E213+parametros_recargas!$F$97*'Plan mensual'!E214+parametros_recargas!$G$97*'Plan mensual'!E215+parametros_recargas!$H$97*'Plan mensual'!E216+parametros_recargas!$I$97*'Plan mensual'!E217+parametros_recargas!$J$97*'Plan mensual'!E218+parametros_recargas!$K$97*'Plan mensual'!E219+parametros_recargas!$L$97*'Plan mensual'!E220</f>
        <v>6720.72570295086</v>
      </c>
      <c r="D219" s="25" t="n">
        <f aca="false">parametros_recargas!$E$97*'Plan mensual'!F213+parametros_recargas!$F$97*'Plan mensual'!F214+parametros_recargas!$G$97*'Plan mensual'!F215+parametros_recargas!$H$97*'Plan mensual'!F216+parametros_recargas!$I$97*'Plan mensual'!F217+parametros_recargas!$J$97*'Plan mensual'!F218+parametros_recargas!$K$97*'Plan mensual'!F219+parametros_recargas!$L$97*'Plan mensual'!F220</f>
        <v>6792.35130847288</v>
      </c>
      <c r="E219" s="25" t="n">
        <f aca="false">parametros_recargas!$E$97*'Plan mensual'!G213+parametros_recargas!$F$97*'Plan mensual'!G214+parametros_recargas!$G$97*'Plan mensual'!G215+parametros_recargas!$H$97*'Plan mensual'!G216+parametros_recargas!$I$97*'Plan mensual'!G217+parametros_recargas!$J$97*'Plan mensual'!G218+parametros_recargas!$K$97*'Plan mensual'!G219+parametros_recargas!$L$97*'Plan mensual'!G220</f>
        <v>6864.74657597501</v>
      </c>
      <c r="F219" s="25" t="n">
        <f aca="false">parametros_recargas!$E$97*'Plan mensual'!H213+parametros_recargas!$F$97*'Plan mensual'!H214+parametros_recargas!$G$97*'Plan mensual'!H215+parametros_recargas!$H$97*'Plan mensual'!H216+parametros_recargas!$I$97*'Plan mensual'!H217+parametros_recargas!$J$97*'Plan mensual'!H218+parametros_recargas!$K$97*'Plan mensual'!H219+parametros_recargas!$L$97*'Plan mensual'!H220</f>
        <v>6937.91977595716</v>
      </c>
      <c r="G219" s="25" t="n">
        <f aca="false">parametros_recargas!$E$97*'Plan mensual'!I213+parametros_recargas!$F$97*'Plan mensual'!I214+parametros_recargas!$G$97*'Plan mensual'!I215+parametros_recargas!$H$97*'Plan mensual'!I216+parametros_recargas!$I$97*'Plan mensual'!I217+parametros_recargas!$J$97*'Plan mensual'!I218+parametros_recargas!$K$97*'Plan mensual'!I219+parametros_recargas!$L$97*'Plan mensual'!I220</f>
        <v>7011.87926779093</v>
      </c>
      <c r="H219" s="25" t="n">
        <f aca="false">parametros_recargas!$E$97*'Plan mensual'!J213+parametros_recargas!$F$97*'Plan mensual'!J214+parametros_recargas!$G$97*'Plan mensual'!J215+parametros_recargas!$H$97*'Plan mensual'!J216+parametros_recargas!$I$97*'Plan mensual'!J217+parametros_recargas!$J$97*'Plan mensual'!J218+parametros_recargas!$K$97*'Plan mensual'!J219+parametros_recargas!$L$97*'Plan mensual'!J220</f>
        <v>7086.6335006746</v>
      </c>
      <c r="I219" s="25" t="n">
        <f aca="false">parametros_recargas!$E$97*'Plan mensual'!K213+parametros_recargas!$F$97*'Plan mensual'!K214+parametros_recargas!$G$97*'Plan mensual'!K215+parametros_recargas!$H$97*'Plan mensual'!K216+parametros_recargas!$I$97*'Plan mensual'!K217+parametros_recargas!$J$97*'Plan mensual'!K218+parametros_recargas!$K$97*'Plan mensual'!K219+parametros_recargas!$L$97*'Plan mensual'!K220</f>
        <v>7162.19101459838</v>
      </c>
      <c r="J219" s="25" t="n">
        <f aca="false">parametros_recargas!$E$97*'Plan mensual'!L213+parametros_recargas!$F$97*'Plan mensual'!L214+parametros_recargas!$G$97*'Plan mensual'!L215+parametros_recargas!$H$97*'Plan mensual'!L216+parametros_recargas!$I$97*'Plan mensual'!L217+parametros_recargas!$J$97*'Plan mensual'!L218+parametros_recargas!$K$97*'Plan mensual'!L219+parametros_recargas!$L$97*'Plan mensual'!L220</f>
        <v>7238.56044132004</v>
      </c>
      <c r="K219" s="25" t="n">
        <f aca="false">parametros_recargas!$E$97*'Plan mensual'!M213+parametros_recargas!$F$97*'Plan mensual'!M214+parametros_recargas!$G$97*'Plan mensual'!M215+parametros_recargas!$H$97*'Plan mensual'!M216+parametros_recargas!$I$97*'Plan mensual'!M217+parametros_recargas!$J$97*'Plan mensual'!M218+parametros_recargas!$K$97*'Plan mensual'!M219+parametros_recargas!$L$97*'Plan mensual'!M220</f>
        <v>7315.75050535096</v>
      </c>
      <c r="L219" s="25" t="n">
        <f aca="false">parametros_recargas!$E$97*'Plan mensual'!N213+parametros_recargas!$F$97*'Plan mensual'!N214+parametros_recargas!$G$97*'Plan mensual'!N215+parametros_recargas!$H$97*'Plan mensual'!N216+parametros_recargas!$I$97*'Plan mensual'!N217+parametros_recargas!$J$97*'Plan mensual'!N218+parametros_recargas!$K$97*'Plan mensual'!N219+parametros_recargas!$L$97*'Plan mensual'!N220</f>
        <v>7393.77002495289</v>
      </c>
      <c r="M219" s="25" t="n">
        <f aca="false">parametros_recargas!$E$97*'Plan mensual'!O213+parametros_recargas!$F$97*'Plan mensual'!O214+parametros_recargas!$G$97*'Plan mensual'!O215+parametros_recargas!$H$97*'Plan mensual'!O216+parametros_recargas!$I$97*'Plan mensual'!O217+parametros_recargas!$J$97*'Plan mensual'!O218+parametros_recargas!$K$97*'Plan mensual'!O219+parametros_recargas!$L$97*'Plan mensual'!O220</f>
        <v>7472.62791314531</v>
      </c>
      <c r="N219" s="7" t="n">
        <f aca="false">SUM(B219:M219)</f>
        <v>84647.0176080249</v>
      </c>
      <c r="O219" s="26" t="n">
        <f aca="false">MAX(B219:M219)</f>
        <v>7472.62791314531</v>
      </c>
      <c r="P219" s="15" t="n">
        <f aca="false">O219/parametros_recargas!$B$6</f>
        <v>49.8175194209687</v>
      </c>
    </row>
    <row r="220" customFormat="false" ht="15" hidden="false" customHeight="false" outlineLevel="0" collapsed="false">
      <c r="A220" s="12" t="str">
        <f aca="false">parametros_recargas!$B$98</f>
        <v>Precinto, etiqueta y despacho</v>
      </c>
      <c r="B220" s="25" t="n">
        <f aca="false">parametros_recargas!$E$98*'Plan mensual'!D213+parametros_recargas!$F$98*'Plan mensual'!D214+parametros_recargas!$G$98*'Plan mensual'!D215+parametros_recargas!$H$98*'Plan mensual'!D216+parametros_recargas!$I$98*'Plan mensual'!D217+parametros_recargas!$J$98*'Plan mensual'!D218+parametros_recargas!$K$98*'Plan mensual'!D219+parametros_recargas!$L$98*'Plan mensual'!D220</f>
        <v>6649.8615768359</v>
      </c>
      <c r="C220" s="25" t="n">
        <f aca="false">parametros_recargas!$E$98*'Plan mensual'!E213+parametros_recargas!$F$98*'Plan mensual'!E214+parametros_recargas!$G$98*'Plan mensual'!E215+parametros_recargas!$H$98*'Plan mensual'!E216+parametros_recargas!$I$98*'Plan mensual'!E217+parametros_recargas!$J$98*'Plan mensual'!E218+parametros_recargas!$K$98*'Plan mensual'!E219+parametros_recargas!$L$98*'Plan mensual'!E220</f>
        <v>6720.72570295086</v>
      </c>
      <c r="D220" s="25" t="n">
        <f aca="false">parametros_recargas!$E$98*'Plan mensual'!F213+parametros_recargas!$F$98*'Plan mensual'!F214+parametros_recargas!$G$98*'Plan mensual'!F215+parametros_recargas!$H$98*'Plan mensual'!F216+parametros_recargas!$I$98*'Plan mensual'!F217+parametros_recargas!$J$98*'Plan mensual'!F218+parametros_recargas!$K$98*'Plan mensual'!F219+parametros_recargas!$L$98*'Plan mensual'!F220</f>
        <v>6792.35130847288</v>
      </c>
      <c r="E220" s="25" t="n">
        <f aca="false">parametros_recargas!$E$98*'Plan mensual'!G213+parametros_recargas!$F$98*'Plan mensual'!G214+parametros_recargas!$G$98*'Plan mensual'!G215+parametros_recargas!$H$98*'Plan mensual'!G216+parametros_recargas!$I$98*'Plan mensual'!G217+parametros_recargas!$J$98*'Plan mensual'!G218+parametros_recargas!$K$98*'Plan mensual'!G219+parametros_recargas!$L$98*'Plan mensual'!G220</f>
        <v>6864.74657597501</v>
      </c>
      <c r="F220" s="25" t="n">
        <f aca="false">parametros_recargas!$E$98*'Plan mensual'!H213+parametros_recargas!$F$98*'Plan mensual'!H214+parametros_recargas!$G$98*'Plan mensual'!H215+parametros_recargas!$H$98*'Plan mensual'!H216+parametros_recargas!$I$98*'Plan mensual'!H217+parametros_recargas!$J$98*'Plan mensual'!H218+parametros_recargas!$K$98*'Plan mensual'!H219+parametros_recargas!$L$98*'Plan mensual'!H220</f>
        <v>6937.91977595716</v>
      </c>
      <c r="G220" s="25" t="n">
        <f aca="false">parametros_recargas!$E$98*'Plan mensual'!I213+parametros_recargas!$F$98*'Plan mensual'!I214+parametros_recargas!$G$98*'Plan mensual'!I215+parametros_recargas!$H$98*'Plan mensual'!I216+parametros_recargas!$I$98*'Plan mensual'!I217+parametros_recargas!$J$98*'Plan mensual'!I218+parametros_recargas!$K$98*'Plan mensual'!I219+parametros_recargas!$L$98*'Plan mensual'!I220</f>
        <v>7011.87926779093</v>
      </c>
      <c r="H220" s="25" t="n">
        <f aca="false">parametros_recargas!$E$98*'Plan mensual'!J213+parametros_recargas!$F$98*'Plan mensual'!J214+parametros_recargas!$G$98*'Plan mensual'!J215+parametros_recargas!$H$98*'Plan mensual'!J216+parametros_recargas!$I$98*'Plan mensual'!J217+parametros_recargas!$J$98*'Plan mensual'!J218+parametros_recargas!$K$98*'Plan mensual'!J219+parametros_recargas!$L$98*'Plan mensual'!J220</f>
        <v>7086.6335006746</v>
      </c>
      <c r="I220" s="25" t="n">
        <f aca="false">parametros_recargas!$E$98*'Plan mensual'!K213+parametros_recargas!$F$98*'Plan mensual'!K214+parametros_recargas!$G$98*'Plan mensual'!K215+parametros_recargas!$H$98*'Plan mensual'!K216+parametros_recargas!$I$98*'Plan mensual'!K217+parametros_recargas!$J$98*'Plan mensual'!K218+parametros_recargas!$K$98*'Plan mensual'!K219+parametros_recargas!$L$98*'Plan mensual'!K220</f>
        <v>7162.19101459838</v>
      </c>
      <c r="J220" s="25" t="n">
        <f aca="false">parametros_recargas!$E$98*'Plan mensual'!L213+parametros_recargas!$F$98*'Plan mensual'!L214+parametros_recargas!$G$98*'Plan mensual'!L215+parametros_recargas!$H$98*'Plan mensual'!L216+parametros_recargas!$I$98*'Plan mensual'!L217+parametros_recargas!$J$98*'Plan mensual'!L218+parametros_recargas!$K$98*'Plan mensual'!L219+parametros_recargas!$L$98*'Plan mensual'!L220</f>
        <v>7238.56044132004</v>
      </c>
      <c r="K220" s="25" t="n">
        <f aca="false">parametros_recargas!$E$98*'Plan mensual'!M213+parametros_recargas!$F$98*'Plan mensual'!M214+parametros_recargas!$G$98*'Plan mensual'!M215+parametros_recargas!$H$98*'Plan mensual'!M216+parametros_recargas!$I$98*'Plan mensual'!M217+parametros_recargas!$J$98*'Plan mensual'!M218+parametros_recargas!$K$98*'Plan mensual'!M219+parametros_recargas!$L$98*'Plan mensual'!M220</f>
        <v>7315.75050535096</v>
      </c>
      <c r="L220" s="25" t="n">
        <f aca="false">parametros_recargas!$E$98*'Plan mensual'!N213+parametros_recargas!$F$98*'Plan mensual'!N214+parametros_recargas!$G$98*'Plan mensual'!N215+parametros_recargas!$H$98*'Plan mensual'!N216+parametros_recargas!$I$98*'Plan mensual'!N217+parametros_recargas!$J$98*'Plan mensual'!N218+parametros_recargas!$K$98*'Plan mensual'!N219+parametros_recargas!$L$98*'Plan mensual'!N220</f>
        <v>7393.77002495289</v>
      </c>
      <c r="M220" s="25" t="n">
        <f aca="false">parametros_recargas!$E$98*'Plan mensual'!O213+parametros_recargas!$F$98*'Plan mensual'!O214+parametros_recargas!$G$98*'Plan mensual'!O215+parametros_recargas!$H$98*'Plan mensual'!O216+parametros_recargas!$I$98*'Plan mensual'!O217+parametros_recargas!$J$98*'Plan mensual'!O218+parametros_recargas!$K$98*'Plan mensual'!O219+parametros_recargas!$L$98*'Plan mensual'!O220</f>
        <v>7472.62791314531</v>
      </c>
      <c r="N220" s="7" t="n">
        <f aca="false">SUM(B220:M220)</f>
        <v>84647.0176080249</v>
      </c>
      <c r="O220" s="26" t="n">
        <f aca="false">MAX(B220:M220)</f>
        <v>7472.62791314531</v>
      </c>
      <c r="P220" s="15" t="n">
        <f aca="false">O220/parametros_recargas!$B$6</f>
        <v>49.8175194209687</v>
      </c>
    </row>
    <row r="221" customFormat="false" ht="15" hidden="false" customHeight="false" outlineLevel="0" collapsed="false">
      <c r="A221" s="12" t="str">
        <f aca="false">parametros_recargas!$B$99</f>
        <v>Inutilización y disposición final</v>
      </c>
      <c r="B221" s="25" t="n">
        <f aca="false">parametros_recargas!$E$99*'Plan mensual'!D213+parametros_recargas!$F$99*'Plan mensual'!D214+parametros_recargas!$G$99*'Plan mensual'!D215+parametros_recargas!$H$99*'Plan mensual'!D216+parametros_recargas!$I$99*'Plan mensual'!D217+parametros_recargas!$J$99*'Plan mensual'!D218+parametros_recargas!$K$99*'Plan mensual'!D219+parametros_recargas!$L$99*'Plan mensual'!D220</f>
        <v>523.023965343566</v>
      </c>
      <c r="C221" s="25" t="n">
        <f aca="false">parametros_recargas!$E$99*'Plan mensual'!E213+parametros_recargas!$F$99*'Plan mensual'!E214+parametros_recargas!$G$99*'Plan mensual'!E215+parametros_recargas!$H$99*'Plan mensual'!E216+parametros_recargas!$I$99*'Plan mensual'!E217+parametros_recargas!$J$99*'Plan mensual'!E218+parametros_recargas!$K$99*'Plan mensual'!E219+parametros_recargas!$L$99*'Plan mensual'!E220</f>
        <v>528.597432917105</v>
      </c>
      <c r="D221" s="25" t="n">
        <f aca="false">parametros_recargas!$E$99*'Plan mensual'!F213+parametros_recargas!$F$99*'Plan mensual'!F214+parametros_recargas!$G$99*'Plan mensual'!F215+parametros_recargas!$H$99*'Plan mensual'!F216+parametros_recargas!$I$99*'Plan mensual'!F217+parametros_recargas!$J$99*'Plan mensual'!F218+parametros_recargas!$K$99*'Plan mensual'!F219+parametros_recargas!$L$99*'Plan mensual'!F220</f>
        <v>534.230790889579</v>
      </c>
      <c r="E221" s="25" t="n">
        <f aca="false">parametros_recargas!$E$99*'Plan mensual'!G213+parametros_recargas!$F$99*'Plan mensual'!G214+parametros_recargas!$G$99*'Plan mensual'!G215+parametros_recargas!$H$99*'Plan mensual'!G216+parametros_recargas!$I$99*'Plan mensual'!G217+parametros_recargas!$J$99*'Plan mensual'!G218+parametros_recargas!$K$99*'Plan mensual'!G219+parametros_recargas!$L$99*'Plan mensual'!G220</f>
        <v>539.924682820826</v>
      </c>
      <c r="F221" s="25" t="n">
        <f aca="false">parametros_recargas!$E$99*'Plan mensual'!H213+parametros_recargas!$F$99*'Plan mensual'!H214+parametros_recargas!$G$99*'Plan mensual'!H215+parametros_recargas!$H$99*'Plan mensual'!H216+parametros_recargas!$I$99*'Plan mensual'!H217+parametros_recargas!$J$99*'Plan mensual'!H218+parametros_recargas!$K$99*'Plan mensual'!H219+parametros_recargas!$L$99*'Plan mensual'!H220</f>
        <v>545.679759186137</v>
      </c>
      <c r="G221" s="25" t="n">
        <f aca="false">parametros_recargas!$E$99*'Plan mensual'!I213+parametros_recargas!$F$99*'Plan mensual'!I214+parametros_recargas!$G$99*'Plan mensual'!I215+parametros_recargas!$H$99*'Plan mensual'!I216+parametros_recargas!$I$99*'Plan mensual'!I217+parametros_recargas!$J$99*'Plan mensual'!I218+parametros_recargas!$K$99*'Plan mensual'!I219+parametros_recargas!$L$99*'Plan mensual'!I220</f>
        <v>551.496677450567</v>
      </c>
      <c r="H221" s="25" t="n">
        <f aca="false">parametros_recargas!$E$99*'Plan mensual'!J213+parametros_recargas!$F$99*'Plan mensual'!J214+parametros_recargas!$G$99*'Plan mensual'!J215+parametros_recargas!$H$99*'Plan mensual'!J216+parametros_recargas!$I$99*'Plan mensual'!J217+parametros_recargas!$J$99*'Plan mensual'!J218+parametros_recargas!$K$99*'Plan mensual'!J219+parametros_recargas!$L$99*'Plan mensual'!J220</f>
        <v>557.376102144044</v>
      </c>
      <c r="I221" s="25" t="n">
        <f aca="false">parametros_recargas!$E$99*'Plan mensual'!K213+parametros_recargas!$F$99*'Plan mensual'!K214+parametros_recargas!$G$99*'Plan mensual'!K215+parametros_recargas!$H$99*'Plan mensual'!K216+parametros_recargas!$I$99*'Plan mensual'!K217+parametros_recargas!$J$99*'Plan mensual'!K218+parametros_recargas!$K$99*'Plan mensual'!K219+parametros_recargas!$L$99*'Plan mensual'!K220</f>
        <v>563.318704937286</v>
      </c>
      <c r="J221" s="25" t="n">
        <f aca="false">parametros_recargas!$E$99*'Plan mensual'!L213+parametros_recargas!$F$99*'Plan mensual'!L214+parametros_recargas!$G$99*'Plan mensual'!L215+parametros_recargas!$H$99*'Plan mensual'!L216+parametros_recargas!$I$99*'Plan mensual'!L217+parametros_recargas!$J$99*'Plan mensual'!L218+parametros_recargas!$K$99*'Plan mensual'!L219+parametros_recargas!$L$99*'Plan mensual'!L220</f>
        <v>569.325164718537</v>
      </c>
      <c r="K221" s="25" t="n">
        <f aca="false">parametros_recargas!$E$99*'Plan mensual'!M213+parametros_recargas!$F$99*'Plan mensual'!M214+parametros_recargas!$G$99*'Plan mensual'!M215+parametros_recargas!$H$99*'Plan mensual'!M216+parametros_recargas!$I$99*'Plan mensual'!M217+parametros_recargas!$J$99*'Plan mensual'!M218+parametros_recargas!$K$99*'Plan mensual'!M219+parametros_recargas!$L$99*'Plan mensual'!M220</f>
        <v>575.396167671115</v>
      </c>
      <c r="L221" s="25" t="n">
        <f aca="false">parametros_recargas!$E$99*'Plan mensual'!N213+parametros_recargas!$F$99*'Plan mensual'!N214+parametros_recargas!$G$99*'Plan mensual'!N215+parametros_recargas!$H$99*'Plan mensual'!N216+parametros_recargas!$I$99*'Plan mensual'!N217+parametros_recargas!$J$99*'Plan mensual'!N218+parametros_recargas!$K$99*'Plan mensual'!N219+parametros_recargas!$L$99*'Plan mensual'!N220</f>
        <v>581.532407351812</v>
      </c>
      <c r="M221" s="25" t="n">
        <f aca="false">parametros_recargas!$E$99*'Plan mensual'!O213+parametros_recargas!$F$99*'Plan mensual'!O214+parametros_recargas!$G$99*'Plan mensual'!O215+parametros_recargas!$H$99*'Plan mensual'!O216+parametros_recargas!$I$99*'Plan mensual'!O217+parametros_recargas!$J$99*'Plan mensual'!O218+parametros_recargas!$K$99*'Plan mensual'!O219+parametros_recargas!$L$99*'Plan mensual'!O220</f>
        <v>587.734584770118</v>
      </c>
      <c r="N221" s="7" t="n">
        <f aca="false">SUM(B221:M221)</f>
        <v>6657.63644020069</v>
      </c>
      <c r="O221" s="26" t="n">
        <f aca="false">MAX(B221:M221)</f>
        <v>587.734584770118</v>
      </c>
      <c r="P221" s="15" t="n">
        <f aca="false">O221/parametros_recargas!$B$6</f>
        <v>3.91823056513412</v>
      </c>
    </row>
    <row r="222" customFormat="false" ht="15" hidden="false" customHeight="false" outlineLevel="0" collapsed="false">
      <c r="A222" s="12" t="str">
        <f aca="false">parametros_recargas!$B$100</f>
        <v>PH de mangueras (CO₂ y rodantes)</v>
      </c>
      <c r="B222" s="25" t="n">
        <f aca="false">'Plan mensual'!D221</f>
        <v>223.886047602337</v>
      </c>
      <c r="C222" s="25" t="n">
        <f aca="false">'Plan mensual'!E221</f>
        <v>226.233637896318</v>
      </c>
      <c r="D222" s="25" t="n">
        <f aca="false">'Plan mensual'!F221</f>
        <v>228.606454517965</v>
      </c>
      <c r="E222" s="25" t="n">
        <f aca="false">'Plan mensual'!G221</f>
        <v>231.004768539964</v>
      </c>
      <c r="F222" s="25" t="n">
        <f aca="false">'Plan mensual'!H221</f>
        <v>233.428853947847</v>
      </c>
      <c r="G222" s="25" t="n">
        <f aca="false">'Plan mensual'!I221</f>
        <v>235.878987671292</v>
      </c>
      <c r="H222" s="25" t="n">
        <f aca="false">'Plan mensual'!J221</f>
        <v>238.355449615761</v>
      </c>
      <c r="I222" s="25" t="n">
        <f aca="false">'Plan mensual'!K221</f>
        <v>240.858522694473</v>
      </c>
      <c r="J222" s="25" t="n">
        <f aca="false">'Plan mensual'!L221</f>
        <v>243.38849286073</v>
      </c>
      <c r="K222" s="25" t="n">
        <f aca="false">'Plan mensual'!M221</f>
        <v>245.945649140578</v>
      </c>
      <c r="L222" s="25" t="n">
        <f aca="false">'Plan mensual'!N221</f>
        <v>248.530283665831</v>
      </c>
      <c r="M222" s="25" t="n">
        <f aca="false">'Plan mensual'!O221</f>
        <v>251.142691707441</v>
      </c>
      <c r="N222" s="7" t="n">
        <f aca="false">SUM(B222:M222)</f>
        <v>2847.25983986054</v>
      </c>
      <c r="O222" s="26" t="n">
        <f aca="false">MAX(B222:M222)</f>
        <v>251.142691707441</v>
      </c>
      <c r="P222" s="15" t="n">
        <f aca="false">O222/parametros_recargas!$B$6</f>
        <v>1.67428461138294</v>
      </c>
    </row>
    <row r="225" customFormat="false" ht="23.85" hidden="false" customHeight="false" outlineLevel="0" collapsed="false">
      <c r="A225" s="3" t="s">
        <v>286</v>
      </c>
      <c r="B225" s="3" t="s">
        <v>124</v>
      </c>
      <c r="C225" s="3" t="s">
        <v>125</v>
      </c>
      <c r="D225" s="3" t="s">
        <v>126</v>
      </c>
      <c r="E225" s="3" t="s">
        <v>127</v>
      </c>
      <c r="F225" s="3" t="s">
        <v>128</v>
      </c>
      <c r="G225" s="3" t="s">
        <v>129</v>
      </c>
      <c r="H225" s="3" t="s">
        <v>130</v>
      </c>
      <c r="I225" s="3" t="s">
        <v>131</v>
      </c>
      <c r="J225" s="3" t="s">
        <v>132</v>
      </c>
      <c r="K225" s="3" t="s">
        <v>133</v>
      </c>
      <c r="L225" s="3" t="s">
        <v>134</v>
      </c>
      <c r="M225" s="3" t="s">
        <v>135</v>
      </c>
      <c r="N225" s="3" t="s">
        <v>277</v>
      </c>
      <c r="O225" s="3" t="s">
        <v>278</v>
      </c>
      <c r="P225" s="3" t="s">
        <v>279</v>
      </c>
    </row>
    <row r="226" customFormat="false" ht="15" hidden="false" customHeight="false" outlineLevel="0" collapsed="false">
      <c r="A226" s="12" t="str">
        <f aca="false">parametros_recargas!$B$72</f>
        <v>Recepción y registro</v>
      </c>
      <c r="B226" s="25" t="n">
        <f aca="false">parametros_recargas!$E$72*'Plan mensual'!D245+parametros_recargas!$F$72*'Plan mensual'!D246+parametros_recargas!$G$72*'Plan mensual'!D247+parametros_recargas!$H$72*'Plan mensual'!D248+parametros_recargas!$I$72*'Plan mensual'!D249+parametros_recargas!$J$72*'Plan mensual'!D250+parametros_recargas!$K$72*'Plan mensual'!D251+parametros_recargas!$L$72*'Plan mensual'!D252</f>
        <v>7827.91148829634</v>
      </c>
      <c r="C226" s="25" t="n">
        <f aca="false">parametros_recargas!$E$72*'Plan mensual'!E245+parametros_recargas!$F$72*'Plan mensual'!E246+parametros_recargas!$G$72*'Plan mensual'!E247+parametros_recargas!$H$72*'Plan mensual'!E248+parametros_recargas!$I$72*'Plan mensual'!E249+parametros_recargas!$J$72*'Plan mensual'!E250+parametros_recargas!$K$72*'Plan mensual'!E251+parametros_recargas!$L$72*'Plan mensual'!E252</f>
        <v>7874.7674373682</v>
      </c>
      <c r="D226" s="25" t="n">
        <f aca="false">parametros_recargas!$E$72*'Plan mensual'!F245+parametros_recargas!$F$72*'Plan mensual'!F246+parametros_recargas!$G$72*'Plan mensual'!F247+parametros_recargas!$H$72*'Plan mensual'!F248+parametros_recargas!$I$72*'Plan mensual'!F249+parametros_recargas!$J$72*'Plan mensual'!F250+parametros_recargas!$K$72*'Plan mensual'!F251+parametros_recargas!$L$72*'Plan mensual'!F252</f>
        <v>7921.90884136996</v>
      </c>
      <c r="E226" s="25" t="n">
        <f aca="false">parametros_recargas!$E$72*'Plan mensual'!G245+parametros_recargas!$F$72*'Plan mensual'!G246+parametros_recargas!$G$72*'Plan mensual'!G247+parametros_recargas!$H$72*'Plan mensual'!G248+parametros_recargas!$I$72*'Plan mensual'!G249+parametros_recargas!$J$72*'Plan mensual'!G250+parametros_recargas!$K$72*'Plan mensual'!G251+parametros_recargas!$L$72*'Plan mensual'!G252</f>
        <v>7969.33743934474</v>
      </c>
      <c r="F226" s="25" t="n">
        <f aca="false">parametros_recargas!$E$72*'Plan mensual'!H245+parametros_recargas!$F$72*'Plan mensual'!H246+parametros_recargas!$G$72*'Plan mensual'!H247+parametros_recargas!$H$72*'Plan mensual'!H248+parametros_recargas!$I$72*'Plan mensual'!H249+parametros_recargas!$J$72*'Plan mensual'!H250+parametros_recargas!$K$72*'Plan mensual'!H251+parametros_recargas!$L$72*'Plan mensual'!H252</f>
        <v>8017.05498093028</v>
      </c>
      <c r="G226" s="25" t="n">
        <f aca="false">parametros_recargas!$E$72*'Plan mensual'!I245+parametros_recargas!$F$72*'Plan mensual'!I246+parametros_recargas!$G$72*'Plan mensual'!I247+parametros_recargas!$H$72*'Plan mensual'!I248+parametros_recargas!$I$72*'Plan mensual'!I249+parametros_recargas!$J$72*'Plan mensual'!I250+parametros_recargas!$K$72*'Plan mensual'!I251+parametros_recargas!$L$72*'Plan mensual'!I252</f>
        <v>8065.06322642338</v>
      </c>
      <c r="H226" s="25" t="n">
        <f aca="false">parametros_recargas!$E$72*'Plan mensual'!J245+parametros_recargas!$F$72*'Plan mensual'!J246+parametros_recargas!$G$72*'Plan mensual'!J247+parametros_recargas!$H$72*'Plan mensual'!J248+parametros_recargas!$I$72*'Plan mensual'!J249+parametros_recargas!$J$72*'Plan mensual'!J250+parametros_recargas!$K$72*'Plan mensual'!J251+parametros_recargas!$L$72*'Plan mensual'!J252</f>
        <v>8113.36394684491</v>
      </c>
      <c r="I226" s="25" t="n">
        <f aca="false">parametros_recargas!$E$72*'Plan mensual'!K245+parametros_recargas!$F$72*'Plan mensual'!K246+parametros_recargas!$G$72*'Plan mensual'!K247+parametros_recargas!$H$72*'Plan mensual'!K248+parametros_recargas!$I$72*'Plan mensual'!K249+parametros_recargas!$J$72*'Plan mensual'!K250+parametros_recargas!$K$72*'Plan mensual'!K251+parametros_recargas!$L$72*'Plan mensual'!K252</f>
        <v>8161.95892400512</v>
      </c>
      <c r="J226" s="25" t="n">
        <f aca="false">parametros_recargas!$E$72*'Plan mensual'!L245+parametros_recargas!$F$72*'Plan mensual'!L246+parametros_recargas!$G$72*'Plan mensual'!L247+parametros_recargas!$H$72*'Plan mensual'!L248+parametros_recargas!$I$72*'Plan mensual'!L249+parametros_recargas!$J$72*'Plan mensual'!L250+parametros_recargas!$K$72*'Plan mensual'!L251+parametros_recargas!$L$72*'Plan mensual'!L252</f>
        <v>8210.84995056937</v>
      </c>
      <c r="K226" s="25" t="n">
        <f aca="false">parametros_recargas!$E$72*'Plan mensual'!M245+parametros_recargas!$F$72*'Plan mensual'!M246+parametros_recargas!$G$72*'Plan mensual'!M247+parametros_recargas!$H$72*'Plan mensual'!M248+parametros_recargas!$I$72*'Plan mensual'!M249+parametros_recargas!$J$72*'Plan mensual'!M250+parametros_recargas!$K$72*'Plan mensual'!M251+parametros_recargas!$L$72*'Plan mensual'!M252</f>
        <v>8260.03883012426</v>
      </c>
      <c r="L226" s="25" t="n">
        <f aca="false">parametros_recargas!$E$72*'Plan mensual'!N245+parametros_recargas!$F$72*'Plan mensual'!N246+parametros_recargas!$G$72*'Plan mensual'!N247+parametros_recargas!$H$72*'Plan mensual'!N248+parametros_recargas!$I$72*'Plan mensual'!N249+parametros_recargas!$J$72*'Plan mensual'!N250+parametros_recargas!$K$72*'Plan mensual'!N251+parametros_recargas!$L$72*'Plan mensual'!N252</f>
        <v>8309.52737724416</v>
      </c>
      <c r="M226" s="25" t="n">
        <f aca="false">parametros_recargas!$E$72*'Plan mensual'!O245+parametros_recargas!$F$72*'Plan mensual'!O246+parametros_recargas!$G$72*'Plan mensual'!O247+parametros_recargas!$H$72*'Plan mensual'!O248+parametros_recargas!$I$72*'Plan mensual'!O249+parametros_recargas!$J$72*'Plan mensual'!O250+parametros_recargas!$K$72*'Plan mensual'!O251+parametros_recargas!$L$72*'Plan mensual'!O252</f>
        <v>8359.31741755817</v>
      </c>
      <c r="N226" s="7" t="n">
        <f aca="false">SUM(B226:M226)</f>
        <v>97091.0998600789</v>
      </c>
      <c r="O226" s="26" t="n">
        <f aca="false">MAX(B226:M226)</f>
        <v>8359.31741755817</v>
      </c>
      <c r="P226" s="15" t="n">
        <f aca="false">O226/parametros_recargas!$B$6</f>
        <v>55.7287827837211</v>
      </c>
    </row>
    <row r="227" customFormat="false" ht="15" hidden="false" customHeight="false" outlineLevel="0" collapsed="false">
      <c r="A227" s="12" t="str">
        <f aca="false">parametros_recargas!$B$73</f>
        <v>Inspección visual</v>
      </c>
      <c r="B227" s="25" t="n">
        <f aca="false">parametros_recargas!$E$73*'Plan mensual'!D245+parametros_recargas!$F$73*'Plan mensual'!D246+parametros_recargas!$G$73*'Plan mensual'!D247+parametros_recargas!$H$73*'Plan mensual'!D248+parametros_recargas!$I$73*'Plan mensual'!D249+parametros_recargas!$J$73*'Plan mensual'!D250+parametros_recargas!$K$73*'Plan mensual'!D251+parametros_recargas!$L$73*'Plan mensual'!D252</f>
        <v>7827.91148829634</v>
      </c>
      <c r="C227" s="25" t="n">
        <f aca="false">parametros_recargas!$E$73*'Plan mensual'!E245+parametros_recargas!$F$73*'Plan mensual'!E246+parametros_recargas!$G$73*'Plan mensual'!E247+parametros_recargas!$H$73*'Plan mensual'!E248+parametros_recargas!$I$73*'Plan mensual'!E249+parametros_recargas!$J$73*'Plan mensual'!E250+parametros_recargas!$K$73*'Plan mensual'!E251+parametros_recargas!$L$73*'Plan mensual'!E252</f>
        <v>7874.7674373682</v>
      </c>
      <c r="D227" s="25" t="n">
        <f aca="false">parametros_recargas!$E$73*'Plan mensual'!F245+parametros_recargas!$F$73*'Plan mensual'!F246+parametros_recargas!$G$73*'Plan mensual'!F247+parametros_recargas!$H$73*'Plan mensual'!F248+parametros_recargas!$I$73*'Plan mensual'!F249+parametros_recargas!$J$73*'Plan mensual'!F250+parametros_recargas!$K$73*'Plan mensual'!F251+parametros_recargas!$L$73*'Plan mensual'!F252</f>
        <v>7921.90884136996</v>
      </c>
      <c r="E227" s="25" t="n">
        <f aca="false">parametros_recargas!$E$73*'Plan mensual'!G245+parametros_recargas!$F$73*'Plan mensual'!G246+parametros_recargas!$G$73*'Plan mensual'!G247+parametros_recargas!$H$73*'Plan mensual'!G248+parametros_recargas!$I$73*'Plan mensual'!G249+parametros_recargas!$J$73*'Plan mensual'!G250+parametros_recargas!$K$73*'Plan mensual'!G251+parametros_recargas!$L$73*'Plan mensual'!G252</f>
        <v>7969.33743934474</v>
      </c>
      <c r="F227" s="25" t="n">
        <f aca="false">parametros_recargas!$E$73*'Plan mensual'!H245+parametros_recargas!$F$73*'Plan mensual'!H246+parametros_recargas!$G$73*'Plan mensual'!H247+parametros_recargas!$H$73*'Plan mensual'!H248+parametros_recargas!$I$73*'Plan mensual'!H249+parametros_recargas!$J$73*'Plan mensual'!H250+parametros_recargas!$K$73*'Plan mensual'!H251+parametros_recargas!$L$73*'Plan mensual'!H252</f>
        <v>8017.05498093028</v>
      </c>
      <c r="G227" s="25" t="n">
        <f aca="false">parametros_recargas!$E$73*'Plan mensual'!I245+parametros_recargas!$F$73*'Plan mensual'!I246+parametros_recargas!$G$73*'Plan mensual'!I247+parametros_recargas!$H$73*'Plan mensual'!I248+parametros_recargas!$I$73*'Plan mensual'!I249+parametros_recargas!$J$73*'Plan mensual'!I250+parametros_recargas!$K$73*'Plan mensual'!I251+parametros_recargas!$L$73*'Plan mensual'!I252</f>
        <v>8065.06322642338</v>
      </c>
      <c r="H227" s="25" t="n">
        <f aca="false">parametros_recargas!$E$73*'Plan mensual'!J245+parametros_recargas!$F$73*'Plan mensual'!J246+parametros_recargas!$G$73*'Plan mensual'!J247+parametros_recargas!$H$73*'Plan mensual'!J248+parametros_recargas!$I$73*'Plan mensual'!J249+parametros_recargas!$J$73*'Plan mensual'!J250+parametros_recargas!$K$73*'Plan mensual'!J251+parametros_recargas!$L$73*'Plan mensual'!J252</f>
        <v>8113.36394684491</v>
      </c>
      <c r="I227" s="25" t="n">
        <f aca="false">parametros_recargas!$E$73*'Plan mensual'!K245+parametros_recargas!$F$73*'Plan mensual'!K246+parametros_recargas!$G$73*'Plan mensual'!K247+parametros_recargas!$H$73*'Plan mensual'!K248+parametros_recargas!$I$73*'Plan mensual'!K249+parametros_recargas!$J$73*'Plan mensual'!K250+parametros_recargas!$K$73*'Plan mensual'!K251+parametros_recargas!$L$73*'Plan mensual'!K252</f>
        <v>8161.95892400512</v>
      </c>
      <c r="J227" s="25" t="n">
        <f aca="false">parametros_recargas!$E$73*'Plan mensual'!L245+parametros_recargas!$F$73*'Plan mensual'!L246+parametros_recargas!$G$73*'Plan mensual'!L247+parametros_recargas!$H$73*'Plan mensual'!L248+parametros_recargas!$I$73*'Plan mensual'!L249+parametros_recargas!$J$73*'Plan mensual'!L250+parametros_recargas!$K$73*'Plan mensual'!L251+parametros_recargas!$L$73*'Plan mensual'!L252</f>
        <v>8210.84995056937</v>
      </c>
      <c r="K227" s="25" t="n">
        <f aca="false">parametros_recargas!$E$73*'Plan mensual'!M245+parametros_recargas!$F$73*'Plan mensual'!M246+parametros_recargas!$G$73*'Plan mensual'!M247+parametros_recargas!$H$73*'Plan mensual'!M248+parametros_recargas!$I$73*'Plan mensual'!M249+parametros_recargas!$J$73*'Plan mensual'!M250+parametros_recargas!$K$73*'Plan mensual'!M251+parametros_recargas!$L$73*'Plan mensual'!M252</f>
        <v>8260.03883012426</v>
      </c>
      <c r="L227" s="25" t="n">
        <f aca="false">parametros_recargas!$E$73*'Plan mensual'!N245+parametros_recargas!$F$73*'Plan mensual'!N246+parametros_recargas!$G$73*'Plan mensual'!N247+parametros_recargas!$H$73*'Plan mensual'!N248+parametros_recargas!$I$73*'Plan mensual'!N249+parametros_recargas!$J$73*'Plan mensual'!N250+parametros_recargas!$K$73*'Plan mensual'!N251+parametros_recargas!$L$73*'Plan mensual'!N252</f>
        <v>8309.52737724416</v>
      </c>
      <c r="M227" s="25" t="n">
        <f aca="false">parametros_recargas!$E$73*'Plan mensual'!O245+parametros_recargas!$F$73*'Plan mensual'!O246+parametros_recargas!$G$73*'Plan mensual'!O247+parametros_recargas!$H$73*'Plan mensual'!O248+parametros_recargas!$I$73*'Plan mensual'!O249+parametros_recargas!$J$73*'Plan mensual'!O250+parametros_recargas!$K$73*'Plan mensual'!O251+parametros_recargas!$L$73*'Plan mensual'!O252</f>
        <v>8359.31741755817</v>
      </c>
      <c r="N227" s="7" t="n">
        <f aca="false">SUM(B227:M227)</f>
        <v>97091.0998600789</v>
      </c>
      <c r="O227" s="26" t="n">
        <f aca="false">MAX(B227:M227)</f>
        <v>8359.31741755817</v>
      </c>
      <c r="P227" s="15" t="n">
        <f aca="false">O227/parametros_recargas!$B$6</f>
        <v>55.7287827837211</v>
      </c>
    </row>
    <row r="228" customFormat="false" ht="15" hidden="false" customHeight="false" outlineLevel="0" collapsed="false">
      <c r="A228" s="12" t="str">
        <f aca="false">parametros_recargas!$B$74</f>
        <v>Descarga ABC — ruta recuperable</v>
      </c>
      <c r="B228" s="25" t="n">
        <f aca="false">parametros_recargas!$E$74*'Plan mensual'!D245+parametros_recargas!$F$74*'Plan mensual'!D246+parametros_recargas!$G$74*'Plan mensual'!D247+parametros_recargas!$H$74*'Plan mensual'!D248+parametros_recargas!$I$74*'Plan mensual'!D249+parametros_recargas!$J$74*'Plan mensual'!D250+parametros_recargas!$K$74*'Plan mensual'!D251+parametros_recargas!$L$74*'Plan mensual'!D252</f>
        <v>5795.65015177391</v>
      </c>
      <c r="C228" s="25" t="n">
        <f aca="false">parametros_recargas!$E$74*'Plan mensual'!E245+parametros_recargas!$F$74*'Plan mensual'!E246+parametros_recargas!$G$74*'Plan mensual'!E247+parametros_recargas!$H$74*'Plan mensual'!E248+parametros_recargas!$I$74*'Plan mensual'!E249+parametros_recargas!$J$74*'Plan mensual'!E250+parametros_recargas!$K$74*'Plan mensual'!E251+parametros_recargas!$L$74*'Plan mensual'!E252</f>
        <v>5830.37746369923</v>
      </c>
      <c r="D228" s="25" t="n">
        <f aca="false">parametros_recargas!$E$74*'Plan mensual'!F245+parametros_recargas!$F$74*'Plan mensual'!F246+parametros_recargas!$G$74*'Plan mensual'!F247+parametros_recargas!$H$74*'Plan mensual'!F248+parametros_recargas!$I$74*'Plan mensual'!F249+parametros_recargas!$J$74*'Plan mensual'!F250+parametros_recargas!$K$74*'Plan mensual'!F251+parametros_recargas!$L$74*'Plan mensual'!F252</f>
        <v>5865.31634069979</v>
      </c>
      <c r="E228" s="25" t="n">
        <f aca="false">parametros_recargas!$E$74*'Plan mensual'!G245+parametros_recargas!$F$74*'Plan mensual'!G246+parametros_recargas!$G$74*'Plan mensual'!G247+parametros_recargas!$H$74*'Plan mensual'!G248+parametros_recargas!$I$74*'Plan mensual'!G249+parametros_recargas!$J$74*'Plan mensual'!G250+parametros_recargas!$K$74*'Plan mensual'!G251+parametros_recargas!$L$74*'Plan mensual'!G252</f>
        <v>5900.46807166836</v>
      </c>
      <c r="F228" s="25" t="n">
        <f aca="false">parametros_recargas!$E$74*'Plan mensual'!H245+parametros_recargas!$F$74*'Plan mensual'!H246+parametros_recargas!$G$74*'Plan mensual'!H247+parametros_recargas!$H$74*'Plan mensual'!H248+parametros_recargas!$I$74*'Plan mensual'!H249+parametros_recargas!$J$74*'Plan mensual'!H250+parametros_recargas!$K$74*'Plan mensual'!H251+parametros_recargas!$L$74*'Plan mensual'!H252</f>
        <v>5935.83395334987</v>
      </c>
      <c r="G228" s="25" t="n">
        <f aca="false">parametros_recargas!$E$74*'Plan mensual'!I245+parametros_recargas!$F$74*'Plan mensual'!I246+parametros_recargas!$G$74*'Plan mensual'!I247+parametros_recargas!$H$74*'Plan mensual'!I248+parametros_recargas!$I$74*'Plan mensual'!I249+parametros_recargas!$J$74*'Plan mensual'!I250+parametros_recargas!$K$74*'Plan mensual'!I251+parametros_recargas!$L$74*'Plan mensual'!I252</f>
        <v>5971.41529038926</v>
      </c>
      <c r="H228" s="25" t="n">
        <f aca="false">parametros_recargas!$E$74*'Plan mensual'!J245+parametros_recargas!$F$74*'Plan mensual'!J246+parametros_recargas!$G$74*'Plan mensual'!J247+parametros_recargas!$H$74*'Plan mensual'!J248+parametros_recargas!$I$74*'Plan mensual'!J249+parametros_recargas!$J$74*'Plan mensual'!J250+parametros_recargas!$K$74*'Plan mensual'!J251+parametros_recargas!$L$74*'Plan mensual'!J252</f>
        <v>6007.2133953796</v>
      </c>
      <c r="I228" s="25" t="n">
        <f aca="false">parametros_recargas!$E$74*'Plan mensual'!K245+parametros_recargas!$F$74*'Plan mensual'!K246+parametros_recargas!$G$74*'Plan mensual'!K247+parametros_recargas!$H$74*'Plan mensual'!K248+parametros_recargas!$I$74*'Plan mensual'!K249+parametros_recargas!$J$74*'Plan mensual'!K250+parametros_recargas!$K$74*'Plan mensual'!K251+parametros_recargas!$L$74*'Plan mensual'!K252</f>
        <v>6043.22958891051</v>
      </c>
      <c r="J228" s="25" t="n">
        <f aca="false">parametros_recargas!$E$74*'Plan mensual'!L245+parametros_recargas!$F$74*'Plan mensual'!L246+parametros_recargas!$G$74*'Plan mensual'!L247+parametros_recargas!$H$74*'Plan mensual'!L248+parametros_recargas!$I$74*'Plan mensual'!L249+parametros_recargas!$J$74*'Plan mensual'!L250+parametros_recargas!$K$74*'Plan mensual'!L251+parametros_recargas!$L$74*'Plan mensual'!L252</f>
        <v>6079.46519961688</v>
      </c>
      <c r="K228" s="25" t="n">
        <f aca="false">parametros_recargas!$E$74*'Plan mensual'!M245+parametros_recargas!$F$74*'Plan mensual'!M246+parametros_recargas!$G$74*'Plan mensual'!M247+parametros_recargas!$H$74*'Plan mensual'!M248+parametros_recargas!$I$74*'Plan mensual'!M249+parametros_recargas!$J$74*'Plan mensual'!M250+parametros_recargas!$K$74*'Plan mensual'!M251+parametros_recargas!$L$74*'Plan mensual'!M252</f>
        <v>6115.92156422791</v>
      </c>
      <c r="L228" s="25" t="n">
        <f aca="false">parametros_recargas!$E$74*'Plan mensual'!N245+parametros_recargas!$F$74*'Plan mensual'!N246+parametros_recargas!$G$74*'Plan mensual'!N247+parametros_recargas!$H$74*'Plan mensual'!N248+parametros_recargas!$I$74*'Plan mensual'!N249+parametros_recargas!$J$74*'Plan mensual'!N250+parametros_recargas!$K$74*'Plan mensual'!N251+parametros_recargas!$L$74*'Plan mensual'!N252</f>
        <v>6152.60002761637</v>
      </c>
      <c r="M228" s="25" t="n">
        <f aca="false">parametros_recargas!$E$74*'Plan mensual'!O245+parametros_recargas!$F$74*'Plan mensual'!O246+parametros_recargas!$G$74*'Plan mensual'!O247+parametros_recargas!$H$74*'Plan mensual'!O248+parametros_recargas!$I$74*'Plan mensual'!O249+parametros_recargas!$J$74*'Plan mensual'!O250+parametros_recargas!$K$74*'Plan mensual'!O251+parametros_recargas!$L$74*'Plan mensual'!O252</f>
        <v>6189.50194284825</v>
      </c>
      <c r="N228" s="7" t="n">
        <f aca="false">SUM(B228:M228)</f>
        <v>71886.99299018</v>
      </c>
      <c r="O228" s="26" t="n">
        <f aca="false">MAX(B228:M228)</f>
        <v>6189.50194284825</v>
      </c>
      <c r="P228" s="15" t="n">
        <f aca="false">O228/parametros_recargas!$B$6</f>
        <v>41.263346285655</v>
      </c>
    </row>
    <row r="229" customFormat="false" ht="15" hidden="false" customHeight="false" outlineLevel="0" collapsed="false">
      <c r="A229" s="12" t="str">
        <f aca="false">parametros_recargas!$B$75</f>
        <v>Descarga ABC — ruta descarte</v>
      </c>
      <c r="B229" s="25" t="n">
        <f aca="false">parametros_recargas!$E$75*'Plan mensual'!D245+parametros_recargas!$F$75*'Plan mensual'!D246+parametros_recargas!$G$75*'Plan mensual'!D247+parametros_recargas!$H$75*'Plan mensual'!D248+parametros_recargas!$I$75*'Plan mensual'!D249+parametros_recargas!$J$75*'Plan mensual'!D250+parametros_recargas!$K$75*'Plan mensual'!D251+parametros_recargas!$L$75*'Plan mensual'!D252</f>
        <v>681.841194326342</v>
      </c>
      <c r="C229" s="25" t="n">
        <f aca="false">parametros_recargas!$E$75*'Plan mensual'!E245+parametros_recargas!$F$75*'Plan mensual'!E246+parametros_recargas!$G$75*'Plan mensual'!E247+parametros_recargas!$H$75*'Plan mensual'!E248+parametros_recargas!$I$75*'Plan mensual'!E249+parametros_recargas!$J$75*'Plan mensual'!E250+parametros_recargas!$K$75*'Plan mensual'!E251+parametros_recargas!$L$75*'Plan mensual'!E252</f>
        <v>685.926760435204</v>
      </c>
      <c r="D229" s="25" t="n">
        <f aca="false">parametros_recargas!$E$75*'Plan mensual'!F245+parametros_recargas!$F$75*'Plan mensual'!F246+parametros_recargas!$G$75*'Plan mensual'!F247+parametros_recargas!$H$75*'Plan mensual'!F248+parametros_recargas!$I$75*'Plan mensual'!F249+parametros_recargas!$J$75*'Plan mensual'!F250+parametros_recargas!$K$75*'Plan mensual'!F251+parametros_recargas!$L$75*'Plan mensual'!F252</f>
        <v>690.037216552917</v>
      </c>
      <c r="E229" s="25" t="n">
        <f aca="false">parametros_recargas!$E$75*'Plan mensual'!G245+parametros_recargas!$F$75*'Plan mensual'!G246+parametros_recargas!$G$75*'Plan mensual'!G247+parametros_recargas!$H$75*'Plan mensual'!G248+parametros_recargas!$I$75*'Plan mensual'!G249+parametros_recargas!$J$75*'Plan mensual'!G250+parametros_recargas!$K$75*'Plan mensual'!G251+parametros_recargas!$L$75*'Plan mensual'!G252</f>
        <v>694.172714313925</v>
      </c>
      <c r="F229" s="25" t="n">
        <f aca="false">parametros_recargas!$E$75*'Plan mensual'!H245+parametros_recargas!$F$75*'Plan mensual'!H246+parametros_recargas!$G$75*'Plan mensual'!H247+parametros_recargas!$H$75*'Plan mensual'!H248+parametros_recargas!$I$75*'Plan mensual'!H249+parametros_recargas!$J$75*'Plan mensual'!H250+parametros_recargas!$K$75*'Plan mensual'!H251+parametros_recargas!$L$75*'Plan mensual'!H252</f>
        <v>698.333406276456</v>
      </c>
      <c r="G229" s="25" t="n">
        <f aca="false">parametros_recargas!$E$75*'Plan mensual'!I245+parametros_recargas!$F$75*'Plan mensual'!I246+parametros_recargas!$G$75*'Plan mensual'!I247+parametros_recargas!$H$75*'Plan mensual'!I248+parametros_recargas!$I$75*'Plan mensual'!I249+parametros_recargas!$J$75*'Plan mensual'!I250+parametros_recargas!$K$75*'Plan mensual'!I251+parametros_recargas!$L$75*'Plan mensual'!I252</f>
        <v>702.519445928149</v>
      </c>
      <c r="H229" s="25" t="n">
        <f aca="false">parametros_recargas!$E$75*'Plan mensual'!J245+parametros_recargas!$F$75*'Plan mensual'!J246+parametros_recargas!$G$75*'Plan mensual'!J247+parametros_recargas!$H$75*'Plan mensual'!J248+parametros_recargas!$I$75*'Plan mensual'!J249+parametros_recargas!$J$75*'Plan mensual'!J250+parametros_recargas!$K$75*'Plan mensual'!J251+parametros_recargas!$L$75*'Plan mensual'!J252</f>
        <v>706.730987691717</v>
      </c>
      <c r="I229" s="25" t="n">
        <f aca="false">parametros_recargas!$E$75*'Plan mensual'!K245+parametros_recargas!$F$75*'Plan mensual'!K246+parametros_recargas!$G$75*'Plan mensual'!K247+parametros_recargas!$H$75*'Plan mensual'!K248+parametros_recargas!$I$75*'Plan mensual'!K249+parametros_recargas!$J$75*'Plan mensual'!K250+parametros_recargas!$K$75*'Plan mensual'!K251+parametros_recargas!$L$75*'Plan mensual'!K252</f>
        <v>710.968186930648</v>
      </c>
      <c r="J229" s="25" t="n">
        <f aca="false">parametros_recargas!$E$75*'Plan mensual'!L245+parametros_recargas!$F$75*'Plan mensual'!L246+parametros_recargas!$G$75*'Plan mensual'!L247+parametros_recargas!$H$75*'Plan mensual'!L248+parametros_recargas!$I$75*'Plan mensual'!L249+parametros_recargas!$J$75*'Plan mensual'!L250+parametros_recargas!$K$75*'Plan mensual'!L251+parametros_recargas!$L$75*'Plan mensual'!L252</f>
        <v>715.231199954928</v>
      </c>
      <c r="K229" s="25" t="n">
        <f aca="false">parametros_recargas!$E$75*'Plan mensual'!M245+parametros_recargas!$F$75*'Plan mensual'!M246+parametros_recargas!$G$75*'Plan mensual'!M247+parametros_recargas!$H$75*'Plan mensual'!M248+parametros_recargas!$I$75*'Plan mensual'!M249+parametros_recargas!$J$75*'Plan mensual'!M250+parametros_recargas!$K$75*'Plan mensual'!M251+parametros_recargas!$L$75*'Plan mensual'!M252</f>
        <v>719.520184026813</v>
      </c>
      <c r="L229" s="25" t="n">
        <f aca="false">parametros_recargas!$E$75*'Plan mensual'!N245+parametros_recargas!$F$75*'Plan mensual'!N246+parametros_recargas!$G$75*'Plan mensual'!N247+parametros_recargas!$H$75*'Plan mensual'!N248+parametros_recargas!$I$75*'Plan mensual'!N249+parametros_recargas!$J$75*'Plan mensual'!N250+parametros_recargas!$K$75*'Plan mensual'!N251+parametros_recargas!$L$75*'Plan mensual'!N252</f>
        <v>723.835297366632</v>
      </c>
      <c r="M229" s="25" t="n">
        <f aca="false">parametros_recargas!$E$75*'Plan mensual'!O245+parametros_recargas!$F$75*'Plan mensual'!O246+parametros_recargas!$G$75*'Plan mensual'!O247+parametros_recargas!$H$75*'Plan mensual'!O248+parametros_recargas!$I$75*'Plan mensual'!O249+parametros_recargas!$J$75*'Plan mensual'!O250+parametros_recargas!$K$75*'Plan mensual'!O251+parametros_recargas!$L$75*'Plan mensual'!O252</f>
        <v>728.176699158617</v>
      </c>
      <c r="N229" s="7" t="n">
        <f aca="false">SUM(B229:M229)</f>
        <v>8457.29329296235</v>
      </c>
      <c r="O229" s="26" t="n">
        <f aca="false">MAX(B229:M229)</f>
        <v>728.176699158617</v>
      </c>
      <c r="P229" s="15" t="n">
        <f aca="false">O229/parametros_recargas!$B$6</f>
        <v>4.85451132772412</v>
      </c>
    </row>
    <row r="230" customFormat="false" ht="15" hidden="false" customHeight="false" outlineLevel="0" collapsed="false">
      <c r="A230" s="12" t="str">
        <f aca="false">parametros_recargas!$B$76</f>
        <v>Descarga BC</v>
      </c>
      <c r="B230" s="25" t="n">
        <f aca="false">parametros_recargas!$E$76*'Plan mensual'!D245+parametros_recargas!$F$76*'Plan mensual'!D246+parametros_recargas!$G$76*'Plan mensual'!D247+parametros_recargas!$H$76*'Plan mensual'!D248+parametros_recargas!$I$76*'Plan mensual'!D249+parametros_recargas!$J$76*'Plan mensual'!D250+parametros_recargas!$K$76*'Plan mensual'!D251+parametros_recargas!$L$76*'Plan mensual'!D252</f>
        <v>9.90215689385426</v>
      </c>
      <c r="C230" s="25" t="n">
        <f aca="false">parametros_recargas!$E$76*'Plan mensual'!E245+parametros_recargas!$F$76*'Plan mensual'!E246+parametros_recargas!$G$76*'Plan mensual'!E247+parametros_recargas!$H$76*'Plan mensual'!E248+parametros_recargas!$I$76*'Plan mensual'!E249+parametros_recargas!$J$76*'Plan mensual'!E250+parametros_recargas!$K$76*'Plan mensual'!E251+parametros_recargas!$L$76*'Plan mensual'!E252</f>
        <v>9.95994421865339</v>
      </c>
      <c r="D230" s="25" t="n">
        <f aca="false">parametros_recargas!$E$76*'Plan mensual'!F245+parametros_recargas!$F$76*'Plan mensual'!F246+parametros_recargas!$G$76*'Plan mensual'!F247+parametros_recargas!$H$76*'Plan mensual'!F248+parametros_recargas!$I$76*'Plan mensual'!F249+parametros_recargas!$J$76*'Plan mensual'!F250+parametros_recargas!$K$76*'Plan mensual'!F251+parametros_recargas!$L$76*'Plan mensual'!F252</f>
        <v>10.0180835943036</v>
      </c>
      <c r="E230" s="25" t="n">
        <f aca="false">parametros_recargas!$E$76*'Plan mensual'!G245+parametros_recargas!$F$76*'Plan mensual'!G246+parametros_recargas!$G$76*'Plan mensual'!G247+parametros_recargas!$H$76*'Plan mensual'!G248+parametros_recargas!$I$76*'Plan mensual'!G249+parametros_recargas!$J$76*'Plan mensual'!G250+parametros_recargas!$K$76*'Plan mensual'!G251+parametros_recargas!$L$76*'Plan mensual'!G252</f>
        <v>10.0765771655625</v>
      </c>
      <c r="F230" s="25" t="n">
        <f aca="false">parametros_recargas!$E$76*'Plan mensual'!H245+parametros_recargas!$F$76*'Plan mensual'!H246+parametros_recargas!$G$76*'Plan mensual'!H247+parametros_recargas!$H$76*'Plan mensual'!H248+parametros_recargas!$I$76*'Plan mensual'!H249+parametros_recargas!$J$76*'Plan mensual'!H250+parametros_recargas!$K$76*'Plan mensual'!H251+parametros_recargas!$L$76*'Plan mensual'!H252</f>
        <v>10.1354270902538</v>
      </c>
      <c r="G230" s="25" t="n">
        <f aca="false">parametros_recargas!$E$76*'Plan mensual'!I245+parametros_recargas!$F$76*'Plan mensual'!I246+parametros_recargas!$G$76*'Plan mensual'!I247+parametros_recargas!$H$76*'Plan mensual'!I248+parametros_recargas!$I$76*'Plan mensual'!I249+parametros_recargas!$J$76*'Plan mensual'!I250+parametros_recargas!$K$76*'Plan mensual'!I251+parametros_recargas!$L$76*'Plan mensual'!I252</f>
        <v>10.1946355393472</v>
      </c>
      <c r="H230" s="25" t="n">
        <f aca="false">parametros_recargas!$E$76*'Plan mensual'!J245+parametros_recargas!$F$76*'Plan mensual'!J246+parametros_recargas!$G$76*'Plan mensual'!J247+parametros_recargas!$H$76*'Plan mensual'!J248+parametros_recargas!$I$76*'Plan mensual'!J249+parametros_recargas!$J$76*'Plan mensual'!J250+parametros_recargas!$K$76*'Plan mensual'!J251+parametros_recargas!$L$76*'Plan mensual'!J252</f>
        <v>10.2542046970384</v>
      </c>
      <c r="I230" s="25" t="n">
        <f aca="false">parametros_recargas!$E$76*'Plan mensual'!K245+parametros_recargas!$F$76*'Plan mensual'!K246+parametros_recargas!$G$76*'Plan mensual'!K247+parametros_recargas!$H$76*'Plan mensual'!K248+parametros_recargas!$I$76*'Plan mensual'!K249+parametros_recargas!$J$76*'Plan mensual'!K250+parametros_recargas!$K$76*'Plan mensual'!K251+parametros_recargas!$L$76*'Plan mensual'!K252</f>
        <v>10.3141367608294</v>
      </c>
      <c r="J230" s="25" t="n">
        <f aca="false">parametros_recargas!$E$76*'Plan mensual'!L245+parametros_recargas!$F$76*'Plan mensual'!L246+parametros_recargas!$G$76*'Plan mensual'!L247+parametros_recargas!$H$76*'Plan mensual'!L248+parametros_recargas!$I$76*'Plan mensual'!L249+parametros_recargas!$J$76*'Plan mensual'!L250+parametros_recargas!$K$76*'Plan mensual'!L251+parametros_recargas!$L$76*'Plan mensual'!L252</f>
        <v>10.37443394161</v>
      </c>
      <c r="K230" s="25" t="n">
        <f aca="false">parametros_recargas!$E$76*'Plan mensual'!M245+parametros_recargas!$F$76*'Plan mensual'!M246+parametros_recargas!$G$76*'Plan mensual'!M247+parametros_recargas!$H$76*'Plan mensual'!M248+parametros_recargas!$I$76*'Plan mensual'!M249+parametros_recargas!$J$76*'Plan mensual'!M250+parametros_recargas!$K$76*'Plan mensual'!M251+parametros_recargas!$L$76*'Plan mensual'!M252</f>
        <v>10.4350984637389</v>
      </c>
      <c r="L230" s="25" t="n">
        <f aca="false">parametros_recargas!$E$76*'Plan mensual'!N245+parametros_recargas!$F$76*'Plan mensual'!N246+parametros_recargas!$G$76*'Plan mensual'!N247+parametros_recargas!$H$76*'Plan mensual'!N248+parametros_recargas!$I$76*'Plan mensual'!N249+parametros_recargas!$J$76*'Plan mensual'!N250+parametros_recargas!$K$76*'Plan mensual'!N251+parametros_recargas!$L$76*'Plan mensual'!N252</f>
        <v>10.4961325651263</v>
      </c>
      <c r="M230" s="25" t="n">
        <f aca="false">parametros_recargas!$E$76*'Plan mensual'!O245+parametros_recargas!$F$76*'Plan mensual'!O246+parametros_recargas!$G$76*'Plan mensual'!O247+parametros_recargas!$H$76*'Plan mensual'!O248+parametros_recargas!$I$76*'Plan mensual'!O249+parametros_recargas!$J$76*'Plan mensual'!O250+parametros_recargas!$K$76*'Plan mensual'!O251+parametros_recargas!$L$76*'Plan mensual'!O252</f>
        <v>10.557538497316</v>
      </c>
      <c r="N230" s="7" t="n">
        <f aca="false">SUM(B230:M230)</f>
        <v>122.718369427634</v>
      </c>
      <c r="O230" s="26" t="n">
        <f aca="false">MAX(B230:M230)</f>
        <v>10.557538497316</v>
      </c>
      <c r="P230" s="15" t="n">
        <f aca="false">O230/parametros_recargas!$B$6</f>
        <v>0.0703835899821065</v>
      </c>
    </row>
    <row r="231" customFormat="false" ht="15" hidden="false" customHeight="false" outlineLevel="0" collapsed="false">
      <c r="A231" s="12" t="str">
        <f aca="false">parametros_recargas!$B$77</f>
        <v>Descarga de agua / AFFF / sales K</v>
      </c>
      <c r="B231" s="25" t="n">
        <f aca="false">parametros_recargas!$E$77*'Plan mensual'!D245+parametros_recargas!$F$77*'Plan mensual'!D246+parametros_recargas!$G$77*'Plan mensual'!D247+parametros_recargas!$H$77*'Plan mensual'!D248+parametros_recargas!$I$77*'Plan mensual'!D249+parametros_recargas!$J$77*'Plan mensual'!D250+parametros_recargas!$K$77*'Plan mensual'!D251+parametros_recargas!$L$77*'Plan mensual'!D252</f>
        <v>341.152527498377</v>
      </c>
      <c r="C231" s="25" t="n">
        <f aca="false">parametros_recargas!$E$77*'Plan mensual'!E245+parametros_recargas!$F$77*'Plan mensual'!E246+parametros_recargas!$G$77*'Plan mensual'!E247+parametros_recargas!$H$77*'Plan mensual'!E248+parametros_recargas!$I$77*'Plan mensual'!E249+parametros_recargas!$J$77*'Plan mensual'!E250+parametros_recargas!$K$77*'Plan mensual'!E251+parametros_recargas!$L$77*'Plan mensual'!E252</f>
        <v>343.180630002543</v>
      </c>
      <c r="D231" s="25" t="n">
        <f aca="false">parametros_recargas!$E$77*'Plan mensual'!F245+parametros_recargas!$F$77*'Plan mensual'!F246+parametros_recargas!$G$77*'Plan mensual'!F247+parametros_recargas!$H$77*'Plan mensual'!F248+parametros_recargas!$I$77*'Plan mensual'!F249+parametros_recargas!$J$77*'Plan mensual'!F250+parametros_recargas!$K$77*'Plan mensual'!F251+parametros_recargas!$L$77*'Plan mensual'!F252</f>
        <v>345.221088074563</v>
      </c>
      <c r="E231" s="25" t="n">
        <f aca="false">parametros_recargas!$E$77*'Plan mensual'!G245+parametros_recargas!$F$77*'Plan mensual'!G246+parametros_recargas!$G$77*'Plan mensual'!G247+parametros_recargas!$H$77*'Plan mensual'!G248+parametros_recargas!$I$77*'Plan mensual'!G249+parametros_recargas!$J$77*'Plan mensual'!G250+parametros_recargas!$K$77*'Plan mensual'!G251+parametros_recargas!$L$77*'Plan mensual'!G252</f>
        <v>347.273976986795</v>
      </c>
      <c r="F231" s="25" t="n">
        <f aca="false">parametros_recargas!$E$77*'Plan mensual'!H245+parametros_recargas!$F$77*'Plan mensual'!H246+parametros_recargas!$G$77*'Plan mensual'!H247+parametros_recargas!$H$77*'Plan mensual'!H248+parametros_recargas!$I$77*'Plan mensual'!H249+parametros_recargas!$J$77*'Plan mensual'!H250+parametros_recargas!$K$77*'Plan mensual'!H251+parametros_recargas!$L$77*'Plan mensual'!H252</f>
        <v>349.33937247017</v>
      </c>
      <c r="G231" s="25" t="n">
        <f aca="false">parametros_recargas!$E$77*'Plan mensual'!I245+parametros_recargas!$F$77*'Plan mensual'!I246+parametros_recargas!$G$77*'Plan mensual'!I247+parametros_recargas!$H$77*'Plan mensual'!I248+parametros_recargas!$I$77*'Plan mensual'!I249+parametros_recargas!$J$77*'Plan mensual'!I250+parametros_recargas!$K$77*'Plan mensual'!I251+parametros_recargas!$L$77*'Plan mensual'!I252</f>
        <v>351.417350716985</v>
      </c>
      <c r="H231" s="25" t="n">
        <f aca="false">parametros_recargas!$E$77*'Plan mensual'!J245+parametros_recargas!$F$77*'Plan mensual'!J246+parametros_recargas!$G$77*'Plan mensual'!J247+parametros_recargas!$H$77*'Plan mensual'!J248+parametros_recargas!$I$77*'Plan mensual'!J249+parametros_recargas!$J$77*'Plan mensual'!J250+parametros_recargas!$K$77*'Plan mensual'!J251+parametros_recargas!$L$77*'Plan mensual'!J252</f>
        <v>353.507988383713</v>
      </c>
      <c r="I231" s="25" t="n">
        <f aca="false">parametros_recargas!$E$77*'Plan mensual'!K245+parametros_recargas!$F$77*'Plan mensual'!K246+parametros_recargas!$G$77*'Plan mensual'!K247+parametros_recargas!$H$77*'Plan mensual'!K248+parametros_recargas!$I$77*'Plan mensual'!K249+parametros_recargas!$J$77*'Plan mensual'!K250+parametros_recargas!$K$77*'Plan mensual'!K251+parametros_recargas!$L$77*'Plan mensual'!K252</f>
        <v>355.611362593834</v>
      </c>
      <c r="J231" s="25" t="n">
        <f aca="false">parametros_recargas!$E$77*'Plan mensual'!L245+parametros_recargas!$F$77*'Plan mensual'!L246+parametros_recargas!$G$77*'Plan mensual'!L247+parametros_recargas!$H$77*'Plan mensual'!L248+parametros_recargas!$I$77*'Plan mensual'!L249+parametros_recargas!$J$77*'Plan mensual'!L250+parametros_recargas!$K$77*'Plan mensual'!L251+parametros_recargas!$L$77*'Plan mensual'!L252</f>
        <v>357.727550940678</v>
      </c>
      <c r="K231" s="25" t="n">
        <f aca="false">parametros_recargas!$E$77*'Plan mensual'!M245+parametros_recargas!$F$77*'Plan mensual'!M246+parametros_recargas!$G$77*'Plan mensual'!M247+parametros_recargas!$H$77*'Plan mensual'!M248+parametros_recargas!$I$77*'Plan mensual'!M249+parametros_recargas!$J$77*'Plan mensual'!M250+parametros_recargas!$K$77*'Plan mensual'!M251+parametros_recargas!$L$77*'Plan mensual'!M252</f>
        <v>359.856631490287</v>
      </c>
      <c r="L231" s="25" t="n">
        <f aca="false">parametros_recargas!$E$77*'Plan mensual'!N245+parametros_recargas!$F$77*'Plan mensual'!N246+parametros_recargas!$G$77*'Plan mensual'!N247+parametros_recargas!$H$77*'Plan mensual'!N248+parametros_recargas!$I$77*'Plan mensual'!N249+parametros_recargas!$J$77*'Plan mensual'!N250+parametros_recargas!$K$77*'Plan mensual'!N251+parametros_recargas!$L$77*'Plan mensual'!N252</f>
        <v>361.998682784296</v>
      </c>
      <c r="M231" s="25" t="n">
        <f aca="false">parametros_recargas!$E$77*'Plan mensual'!O245+parametros_recargas!$F$77*'Plan mensual'!O246+parametros_recargas!$G$77*'Plan mensual'!O247+parametros_recargas!$H$77*'Plan mensual'!O248+parametros_recargas!$I$77*'Plan mensual'!O249+parametros_recargas!$J$77*'Plan mensual'!O250+parametros_recargas!$K$77*'Plan mensual'!O251+parametros_recargas!$L$77*'Plan mensual'!O252</f>
        <v>364.15378384283</v>
      </c>
      <c r="N231" s="7" t="n">
        <f aca="false">SUM(B231:M231)</f>
        <v>4230.44094578507</v>
      </c>
      <c r="O231" s="26" t="n">
        <f aca="false">MAX(B231:M231)</f>
        <v>364.15378384283</v>
      </c>
      <c r="P231" s="15" t="n">
        <f aca="false">O231/parametros_recargas!$B$6</f>
        <v>2.42769189228553</v>
      </c>
    </row>
    <row r="232" customFormat="false" ht="15" hidden="false" customHeight="false" outlineLevel="0" collapsed="false">
      <c r="A232" s="12" t="str">
        <f aca="false">parametros_recargas!$B$78</f>
        <v>Recuperación de CO₂</v>
      </c>
      <c r="B232" s="25" t="n">
        <f aca="false">parametros_recargas!$E$78*'Plan mensual'!D245+parametros_recargas!$F$78*'Plan mensual'!D246+parametros_recargas!$G$78*'Plan mensual'!D247+parametros_recargas!$H$78*'Plan mensual'!D248+parametros_recargas!$I$78*'Plan mensual'!D249+parametros_recargas!$J$78*'Plan mensual'!D250+parametros_recargas!$K$78*'Plan mensual'!D251+parametros_recargas!$L$78*'Plan mensual'!D252</f>
        <v>155.984189880938</v>
      </c>
      <c r="C232" s="25" t="n">
        <f aca="false">parametros_recargas!$E$78*'Plan mensual'!E245+parametros_recargas!$F$78*'Plan mensual'!E246+parametros_recargas!$G$78*'Plan mensual'!E247+parametros_recargas!$H$78*'Plan mensual'!E248+parametros_recargas!$I$78*'Plan mensual'!E249+parametros_recargas!$J$78*'Plan mensual'!E250+parametros_recargas!$K$78*'Plan mensual'!E251+parametros_recargas!$L$78*'Plan mensual'!E252</f>
        <v>156.911881984416</v>
      </c>
      <c r="D232" s="25" t="n">
        <f aca="false">parametros_recargas!$E$78*'Plan mensual'!F245+parametros_recargas!$F$78*'Plan mensual'!F246+parametros_recargas!$G$78*'Plan mensual'!F247+parametros_recargas!$H$78*'Plan mensual'!F248+parametros_recargas!$I$78*'Plan mensual'!F249+parametros_recargas!$J$78*'Plan mensual'!F250+parametros_recargas!$K$78*'Plan mensual'!F251+parametros_recargas!$L$78*'Plan mensual'!F252</f>
        <v>157.845225756244</v>
      </c>
      <c r="E232" s="25" t="n">
        <f aca="false">parametros_recargas!$E$78*'Plan mensual'!G245+parametros_recargas!$F$78*'Plan mensual'!G246+parametros_recargas!$G$78*'Plan mensual'!G247+parametros_recargas!$H$78*'Plan mensual'!G248+parametros_recargas!$I$78*'Plan mensual'!G249+parametros_recargas!$J$78*'Plan mensual'!G250+parametros_recargas!$K$78*'Plan mensual'!G251+parametros_recargas!$L$78*'Plan mensual'!G252</f>
        <v>158.784255627409</v>
      </c>
      <c r="F232" s="25" t="n">
        <f aca="false">parametros_recargas!$E$78*'Plan mensual'!H245+parametros_recargas!$F$78*'Plan mensual'!H246+parametros_recargas!$G$78*'Plan mensual'!H247+parametros_recargas!$H$78*'Plan mensual'!H248+parametros_recargas!$I$78*'Plan mensual'!H249+parametros_recargas!$J$78*'Plan mensual'!H250+parametros_recargas!$K$78*'Plan mensual'!H251+parametros_recargas!$L$78*'Plan mensual'!H252</f>
        <v>159.729006238658</v>
      </c>
      <c r="G232" s="25" t="n">
        <f aca="false">parametros_recargas!$E$78*'Plan mensual'!I245+parametros_recargas!$F$78*'Plan mensual'!I246+parametros_recargas!$G$78*'Plan mensual'!I247+parametros_recargas!$H$78*'Plan mensual'!I248+parametros_recargas!$I$78*'Plan mensual'!I249+parametros_recargas!$J$78*'Plan mensual'!I250+parametros_recargas!$K$78*'Plan mensual'!I251+parametros_recargas!$L$78*'Plan mensual'!I252</f>
        <v>160.679512441776</v>
      </c>
      <c r="H232" s="25" t="n">
        <f aca="false">parametros_recargas!$E$78*'Plan mensual'!J245+parametros_recargas!$F$78*'Plan mensual'!J246+parametros_recargas!$G$78*'Plan mensual'!J247+parametros_recargas!$H$78*'Plan mensual'!J248+parametros_recargas!$I$78*'Plan mensual'!J249+parametros_recargas!$J$78*'Plan mensual'!J250+parametros_recargas!$K$78*'Plan mensual'!J251+parametros_recargas!$L$78*'Plan mensual'!J252</f>
        <v>161.635809300872</v>
      </c>
      <c r="I232" s="25" t="n">
        <f aca="false">parametros_recargas!$E$78*'Plan mensual'!K245+parametros_recargas!$F$78*'Plan mensual'!K246+parametros_recargas!$G$78*'Plan mensual'!K247+parametros_recargas!$H$78*'Plan mensual'!K248+parametros_recargas!$I$78*'Plan mensual'!K249+parametros_recargas!$J$78*'Plan mensual'!K250+parametros_recargas!$K$78*'Plan mensual'!K251+parametros_recargas!$L$78*'Plan mensual'!K252</f>
        <v>162.59793209367</v>
      </c>
      <c r="J232" s="25" t="n">
        <f aca="false">parametros_recargas!$E$78*'Plan mensual'!L245+parametros_recargas!$F$78*'Plan mensual'!L246+parametros_recargas!$G$78*'Plan mensual'!L247+parametros_recargas!$H$78*'Plan mensual'!L248+parametros_recargas!$I$78*'Plan mensual'!L249+parametros_recargas!$J$78*'Plan mensual'!L250+parametros_recargas!$K$78*'Plan mensual'!L251+parametros_recargas!$L$78*'Plan mensual'!L252</f>
        <v>163.565916312815</v>
      </c>
      <c r="K232" s="25" t="n">
        <f aca="false">parametros_recargas!$E$78*'Plan mensual'!M245+parametros_recargas!$F$78*'Plan mensual'!M246+parametros_recargas!$G$78*'Plan mensual'!M247+parametros_recargas!$H$78*'Plan mensual'!M248+parametros_recargas!$I$78*'Plan mensual'!M249+parametros_recargas!$J$78*'Plan mensual'!M250+parametros_recargas!$K$78*'Plan mensual'!M251+parametros_recargas!$L$78*'Plan mensual'!M252</f>
        <v>164.539797667177</v>
      </c>
      <c r="L232" s="25" t="n">
        <f aca="false">parametros_recargas!$E$78*'Plan mensual'!N245+parametros_recargas!$F$78*'Plan mensual'!N246+parametros_recargas!$G$78*'Plan mensual'!N247+parametros_recargas!$H$78*'Plan mensual'!N248+parametros_recargas!$I$78*'Plan mensual'!N249+parametros_recargas!$J$78*'Plan mensual'!N250+parametros_recargas!$K$78*'Plan mensual'!N251+parametros_recargas!$L$78*'Plan mensual'!N252</f>
        <v>165.519612083172</v>
      </c>
      <c r="M232" s="25" t="n">
        <f aca="false">parametros_recargas!$E$78*'Plan mensual'!O245+parametros_recargas!$F$78*'Plan mensual'!O246+parametros_recargas!$G$78*'Plan mensual'!O247+parametros_recargas!$H$78*'Plan mensual'!O248+parametros_recargas!$I$78*'Plan mensual'!O249+parametros_recargas!$J$78*'Plan mensual'!O250+parametros_recargas!$K$78*'Plan mensual'!O251+parametros_recargas!$L$78*'Plan mensual'!O252</f>
        <v>166.505395706086</v>
      </c>
      <c r="N232" s="7" t="n">
        <f aca="false">SUM(B232:M232)</f>
        <v>1934.29853509323</v>
      </c>
      <c r="O232" s="26" t="n">
        <f aca="false">MAX(B232:M232)</f>
        <v>166.505395706086</v>
      </c>
      <c r="P232" s="15" t="n">
        <f aca="false">O232/parametros_recargas!$B$6</f>
        <v>1.11003597137391</v>
      </c>
    </row>
    <row r="233" customFormat="false" ht="15" hidden="false" customHeight="false" outlineLevel="0" collapsed="false">
      <c r="A233" s="12" t="str">
        <f aca="false">parametros_recargas!$B$79</f>
        <v>Recuperación de halogenado</v>
      </c>
      <c r="B233" s="25" t="n">
        <f aca="false">parametros_recargas!$E$79*'Plan mensual'!D245+parametros_recargas!$F$79*'Plan mensual'!D246+parametros_recargas!$G$79*'Plan mensual'!D247+parametros_recargas!$H$79*'Plan mensual'!D248+parametros_recargas!$I$79*'Plan mensual'!D249+parametros_recargas!$J$79*'Plan mensual'!D250+parametros_recargas!$K$79*'Plan mensual'!D251+parametros_recargas!$L$79*'Plan mensual'!D252</f>
        <v>6.39245543691322</v>
      </c>
      <c r="C233" s="25" t="n">
        <f aca="false">parametros_recargas!$E$79*'Plan mensual'!E245+parametros_recargas!$F$79*'Plan mensual'!E246+parametros_recargas!$G$79*'Plan mensual'!E247+parametros_recargas!$H$79*'Plan mensual'!E248+parametros_recargas!$I$79*'Plan mensual'!E249+parametros_recargas!$J$79*'Plan mensual'!E250+parametros_recargas!$K$79*'Plan mensual'!E251+parametros_recargas!$L$79*'Plan mensual'!E252</f>
        <v>6.4303840699285</v>
      </c>
      <c r="D233" s="25" t="n">
        <f aca="false">parametros_recargas!$E$79*'Plan mensual'!F245+parametros_recargas!$F$79*'Plan mensual'!F246+parametros_recargas!$G$79*'Plan mensual'!F247+parametros_recargas!$H$79*'Plan mensual'!F248+parametros_recargas!$I$79*'Plan mensual'!F249+parametros_recargas!$J$79*'Plan mensual'!F250+parametros_recargas!$K$79*'Plan mensual'!F251+parametros_recargas!$L$79*'Plan mensual'!F252</f>
        <v>6.46854377104703</v>
      </c>
      <c r="E233" s="25" t="n">
        <f aca="false">parametros_recargas!$E$79*'Plan mensual'!G245+parametros_recargas!$F$79*'Plan mensual'!G246+parametros_recargas!$G$79*'Plan mensual'!G247+parametros_recargas!$H$79*'Plan mensual'!G248+parametros_recargas!$I$79*'Plan mensual'!G249+parametros_recargas!$J$79*'Plan mensual'!G250+parametros_recargas!$K$79*'Plan mensual'!G251+parametros_recargas!$L$79*'Plan mensual'!G252</f>
        <v>6.50693594797756</v>
      </c>
      <c r="F233" s="25" t="n">
        <f aca="false">parametros_recargas!$E$79*'Plan mensual'!H245+parametros_recargas!$F$79*'Plan mensual'!H246+parametros_recargas!$G$79*'Plan mensual'!H247+parametros_recargas!$H$79*'Plan mensual'!H248+parametros_recargas!$I$79*'Plan mensual'!H249+parametros_recargas!$J$79*'Plan mensual'!H250+parametros_recargas!$K$79*'Plan mensual'!H251+parametros_recargas!$L$79*'Plan mensual'!H252</f>
        <v>6.54556201700486</v>
      </c>
      <c r="G233" s="25" t="n">
        <f aca="false">parametros_recargas!$E$79*'Plan mensual'!I245+parametros_recargas!$F$79*'Plan mensual'!I246+parametros_recargas!$G$79*'Plan mensual'!I247+parametros_recargas!$H$79*'Plan mensual'!I248+parametros_recargas!$I$79*'Plan mensual'!I249+parametros_recargas!$J$79*'Plan mensual'!I250+parametros_recargas!$K$79*'Plan mensual'!I251+parametros_recargas!$L$79*'Plan mensual'!I252</f>
        <v>6.58442340304194</v>
      </c>
      <c r="H233" s="25" t="n">
        <f aca="false">parametros_recargas!$E$79*'Plan mensual'!J245+parametros_recargas!$F$79*'Plan mensual'!J246+parametros_recargas!$G$79*'Plan mensual'!J247+parametros_recargas!$H$79*'Plan mensual'!J248+parametros_recargas!$I$79*'Plan mensual'!J249+parametros_recargas!$J$79*'Plan mensual'!J250+parametros_recargas!$K$79*'Plan mensual'!J251+parametros_recargas!$L$79*'Plan mensual'!J252</f>
        <v>6.62352153968265</v>
      </c>
      <c r="I233" s="25" t="n">
        <f aca="false">parametros_recargas!$E$79*'Plan mensual'!K245+parametros_recargas!$F$79*'Plan mensual'!K246+parametros_recargas!$G$79*'Plan mensual'!K247+parametros_recargas!$H$79*'Plan mensual'!K248+parametros_recargas!$I$79*'Plan mensual'!K249+parametros_recargas!$J$79*'Plan mensual'!K250+parametros_recargas!$K$79*'Plan mensual'!K251+parametros_recargas!$L$79*'Plan mensual'!K252</f>
        <v>6.66285786925456</v>
      </c>
      <c r="J233" s="25" t="n">
        <f aca="false">parametros_recargas!$E$79*'Plan mensual'!L245+parametros_recargas!$F$79*'Plan mensual'!L246+parametros_recargas!$G$79*'Plan mensual'!L247+parametros_recargas!$H$79*'Plan mensual'!L248+parametros_recargas!$I$79*'Plan mensual'!L249+parametros_recargas!$J$79*'Plan mensual'!L250+parametros_recargas!$K$79*'Plan mensual'!L251+parametros_recargas!$L$79*'Plan mensual'!L252</f>
        <v>6.70243384287216</v>
      </c>
      <c r="K233" s="25" t="n">
        <f aca="false">parametros_recargas!$E$79*'Plan mensual'!M245+parametros_recargas!$F$79*'Plan mensual'!M246+parametros_recargas!$G$79*'Plan mensual'!M247+parametros_recargas!$H$79*'Plan mensual'!M248+parametros_recargas!$I$79*'Plan mensual'!M249+parametros_recargas!$J$79*'Plan mensual'!M250+parametros_recargas!$K$79*'Plan mensual'!M251+parametros_recargas!$L$79*'Plan mensual'!M252</f>
        <v>6.74225092049039</v>
      </c>
      <c r="L233" s="25" t="n">
        <f aca="false">parametros_recargas!$E$79*'Plan mensual'!N245+parametros_recargas!$F$79*'Plan mensual'!N246+parametros_recargas!$G$79*'Plan mensual'!N247+parametros_recargas!$H$79*'Plan mensual'!N248+parametros_recargas!$I$79*'Plan mensual'!N249+parametros_recargas!$J$79*'Plan mensual'!N250+parametros_recargas!$K$79*'Plan mensual'!N251+parametros_recargas!$L$79*'Plan mensual'!N252</f>
        <v>6.7823105709585</v>
      </c>
      <c r="M233" s="25" t="n">
        <f aca="false">parametros_recargas!$E$79*'Plan mensual'!O245+parametros_recargas!$F$79*'Plan mensual'!O246+parametros_recargas!$G$79*'Plan mensual'!O247+parametros_recargas!$H$79*'Plan mensual'!O248+parametros_recargas!$I$79*'Plan mensual'!O249+parametros_recargas!$J$79*'Plan mensual'!O250+parametros_recargas!$K$79*'Plan mensual'!O251+parametros_recargas!$L$79*'Plan mensual'!O252</f>
        <v>6.82261427207422</v>
      </c>
      <c r="N233" s="7" t="n">
        <f aca="false">SUM(B233:M233)</f>
        <v>79.2642936612456</v>
      </c>
      <c r="O233" s="26" t="n">
        <f aca="false">MAX(B233:M233)</f>
        <v>6.82261427207422</v>
      </c>
      <c r="P233" s="15" t="n">
        <f aca="false">O233/parametros_recargas!$B$6</f>
        <v>0.0454840951471615</v>
      </c>
    </row>
    <row r="234" customFormat="false" ht="15" hidden="false" customHeight="false" outlineLevel="0" collapsed="false">
      <c r="A234" s="12" t="str">
        <f aca="false">parametros_recargas!$B$80</f>
        <v>Desarme y limpieza — recinto</v>
      </c>
      <c r="B234" s="25" t="n">
        <f aca="false">parametros_recargas!$E$80*'Plan mensual'!D245+parametros_recargas!$F$80*'Plan mensual'!D246+parametros_recargas!$G$80*'Plan mensual'!D247+parametros_recargas!$H$80*'Plan mensual'!D248+parametros_recargas!$I$80*'Plan mensual'!D249+parametros_recargas!$J$80*'Plan mensual'!D250+parametros_recargas!$K$80*'Plan mensual'!D251+parametros_recargas!$L$80*'Plan mensual'!D252</f>
        <v>6837.25237952656</v>
      </c>
      <c r="C234" s="25" t="n">
        <f aca="false">parametros_recargas!$E$80*'Plan mensual'!E245+parametros_recargas!$F$80*'Plan mensual'!E246+parametros_recargas!$G$80*'Plan mensual'!E247+parametros_recargas!$H$80*'Plan mensual'!E248+parametros_recargas!$I$80*'Plan mensual'!E249+parametros_recargas!$J$80*'Plan mensual'!E250+parametros_recargas!$K$80*'Plan mensual'!E251+parametros_recargas!$L$80*'Plan mensual'!E252</f>
        <v>6878.21774314828</v>
      </c>
      <c r="D234" s="25" t="n">
        <f aca="false">parametros_recargas!$E$80*'Plan mensual'!F245+parametros_recargas!$F$80*'Plan mensual'!F246+parametros_recargas!$G$80*'Plan mensual'!F247+parametros_recargas!$H$80*'Plan mensual'!F248+parametros_recargas!$I$80*'Plan mensual'!F249+parametros_recargas!$J$80*'Plan mensual'!F250+parametros_recargas!$K$80*'Plan mensual'!F251+parametros_recargas!$L$80*'Plan mensual'!F252</f>
        <v>6919.43267518623</v>
      </c>
      <c r="E234" s="25" t="n">
        <f aca="false">parametros_recargas!$E$80*'Plan mensual'!G245+parametros_recargas!$F$80*'Plan mensual'!G246+parametros_recargas!$G$80*'Plan mensual'!G247+parametros_recargas!$H$80*'Plan mensual'!G248+parametros_recargas!$I$80*'Plan mensual'!G249+parametros_recargas!$J$80*'Plan mensual'!G250+parametros_recargas!$K$80*'Plan mensual'!G251+parametros_recargas!$L$80*'Plan mensual'!G252</f>
        <v>6960.8986960564</v>
      </c>
      <c r="F234" s="25" t="n">
        <f aca="false">parametros_recargas!$E$80*'Plan mensual'!H245+parametros_recargas!$F$80*'Plan mensual'!H246+parametros_recargas!$G$80*'Plan mensual'!H247+parametros_recargas!$H$80*'Plan mensual'!H248+parametros_recargas!$I$80*'Plan mensual'!H249+parametros_recargas!$J$80*'Plan mensual'!H250+parametros_recargas!$K$80*'Plan mensual'!H251+parametros_recargas!$L$80*'Plan mensual'!H252</f>
        <v>7002.61733543745</v>
      </c>
      <c r="G234" s="25" t="n">
        <f aca="false">parametros_recargas!$E$80*'Plan mensual'!I245+parametros_recargas!$F$80*'Plan mensual'!I246+parametros_recargas!$G$80*'Plan mensual'!I247+parametros_recargas!$H$80*'Plan mensual'!I248+parametros_recargas!$I$80*'Plan mensual'!I249+parametros_recargas!$J$80*'Plan mensual'!I250+parametros_recargas!$K$80*'Plan mensual'!I251+parametros_recargas!$L$80*'Plan mensual'!I252</f>
        <v>7044.59013232712</v>
      </c>
      <c r="H234" s="25" t="n">
        <f aca="false">parametros_recargas!$E$80*'Plan mensual'!J245+parametros_recargas!$F$80*'Plan mensual'!J246+parametros_recargas!$G$80*'Plan mensual'!J247+parametros_recargas!$H$80*'Plan mensual'!J248+parametros_recargas!$I$80*'Plan mensual'!J249+parametros_recargas!$J$80*'Plan mensual'!J250+parametros_recargas!$K$80*'Plan mensual'!J251+parametros_recargas!$L$80*'Plan mensual'!J252</f>
        <v>7086.81863509898</v>
      </c>
      <c r="I234" s="25" t="n">
        <f aca="false">parametros_recargas!$E$80*'Plan mensual'!K245+parametros_recargas!$F$80*'Plan mensual'!K246+parametros_recargas!$G$80*'Plan mensual'!K247+parametros_recargas!$H$80*'Plan mensual'!K248+parametros_recargas!$I$80*'Plan mensual'!K249+parametros_recargas!$J$80*'Plan mensual'!K250+parametros_recargas!$K$80*'Plan mensual'!K251+parametros_recargas!$L$80*'Plan mensual'!K252</f>
        <v>7129.30440155959</v>
      </c>
      <c r="J234" s="25" t="n">
        <f aca="false">parametros_recargas!$E$80*'Plan mensual'!L245+parametros_recargas!$F$80*'Plan mensual'!L246+parametros_recargas!$G$80*'Plan mensual'!L247+parametros_recargas!$H$80*'Plan mensual'!L248+parametros_recargas!$I$80*'Plan mensual'!L249+parametros_recargas!$J$80*'Plan mensual'!L250+parametros_recargas!$K$80*'Plan mensual'!L251+parametros_recargas!$L$80*'Plan mensual'!L252</f>
        <v>7172.04899900595</v>
      </c>
      <c r="K234" s="25" t="n">
        <f aca="false">parametros_recargas!$E$80*'Plan mensual'!M245+parametros_recargas!$F$80*'Plan mensual'!M246+parametros_recargas!$G$80*'Plan mensual'!M247+parametros_recargas!$H$80*'Plan mensual'!M248+parametros_recargas!$I$80*'Plan mensual'!M249+parametros_recargas!$J$80*'Plan mensual'!M250+parametros_recargas!$K$80*'Plan mensual'!M251+parametros_recargas!$L$80*'Plan mensual'!M252</f>
        <v>7215.0540042833</v>
      </c>
      <c r="L234" s="25" t="n">
        <f aca="false">parametros_recargas!$E$80*'Plan mensual'!N245+parametros_recargas!$F$80*'Plan mensual'!N246+parametros_recargas!$G$80*'Plan mensual'!N247+parametros_recargas!$H$80*'Plan mensual'!N248+parametros_recargas!$I$80*'Plan mensual'!N249+parametros_recargas!$J$80*'Plan mensual'!N250+parametros_recargas!$K$80*'Plan mensual'!N251+parametros_recargas!$L$80*'Plan mensual'!N252</f>
        <v>7258.32100384334</v>
      </c>
      <c r="M234" s="25" t="n">
        <f aca="false">parametros_recargas!$E$80*'Plan mensual'!O245+parametros_recargas!$F$80*'Plan mensual'!O246+parametros_recargas!$G$80*'Plan mensual'!O247+parametros_recargas!$H$80*'Plan mensual'!O248+parametros_recargas!$I$80*'Plan mensual'!O249+parametros_recargas!$J$80*'Plan mensual'!O250+parametros_recargas!$K$80*'Plan mensual'!O251+parametros_recargas!$L$80*'Plan mensual'!O252</f>
        <v>7301.8515938027</v>
      </c>
      <c r="N234" s="7" t="n">
        <f aca="false">SUM(B234:M234)</f>
        <v>84806.4075992759</v>
      </c>
      <c r="O234" s="26" t="n">
        <f aca="false">MAX(B234:M234)</f>
        <v>7301.8515938027</v>
      </c>
      <c r="P234" s="15" t="n">
        <f aca="false">O234/parametros_recargas!$B$6</f>
        <v>48.6790106253513</v>
      </c>
    </row>
    <row r="235" customFormat="false" ht="15" hidden="false" customHeight="false" outlineLevel="0" collapsed="false">
      <c r="A235" s="12" t="str">
        <f aca="false">parametros_recargas!$B$81</f>
        <v>Desarme e inspección interior — zona general</v>
      </c>
      <c r="B235" s="25" t="n">
        <f aca="false">parametros_recargas!$E$81*'Plan mensual'!D245+parametros_recargas!$F$81*'Plan mensual'!D246+parametros_recargas!$G$81*'Plan mensual'!D247+parametros_recargas!$H$81*'Plan mensual'!D248+parametros_recargas!$I$81*'Plan mensual'!D249+parametros_recargas!$J$81*'Plan mensual'!D250+parametros_recargas!$K$81*'Plan mensual'!D251+parametros_recargas!$L$81*'Plan mensual'!D252</f>
        <v>503.529172816228</v>
      </c>
      <c r="C235" s="25" t="n">
        <f aca="false">parametros_recargas!$E$81*'Plan mensual'!E245+parametros_recargas!$F$81*'Plan mensual'!E246+parametros_recargas!$G$81*'Plan mensual'!E247+parametros_recargas!$H$81*'Plan mensual'!E248+parametros_recargas!$I$81*'Plan mensual'!E249+parametros_recargas!$J$81*'Plan mensual'!E250+parametros_recargas!$K$81*'Plan mensual'!E251+parametros_recargas!$L$81*'Plan mensual'!E252</f>
        <v>506.522896056888</v>
      </c>
      <c r="D235" s="25" t="n">
        <f aca="false">parametros_recargas!$E$81*'Plan mensual'!F245+parametros_recargas!$F$81*'Plan mensual'!F246+parametros_recargas!$G$81*'Plan mensual'!F247+parametros_recargas!$H$81*'Plan mensual'!F248+parametros_recargas!$I$81*'Plan mensual'!F249+parametros_recargas!$J$81*'Plan mensual'!F250+parametros_recargas!$K$81*'Plan mensual'!F251+parametros_recargas!$L$81*'Plan mensual'!F252</f>
        <v>509.534857601854</v>
      </c>
      <c r="E235" s="25" t="n">
        <f aca="false">parametros_recargas!$E$81*'Plan mensual'!G245+parametros_recargas!$F$81*'Plan mensual'!G246+parametros_recargas!$G$81*'Plan mensual'!G247+parametros_recargas!$H$81*'Plan mensual'!G248+parametros_recargas!$I$81*'Plan mensual'!G249+parametros_recargas!$J$81*'Plan mensual'!G250+parametros_recargas!$K$81*'Plan mensual'!G251+parametros_recargas!$L$81*'Plan mensual'!G252</f>
        <v>512.565168562182</v>
      </c>
      <c r="F235" s="25" t="n">
        <f aca="false">parametros_recargas!$E$81*'Plan mensual'!H245+parametros_recargas!$F$81*'Plan mensual'!H246+parametros_recargas!$G$81*'Plan mensual'!H247+parametros_recargas!$H$81*'Plan mensual'!H248+parametros_recargas!$I$81*'Plan mensual'!H249+parametros_recargas!$J$81*'Plan mensual'!H250+parametros_recargas!$K$81*'Plan mensual'!H251+parametros_recargas!$L$81*'Plan mensual'!H252</f>
        <v>515.613940725833</v>
      </c>
      <c r="G235" s="25" t="n">
        <f aca="false">parametros_recargas!$E$81*'Plan mensual'!I245+parametros_recargas!$F$81*'Plan mensual'!I246+parametros_recargas!$G$81*'Plan mensual'!I247+parametros_recargas!$H$81*'Plan mensual'!I248+parametros_recargas!$I$81*'Plan mensual'!I249+parametros_recargas!$J$81*'Plan mensual'!I250+parametros_recargas!$K$81*'Plan mensual'!I251+parametros_recargas!$L$81*'Plan mensual'!I252</f>
        <v>518.681286561803</v>
      </c>
      <c r="H235" s="25" t="n">
        <f aca="false">parametros_recargas!$E$81*'Plan mensual'!J245+parametros_recargas!$F$81*'Plan mensual'!J246+parametros_recargas!$G$81*'Plan mensual'!J247+parametros_recargas!$H$81*'Plan mensual'!J248+parametros_recargas!$I$81*'Plan mensual'!J249+parametros_recargas!$J$81*'Plan mensual'!J250+parametros_recargas!$K$81*'Plan mensual'!J251+parametros_recargas!$L$81*'Plan mensual'!J252</f>
        <v>521.767319224267</v>
      </c>
      <c r="I235" s="25" t="n">
        <f aca="false">parametros_recargas!$E$81*'Plan mensual'!K245+parametros_recargas!$F$81*'Plan mensual'!K246+parametros_recargas!$G$81*'Plan mensual'!K247+parametros_recargas!$H$81*'Plan mensual'!K248+parametros_recargas!$I$81*'Plan mensual'!K249+parametros_recargas!$J$81*'Plan mensual'!K250+parametros_recargas!$K$81*'Plan mensual'!K251+parametros_recargas!$L$81*'Plan mensual'!K252</f>
        <v>524.872152556759</v>
      </c>
      <c r="J235" s="25" t="n">
        <f aca="false">parametros_recargas!$E$81*'Plan mensual'!L245+parametros_recargas!$F$81*'Plan mensual'!L246+parametros_recargas!$G$81*'Plan mensual'!L247+parametros_recargas!$H$81*'Plan mensual'!L248+parametros_recargas!$I$81*'Plan mensual'!L249+parametros_recargas!$J$81*'Plan mensual'!L250+parametros_recargas!$K$81*'Plan mensual'!L251+parametros_recargas!$L$81*'Plan mensual'!L252</f>
        <v>527.995901096365</v>
      </c>
      <c r="K235" s="25" t="n">
        <f aca="false">parametros_recargas!$E$81*'Plan mensual'!M245+parametros_recargas!$F$81*'Plan mensual'!M246+parametros_recargas!$G$81*'Plan mensual'!M247+parametros_recargas!$H$81*'Plan mensual'!M248+parametros_recargas!$I$81*'Plan mensual'!M249+parametros_recargas!$J$81*'Plan mensual'!M250+parametros_recargas!$K$81*'Plan mensual'!M251+parametros_recargas!$L$81*'Plan mensual'!M252</f>
        <v>531.138680077954</v>
      </c>
      <c r="L235" s="25" t="n">
        <f aca="false">parametros_recargas!$E$81*'Plan mensual'!N245+parametros_recargas!$F$81*'Plan mensual'!N246+parametros_recargas!$G$81*'Plan mensual'!N247+parametros_recargas!$H$81*'Plan mensual'!N248+parametros_recargas!$I$81*'Plan mensual'!N249+parametros_recargas!$J$81*'Plan mensual'!N250+parametros_recargas!$K$81*'Plan mensual'!N251+parametros_recargas!$L$81*'Plan mensual'!N252</f>
        <v>534.300605438426</v>
      </c>
      <c r="M235" s="25" t="n">
        <f aca="false">parametros_recargas!$E$81*'Plan mensual'!O245+parametros_recargas!$F$81*'Plan mensual'!O246+parametros_recargas!$G$81*'Plan mensual'!O247+parametros_recargas!$H$81*'Plan mensual'!O248+parametros_recargas!$I$81*'Plan mensual'!O249+parametros_recargas!$J$81*'Plan mensual'!O250+parametros_recargas!$K$81*'Plan mensual'!O251+parametros_recargas!$L$81*'Plan mensual'!O252</f>
        <v>537.48179382099</v>
      </c>
      <c r="N235" s="7" t="n">
        <f aca="false">SUM(B235:M235)</f>
        <v>6244.00377453955</v>
      </c>
      <c r="O235" s="26" t="n">
        <f aca="false">MAX(B235:M235)</f>
        <v>537.48179382099</v>
      </c>
      <c r="P235" s="15" t="n">
        <f aca="false">O235/parametros_recargas!$B$6</f>
        <v>3.5832119588066</v>
      </c>
    </row>
    <row r="236" customFormat="false" ht="15" hidden="false" customHeight="false" outlineLevel="0" collapsed="false">
      <c r="A236" s="12" t="str">
        <f aca="false">parametros_recargas!$B$82</f>
        <v>Laboratorio — Puffer y mufla</v>
      </c>
      <c r="B236" s="25" t="n">
        <f aca="false">parametros_recargas!$E$82*'Plan mensual'!D245+parametros_recargas!$F$82*'Plan mensual'!D246+parametros_recargas!$G$82*'Plan mensual'!D247+parametros_recargas!$H$82*'Plan mensual'!D248+parametros_recargas!$I$82*'Plan mensual'!D249+parametros_recargas!$J$82*'Plan mensual'!D250+parametros_recargas!$K$82*'Plan mensual'!D251+parametros_recargas!$L$82*'Plan mensual'!D252</f>
        <v>6.82831410015728</v>
      </c>
      <c r="C236" s="25" t="n">
        <f aca="false">parametros_recargas!$E$82*'Plan mensual'!E245+parametros_recargas!$F$82*'Plan mensual'!E246+parametros_recargas!$G$82*'Plan mensual'!E247+parametros_recargas!$H$82*'Plan mensual'!E248+parametros_recargas!$I$82*'Plan mensual'!E249+parametros_recargas!$J$82*'Plan mensual'!E250+parametros_recargas!$K$82*'Plan mensual'!E251+parametros_recargas!$L$82*'Plan mensual'!E252</f>
        <v>6.86922754857069</v>
      </c>
      <c r="D236" s="25" t="n">
        <f aca="false">parametros_recargas!$E$82*'Plan mensual'!F245+parametros_recargas!$F$82*'Plan mensual'!F246+parametros_recargas!$G$82*'Plan mensual'!F247+parametros_recargas!$H$82*'Plan mensual'!F248+parametros_recargas!$I$82*'Plan mensual'!F249+parametros_recargas!$J$82*'Plan mensual'!F250+parametros_recargas!$K$82*'Plan mensual'!F251+parametros_recargas!$L$82*'Plan mensual'!F252</f>
        <v>6.91039024912347</v>
      </c>
      <c r="E236" s="25" t="n">
        <f aca="false">parametros_recargas!$E$82*'Plan mensual'!G245+parametros_recargas!$F$82*'Plan mensual'!G246+parametros_recargas!$G$82*'Plan mensual'!G247+parametros_recargas!$H$82*'Plan mensual'!G248+parametros_recargas!$I$82*'Plan mensual'!G249+parametros_recargas!$J$82*'Plan mensual'!G250+parametros_recargas!$K$82*'Plan mensual'!G251+parametros_recargas!$L$82*'Plan mensual'!G252</f>
        <v>6.95180372030481</v>
      </c>
      <c r="F236" s="25" t="n">
        <f aca="false">parametros_recargas!$E$82*'Plan mensual'!H245+parametros_recargas!$F$82*'Plan mensual'!H246+parametros_recargas!$G$82*'Plan mensual'!H247+parametros_recargas!$H$82*'Plan mensual'!H248+parametros_recargas!$I$82*'Plan mensual'!H249+parametros_recargas!$J$82*'Plan mensual'!H250+parametros_recargas!$K$82*'Plan mensual'!H251+parametros_recargas!$L$82*'Plan mensual'!H252</f>
        <v>6.99346948985481</v>
      </c>
      <c r="G236" s="25" t="n">
        <f aca="false">parametros_recargas!$E$82*'Plan mensual'!I245+parametros_recargas!$F$82*'Plan mensual'!I246+parametros_recargas!$G$82*'Plan mensual'!I247+parametros_recargas!$H$82*'Plan mensual'!I248+parametros_recargas!$I$82*'Plan mensual'!I249+parametros_recargas!$J$82*'Plan mensual'!I250+parametros_recargas!$K$82*'Plan mensual'!I251+parametros_recargas!$L$82*'Plan mensual'!I252</f>
        <v>7.03538909482083</v>
      </c>
      <c r="H236" s="25" t="n">
        <f aca="false">parametros_recargas!$E$82*'Plan mensual'!J245+parametros_recargas!$F$82*'Plan mensual'!J246+parametros_recargas!$G$82*'Plan mensual'!J247+parametros_recargas!$H$82*'Plan mensual'!J248+parametros_recargas!$I$82*'Plan mensual'!J249+parametros_recargas!$J$82*'Plan mensual'!J250+parametros_recargas!$K$82*'Plan mensual'!J251+parametros_recargas!$L$82*'Plan mensual'!J252</f>
        <v>7.07756408161421</v>
      </c>
      <c r="I236" s="25" t="n">
        <f aca="false">parametros_recargas!$E$82*'Plan mensual'!K245+parametros_recargas!$F$82*'Plan mensual'!K246+parametros_recargas!$G$82*'Plan mensual'!K247+parametros_recargas!$H$82*'Plan mensual'!K248+parametros_recargas!$I$82*'Plan mensual'!K249+parametros_recargas!$J$82*'Plan mensual'!K250+parametros_recargas!$K$82*'Plan mensual'!K251+parametros_recargas!$L$82*'Plan mensual'!K252</f>
        <v>7.11999600606731</v>
      </c>
      <c r="J236" s="25" t="n">
        <f aca="false">parametros_recargas!$E$82*'Plan mensual'!L245+parametros_recargas!$F$82*'Plan mensual'!L246+parametros_recargas!$G$82*'Plan mensual'!L247+parametros_recargas!$H$82*'Plan mensual'!L248+parametros_recargas!$I$82*'Plan mensual'!L249+parametros_recargas!$J$82*'Plan mensual'!L250+parametros_recargas!$K$82*'Plan mensual'!L251+parametros_recargas!$L$82*'Plan mensual'!L252</f>
        <v>7.16268643349089</v>
      </c>
      <c r="K236" s="25" t="n">
        <f aca="false">parametros_recargas!$E$82*'Plan mensual'!M245+parametros_recargas!$F$82*'Plan mensual'!M246+parametros_recargas!$G$82*'Plan mensual'!M247+parametros_recargas!$H$82*'Plan mensual'!M248+parametros_recargas!$I$82*'Plan mensual'!M249+parametros_recargas!$J$82*'Plan mensual'!M250+parametros_recargas!$K$82*'Plan mensual'!M251+parametros_recargas!$L$82*'Plan mensual'!M252</f>
        <v>7.20563693873187</v>
      </c>
      <c r="L236" s="25" t="n">
        <f aca="false">parametros_recargas!$E$82*'Plan mensual'!N245+parametros_recargas!$F$82*'Plan mensual'!N246+parametros_recargas!$G$82*'Plan mensual'!N247+parametros_recargas!$H$82*'Plan mensual'!N248+parametros_recargas!$I$82*'Plan mensual'!N249+parametros_recargas!$J$82*'Plan mensual'!N250+parametros_recargas!$K$82*'Plan mensual'!N251+parametros_recargas!$L$82*'Plan mensual'!N252</f>
        <v>7.24884910623145</v>
      </c>
      <c r="M236" s="25" t="n">
        <f aca="false">parametros_recargas!$E$82*'Plan mensual'!O245+parametros_recargas!$F$82*'Plan mensual'!O246+parametros_recargas!$G$82*'Plan mensual'!O247+parametros_recargas!$H$82*'Plan mensual'!O248+parametros_recargas!$I$82*'Plan mensual'!O249+parametros_recargas!$J$82*'Plan mensual'!O250+parametros_recargas!$K$82*'Plan mensual'!O251+parametros_recargas!$L$82*'Plan mensual'!O252</f>
        <v>7.29232453008349</v>
      </c>
      <c r="N236" s="7" t="n">
        <f aca="false">SUM(B236:M236)</f>
        <v>84.6956512990511</v>
      </c>
      <c r="O236" s="26" t="n">
        <f aca="false">MAX(B236:M236)</f>
        <v>7.29232453008349</v>
      </c>
      <c r="P236" s="15" t="n">
        <f aca="false">O236/parametros_recargas!$B$6</f>
        <v>0.0486154968672233</v>
      </c>
    </row>
    <row r="237" customFormat="false" ht="15" hidden="false" customHeight="false" outlineLevel="0" collapsed="false">
      <c r="A237" s="12" t="str">
        <f aca="false">parametros_recargas!$B$83</f>
        <v>Prueba hidráulica</v>
      </c>
      <c r="B237" s="25" t="n">
        <f aca="false">parametros_recargas!$E$83*'Plan mensual'!D245+parametros_recargas!$F$83*'Plan mensual'!D246+parametros_recargas!$G$83*'Plan mensual'!D247+parametros_recargas!$H$83*'Plan mensual'!D248+parametros_recargas!$I$83*'Plan mensual'!D249+parametros_recargas!$J$83*'Plan mensual'!D250+parametros_recargas!$K$83*'Plan mensual'!D251+parametros_recargas!$L$83*'Plan mensual'!D252</f>
        <v>1667.92805590878</v>
      </c>
      <c r="C237" s="25" t="n">
        <f aca="false">parametros_recargas!$E$83*'Plan mensual'!E245+parametros_recargas!$F$83*'Plan mensual'!E246+parametros_recargas!$G$83*'Plan mensual'!E247+parametros_recargas!$H$83*'Plan mensual'!E248+parametros_recargas!$I$83*'Plan mensual'!E249+parametros_recargas!$J$83*'Plan mensual'!E250+parametros_recargas!$K$83*'Plan mensual'!E251+parametros_recargas!$L$83*'Plan mensual'!E252</f>
        <v>1677.9076764744</v>
      </c>
      <c r="D237" s="25" t="n">
        <f aca="false">parametros_recargas!$E$83*'Plan mensual'!F245+parametros_recargas!$F$83*'Plan mensual'!F246+parametros_recargas!$G$83*'Plan mensual'!F247+parametros_recargas!$H$83*'Plan mensual'!F248+parametros_recargas!$I$83*'Plan mensual'!F249+parametros_recargas!$J$83*'Plan mensual'!F250+parametros_recargas!$K$83*'Plan mensual'!F251+parametros_recargas!$L$83*'Plan mensual'!F252</f>
        <v>1687.94809469636</v>
      </c>
      <c r="E237" s="25" t="n">
        <f aca="false">parametros_recargas!$E$83*'Plan mensual'!G245+parametros_recargas!$F$83*'Plan mensual'!G246+parametros_recargas!$G$83*'Plan mensual'!G247+parametros_recargas!$H$83*'Plan mensual'!G248+parametros_recargas!$I$83*'Plan mensual'!G249+parametros_recargas!$J$83*'Plan mensual'!G250+parametros_recargas!$K$83*'Plan mensual'!G251+parametros_recargas!$L$83*'Plan mensual'!G252</f>
        <v>1698.04968096499</v>
      </c>
      <c r="F237" s="25" t="n">
        <f aca="false">parametros_recargas!$E$83*'Plan mensual'!H245+parametros_recargas!$F$83*'Plan mensual'!H246+parametros_recargas!$G$83*'Plan mensual'!H247+parametros_recargas!$H$83*'Plan mensual'!H248+parametros_recargas!$I$83*'Plan mensual'!H249+parametros_recargas!$J$83*'Plan mensual'!H250+parametros_recargas!$K$83*'Plan mensual'!H251+parametros_recargas!$L$83*'Plan mensual'!H252</f>
        <v>1708.21280792711</v>
      </c>
      <c r="G237" s="25" t="n">
        <f aca="false">parametros_recargas!$E$83*'Plan mensual'!I245+parametros_recargas!$F$83*'Plan mensual'!I246+parametros_recargas!$G$83*'Plan mensual'!I247+parametros_recargas!$H$83*'Plan mensual'!I248+parametros_recargas!$I$83*'Plan mensual'!I249+parametros_recargas!$J$83*'Plan mensual'!I250+parametros_recargas!$K$83*'Plan mensual'!I251+parametros_recargas!$L$83*'Plan mensual'!I252</f>
        <v>1718.43785049977</v>
      </c>
      <c r="H237" s="25" t="n">
        <f aca="false">parametros_recargas!$E$83*'Plan mensual'!J245+parametros_recargas!$F$83*'Plan mensual'!J246+parametros_recargas!$G$83*'Plan mensual'!J247+parametros_recargas!$H$83*'Plan mensual'!J248+parametros_recargas!$I$83*'Plan mensual'!J249+parametros_recargas!$J$83*'Plan mensual'!J250+parametros_recargas!$K$83*'Plan mensual'!J251+parametros_recargas!$L$83*'Plan mensual'!J252</f>
        <v>1728.7251858841</v>
      </c>
      <c r="I237" s="25" t="n">
        <f aca="false">parametros_recargas!$E$83*'Plan mensual'!K245+parametros_recargas!$F$83*'Plan mensual'!K246+parametros_recargas!$G$83*'Plan mensual'!K247+parametros_recargas!$H$83*'Plan mensual'!K248+parametros_recargas!$I$83*'Plan mensual'!K249+parametros_recargas!$J$83*'Plan mensual'!K250+parametros_recargas!$K$83*'Plan mensual'!K251+parametros_recargas!$L$83*'Plan mensual'!K252</f>
        <v>1739.07519357917</v>
      </c>
      <c r="J237" s="25" t="n">
        <f aca="false">parametros_recargas!$E$83*'Plan mensual'!L245+parametros_recargas!$F$83*'Plan mensual'!L246+parametros_recargas!$G$83*'Plan mensual'!L247+parametros_recargas!$H$83*'Plan mensual'!L248+parametros_recargas!$I$83*'Plan mensual'!L249+parametros_recargas!$J$83*'Plan mensual'!L250+parametros_recargas!$K$83*'Plan mensual'!L251+parametros_recargas!$L$83*'Plan mensual'!L252</f>
        <v>1749.48825539608</v>
      </c>
      <c r="K237" s="25" t="n">
        <f aca="false">parametros_recargas!$E$83*'Plan mensual'!M245+parametros_recargas!$F$83*'Plan mensual'!M246+parametros_recargas!$G$83*'Plan mensual'!M247+parametros_recargas!$H$83*'Plan mensual'!M248+parametros_recargas!$I$83*'Plan mensual'!M249+parametros_recargas!$J$83*'Plan mensual'!M250+parametros_recargas!$K$83*'Plan mensual'!M251+parametros_recargas!$L$83*'Plan mensual'!M252</f>
        <v>1759.96475547194</v>
      </c>
      <c r="L237" s="25" t="n">
        <f aca="false">parametros_recargas!$E$83*'Plan mensual'!N245+parametros_recargas!$F$83*'Plan mensual'!N246+parametros_recargas!$G$83*'Plan mensual'!N247+parametros_recargas!$H$83*'Plan mensual'!N248+parametros_recargas!$I$83*'Plan mensual'!N249+parametros_recargas!$J$83*'Plan mensual'!N250+parametros_recargas!$K$83*'Plan mensual'!N251+parametros_recargas!$L$83*'Plan mensual'!N252</f>
        <v>1770.50508028412</v>
      </c>
      <c r="M237" s="25" t="n">
        <f aca="false">parametros_recargas!$E$83*'Plan mensual'!O245+parametros_recargas!$F$83*'Plan mensual'!O246+parametros_recargas!$G$83*'Plan mensual'!O247+parametros_recargas!$H$83*'Plan mensual'!O248+parametros_recargas!$I$83*'Plan mensual'!O249+parametros_recargas!$J$83*'Plan mensual'!O250+parametros_recargas!$K$83*'Plan mensual'!O251+parametros_recargas!$L$83*'Plan mensual'!O252</f>
        <v>1781.10961866448</v>
      </c>
      <c r="N237" s="7" t="n">
        <f aca="false">SUM(B237:M237)</f>
        <v>20687.3522557513</v>
      </c>
      <c r="O237" s="26" t="n">
        <f aca="false">MAX(B237:M237)</f>
        <v>1781.10961866448</v>
      </c>
      <c r="P237" s="15" t="n">
        <f aca="false">O237/parametros_recargas!$B$6</f>
        <v>11.8740641244299</v>
      </c>
    </row>
    <row r="238" customFormat="false" ht="15" hidden="false" customHeight="false" outlineLevel="0" collapsed="false">
      <c r="A238" s="12" t="str">
        <f aca="false">parametros_recargas!$B$84</f>
        <v>Secado</v>
      </c>
      <c r="B238" s="25" t="n">
        <f aca="false">parametros_recargas!$E$84*'Plan mensual'!D245+parametros_recargas!$F$84*'Plan mensual'!D246+parametros_recargas!$G$84*'Plan mensual'!D247+parametros_recargas!$H$84*'Plan mensual'!D248+parametros_recargas!$I$84*'Plan mensual'!D249+parametros_recargas!$J$84*'Plan mensual'!D250+parametros_recargas!$K$84*'Plan mensual'!D251+parametros_recargas!$L$84*'Plan mensual'!D252</f>
        <v>1565.72431595486</v>
      </c>
      <c r="C238" s="25" t="n">
        <f aca="false">parametros_recargas!$E$84*'Plan mensual'!E245+parametros_recargas!$F$84*'Plan mensual'!E246+parametros_recargas!$G$84*'Plan mensual'!E247+parametros_recargas!$H$84*'Plan mensual'!E248+parametros_recargas!$I$84*'Plan mensual'!E249+parametros_recargas!$J$84*'Plan mensual'!E250+parametros_recargas!$K$84*'Plan mensual'!E251+parametros_recargas!$L$84*'Plan mensual'!E252</f>
        <v>1575.09953890461</v>
      </c>
      <c r="D238" s="25" t="n">
        <f aca="false">parametros_recargas!$E$84*'Plan mensual'!F245+parametros_recargas!$F$84*'Plan mensual'!F246+parametros_recargas!$G$84*'Plan mensual'!F247+parametros_recargas!$H$84*'Plan mensual'!F248+parametros_recargas!$I$84*'Plan mensual'!F249+parametros_recargas!$J$84*'Plan mensual'!F250+parametros_recargas!$K$84*'Plan mensual'!F251+parametros_recargas!$L$84*'Plan mensual'!F252</f>
        <v>1584.53187741094</v>
      </c>
      <c r="E238" s="25" t="n">
        <f aca="false">parametros_recargas!$E$84*'Plan mensual'!G245+parametros_recargas!$F$84*'Plan mensual'!G246+parametros_recargas!$G$84*'Plan mensual'!G247+parametros_recargas!$H$84*'Plan mensual'!G248+parametros_recargas!$I$84*'Plan mensual'!G249+parametros_recargas!$J$84*'Plan mensual'!G250+parametros_recargas!$K$84*'Plan mensual'!G251+parametros_recargas!$L$84*'Plan mensual'!G252</f>
        <v>1594.02167943215</v>
      </c>
      <c r="F238" s="25" t="n">
        <f aca="false">parametros_recargas!$E$84*'Plan mensual'!H245+parametros_recargas!$F$84*'Plan mensual'!H246+parametros_recargas!$G$84*'Plan mensual'!H247+parametros_recargas!$H$84*'Plan mensual'!H248+parametros_recargas!$I$84*'Plan mensual'!H249+parametros_recargas!$J$84*'Plan mensual'!H250+parametros_recargas!$K$84*'Plan mensual'!H251+parametros_recargas!$L$84*'Plan mensual'!H252</f>
        <v>1603.5692950464</v>
      </c>
      <c r="G238" s="25" t="n">
        <f aca="false">parametros_recargas!$E$84*'Plan mensual'!I245+parametros_recargas!$F$84*'Plan mensual'!I246+parametros_recargas!$G$84*'Plan mensual'!I247+parametros_recargas!$H$84*'Plan mensual'!I248+parametros_recargas!$I$84*'Plan mensual'!I249+parametros_recargas!$J$84*'Plan mensual'!I250+parametros_recargas!$K$84*'Plan mensual'!I251+parametros_recargas!$L$84*'Plan mensual'!I252</f>
        <v>1613.17507646455</v>
      </c>
      <c r="H238" s="25" t="n">
        <f aca="false">parametros_recargas!$E$84*'Plan mensual'!J245+parametros_recargas!$F$84*'Plan mensual'!J246+parametros_recargas!$G$84*'Plan mensual'!J247+parametros_recargas!$H$84*'Plan mensual'!J248+parametros_recargas!$I$84*'Plan mensual'!J249+parametros_recargas!$J$84*'Plan mensual'!J250+parametros_recargas!$K$84*'Plan mensual'!J251+parametros_recargas!$L$84*'Plan mensual'!J252</f>
        <v>1622.83937804323</v>
      </c>
      <c r="I238" s="25" t="n">
        <f aca="false">parametros_recargas!$E$84*'Plan mensual'!K245+parametros_recargas!$F$84*'Plan mensual'!K246+parametros_recargas!$G$84*'Plan mensual'!K247+parametros_recargas!$H$84*'Plan mensual'!K248+parametros_recargas!$I$84*'Plan mensual'!K249+parametros_recargas!$J$84*'Plan mensual'!K250+parametros_recargas!$K$84*'Plan mensual'!K251+parametros_recargas!$L$84*'Plan mensual'!K252</f>
        <v>1632.56255629785</v>
      </c>
      <c r="J238" s="25" t="n">
        <f aca="false">parametros_recargas!$E$84*'Plan mensual'!L245+parametros_recargas!$F$84*'Plan mensual'!L246+parametros_recargas!$G$84*'Plan mensual'!L247+parametros_recargas!$H$84*'Plan mensual'!L248+parametros_recargas!$I$84*'Plan mensual'!L249+parametros_recargas!$J$84*'Plan mensual'!L250+parametros_recargas!$K$84*'Plan mensual'!L251+parametros_recargas!$L$84*'Plan mensual'!L252</f>
        <v>1642.3449699158</v>
      </c>
      <c r="K238" s="25" t="n">
        <f aca="false">parametros_recargas!$E$84*'Plan mensual'!M245+parametros_recargas!$F$84*'Plan mensual'!M246+parametros_recargas!$G$84*'Plan mensual'!M247+parametros_recargas!$H$84*'Plan mensual'!M248+parametros_recargas!$I$84*'Plan mensual'!M249+parametros_recargas!$J$84*'Plan mensual'!M250+parametros_recargas!$K$84*'Plan mensual'!M251+parametros_recargas!$L$84*'Plan mensual'!M252</f>
        <v>1652.18697976963</v>
      </c>
      <c r="L238" s="25" t="n">
        <f aca="false">parametros_recargas!$E$84*'Plan mensual'!N245+parametros_recargas!$F$84*'Plan mensual'!N246+parametros_recargas!$G$84*'Plan mensual'!N247+parametros_recargas!$H$84*'Plan mensual'!N248+parametros_recargas!$I$84*'Plan mensual'!N249+parametros_recargas!$J$84*'Plan mensual'!N250+parametros_recargas!$K$84*'Plan mensual'!N251+parametros_recargas!$L$84*'Plan mensual'!N252</f>
        <v>1662.08894893041</v>
      </c>
      <c r="M238" s="25" t="n">
        <f aca="false">parametros_recargas!$E$84*'Plan mensual'!O245+parametros_recargas!$F$84*'Plan mensual'!O246+parametros_recargas!$G$84*'Plan mensual'!O247+parametros_recargas!$H$84*'Plan mensual'!O248+parametros_recargas!$I$84*'Plan mensual'!O249+parametros_recargas!$J$84*'Plan mensual'!O250+parametros_recargas!$K$84*'Plan mensual'!O251+parametros_recargas!$L$84*'Plan mensual'!O252</f>
        <v>1672.05124268109</v>
      </c>
      <c r="N238" s="7" t="n">
        <f aca="false">SUM(B238:M238)</f>
        <v>19420.1958588515</v>
      </c>
      <c r="O238" s="26" t="n">
        <f aca="false">MAX(B238:M238)</f>
        <v>1672.05124268109</v>
      </c>
      <c r="P238" s="15" t="n">
        <f aca="false">O238/parametros_recargas!$B$6</f>
        <v>11.1470082845406</v>
      </c>
    </row>
    <row r="239" customFormat="false" ht="15" hidden="false" customHeight="false" outlineLevel="0" collapsed="false">
      <c r="A239" s="12" t="str">
        <f aca="false">parametros_recargas!$B$85</f>
        <v>Inspección interior con videoscopio</v>
      </c>
      <c r="B239" s="25" t="n">
        <f aca="false">parametros_recargas!$E$85*'Plan mensual'!D245+parametros_recargas!$F$85*'Plan mensual'!D246+parametros_recargas!$G$85*'Plan mensual'!D247+parametros_recargas!$H$85*'Plan mensual'!D248+parametros_recargas!$I$85*'Plan mensual'!D249+parametros_recargas!$J$85*'Plan mensual'!D250+parametros_recargas!$K$85*'Plan mensual'!D251+parametros_recargas!$L$85*'Plan mensual'!D252</f>
        <v>1565.72431595486</v>
      </c>
      <c r="C239" s="25" t="n">
        <f aca="false">parametros_recargas!$E$85*'Plan mensual'!E245+parametros_recargas!$F$85*'Plan mensual'!E246+parametros_recargas!$G$85*'Plan mensual'!E247+parametros_recargas!$H$85*'Plan mensual'!E248+parametros_recargas!$I$85*'Plan mensual'!E249+parametros_recargas!$J$85*'Plan mensual'!E250+parametros_recargas!$K$85*'Plan mensual'!E251+parametros_recargas!$L$85*'Plan mensual'!E252</f>
        <v>1575.09953890461</v>
      </c>
      <c r="D239" s="25" t="n">
        <f aca="false">parametros_recargas!$E$85*'Plan mensual'!F245+parametros_recargas!$F$85*'Plan mensual'!F246+parametros_recargas!$G$85*'Plan mensual'!F247+parametros_recargas!$H$85*'Plan mensual'!F248+parametros_recargas!$I$85*'Plan mensual'!F249+parametros_recargas!$J$85*'Plan mensual'!F250+parametros_recargas!$K$85*'Plan mensual'!F251+parametros_recargas!$L$85*'Plan mensual'!F252</f>
        <v>1584.53187741094</v>
      </c>
      <c r="E239" s="25" t="n">
        <f aca="false">parametros_recargas!$E$85*'Plan mensual'!G245+parametros_recargas!$F$85*'Plan mensual'!G246+parametros_recargas!$G$85*'Plan mensual'!G247+parametros_recargas!$H$85*'Plan mensual'!G248+parametros_recargas!$I$85*'Plan mensual'!G249+parametros_recargas!$J$85*'Plan mensual'!G250+parametros_recargas!$K$85*'Plan mensual'!G251+parametros_recargas!$L$85*'Plan mensual'!G252</f>
        <v>1594.02167943215</v>
      </c>
      <c r="F239" s="25" t="n">
        <f aca="false">parametros_recargas!$E$85*'Plan mensual'!H245+parametros_recargas!$F$85*'Plan mensual'!H246+parametros_recargas!$G$85*'Plan mensual'!H247+parametros_recargas!$H$85*'Plan mensual'!H248+parametros_recargas!$I$85*'Plan mensual'!H249+parametros_recargas!$J$85*'Plan mensual'!H250+parametros_recargas!$K$85*'Plan mensual'!H251+parametros_recargas!$L$85*'Plan mensual'!H252</f>
        <v>1603.5692950464</v>
      </c>
      <c r="G239" s="25" t="n">
        <f aca="false">parametros_recargas!$E$85*'Plan mensual'!I245+parametros_recargas!$F$85*'Plan mensual'!I246+parametros_recargas!$G$85*'Plan mensual'!I247+parametros_recargas!$H$85*'Plan mensual'!I248+parametros_recargas!$I$85*'Plan mensual'!I249+parametros_recargas!$J$85*'Plan mensual'!I250+parametros_recargas!$K$85*'Plan mensual'!I251+parametros_recargas!$L$85*'Plan mensual'!I252</f>
        <v>1613.17507646455</v>
      </c>
      <c r="H239" s="25" t="n">
        <f aca="false">parametros_recargas!$E$85*'Plan mensual'!J245+parametros_recargas!$F$85*'Plan mensual'!J246+parametros_recargas!$G$85*'Plan mensual'!J247+parametros_recargas!$H$85*'Plan mensual'!J248+parametros_recargas!$I$85*'Plan mensual'!J249+parametros_recargas!$J$85*'Plan mensual'!J250+parametros_recargas!$K$85*'Plan mensual'!J251+parametros_recargas!$L$85*'Plan mensual'!J252</f>
        <v>1622.83937804323</v>
      </c>
      <c r="I239" s="25" t="n">
        <f aca="false">parametros_recargas!$E$85*'Plan mensual'!K245+parametros_recargas!$F$85*'Plan mensual'!K246+parametros_recargas!$G$85*'Plan mensual'!K247+parametros_recargas!$H$85*'Plan mensual'!K248+parametros_recargas!$I$85*'Plan mensual'!K249+parametros_recargas!$J$85*'Plan mensual'!K250+parametros_recargas!$K$85*'Plan mensual'!K251+parametros_recargas!$L$85*'Plan mensual'!K252</f>
        <v>1632.56255629785</v>
      </c>
      <c r="J239" s="25" t="n">
        <f aca="false">parametros_recargas!$E$85*'Plan mensual'!L245+parametros_recargas!$F$85*'Plan mensual'!L246+parametros_recargas!$G$85*'Plan mensual'!L247+parametros_recargas!$H$85*'Plan mensual'!L248+parametros_recargas!$I$85*'Plan mensual'!L249+parametros_recargas!$J$85*'Plan mensual'!L250+parametros_recargas!$K$85*'Plan mensual'!L251+parametros_recargas!$L$85*'Plan mensual'!L252</f>
        <v>1642.3449699158</v>
      </c>
      <c r="K239" s="25" t="n">
        <f aca="false">parametros_recargas!$E$85*'Plan mensual'!M245+parametros_recargas!$F$85*'Plan mensual'!M246+parametros_recargas!$G$85*'Plan mensual'!M247+parametros_recargas!$H$85*'Plan mensual'!M248+parametros_recargas!$I$85*'Plan mensual'!M249+parametros_recargas!$J$85*'Plan mensual'!M250+parametros_recargas!$K$85*'Plan mensual'!M251+parametros_recargas!$L$85*'Plan mensual'!M252</f>
        <v>1652.18697976963</v>
      </c>
      <c r="L239" s="25" t="n">
        <f aca="false">parametros_recargas!$E$85*'Plan mensual'!N245+parametros_recargas!$F$85*'Plan mensual'!N246+parametros_recargas!$G$85*'Plan mensual'!N247+parametros_recargas!$H$85*'Plan mensual'!N248+parametros_recargas!$I$85*'Plan mensual'!N249+parametros_recargas!$J$85*'Plan mensual'!N250+parametros_recargas!$K$85*'Plan mensual'!N251+parametros_recargas!$L$85*'Plan mensual'!N252</f>
        <v>1662.08894893041</v>
      </c>
      <c r="M239" s="25" t="n">
        <f aca="false">parametros_recargas!$E$85*'Plan mensual'!O245+parametros_recargas!$F$85*'Plan mensual'!O246+parametros_recargas!$G$85*'Plan mensual'!O247+parametros_recargas!$H$85*'Plan mensual'!O248+parametros_recargas!$I$85*'Plan mensual'!O249+parametros_recargas!$J$85*'Plan mensual'!O250+parametros_recargas!$K$85*'Plan mensual'!O251+parametros_recargas!$L$85*'Plan mensual'!O252</f>
        <v>1672.05124268109</v>
      </c>
      <c r="N239" s="7" t="n">
        <f aca="false">SUM(B239:M239)</f>
        <v>19420.1958588515</v>
      </c>
      <c r="O239" s="26" t="n">
        <f aca="false">MAX(B239:M239)</f>
        <v>1672.05124268109</v>
      </c>
      <c r="P239" s="15" t="n">
        <f aca="false">O239/parametros_recargas!$B$6</f>
        <v>11.1470082845406</v>
      </c>
    </row>
    <row r="240" customFormat="false" ht="15" hidden="false" customHeight="false" outlineLevel="0" collapsed="false">
      <c r="A240" s="12" t="str">
        <f aca="false">parametros_recargas!$B$86</f>
        <v>Pintura</v>
      </c>
      <c r="B240" s="25" t="n">
        <f aca="false">parametros_recargas!$E$86*'Plan mensual'!D245+parametros_recargas!$F$86*'Plan mensual'!D246+parametros_recargas!$G$86*'Plan mensual'!D247+parametros_recargas!$H$86*'Plan mensual'!D248+parametros_recargas!$I$86*'Plan mensual'!D249+parametros_recargas!$J$86*'Plan mensual'!D250+parametros_recargas!$K$86*'Plan mensual'!D251+parametros_recargas!$L$86*'Plan mensual'!D252</f>
        <v>782.791148829634</v>
      </c>
      <c r="C240" s="25" t="n">
        <f aca="false">parametros_recargas!$E$86*'Plan mensual'!E245+parametros_recargas!$F$86*'Plan mensual'!E246+parametros_recargas!$G$86*'Plan mensual'!E247+parametros_recargas!$H$86*'Plan mensual'!E248+parametros_recargas!$I$86*'Plan mensual'!E249+parametros_recargas!$J$86*'Plan mensual'!E250+parametros_recargas!$K$86*'Plan mensual'!E251+parametros_recargas!$L$86*'Plan mensual'!E252</f>
        <v>787.47674373682</v>
      </c>
      <c r="D240" s="25" t="n">
        <f aca="false">parametros_recargas!$E$86*'Plan mensual'!F245+parametros_recargas!$F$86*'Plan mensual'!F246+parametros_recargas!$G$86*'Plan mensual'!F247+parametros_recargas!$H$86*'Plan mensual'!F248+parametros_recargas!$I$86*'Plan mensual'!F249+parametros_recargas!$J$86*'Plan mensual'!F250+parametros_recargas!$K$86*'Plan mensual'!F251+parametros_recargas!$L$86*'Plan mensual'!F252</f>
        <v>792.190884136996</v>
      </c>
      <c r="E240" s="25" t="n">
        <f aca="false">parametros_recargas!$E$86*'Plan mensual'!G245+parametros_recargas!$F$86*'Plan mensual'!G246+parametros_recargas!$G$86*'Plan mensual'!G247+parametros_recargas!$H$86*'Plan mensual'!G248+parametros_recargas!$I$86*'Plan mensual'!G249+parametros_recargas!$J$86*'Plan mensual'!G250+parametros_recargas!$K$86*'Plan mensual'!G251+parametros_recargas!$L$86*'Plan mensual'!G252</f>
        <v>796.933743934474</v>
      </c>
      <c r="F240" s="25" t="n">
        <f aca="false">parametros_recargas!$E$86*'Plan mensual'!H245+parametros_recargas!$F$86*'Plan mensual'!H246+parametros_recargas!$G$86*'Plan mensual'!H247+parametros_recargas!$H$86*'Plan mensual'!H248+parametros_recargas!$I$86*'Plan mensual'!H249+parametros_recargas!$J$86*'Plan mensual'!H250+parametros_recargas!$K$86*'Plan mensual'!H251+parametros_recargas!$L$86*'Plan mensual'!H252</f>
        <v>801.705498093028</v>
      </c>
      <c r="G240" s="25" t="n">
        <f aca="false">parametros_recargas!$E$86*'Plan mensual'!I245+parametros_recargas!$F$86*'Plan mensual'!I246+parametros_recargas!$G$86*'Plan mensual'!I247+parametros_recargas!$H$86*'Plan mensual'!I248+parametros_recargas!$I$86*'Plan mensual'!I249+parametros_recargas!$J$86*'Plan mensual'!I250+parametros_recargas!$K$86*'Plan mensual'!I251+parametros_recargas!$L$86*'Plan mensual'!I252</f>
        <v>806.506322642338</v>
      </c>
      <c r="H240" s="25" t="n">
        <f aca="false">parametros_recargas!$E$86*'Plan mensual'!J245+parametros_recargas!$F$86*'Plan mensual'!J246+parametros_recargas!$G$86*'Plan mensual'!J247+parametros_recargas!$H$86*'Plan mensual'!J248+parametros_recargas!$I$86*'Plan mensual'!J249+parametros_recargas!$J$86*'Plan mensual'!J250+parametros_recargas!$K$86*'Plan mensual'!J251+parametros_recargas!$L$86*'Plan mensual'!J252</f>
        <v>811.336394684491</v>
      </c>
      <c r="I240" s="25" t="n">
        <f aca="false">parametros_recargas!$E$86*'Plan mensual'!K245+parametros_recargas!$F$86*'Plan mensual'!K246+parametros_recargas!$G$86*'Plan mensual'!K247+parametros_recargas!$H$86*'Plan mensual'!K248+parametros_recargas!$I$86*'Plan mensual'!K249+parametros_recargas!$J$86*'Plan mensual'!K250+parametros_recargas!$K$86*'Plan mensual'!K251+parametros_recargas!$L$86*'Plan mensual'!K252</f>
        <v>816.195892400512</v>
      </c>
      <c r="J240" s="25" t="n">
        <f aca="false">parametros_recargas!$E$86*'Plan mensual'!L245+parametros_recargas!$F$86*'Plan mensual'!L246+parametros_recargas!$G$86*'Plan mensual'!L247+parametros_recargas!$H$86*'Plan mensual'!L248+parametros_recargas!$I$86*'Plan mensual'!L249+parametros_recargas!$J$86*'Plan mensual'!L250+parametros_recargas!$K$86*'Plan mensual'!L251+parametros_recargas!$L$86*'Plan mensual'!L252</f>
        <v>821.084995056937</v>
      </c>
      <c r="K240" s="25" t="n">
        <f aca="false">parametros_recargas!$E$86*'Plan mensual'!M245+parametros_recargas!$F$86*'Plan mensual'!M246+parametros_recargas!$G$86*'Plan mensual'!M247+parametros_recargas!$H$86*'Plan mensual'!M248+parametros_recargas!$I$86*'Plan mensual'!M249+parametros_recargas!$J$86*'Plan mensual'!M250+parametros_recargas!$K$86*'Plan mensual'!M251+parametros_recargas!$L$86*'Plan mensual'!M252</f>
        <v>826.003883012426</v>
      </c>
      <c r="L240" s="25" t="n">
        <f aca="false">parametros_recargas!$E$86*'Plan mensual'!N245+parametros_recargas!$F$86*'Plan mensual'!N246+parametros_recargas!$G$86*'Plan mensual'!N247+parametros_recargas!$H$86*'Plan mensual'!N248+parametros_recargas!$I$86*'Plan mensual'!N249+parametros_recargas!$J$86*'Plan mensual'!N250+parametros_recargas!$K$86*'Plan mensual'!N251+parametros_recargas!$L$86*'Plan mensual'!N252</f>
        <v>830.952737724416</v>
      </c>
      <c r="M240" s="25" t="n">
        <f aca="false">parametros_recargas!$E$86*'Plan mensual'!O245+parametros_recargas!$F$86*'Plan mensual'!O246+parametros_recargas!$G$86*'Plan mensual'!O247+parametros_recargas!$H$86*'Plan mensual'!O248+parametros_recargas!$I$86*'Plan mensual'!O249+parametros_recargas!$J$86*'Plan mensual'!O250+parametros_recargas!$K$86*'Plan mensual'!O251+parametros_recargas!$L$86*'Plan mensual'!O252</f>
        <v>835.931741755817</v>
      </c>
      <c r="N240" s="7" t="n">
        <f aca="false">SUM(B240:M240)</f>
        <v>9709.10998600789</v>
      </c>
      <c r="O240" s="26" t="n">
        <f aca="false">MAX(B240:M240)</f>
        <v>835.931741755817</v>
      </c>
      <c r="P240" s="15" t="n">
        <f aca="false">O240/parametros_recargas!$B$6</f>
        <v>5.57287827837211</v>
      </c>
    </row>
    <row r="241" customFormat="false" ht="15" hidden="false" customHeight="false" outlineLevel="0" collapsed="false">
      <c r="A241" s="12" t="str">
        <f aca="false">parametros_recargas!$B$87</f>
        <v>Carga de polvo ABC</v>
      </c>
      <c r="B241" s="25" t="n">
        <f aca="false">parametros_recargas!$E$87*'Plan mensual'!D245+parametros_recargas!$F$87*'Plan mensual'!D246+parametros_recargas!$G$87*'Plan mensual'!D247+parametros_recargas!$H$87*'Plan mensual'!D248+parametros_recargas!$I$87*'Plan mensual'!D249+parametros_recargas!$J$87*'Plan mensual'!D250+parametros_recargas!$K$87*'Plan mensual'!D251+parametros_recargas!$L$87*'Plan mensual'!D252</f>
        <v>6818.41194326342</v>
      </c>
      <c r="C241" s="25" t="n">
        <f aca="false">parametros_recargas!$E$87*'Plan mensual'!E245+parametros_recargas!$F$87*'Plan mensual'!E246+parametros_recargas!$G$87*'Plan mensual'!E247+parametros_recargas!$H$87*'Plan mensual'!E248+parametros_recargas!$I$87*'Plan mensual'!E249+parametros_recargas!$J$87*'Plan mensual'!E250+parametros_recargas!$K$87*'Plan mensual'!E251+parametros_recargas!$L$87*'Plan mensual'!E252</f>
        <v>6859.26760435203</v>
      </c>
      <c r="D241" s="25" t="n">
        <f aca="false">parametros_recargas!$E$87*'Plan mensual'!F245+parametros_recargas!$F$87*'Plan mensual'!F246+parametros_recargas!$G$87*'Plan mensual'!F247+parametros_recargas!$H$87*'Plan mensual'!F248+parametros_recargas!$I$87*'Plan mensual'!F249+parametros_recargas!$J$87*'Plan mensual'!F250+parametros_recargas!$K$87*'Plan mensual'!F251+parametros_recargas!$L$87*'Plan mensual'!F252</f>
        <v>6900.37216552917</v>
      </c>
      <c r="E241" s="25" t="n">
        <f aca="false">parametros_recargas!$E$87*'Plan mensual'!G245+parametros_recargas!$F$87*'Plan mensual'!G246+parametros_recargas!$G$87*'Plan mensual'!G247+parametros_recargas!$H$87*'Plan mensual'!G248+parametros_recargas!$I$87*'Plan mensual'!G249+parametros_recargas!$J$87*'Plan mensual'!G250+parametros_recargas!$K$87*'Plan mensual'!G251+parametros_recargas!$L$87*'Plan mensual'!G252</f>
        <v>6941.72714313925</v>
      </c>
      <c r="F241" s="25" t="n">
        <f aca="false">parametros_recargas!$E$87*'Plan mensual'!H245+parametros_recargas!$F$87*'Plan mensual'!H246+parametros_recargas!$G$87*'Plan mensual'!H247+parametros_recargas!$H$87*'Plan mensual'!H248+parametros_recargas!$I$87*'Plan mensual'!H249+parametros_recargas!$J$87*'Plan mensual'!H250+parametros_recargas!$K$87*'Plan mensual'!H251+parametros_recargas!$L$87*'Plan mensual'!H252</f>
        <v>6983.33406276456</v>
      </c>
      <c r="G241" s="25" t="n">
        <f aca="false">parametros_recargas!$E$87*'Plan mensual'!I245+parametros_recargas!$F$87*'Plan mensual'!I246+parametros_recargas!$G$87*'Plan mensual'!I247+parametros_recargas!$H$87*'Plan mensual'!I248+parametros_recargas!$I$87*'Plan mensual'!I249+parametros_recargas!$J$87*'Plan mensual'!I250+parametros_recargas!$K$87*'Plan mensual'!I251+parametros_recargas!$L$87*'Plan mensual'!I252</f>
        <v>7025.19445928149</v>
      </c>
      <c r="H241" s="25" t="n">
        <f aca="false">parametros_recargas!$E$87*'Plan mensual'!J245+parametros_recargas!$F$87*'Plan mensual'!J246+parametros_recargas!$G$87*'Plan mensual'!J247+parametros_recargas!$H$87*'Plan mensual'!J248+parametros_recargas!$I$87*'Plan mensual'!J249+parametros_recargas!$J$87*'Plan mensual'!J250+parametros_recargas!$K$87*'Plan mensual'!J251+parametros_recargas!$L$87*'Plan mensual'!J252</f>
        <v>7067.30987691717</v>
      </c>
      <c r="I241" s="25" t="n">
        <f aca="false">parametros_recargas!$E$87*'Plan mensual'!K245+parametros_recargas!$F$87*'Plan mensual'!K246+parametros_recargas!$G$87*'Plan mensual'!K247+parametros_recargas!$H$87*'Plan mensual'!K248+parametros_recargas!$I$87*'Plan mensual'!K249+parametros_recargas!$J$87*'Plan mensual'!K250+parametros_recargas!$K$87*'Plan mensual'!K251+parametros_recargas!$L$87*'Plan mensual'!K252</f>
        <v>7109.68186930648</v>
      </c>
      <c r="J241" s="25" t="n">
        <f aca="false">parametros_recargas!$E$87*'Plan mensual'!L245+parametros_recargas!$F$87*'Plan mensual'!L246+parametros_recargas!$G$87*'Plan mensual'!L247+parametros_recargas!$H$87*'Plan mensual'!L248+parametros_recargas!$I$87*'Plan mensual'!L249+parametros_recargas!$J$87*'Plan mensual'!L250+parametros_recargas!$K$87*'Plan mensual'!L251+parametros_recargas!$L$87*'Plan mensual'!L252</f>
        <v>7152.31199954928</v>
      </c>
      <c r="K241" s="25" t="n">
        <f aca="false">parametros_recargas!$E$87*'Plan mensual'!M245+parametros_recargas!$F$87*'Plan mensual'!M246+parametros_recargas!$G$87*'Plan mensual'!M247+parametros_recargas!$H$87*'Plan mensual'!M248+parametros_recargas!$I$87*'Plan mensual'!M249+parametros_recargas!$J$87*'Plan mensual'!M250+parametros_recargas!$K$87*'Plan mensual'!M251+parametros_recargas!$L$87*'Plan mensual'!M252</f>
        <v>7195.20184026813</v>
      </c>
      <c r="L241" s="25" t="n">
        <f aca="false">parametros_recargas!$E$87*'Plan mensual'!N245+parametros_recargas!$F$87*'Plan mensual'!N246+parametros_recargas!$G$87*'Plan mensual'!N247+parametros_recargas!$H$87*'Plan mensual'!N248+parametros_recargas!$I$87*'Plan mensual'!N249+parametros_recargas!$J$87*'Plan mensual'!N250+parametros_recargas!$K$87*'Plan mensual'!N251+parametros_recargas!$L$87*'Plan mensual'!N252</f>
        <v>7238.35297366632</v>
      </c>
      <c r="M241" s="25" t="n">
        <f aca="false">parametros_recargas!$E$87*'Plan mensual'!O245+parametros_recargas!$F$87*'Plan mensual'!O246+parametros_recargas!$G$87*'Plan mensual'!O247+parametros_recargas!$H$87*'Plan mensual'!O248+parametros_recargas!$I$87*'Plan mensual'!O249+parametros_recargas!$J$87*'Plan mensual'!O250+parametros_recargas!$K$87*'Plan mensual'!O251+parametros_recargas!$L$87*'Plan mensual'!O252</f>
        <v>7281.76699158617</v>
      </c>
      <c r="N241" s="7" t="n">
        <f aca="false">SUM(B241:M241)</f>
        <v>84572.9329296235</v>
      </c>
      <c r="O241" s="26" t="n">
        <f aca="false">MAX(B241:M241)</f>
        <v>7281.76699158617</v>
      </c>
      <c r="P241" s="15" t="n">
        <f aca="false">O241/parametros_recargas!$B$6</f>
        <v>48.5451132772412</v>
      </c>
    </row>
    <row r="242" customFormat="false" ht="15" hidden="false" customHeight="false" outlineLevel="0" collapsed="false">
      <c r="A242" s="12" t="str">
        <f aca="false">parametros_recargas!$B$88</f>
        <v>Carga de polvo BC</v>
      </c>
      <c r="B242" s="25" t="n">
        <f aca="false">parametros_recargas!$E$88*'Plan mensual'!D245+parametros_recargas!$F$88*'Plan mensual'!D246+parametros_recargas!$G$88*'Plan mensual'!D247+parametros_recargas!$H$88*'Plan mensual'!D248+parametros_recargas!$I$88*'Plan mensual'!D249+parametros_recargas!$J$88*'Plan mensual'!D250+parametros_recargas!$K$88*'Plan mensual'!D251+parametros_recargas!$L$88*'Plan mensual'!D252</f>
        <v>9.90215689385426</v>
      </c>
      <c r="C242" s="25" t="n">
        <f aca="false">parametros_recargas!$E$88*'Plan mensual'!E245+parametros_recargas!$F$88*'Plan mensual'!E246+parametros_recargas!$G$88*'Plan mensual'!E247+parametros_recargas!$H$88*'Plan mensual'!E248+parametros_recargas!$I$88*'Plan mensual'!E249+parametros_recargas!$J$88*'Plan mensual'!E250+parametros_recargas!$K$88*'Plan mensual'!E251+parametros_recargas!$L$88*'Plan mensual'!E252</f>
        <v>9.95994421865339</v>
      </c>
      <c r="D242" s="25" t="n">
        <f aca="false">parametros_recargas!$E$88*'Plan mensual'!F245+parametros_recargas!$F$88*'Plan mensual'!F246+parametros_recargas!$G$88*'Plan mensual'!F247+parametros_recargas!$H$88*'Plan mensual'!F248+parametros_recargas!$I$88*'Plan mensual'!F249+parametros_recargas!$J$88*'Plan mensual'!F250+parametros_recargas!$K$88*'Plan mensual'!F251+parametros_recargas!$L$88*'Plan mensual'!F252</f>
        <v>10.0180835943036</v>
      </c>
      <c r="E242" s="25" t="n">
        <f aca="false">parametros_recargas!$E$88*'Plan mensual'!G245+parametros_recargas!$F$88*'Plan mensual'!G246+parametros_recargas!$G$88*'Plan mensual'!G247+parametros_recargas!$H$88*'Plan mensual'!G248+parametros_recargas!$I$88*'Plan mensual'!G249+parametros_recargas!$J$88*'Plan mensual'!G250+parametros_recargas!$K$88*'Plan mensual'!G251+parametros_recargas!$L$88*'Plan mensual'!G252</f>
        <v>10.0765771655625</v>
      </c>
      <c r="F242" s="25" t="n">
        <f aca="false">parametros_recargas!$E$88*'Plan mensual'!H245+parametros_recargas!$F$88*'Plan mensual'!H246+parametros_recargas!$G$88*'Plan mensual'!H247+parametros_recargas!$H$88*'Plan mensual'!H248+parametros_recargas!$I$88*'Plan mensual'!H249+parametros_recargas!$J$88*'Plan mensual'!H250+parametros_recargas!$K$88*'Plan mensual'!H251+parametros_recargas!$L$88*'Plan mensual'!H252</f>
        <v>10.1354270902538</v>
      </c>
      <c r="G242" s="25" t="n">
        <f aca="false">parametros_recargas!$E$88*'Plan mensual'!I245+parametros_recargas!$F$88*'Plan mensual'!I246+parametros_recargas!$G$88*'Plan mensual'!I247+parametros_recargas!$H$88*'Plan mensual'!I248+parametros_recargas!$I$88*'Plan mensual'!I249+parametros_recargas!$J$88*'Plan mensual'!I250+parametros_recargas!$K$88*'Plan mensual'!I251+parametros_recargas!$L$88*'Plan mensual'!I252</f>
        <v>10.1946355393472</v>
      </c>
      <c r="H242" s="25" t="n">
        <f aca="false">parametros_recargas!$E$88*'Plan mensual'!J245+parametros_recargas!$F$88*'Plan mensual'!J246+parametros_recargas!$G$88*'Plan mensual'!J247+parametros_recargas!$H$88*'Plan mensual'!J248+parametros_recargas!$I$88*'Plan mensual'!J249+parametros_recargas!$J$88*'Plan mensual'!J250+parametros_recargas!$K$88*'Plan mensual'!J251+parametros_recargas!$L$88*'Plan mensual'!J252</f>
        <v>10.2542046970384</v>
      </c>
      <c r="I242" s="25" t="n">
        <f aca="false">parametros_recargas!$E$88*'Plan mensual'!K245+parametros_recargas!$F$88*'Plan mensual'!K246+parametros_recargas!$G$88*'Plan mensual'!K247+parametros_recargas!$H$88*'Plan mensual'!K248+parametros_recargas!$I$88*'Plan mensual'!K249+parametros_recargas!$J$88*'Plan mensual'!K250+parametros_recargas!$K$88*'Plan mensual'!K251+parametros_recargas!$L$88*'Plan mensual'!K252</f>
        <v>10.3141367608294</v>
      </c>
      <c r="J242" s="25" t="n">
        <f aca="false">parametros_recargas!$E$88*'Plan mensual'!L245+parametros_recargas!$F$88*'Plan mensual'!L246+parametros_recargas!$G$88*'Plan mensual'!L247+parametros_recargas!$H$88*'Plan mensual'!L248+parametros_recargas!$I$88*'Plan mensual'!L249+parametros_recargas!$J$88*'Plan mensual'!L250+parametros_recargas!$K$88*'Plan mensual'!L251+parametros_recargas!$L$88*'Plan mensual'!L252</f>
        <v>10.37443394161</v>
      </c>
      <c r="K242" s="25" t="n">
        <f aca="false">parametros_recargas!$E$88*'Plan mensual'!M245+parametros_recargas!$F$88*'Plan mensual'!M246+parametros_recargas!$G$88*'Plan mensual'!M247+parametros_recargas!$H$88*'Plan mensual'!M248+parametros_recargas!$I$88*'Plan mensual'!M249+parametros_recargas!$J$88*'Plan mensual'!M250+parametros_recargas!$K$88*'Plan mensual'!M251+parametros_recargas!$L$88*'Plan mensual'!M252</f>
        <v>10.4350984637389</v>
      </c>
      <c r="L242" s="25" t="n">
        <f aca="false">parametros_recargas!$E$88*'Plan mensual'!N245+parametros_recargas!$F$88*'Plan mensual'!N246+parametros_recargas!$G$88*'Plan mensual'!N247+parametros_recargas!$H$88*'Plan mensual'!N248+parametros_recargas!$I$88*'Plan mensual'!N249+parametros_recargas!$J$88*'Plan mensual'!N250+parametros_recargas!$K$88*'Plan mensual'!N251+parametros_recargas!$L$88*'Plan mensual'!N252</f>
        <v>10.4961325651263</v>
      </c>
      <c r="M242" s="25" t="n">
        <f aca="false">parametros_recargas!$E$88*'Plan mensual'!O245+parametros_recargas!$F$88*'Plan mensual'!O246+parametros_recargas!$G$88*'Plan mensual'!O247+parametros_recargas!$H$88*'Plan mensual'!O248+parametros_recargas!$I$88*'Plan mensual'!O249+parametros_recargas!$J$88*'Plan mensual'!O250+parametros_recargas!$K$88*'Plan mensual'!O251+parametros_recargas!$L$88*'Plan mensual'!O252</f>
        <v>10.557538497316</v>
      </c>
      <c r="N242" s="7" t="n">
        <f aca="false">SUM(B242:M242)</f>
        <v>122.718369427634</v>
      </c>
      <c r="O242" s="26" t="n">
        <f aca="false">MAX(B242:M242)</f>
        <v>10.557538497316</v>
      </c>
      <c r="P242" s="15" t="n">
        <f aca="false">O242/parametros_recargas!$B$6</f>
        <v>0.0703835899821065</v>
      </c>
    </row>
    <row r="243" customFormat="false" ht="15" hidden="false" customHeight="false" outlineLevel="0" collapsed="false">
      <c r="A243" s="12" t="str">
        <f aca="false">parametros_recargas!$B$89</f>
        <v>Descarga y carga Clase D</v>
      </c>
      <c r="B243" s="25" t="n">
        <f aca="false">parametros_recargas!$E$89*'Plan mensual'!D245+parametros_recargas!$F$89*'Plan mensual'!D246+parametros_recargas!$G$89*'Plan mensual'!D247+parametros_recargas!$H$89*'Plan mensual'!D248+parametros_recargas!$I$89*'Plan mensual'!D249+parametros_recargas!$J$89*'Plan mensual'!D250+parametros_recargas!$K$89*'Plan mensual'!D251+parametros_recargas!$L$89*'Plan mensual'!D252</f>
        <v>8.9382793692823</v>
      </c>
      <c r="C243" s="25" t="n">
        <f aca="false">parametros_recargas!$E$89*'Plan mensual'!E245+parametros_recargas!$F$89*'Plan mensual'!E246+parametros_recargas!$G$89*'Plan mensual'!E247+parametros_recargas!$H$89*'Plan mensual'!E248+parametros_recargas!$I$89*'Plan mensual'!E249+parametros_recargas!$J$89*'Plan mensual'!E250+parametros_recargas!$K$89*'Plan mensual'!E251+parametros_recargas!$L$89*'Plan mensual'!E252</f>
        <v>8.99019457759141</v>
      </c>
      <c r="D243" s="25" t="n">
        <f aca="false">parametros_recargas!$E$89*'Plan mensual'!F245+parametros_recargas!$F$89*'Plan mensual'!F246+parametros_recargas!$G$89*'Plan mensual'!F247+parametros_recargas!$H$89*'Plan mensual'!F248+parametros_recargas!$I$89*'Plan mensual'!F249+parametros_recargas!$J$89*'Plan mensual'!F250+parametros_recargas!$K$89*'Plan mensual'!F251+parametros_recargas!$L$89*'Plan mensual'!F252</f>
        <v>9.04242606275419</v>
      </c>
      <c r="E243" s="25" t="n">
        <f aca="false">parametros_recargas!$E$89*'Plan mensual'!G245+parametros_recargas!$F$89*'Plan mensual'!G246+parametros_recargas!$G$89*'Plan mensual'!G247+parametros_recargas!$H$89*'Plan mensual'!G248+parametros_recargas!$I$89*'Plan mensual'!G249+parametros_recargas!$J$89*'Plan mensual'!G250+parametros_recargas!$K$89*'Plan mensual'!G251+parametros_recargas!$L$89*'Plan mensual'!G252</f>
        <v>9.09497575158652</v>
      </c>
      <c r="F243" s="25" t="n">
        <f aca="false">parametros_recargas!$E$89*'Plan mensual'!H245+parametros_recargas!$F$89*'Plan mensual'!H246+parametros_recargas!$G$89*'Plan mensual'!H247+parametros_recargas!$H$89*'Plan mensual'!H248+parametros_recargas!$I$89*'Plan mensual'!H249+parametros_recargas!$J$89*'Plan mensual'!H250+parametros_recargas!$K$89*'Plan mensual'!H251+parametros_recargas!$L$89*'Plan mensual'!H252</f>
        <v>9.14784558264281</v>
      </c>
      <c r="G243" s="25" t="n">
        <f aca="false">parametros_recargas!$E$89*'Plan mensual'!I245+parametros_recargas!$F$89*'Plan mensual'!I246+parametros_recargas!$G$89*'Plan mensual'!I247+parametros_recargas!$H$89*'Plan mensual'!I248+parametros_recargas!$I$89*'Plan mensual'!I249+parametros_recargas!$J$89*'Plan mensual'!I250+parametros_recargas!$K$89*'Plan mensual'!I251+parametros_recargas!$L$89*'Plan mensual'!I252</f>
        <v>9.20103750628748</v>
      </c>
      <c r="H243" s="25" t="n">
        <f aca="false">parametros_recargas!$E$89*'Plan mensual'!J245+parametros_recargas!$F$89*'Plan mensual'!J246+parametros_recargas!$G$89*'Plan mensual'!J247+parametros_recargas!$H$89*'Plan mensual'!J248+parametros_recargas!$I$89*'Plan mensual'!J249+parametros_recargas!$J$89*'Plan mensual'!J250+parametros_recargas!$K$89*'Plan mensual'!J251+parametros_recargas!$L$89*'Plan mensual'!J252</f>
        <v>9.25455348476693</v>
      </c>
      <c r="I243" s="25" t="n">
        <f aca="false">parametros_recargas!$E$89*'Plan mensual'!K245+parametros_recargas!$F$89*'Plan mensual'!K246+parametros_recargas!$G$89*'Plan mensual'!K247+parametros_recargas!$H$89*'Plan mensual'!K248+parametros_recargas!$I$89*'Plan mensual'!K249+parametros_recargas!$J$89*'Plan mensual'!K250+parametros_recargas!$K$89*'Plan mensual'!K251+parametros_recargas!$L$89*'Plan mensual'!K252</f>
        <v>9.30839549228191</v>
      </c>
      <c r="J243" s="25" t="n">
        <f aca="false">parametros_recargas!$E$89*'Plan mensual'!L245+parametros_recargas!$F$89*'Plan mensual'!L246+parametros_recargas!$G$89*'Plan mensual'!L247+parametros_recargas!$H$89*'Plan mensual'!L248+parametros_recargas!$I$89*'Plan mensual'!L249+parametros_recargas!$J$89*'Plan mensual'!L250+parametros_recargas!$K$89*'Plan mensual'!L251+parametros_recargas!$L$89*'Plan mensual'!L252</f>
        <v>9.36256551506037</v>
      </c>
      <c r="K243" s="25" t="n">
        <f aca="false">parametros_recargas!$E$89*'Plan mensual'!M245+parametros_recargas!$F$89*'Plan mensual'!M246+parametros_recargas!$G$89*'Plan mensual'!M247+parametros_recargas!$H$89*'Plan mensual'!M248+parametros_recargas!$I$89*'Plan mensual'!M249+parametros_recargas!$J$89*'Plan mensual'!M250+parametros_recargas!$K$89*'Plan mensual'!M251+parametros_recargas!$L$89*'Plan mensual'!M252</f>
        <v>9.41706555143072</v>
      </c>
      <c r="L243" s="25" t="n">
        <f aca="false">parametros_recargas!$E$89*'Plan mensual'!N245+parametros_recargas!$F$89*'Plan mensual'!N246+parametros_recargas!$G$89*'Plan mensual'!N247+parametros_recargas!$H$89*'Plan mensual'!N248+parametros_recargas!$I$89*'Plan mensual'!N249+parametros_recargas!$J$89*'Plan mensual'!N250+parametros_recargas!$K$89*'Plan mensual'!N251+parametros_recargas!$L$89*'Plan mensual'!N252</f>
        <v>9.47189761189554</v>
      </c>
      <c r="M243" s="25" t="n">
        <f aca="false">parametros_recargas!$E$89*'Plan mensual'!O245+parametros_recargas!$F$89*'Plan mensual'!O246+parametros_recargas!$G$89*'Plan mensual'!O247+parametros_recargas!$H$89*'Plan mensual'!O248+parametros_recargas!$I$89*'Plan mensual'!O249+parametros_recargas!$J$89*'Plan mensual'!O250+parametros_recargas!$K$89*'Plan mensual'!O251+parametros_recargas!$L$89*'Plan mensual'!O252</f>
        <v>9.52706371920576</v>
      </c>
      <c r="N243" s="7" t="n">
        <f aca="false">SUM(B243:M243)</f>
        <v>110.756300224786</v>
      </c>
      <c r="O243" s="26" t="n">
        <f aca="false">MAX(B243:M243)</f>
        <v>9.52706371920576</v>
      </c>
      <c r="P243" s="15" t="n">
        <f aca="false">O243/parametros_recargas!$B$6</f>
        <v>0.0635137581280384</v>
      </c>
    </row>
    <row r="244" customFormat="false" ht="15" hidden="false" customHeight="false" outlineLevel="0" collapsed="false">
      <c r="A244" s="12" t="str">
        <f aca="false">parametros_recargas!$B$90</f>
        <v>Carga de agua / AFFF / sales K</v>
      </c>
      <c r="B244" s="25" t="n">
        <f aca="false">parametros_recargas!$E$90*'Plan mensual'!D245+parametros_recargas!$F$90*'Plan mensual'!D246+parametros_recargas!$G$90*'Plan mensual'!D247+parametros_recargas!$H$90*'Plan mensual'!D248+parametros_recargas!$I$90*'Plan mensual'!D249+parametros_recargas!$J$90*'Plan mensual'!D250+parametros_recargas!$K$90*'Plan mensual'!D251+parametros_recargas!$L$90*'Plan mensual'!D252</f>
        <v>341.152527498377</v>
      </c>
      <c r="C244" s="25" t="n">
        <f aca="false">parametros_recargas!$E$90*'Plan mensual'!E245+parametros_recargas!$F$90*'Plan mensual'!E246+parametros_recargas!$G$90*'Plan mensual'!E247+parametros_recargas!$H$90*'Plan mensual'!E248+parametros_recargas!$I$90*'Plan mensual'!E249+parametros_recargas!$J$90*'Plan mensual'!E250+parametros_recargas!$K$90*'Plan mensual'!E251+parametros_recargas!$L$90*'Plan mensual'!E252</f>
        <v>343.180630002543</v>
      </c>
      <c r="D244" s="25" t="n">
        <f aca="false">parametros_recargas!$E$90*'Plan mensual'!F245+parametros_recargas!$F$90*'Plan mensual'!F246+parametros_recargas!$G$90*'Plan mensual'!F247+parametros_recargas!$H$90*'Plan mensual'!F248+parametros_recargas!$I$90*'Plan mensual'!F249+parametros_recargas!$J$90*'Plan mensual'!F250+parametros_recargas!$K$90*'Plan mensual'!F251+parametros_recargas!$L$90*'Plan mensual'!F252</f>
        <v>345.221088074563</v>
      </c>
      <c r="E244" s="25" t="n">
        <f aca="false">parametros_recargas!$E$90*'Plan mensual'!G245+parametros_recargas!$F$90*'Plan mensual'!G246+parametros_recargas!$G$90*'Plan mensual'!G247+parametros_recargas!$H$90*'Plan mensual'!G248+parametros_recargas!$I$90*'Plan mensual'!G249+parametros_recargas!$J$90*'Plan mensual'!G250+parametros_recargas!$K$90*'Plan mensual'!G251+parametros_recargas!$L$90*'Plan mensual'!G252</f>
        <v>347.273976986795</v>
      </c>
      <c r="F244" s="25" t="n">
        <f aca="false">parametros_recargas!$E$90*'Plan mensual'!H245+parametros_recargas!$F$90*'Plan mensual'!H246+parametros_recargas!$G$90*'Plan mensual'!H247+parametros_recargas!$H$90*'Plan mensual'!H248+parametros_recargas!$I$90*'Plan mensual'!H249+parametros_recargas!$J$90*'Plan mensual'!H250+parametros_recargas!$K$90*'Plan mensual'!H251+parametros_recargas!$L$90*'Plan mensual'!H252</f>
        <v>349.33937247017</v>
      </c>
      <c r="G244" s="25" t="n">
        <f aca="false">parametros_recargas!$E$90*'Plan mensual'!I245+parametros_recargas!$F$90*'Plan mensual'!I246+parametros_recargas!$G$90*'Plan mensual'!I247+parametros_recargas!$H$90*'Plan mensual'!I248+parametros_recargas!$I$90*'Plan mensual'!I249+parametros_recargas!$J$90*'Plan mensual'!I250+parametros_recargas!$K$90*'Plan mensual'!I251+parametros_recargas!$L$90*'Plan mensual'!I252</f>
        <v>351.417350716985</v>
      </c>
      <c r="H244" s="25" t="n">
        <f aca="false">parametros_recargas!$E$90*'Plan mensual'!J245+parametros_recargas!$F$90*'Plan mensual'!J246+parametros_recargas!$G$90*'Plan mensual'!J247+parametros_recargas!$H$90*'Plan mensual'!J248+parametros_recargas!$I$90*'Plan mensual'!J249+parametros_recargas!$J$90*'Plan mensual'!J250+parametros_recargas!$K$90*'Plan mensual'!J251+parametros_recargas!$L$90*'Plan mensual'!J252</f>
        <v>353.507988383713</v>
      </c>
      <c r="I244" s="25" t="n">
        <f aca="false">parametros_recargas!$E$90*'Plan mensual'!K245+parametros_recargas!$F$90*'Plan mensual'!K246+parametros_recargas!$G$90*'Plan mensual'!K247+parametros_recargas!$H$90*'Plan mensual'!K248+parametros_recargas!$I$90*'Plan mensual'!K249+parametros_recargas!$J$90*'Plan mensual'!K250+parametros_recargas!$K$90*'Plan mensual'!K251+parametros_recargas!$L$90*'Plan mensual'!K252</f>
        <v>355.611362593834</v>
      </c>
      <c r="J244" s="25" t="n">
        <f aca="false">parametros_recargas!$E$90*'Plan mensual'!L245+parametros_recargas!$F$90*'Plan mensual'!L246+parametros_recargas!$G$90*'Plan mensual'!L247+parametros_recargas!$H$90*'Plan mensual'!L248+parametros_recargas!$I$90*'Plan mensual'!L249+parametros_recargas!$J$90*'Plan mensual'!L250+parametros_recargas!$K$90*'Plan mensual'!L251+parametros_recargas!$L$90*'Plan mensual'!L252</f>
        <v>357.727550940678</v>
      </c>
      <c r="K244" s="25" t="n">
        <f aca="false">parametros_recargas!$E$90*'Plan mensual'!M245+parametros_recargas!$F$90*'Plan mensual'!M246+parametros_recargas!$G$90*'Plan mensual'!M247+parametros_recargas!$H$90*'Plan mensual'!M248+parametros_recargas!$I$90*'Plan mensual'!M249+parametros_recargas!$J$90*'Plan mensual'!M250+parametros_recargas!$K$90*'Plan mensual'!M251+parametros_recargas!$L$90*'Plan mensual'!M252</f>
        <v>359.856631490287</v>
      </c>
      <c r="L244" s="25" t="n">
        <f aca="false">parametros_recargas!$E$90*'Plan mensual'!N245+parametros_recargas!$F$90*'Plan mensual'!N246+parametros_recargas!$G$90*'Plan mensual'!N247+parametros_recargas!$H$90*'Plan mensual'!N248+parametros_recargas!$I$90*'Plan mensual'!N249+parametros_recargas!$J$90*'Plan mensual'!N250+parametros_recargas!$K$90*'Plan mensual'!N251+parametros_recargas!$L$90*'Plan mensual'!N252</f>
        <v>361.998682784296</v>
      </c>
      <c r="M244" s="25" t="n">
        <f aca="false">parametros_recargas!$E$90*'Plan mensual'!O245+parametros_recargas!$F$90*'Plan mensual'!O246+parametros_recargas!$G$90*'Plan mensual'!O247+parametros_recargas!$H$90*'Plan mensual'!O248+parametros_recargas!$I$90*'Plan mensual'!O249+parametros_recargas!$J$90*'Plan mensual'!O250+parametros_recargas!$K$90*'Plan mensual'!O251+parametros_recargas!$L$90*'Plan mensual'!O252</f>
        <v>364.15378384283</v>
      </c>
      <c r="N244" s="7" t="n">
        <f aca="false">SUM(B244:M244)</f>
        <v>4230.44094578507</v>
      </c>
      <c r="O244" s="26" t="n">
        <f aca="false">MAX(B244:M244)</f>
        <v>364.15378384283</v>
      </c>
      <c r="P244" s="15" t="n">
        <f aca="false">O244/parametros_recargas!$B$6</f>
        <v>2.42769189228553</v>
      </c>
    </row>
    <row r="245" customFormat="false" ht="15" hidden="false" customHeight="false" outlineLevel="0" collapsed="false">
      <c r="A245" s="12" t="str">
        <f aca="false">parametros_recargas!$B$91</f>
        <v>Carga de CO₂</v>
      </c>
      <c r="B245" s="25" t="n">
        <f aca="false">parametros_recargas!$E$91*'Plan mensual'!D245+parametros_recargas!$F$91*'Plan mensual'!D246+parametros_recargas!$G$91*'Plan mensual'!D247+parametros_recargas!$H$91*'Plan mensual'!D248+parametros_recargas!$I$91*'Plan mensual'!D249+parametros_recargas!$J$91*'Plan mensual'!D250+parametros_recargas!$K$91*'Plan mensual'!D251+parametros_recargas!$L$91*'Plan mensual'!D252</f>
        <v>187.181027857126</v>
      </c>
      <c r="C245" s="25" t="n">
        <f aca="false">parametros_recargas!$E$91*'Plan mensual'!E245+parametros_recargas!$F$91*'Plan mensual'!E246+parametros_recargas!$G$91*'Plan mensual'!E247+parametros_recargas!$H$91*'Plan mensual'!E248+parametros_recargas!$I$91*'Plan mensual'!E249+parametros_recargas!$J$91*'Plan mensual'!E250+parametros_recargas!$K$91*'Plan mensual'!E251+parametros_recargas!$L$91*'Plan mensual'!E252</f>
        <v>188.2942583813</v>
      </c>
      <c r="D245" s="25" t="n">
        <f aca="false">parametros_recargas!$E$91*'Plan mensual'!F245+parametros_recargas!$F$91*'Plan mensual'!F246+parametros_recargas!$G$91*'Plan mensual'!F247+parametros_recargas!$H$91*'Plan mensual'!F248+parametros_recargas!$I$91*'Plan mensual'!F249+parametros_recargas!$J$91*'Plan mensual'!F250+parametros_recargas!$K$91*'Plan mensual'!F251+parametros_recargas!$L$91*'Plan mensual'!F252</f>
        <v>189.414270907493</v>
      </c>
      <c r="E245" s="25" t="n">
        <f aca="false">parametros_recargas!$E$91*'Plan mensual'!G245+parametros_recargas!$F$91*'Plan mensual'!G246+parametros_recargas!$G$91*'Plan mensual'!G247+parametros_recargas!$H$91*'Plan mensual'!G248+parametros_recargas!$I$91*'Plan mensual'!G249+parametros_recargas!$J$91*'Plan mensual'!G250+parametros_recargas!$K$91*'Plan mensual'!G251+parametros_recargas!$L$91*'Plan mensual'!G252</f>
        <v>190.541106752891</v>
      </c>
      <c r="F245" s="25" t="n">
        <f aca="false">parametros_recargas!$E$91*'Plan mensual'!H245+parametros_recargas!$F$91*'Plan mensual'!H246+parametros_recargas!$G$91*'Plan mensual'!H247+parametros_recargas!$H$91*'Plan mensual'!H248+parametros_recargas!$I$91*'Plan mensual'!H249+parametros_recargas!$J$91*'Plan mensual'!H250+parametros_recargas!$K$91*'Plan mensual'!H251+parametros_recargas!$L$91*'Plan mensual'!H252</f>
        <v>191.67480748639</v>
      </c>
      <c r="G245" s="25" t="n">
        <f aca="false">parametros_recargas!$E$91*'Plan mensual'!I245+parametros_recargas!$F$91*'Plan mensual'!I246+parametros_recargas!$G$91*'Plan mensual'!I247+parametros_recargas!$H$91*'Plan mensual'!I248+parametros_recargas!$I$91*'Plan mensual'!I249+parametros_recargas!$J$91*'Plan mensual'!I250+parametros_recargas!$K$91*'Plan mensual'!I251+parametros_recargas!$L$91*'Plan mensual'!I252</f>
        <v>192.815414930131</v>
      </c>
      <c r="H245" s="25" t="n">
        <f aca="false">parametros_recargas!$E$91*'Plan mensual'!J245+parametros_recargas!$F$91*'Plan mensual'!J246+parametros_recargas!$G$91*'Plan mensual'!J247+parametros_recargas!$H$91*'Plan mensual'!J248+parametros_recargas!$I$91*'Plan mensual'!J249+parametros_recargas!$J$91*'Plan mensual'!J250+parametros_recargas!$K$91*'Plan mensual'!J251+parametros_recargas!$L$91*'Plan mensual'!J252</f>
        <v>193.962971161046</v>
      </c>
      <c r="I245" s="25" t="n">
        <f aca="false">parametros_recargas!$E$91*'Plan mensual'!K245+parametros_recargas!$F$91*'Plan mensual'!K246+parametros_recargas!$G$91*'Plan mensual'!K247+parametros_recargas!$H$91*'Plan mensual'!K248+parametros_recargas!$I$91*'Plan mensual'!K249+parametros_recargas!$J$91*'Plan mensual'!K250+parametros_recargas!$K$91*'Plan mensual'!K251+parametros_recargas!$L$91*'Plan mensual'!K252</f>
        <v>195.117518512404</v>
      </c>
      <c r="J245" s="25" t="n">
        <f aca="false">parametros_recargas!$E$91*'Plan mensual'!L245+parametros_recargas!$F$91*'Plan mensual'!L246+parametros_recargas!$G$91*'Plan mensual'!L247+parametros_recargas!$H$91*'Plan mensual'!L248+parametros_recargas!$I$91*'Plan mensual'!L249+parametros_recargas!$J$91*'Plan mensual'!L250+parametros_recargas!$K$91*'Plan mensual'!L251+parametros_recargas!$L$91*'Plan mensual'!L252</f>
        <v>196.279099575378</v>
      </c>
      <c r="K245" s="25" t="n">
        <f aca="false">parametros_recargas!$E$91*'Plan mensual'!M245+parametros_recargas!$F$91*'Plan mensual'!M246+parametros_recargas!$G$91*'Plan mensual'!M247+parametros_recargas!$H$91*'Plan mensual'!M248+parametros_recargas!$I$91*'Plan mensual'!M249+parametros_recargas!$J$91*'Plan mensual'!M250+parametros_recargas!$K$91*'Plan mensual'!M251+parametros_recargas!$L$91*'Plan mensual'!M252</f>
        <v>197.447757200612</v>
      </c>
      <c r="L245" s="25" t="n">
        <f aca="false">parametros_recargas!$E$91*'Plan mensual'!N245+parametros_recargas!$F$91*'Plan mensual'!N246+parametros_recargas!$G$91*'Plan mensual'!N247+parametros_recargas!$H$91*'Plan mensual'!N248+parametros_recargas!$I$91*'Plan mensual'!N249+parametros_recargas!$J$91*'Plan mensual'!N250+parametros_recargas!$K$91*'Plan mensual'!N251+parametros_recargas!$L$91*'Plan mensual'!N252</f>
        <v>198.623534499806</v>
      </c>
      <c r="M245" s="25" t="n">
        <f aca="false">parametros_recargas!$E$91*'Plan mensual'!O245+parametros_recargas!$F$91*'Plan mensual'!O246+parametros_recargas!$G$91*'Plan mensual'!O247+parametros_recargas!$H$91*'Plan mensual'!O248+parametros_recargas!$I$91*'Plan mensual'!O249+parametros_recargas!$J$91*'Plan mensual'!O250+parametros_recargas!$K$91*'Plan mensual'!O251+parametros_recargas!$L$91*'Plan mensual'!O252</f>
        <v>199.806474847304</v>
      </c>
      <c r="N245" s="7" t="n">
        <f aca="false">SUM(B245:M245)</f>
        <v>2321.15824211188</v>
      </c>
      <c r="O245" s="26" t="n">
        <f aca="false">MAX(B245:M245)</f>
        <v>199.806474847304</v>
      </c>
      <c r="P245" s="15" t="n">
        <f aca="false">O245/parametros_recargas!$B$6</f>
        <v>1.33204316564869</v>
      </c>
    </row>
    <row r="246" customFormat="false" ht="15" hidden="false" customHeight="false" outlineLevel="0" collapsed="false">
      <c r="A246" s="12" t="str">
        <f aca="false">parametros_recargas!$B$92</f>
        <v>Ensamblaje y marbete — recinto</v>
      </c>
      <c r="B246" s="25" t="n">
        <f aca="false">parametros_recargas!$E$92*'Plan mensual'!D245+parametros_recargas!$F$92*'Plan mensual'!D246+parametros_recargas!$G$92*'Plan mensual'!D247+parametros_recargas!$H$92*'Plan mensual'!D248+parametros_recargas!$I$92*'Plan mensual'!D249+parametros_recargas!$J$92*'Plan mensual'!D250+parametros_recargas!$K$92*'Plan mensual'!D251+parametros_recargas!$L$92*'Plan mensual'!D252</f>
        <v>6837.25237952656</v>
      </c>
      <c r="C246" s="25" t="n">
        <f aca="false">parametros_recargas!$E$92*'Plan mensual'!E245+parametros_recargas!$F$92*'Plan mensual'!E246+parametros_recargas!$G$92*'Plan mensual'!E247+parametros_recargas!$H$92*'Plan mensual'!E248+parametros_recargas!$I$92*'Plan mensual'!E249+parametros_recargas!$J$92*'Plan mensual'!E250+parametros_recargas!$K$92*'Plan mensual'!E251+parametros_recargas!$L$92*'Plan mensual'!E252</f>
        <v>6878.21774314828</v>
      </c>
      <c r="D246" s="25" t="n">
        <f aca="false">parametros_recargas!$E$92*'Plan mensual'!F245+parametros_recargas!$F$92*'Plan mensual'!F246+parametros_recargas!$G$92*'Plan mensual'!F247+parametros_recargas!$H$92*'Plan mensual'!F248+parametros_recargas!$I$92*'Plan mensual'!F249+parametros_recargas!$J$92*'Plan mensual'!F250+parametros_recargas!$K$92*'Plan mensual'!F251+parametros_recargas!$L$92*'Plan mensual'!F252</f>
        <v>6919.43267518623</v>
      </c>
      <c r="E246" s="25" t="n">
        <f aca="false">parametros_recargas!$E$92*'Plan mensual'!G245+parametros_recargas!$F$92*'Plan mensual'!G246+parametros_recargas!$G$92*'Plan mensual'!G247+parametros_recargas!$H$92*'Plan mensual'!G248+parametros_recargas!$I$92*'Plan mensual'!G249+parametros_recargas!$J$92*'Plan mensual'!G250+parametros_recargas!$K$92*'Plan mensual'!G251+parametros_recargas!$L$92*'Plan mensual'!G252</f>
        <v>6960.8986960564</v>
      </c>
      <c r="F246" s="25" t="n">
        <f aca="false">parametros_recargas!$E$92*'Plan mensual'!H245+parametros_recargas!$F$92*'Plan mensual'!H246+parametros_recargas!$G$92*'Plan mensual'!H247+parametros_recargas!$H$92*'Plan mensual'!H248+parametros_recargas!$I$92*'Plan mensual'!H249+parametros_recargas!$J$92*'Plan mensual'!H250+parametros_recargas!$K$92*'Plan mensual'!H251+parametros_recargas!$L$92*'Plan mensual'!H252</f>
        <v>7002.61733543745</v>
      </c>
      <c r="G246" s="25" t="n">
        <f aca="false">parametros_recargas!$E$92*'Plan mensual'!I245+parametros_recargas!$F$92*'Plan mensual'!I246+parametros_recargas!$G$92*'Plan mensual'!I247+parametros_recargas!$H$92*'Plan mensual'!I248+parametros_recargas!$I$92*'Plan mensual'!I249+parametros_recargas!$J$92*'Plan mensual'!I250+parametros_recargas!$K$92*'Plan mensual'!I251+parametros_recargas!$L$92*'Plan mensual'!I252</f>
        <v>7044.59013232712</v>
      </c>
      <c r="H246" s="25" t="n">
        <f aca="false">parametros_recargas!$E$92*'Plan mensual'!J245+parametros_recargas!$F$92*'Plan mensual'!J246+parametros_recargas!$G$92*'Plan mensual'!J247+parametros_recargas!$H$92*'Plan mensual'!J248+parametros_recargas!$I$92*'Plan mensual'!J249+parametros_recargas!$J$92*'Plan mensual'!J250+parametros_recargas!$K$92*'Plan mensual'!J251+parametros_recargas!$L$92*'Plan mensual'!J252</f>
        <v>7086.81863509898</v>
      </c>
      <c r="I246" s="25" t="n">
        <f aca="false">parametros_recargas!$E$92*'Plan mensual'!K245+parametros_recargas!$F$92*'Plan mensual'!K246+parametros_recargas!$G$92*'Plan mensual'!K247+parametros_recargas!$H$92*'Plan mensual'!K248+parametros_recargas!$I$92*'Plan mensual'!K249+parametros_recargas!$J$92*'Plan mensual'!K250+parametros_recargas!$K$92*'Plan mensual'!K251+parametros_recargas!$L$92*'Plan mensual'!K252</f>
        <v>7129.30440155959</v>
      </c>
      <c r="J246" s="25" t="n">
        <f aca="false">parametros_recargas!$E$92*'Plan mensual'!L245+parametros_recargas!$F$92*'Plan mensual'!L246+parametros_recargas!$G$92*'Plan mensual'!L247+parametros_recargas!$H$92*'Plan mensual'!L248+parametros_recargas!$I$92*'Plan mensual'!L249+parametros_recargas!$J$92*'Plan mensual'!L250+parametros_recargas!$K$92*'Plan mensual'!L251+parametros_recargas!$L$92*'Plan mensual'!L252</f>
        <v>7172.04899900595</v>
      </c>
      <c r="K246" s="25" t="n">
        <f aca="false">parametros_recargas!$E$92*'Plan mensual'!M245+parametros_recargas!$F$92*'Plan mensual'!M246+parametros_recargas!$G$92*'Plan mensual'!M247+parametros_recargas!$H$92*'Plan mensual'!M248+parametros_recargas!$I$92*'Plan mensual'!M249+parametros_recargas!$J$92*'Plan mensual'!M250+parametros_recargas!$K$92*'Plan mensual'!M251+parametros_recargas!$L$92*'Plan mensual'!M252</f>
        <v>7215.0540042833</v>
      </c>
      <c r="L246" s="25" t="n">
        <f aca="false">parametros_recargas!$E$92*'Plan mensual'!N245+parametros_recargas!$F$92*'Plan mensual'!N246+parametros_recargas!$G$92*'Plan mensual'!N247+parametros_recargas!$H$92*'Plan mensual'!N248+parametros_recargas!$I$92*'Plan mensual'!N249+parametros_recargas!$J$92*'Plan mensual'!N250+parametros_recargas!$K$92*'Plan mensual'!N251+parametros_recargas!$L$92*'Plan mensual'!N252</f>
        <v>7258.32100384334</v>
      </c>
      <c r="M246" s="25" t="n">
        <f aca="false">parametros_recargas!$E$92*'Plan mensual'!O245+parametros_recargas!$F$92*'Plan mensual'!O246+parametros_recargas!$G$92*'Plan mensual'!O247+parametros_recargas!$H$92*'Plan mensual'!O248+parametros_recargas!$I$92*'Plan mensual'!O249+parametros_recargas!$J$92*'Plan mensual'!O250+parametros_recargas!$K$92*'Plan mensual'!O251+parametros_recargas!$L$92*'Plan mensual'!O252</f>
        <v>7301.8515938027</v>
      </c>
      <c r="N246" s="7" t="n">
        <f aca="false">SUM(B246:M246)</f>
        <v>84806.4075992759</v>
      </c>
      <c r="O246" s="26" t="n">
        <f aca="false">MAX(B246:M246)</f>
        <v>7301.8515938027</v>
      </c>
      <c r="P246" s="15" t="n">
        <f aca="false">O246/parametros_recargas!$B$6</f>
        <v>48.6790106253513</v>
      </c>
    </row>
    <row r="247" customFormat="false" ht="15" hidden="false" customHeight="false" outlineLevel="0" collapsed="false">
      <c r="A247" s="12" t="str">
        <f aca="false">parametros_recargas!$B$93</f>
        <v>Presurización — recinto</v>
      </c>
      <c r="B247" s="25" t="n">
        <f aca="false">parametros_recargas!$E$93*'Plan mensual'!D245+parametros_recargas!$F$93*'Plan mensual'!D246+parametros_recargas!$G$93*'Plan mensual'!D247+parametros_recargas!$H$93*'Plan mensual'!D248+parametros_recargas!$I$93*'Plan mensual'!D249+parametros_recargas!$J$93*'Plan mensual'!D250+parametros_recargas!$K$93*'Plan mensual'!D251+parametros_recargas!$L$93*'Plan mensual'!D252</f>
        <v>6837.25237952656</v>
      </c>
      <c r="C247" s="25" t="n">
        <f aca="false">parametros_recargas!$E$93*'Plan mensual'!E245+parametros_recargas!$F$93*'Plan mensual'!E246+parametros_recargas!$G$93*'Plan mensual'!E247+parametros_recargas!$H$93*'Plan mensual'!E248+parametros_recargas!$I$93*'Plan mensual'!E249+parametros_recargas!$J$93*'Plan mensual'!E250+parametros_recargas!$K$93*'Plan mensual'!E251+parametros_recargas!$L$93*'Plan mensual'!E252</f>
        <v>6878.21774314828</v>
      </c>
      <c r="D247" s="25" t="n">
        <f aca="false">parametros_recargas!$E$93*'Plan mensual'!F245+parametros_recargas!$F$93*'Plan mensual'!F246+parametros_recargas!$G$93*'Plan mensual'!F247+parametros_recargas!$H$93*'Plan mensual'!F248+parametros_recargas!$I$93*'Plan mensual'!F249+parametros_recargas!$J$93*'Plan mensual'!F250+parametros_recargas!$K$93*'Plan mensual'!F251+parametros_recargas!$L$93*'Plan mensual'!F252</f>
        <v>6919.43267518623</v>
      </c>
      <c r="E247" s="25" t="n">
        <f aca="false">parametros_recargas!$E$93*'Plan mensual'!G245+parametros_recargas!$F$93*'Plan mensual'!G246+parametros_recargas!$G$93*'Plan mensual'!G247+parametros_recargas!$H$93*'Plan mensual'!G248+parametros_recargas!$I$93*'Plan mensual'!G249+parametros_recargas!$J$93*'Plan mensual'!G250+parametros_recargas!$K$93*'Plan mensual'!G251+parametros_recargas!$L$93*'Plan mensual'!G252</f>
        <v>6960.8986960564</v>
      </c>
      <c r="F247" s="25" t="n">
        <f aca="false">parametros_recargas!$E$93*'Plan mensual'!H245+parametros_recargas!$F$93*'Plan mensual'!H246+parametros_recargas!$G$93*'Plan mensual'!H247+parametros_recargas!$H$93*'Plan mensual'!H248+parametros_recargas!$I$93*'Plan mensual'!H249+parametros_recargas!$J$93*'Plan mensual'!H250+parametros_recargas!$K$93*'Plan mensual'!H251+parametros_recargas!$L$93*'Plan mensual'!H252</f>
        <v>7002.61733543745</v>
      </c>
      <c r="G247" s="25" t="n">
        <f aca="false">parametros_recargas!$E$93*'Plan mensual'!I245+parametros_recargas!$F$93*'Plan mensual'!I246+parametros_recargas!$G$93*'Plan mensual'!I247+parametros_recargas!$H$93*'Plan mensual'!I248+parametros_recargas!$I$93*'Plan mensual'!I249+parametros_recargas!$J$93*'Plan mensual'!I250+parametros_recargas!$K$93*'Plan mensual'!I251+parametros_recargas!$L$93*'Plan mensual'!I252</f>
        <v>7044.59013232712</v>
      </c>
      <c r="H247" s="25" t="n">
        <f aca="false">parametros_recargas!$E$93*'Plan mensual'!J245+parametros_recargas!$F$93*'Plan mensual'!J246+parametros_recargas!$G$93*'Plan mensual'!J247+parametros_recargas!$H$93*'Plan mensual'!J248+parametros_recargas!$I$93*'Plan mensual'!J249+parametros_recargas!$J$93*'Plan mensual'!J250+parametros_recargas!$K$93*'Plan mensual'!J251+parametros_recargas!$L$93*'Plan mensual'!J252</f>
        <v>7086.81863509898</v>
      </c>
      <c r="I247" s="25" t="n">
        <f aca="false">parametros_recargas!$E$93*'Plan mensual'!K245+parametros_recargas!$F$93*'Plan mensual'!K246+parametros_recargas!$G$93*'Plan mensual'!K247+parametros_recargas!$H$93*'Plan mensual'!K248+parametros_recargas!$I$93*'Plan mensual'!K249+parametros_recargas!$J$93*'Plan mensual'!K250+parametros_recargas!$K$93*'Plan mensual'!K251+parametros_recargas!$L$93*'Plan mensual'!K252</f>
        <v>7129.30440155959</v>
      </c>
      <c r="J247" s="25" t="n">
        <f aca="false">parametros_recargas!$E$93*'Plan mensual'!L245+parametros_recargas!$F$93*'Plan mensual'!L246+parametros_recargas!$G$93*'Plan mensual'!L247+parametros_recargas!$H$93*'Plan mensual'!L248+parametros_recargas!$I$93*'Plan mensual'!L249+parametros_recargas!$J$93*'Plan mensual'!L250+parametros_recargas!$K$93*'Plan mensual'!L251+parametros_recargas!$L$93*'Plan mensual'!L252</f>
        <v>7172.04899900595</v>
      </c>
      <c r="K247" s="25" t="n">
        <f aca="false">parametros_recargas!$E$93*'Plan mensual'!M245+parametros_recargas!$F$93*'Plan mensual'!M246+parametros_recargas!$G$93*'Plan mensual'!M247+parametros_recargas!$H$93*'Plan mensual'!M248+parametros_recargas!$I$93*'Plan mensual'!M249+parametros_recargas!$J$93*'Plan mensual'!M250+parametros_recargas!$K$93*'Plan mensual'!M251+parametros_recargas!$L$93*'Plan mensual'!M252</f>
        <v>7215.0540042833</v>
      </c>
      <c r="L247" s="25" t="n">
        <f aca="false">parametros_recargas!$E$93*'Plan mensual'!N245+parametros_recargas!$F$93*'Plan mensual'!N246+parametros_recargas!$G$93*'Plan mensual'!N247+parametros_recargas!$H$93*'Plan mensual'!N248+parametros_recargas!$I$93*'Plan mensual'!N249+parametros_recargas!$J$93*'Plan mensual'!N250+parametros_recargas!$K$93*'Plan mensual'!N251+parametros_recargas!$L$93*'Plan mensual'!N252</f>
        <v>7258.32100384334</v>
      </c>
      <c r="M247" s="25" t="n">
        <f aca="false">parametros_recargas!$E$93*'Plan mensual'!O245+parametros_recargas!$F$93*'Plan mensual'!O246+parametros_recargas!$G$93*'Plan mensual'!O247+parametros_recargas!$H$93*'Plan mensual'!O248+parametros_recargas!$I$93*'Plan mensual'!O249+parametros_recargas!$J$93*'Plan mensual'!O250+parametros_recargas!$K$93*'Plan mensual'!O251+parametros_recargas!$L$93*'Plan mensual'!O252</f>
        <v>7301.8515938027</v>
      </c>
      <c r="N247" s="7" t="n">
        <f aca="false">SUM(B247:M247)</f>
        <v>84806.4075992759</v>
      </c>
      <c r="O247" s="26" t="n">
        <f aca="false">MAX(B247:M247)</f>
        <v>7301.8515938027</v>
      </c>
      <c r="P247" s="15" t="n">
        <f aca="false">O247/parametros_recargas!$B$6</f>
        <v>48.6790106253513</v>
      </c>
    </row>
    <row r="248" customFormat="false" ht="15" hidden="false" customHeight="false" outlineLevel="0" collapsed="false">
      <c r="A248" s="12" t="str">
        <f aca="false">parametros_recargas!$B$94</f>
        <v>Ensamblaje y presurización — zona general</v>
      </c>
      <c r="B248" s="25" t="n">
        <f aca="false">parametros_recargas!$E$94*'Plan mensual'!D245+parametros_recargas!$F$94*'Plan mensual'!D246+parametros_recargas!$G$94*'Plan mensual'!D247+parametros_recargas!$H$94*'Plan mensual'!D248+parametros_recargas!$I$94*'Plan mensual'!D249+parametros_recargas!$J$94*'Plan mensual'!D250+parametros_recargas!$K$94*'Plan mensual'!D251+parametros_recargas!$L$94*'Plan mensual'!D252</f>
        <v>503.529172816228</v>
      </c>
      <c r="C248" s="25" t="n">
        <f aca="false">parametros_recargas!$E$94*'Plan mensual'!E245+parametros_recargas!$F$94*'Plan mensual'!E246+parametros_recargas!$G$94*'Plan mensual'!E247+parametros_recargas!$H$94*'Plan mensual'!E248+parametros_recargas!$I$94*'Plan mensual'!E249+parametros_recargas!$J$94*'Plan mensual'!E250+parametros_recargas!$K$94*'Plan mensual'!E251+parametros_recargas!$L$94*'Plan mensual'!E252</f>
        <v>506.522896056888</v>
      </c>
      <c r="D248" s="25" t="n">
        <f aca="false">parametros_recargas!$E$94*'Plan mensual'!F245+parametros_recargas!$F$94*'Plan mensual'!F246+parametros_recargas!$G$94*'Plan mensual'!F247+parametros_recargas!$H$94*'Plan mensual'!F248+parametros_recargas!$I$94*'Plan mensual'!F249+parametros_recargas!$J$94*'Plan mensual'!F250+parametros_recargas!$K$94*'Plan mensual'!F251+parametros_recargas!$L$94*'Plan mensual'!F252</f>
        <v>509.534857601854</v>
      </c>
      <c r="E248" s="25" t="n">
        <f aca="false">parametros_recargas!$E$94*'Plan mensual'!G245+parametros_recargas!$F$94*'Plan mensual'!G246+parametros_recargas!$G$94*'Plan mensual'!G247+parametros_recargas!$H$94*'Plan mensual'!G248+parametros_recargas!$I$94*'Plan mensual'!G249+parametros_recargas!$J$94*'Plan mensual'!G250+parametros_recargas!$K$94*'Plan mensual'!G251+parametros_recargas!$L$94*'Plan mensual'!G252</f>
        <v>512.565168562182</v>
      </c>
      <c r="F248" s="25" t="n">
        <f aca="false">parametros_recargas!$E$94*'Plan mensual'!H245+parametros_recargas!$F$94*'Plan mensual'!H246+parametros_recargas!$G$94*'Plan mensual'!H247+parametros_recargas!$H$94*'Plan mensual'!H248+parametros_recargas!$I$94*'Plan mensual'!H249+parametros_recargas!$J$94*'Plan mensual'!H250+parametros_recargas!$K$94*'Plan mensual'!H251+parametros_recargas!$L$94*'Plan mensual'!H252</f>
        <v>515.613940725833</v>
      </c>
      <c r="G248" s="25" t="n">
        <f aca="false">parametros_recargas!$E$94*'Plan mensual'!I245+parametros_recargas!$F$94*'Plan mensual'!I246+parametros_recargas!$G$94*'Plan mensual'!I247+parametros_recargas!$H$94*'Plan mensual'!I248+parametros_recargas!$I$94*'Plan mensual'!I249+parametros_recargas!$J$94*'Plan mensual'!I250+parametros_recargas!$K$94*'Plan mensual'!I251+parametros_recargas!$L$94*'Plan mensual'!I252</f>
        <v>518.681286561803</v>
      </c>
      <c r="H248" s="25" t="n">
        <f aca="false">parametros_recargas!$E$94*'Plan mensual'!J245+parametros_recargas!$F$94*'Plan mensual'!J246+parametros_recargas!$G$94*'Plan mensual'!J247+parametros_recargas!$H$94*'Plan mensual'!J248+parametros_recargas!$I$94*'Plan mensual'!J249+parametros_recargas!$J$94*'Plan mensual'!J250+parametros_recargas!$K$94*'Plan mensual'!J251+parametros_recargas!$L$94*'Plan mensual'!J252</f>
        <v>521.767319224267</v>
      </c>
      <c r="I248" s="25" t="n">
        <f aca="false">parametros_recargas!$E$94*'Plan mensual'!K245+parametros_recargas!$F$94*'Plan mensual'!K246+parametros_recargas!$G$94*'Plan mensual'!K247+parametros_recargas!$H$94*'Plan mensual'!K248+parametros_recargas!$I$94*'Plan mensual'!K249+parametros_recargas!$J$94*'Plan mensual'!K250+parametros_recargas!$K$94*'Plan mensual'!K251+parametros_recargas!$L$94*'Plan mensual'!K252</f>
        <v>524.872152556759</v>
      </c>
      <c r="J248" s="25" t="n">
        <f aca="false">parametros_recargas!$E$94*'Plan mensual'!L245+parametros_recargas!$F$94*'Plan mensual'!L246+parametros_recargas!$G$94*'Plan mensual'!L247+parametros_recargas!$H$94*'Plan mensual'!L248+parametros_recargas!$I$94*'Plan mensual'!L249+parametros_recargas!$J$94*'Plan mensual'!L250+parametros_recargas!$K$94*'Plan mensual'!L251+parametros_recargas!$L$94*'Plan mensual'!L252</f>
        <v>527.995901096365</v>
      </c>
      <c r="K248" s="25" t="n">
        <f aca="false">parametros_recargas!$E$94*'Plan mensual'!M245+parametros_recargas!$F$94*'Plan mensual'!M246+parametros_recargas!$G$94*'Plan mensual'!M247+parametros_recargas!$H$94*'Plan mensual'!M248+parametros_recargas!$I$94*'Plan mensual'!M249+parametros_recargas!$J$94*'Plan mensual'!M250+parametros_recargas!$K$94*'Plan mensual'!M251+parametros_recargas!$L$94*'Plan mensual'!M252</f>
        <v>531.138680077954</v>
      </c>
      <c r="L248" s="25" t="n">
        <f aca="false">parametros_recargas!$E$94*'Plan mensual'!N245+parametros_recargas!$F$94*'Plan mensual'!N246+parametros_recargas!$G$94*'Plan mensual'!N247+parametros_recargas!$H$94*'Plan mensual'!N248+parametros_recargas!$I$94*'Plan mensual'!N249+parametros_recargas!$J$94*'Plan mensual'!N250+parametros_recargas!$K$94*'Plan mensual'!N251+parametros_recargas!$L$94*'Plan mensual'!N252</f>
        <v>534.300605438426</v>
      </c>
      <c r="M248" s="25" t="n">
        <f aca="false">parametros_recargas!$E$94*'Plan mensual'!O245+parametros_recargas!$F$94*'Plan mensual'!O246+parametros_recargas!$G$94*'Plan mensual'!O247+parametros_recargas!$H$94*'Plan mensual'!O248+parametros_recargas!$I$94*'Plan mensual'!O249+parametros_recargas!$J$94*'Plan mensual'!O250+parametros_recargas!$K$94*'Plan mensual'!O251+parametros_recargas!$L$94*'Plan mensual'!O252</f>
        <v>537.48179382099</v>
      </c>
      <c r="N248" s="7" t="n">
        <f aca="false">SUM(B248:M248)</f>
        <v>6244.00377453955</v>
      </c>
      <c r="O248" s="26" t="n">
        <f aca="false">MAX(B248:M248)</f>
        <v>537.48179382099</v>
      </c>
      <c r="P248" s="15" t="n">
        <f aca="false">O248/parametros_recargas!$B$6</f>
        <v>3.5832119588066</v>
      </c>
    </row>
    <row r="249" customFormat="false" ht="15" hidden="false" customHeight="false" outlineLevel="0" collapsed="false">
      <c r="A249" s="12" t="str">
        <f aca="false">parametros_recargas!$B$95</f>
        <v>Carga y presurización de halogenado</v>
      </c>
      <c r="B249" s="25" t="n">
        <f aca="false">parametros_recargas!$E$95*'Plan mensual'!D245+parametros_recargas!$F$95*'Plan mensual'!D246+parametros_recargas!$G$95*'Plan mensual'!D247+parametros_recargas!$H$95*'Plan mensual'!D248+parametros_recargas!$I$95*'Plan mensual'!D249+parametros_recargas!$J$95*'Plan mensual'!D250+parametros_recargas!$K$95*'Plan mensual'!D251+parametros_recargas!$L$95*'Plan mensual'!D252</f>
        <v>6.39245543691322</v>
      </c>
      <c r="C249" s="25" t="n">
        <f aca="false">parametros_recargas!$E$95*'Plan mensual'!E245+parametros_recargas!$F$95*'Plan mensual'!E246+parametros_recargas!$G$95*'Plan mensual'!E247+parametros_recargas!$H$95*'Plan mensual'!E248+parametros_recargas!$I$95*'Plan mensual'!E249+parametros_recargas!$J$95*'Plan mensual'!E250+parametros_recargas!$K$95*'Plan mensual'!E251+parametros_recargas!$L$95*'Plan mensual'!E252</f>
        <v>6.4303840699285</v>
      </c>
      <c r="D249" s="25" t="n">
        <f aca="false">parametros_recargas!$E$95*'Plan mensual'!F245+parametros_recargas!$F$95*'Plan mensual'!F246+parametros_recargas!$G$95*'Plan mensual'!F247+parametros_recargas!$H$95*'Plan mensual'!F248+parametros_recargas!$I$95*'Plan mensual'!F249+parametros_recargas!$J$95*'Plan mensual'!F250+parametros_recargas!$K$95*'Plan mensual'!F251+parametros_recargas!$L$95*'Plan mensual'!F252</f>
        <v>6.46854377104703</v>
      </c>
      <c r="E249" s="25" t="n">
        <f aca="false">parametros_recargas!$E$95*'Plan mensual'!G245+parametros_recargas!$F$95*'Plan mensual'!G246+parametros_recargas!$G$95*'Plan mensual'!G247+parametros_recargas!$H$95*'Plan mensual'!G248+parametros_recargas!$I$95*'Plan mensual'!G249+parametros_recargas!$J$95*'Plan mensual'!G250+parametros_recargas!$K$95*'Plan mensual'!G251+parametros_recargas!$L$95*'Plan mensual'!G252</f>
        <v>6.50693594797756</v>
      </c>
      <c r="F249" s="25" t="n">
        <f aca="false">parametros_recargas!$E$95*'Plan mensual'!H245+parametros_recargas!$F$95*'Plan mensual'!H246+parametros_recargas!$G$95*'Plan mensual'!H247+parametros_recargas!$H$95*'Plan mensual'!H248+parametros_recargas!$I$95*'Plan mensual'!H249+parametros_recargas!$J$95*'Plan mensual'!H250+parametros_recargas!$K$95*'Plan mensual'!H251+parametros_recargas!$L$95*'Plan mensual'!H252</f>
        <v>6.54556201700486</v>
      </c>
      <c r="G249" s="25" t="n">
        <f aca="false">parametros_recargas!$E$95*'Plan mensual'!I245+parametros_recargas!$F$95*'Plan mensual'!I246+parametros_recargas!$G$95*'Plan mensual'!I247+parametros_recargas!$H$95*'Plan mensual'!I248+parametros_recargas!$I$95*'Plan mensual'!I249+parametros_recargas!$J$95*'Plan mensual'!I250+parametros_recargas!$K$95*'Plan mensual'!I251+parametros_recargas!$L$95*'Plan mensual'!I252</f>
        <v>6.58442340304194</v>
      </c>
      <c r="H249" s="25" t="n">
        <f aca="false">parametros_recargas!$E$95*'Plan mensual'!J245+parametros_recargas!$F$95*'Plan mensual'!J246+parametros_recargas!$G$95*'Plan mensual'!J247+parametros_recargas!$H$95*'Plan mensual'!J248+parametros_recargas!$I$95*'Plan mensual'!J249+parametros_recargas!$J$95*'Plan mensual'!J250+parametros_recargas!$K$95*'Plan mensual'!J251+parametros_recargas!$L$95*'Plan mensual'!J252</f>
        <v>6.62352153968265</v>
      </c>
      <c r="I249" s="25" t="n">
        <f aca="false">parametros_recargas!$E$95*'Plan mensual'!K245+parametros_recargas!$F$95*'Plan mensual'!K246+parametros_recargas!$G$95*'Plan mensual'!K247+parametros_recargas!$H$95*'Plan mensual'!K248+parametros_recargas!$I$95*'Plan mensual'!K249+parametros_recargas!$J$95*'Plan mensual'!K250+parametros_recargas!$K$95*'Plan mensual'!K251+parametros_recargas!$L$95*'Plan mensual'!K252</f>
        <v>6.66285786925456</v>
      </c>
      <c r="J249" s="25" t="n">
        <f aca="false">parametros_recargas!$E$95*'Plan mensual'!L245+parametros_recargas!$F$95*'Plan mensual'!L246+parametros_recargas!$G$95*'Plan mensual'!L247+parametros_recargas!$H$95*'Plan mensual'!L248+parametros_recargas!$I$95*'Plan mensual'!L249+parametros_recargas!$J$95*'Plan mensual'!L250+parametros_recargas!$K$95*'Plan mensual'!L251+parametros_recargas!$L$95*'Plan mensual'!L252</f>
        <v>6.70243384287216</v>
      </c>
      <c r="K249" s="25" t="n">
        <f aca="false">parametros_recargas!$E$95*'Plan mensual'!M245+parametros_recargas!$F$95*'Plan mensual'!M246+parametros_recargas!$G$95*'Plan mensual'!M247+parametros_recargas!$H$95*'Plan mensual'!M248+parametros_recargas!$I$95*'Plan mensual'!M249+parametros_recargas!$J$95*'Plan mensual'!M250+parametros_recargas!$K$95*'Plan mensual'!M251+parametros_recargas!$L$95*'Plan mensual'!M252</f>
        <v>6.74225092049039</v>
      </c>
      <c r="L249" s="25" t="n">
        <f aca="false">parametros_recargas!$E$95*'Plan mensual'!N245+parametros_recargas!$F$95*'Plan mensual'!N246+parametros_recargas!$G$95*'Plan mensual'!N247+parametros_recargas!$H$95*'Plan mensual'!N248+parametros_recargas!$I$95*'Plan mensual'!N249+parametros_recargas!$J$95*'Plan mensual'!N250+parametros_recargas!$K$95*'Plan mensual'!N251+parametros_recargas!$L$95*'Plan mensual'!N252</f>
        <v>6.7823105709585</v>
      </c>
      <c r="M249" s="25" t="n">
        <f aca="false">parametros_recargas!$E$95*'Plan mensual'!O245+parametros_recargas!$F$95*'Plan mensual'!O246+parametros_recargas!$G$95*'Plan mensual'!O247+parametros_recargas!$H$95*'Plan mensual'!O248+parametros_recargas!$I$95*'Plan mensual'!O249+parametros_recargas!$J$95*'Plan mensual'!O250+parametros_recargas!$K$95*'Plan mensual'!O251+parametros_recargas!$L$95*'Plan mensual'!O252</f>
        <v>6.82261427207422</v>
      </c>
      <c r="N249" s="7" t="n">
        <f aca="false">SUM(B249:M249)</f>
        <v>79.2642936612456</v>
      </c>
      <c r="O249" s="26" t="n">
        <f aca="false">MAX(B249:M249)</f>
        <v>6.82261427207422</v>
      </c>
      <c r="P249" s="15" t="n">
        <f aca="false">O249/parametros_recargas!$B$6</f>
        <v>0.0454840951471615</v>
      </c>
    </row>
    <row r="250" customFormat="false" ht="15" hidden="false" customHeight="false" outlineLevel="0" collapsed="false">
      <c r="A250" s="12" t="str">
        <f aca="false">parametros_recargas!$B$96</f>
        <v>Control de peso (CO₂ y halogenados sin recarga)</v>
      </c>
      <c r="B250" s="25" t="n">
        <f aca="false">parametros_recargas!$E$96*'Plan mensual'!D245+parametros_recargas!$F$96*'Plan mensual'!D246+parametros_recargas!$G$96*'Plan mensual'!D247+parametros_recargas!$H$96*'Plan mensual'!D248+parametros_recargas!$I$96*'Plan mensual'!D249+parametros_recargas!$J$96*'Plan mensual'!D250+parametros_recargas!$K$96*'Plan mensual'!D251+parametros_recargas!$L$96*'Plan mensual'!D252</f>
        <v>455.933097977366</v>
      </c>
      <c r="C250" s="25" t="n">
        <f aca="false">parametros_recargas!$E$96*'Plan mensual'!E245+parametros_recargas!$F$96*'Plan mensual'!E246+parametros_recargas!$G$96*'Plan mensual'!E247+parametros_recargas!$H$96*'Plan mensual'!E248+parametros_recargas!$I$96*'Plan mensual'!E249+parametros_recargas!$J$96*'Plan mensual'!E250+parametros_recargas!$K$96*'Plan mensual'!E251+parametros_recargas!$L$96*'Plan mensual'!E252</f>
        <v>458.644421766151</v>
      </c>
      <c r="D250" s="25" t="n">
        <f aca="false">parametros_recargas!$E$96*'Plan mensual'!F245+parametros_recargas!$F$96*'Plan mensual'!F246+parametros_recargas!$G$96*'Plan mensual'!F247+parametros_recargas!$H$96*'Plan mensual'!F248+parametros_recargas!$I$96*'Plan mensual'!F249+parametros_recargas!$J$96*'Plan mensual'!F250+parametros_recargas!$K$96*'Plan mensual'!F251+parametros_recargas!$L$96*'Plan mensual'!F252</f>
        <v>461.372263430625</v>
      </c>
      <c r="E250" s="25" t="n">
        <f aca="false">parametros_recargas!$E$96*'Plan mensual'!G245+parametros_recargas!$F$96*'Plan mensual'!G246+parametros_recargas!$G$96*'Plan mensual'!G247+parametros_recargas!$H$96*'Plan mensual'!G248+parametros_recargas!$I$96*'Plan mensual'!G249+parametros_recargas!$J$96*'Plan mensual'!G250+parametros_recargas!$K$96*'Plan mensual'!G251+parametros_recargas!$L$96*'Plan mensual'!G252</f>
        <v>464.116723600678</v>
      </c>
      <c r="F250" s="25" t="n">
        <f aca="false">parametros_recargas!$E$96*'Plan mensual'!H245+parametros_recargas!$F$96*'Plan mensual'!H246+parametros_recargas!$G$96*'Plan mensual'!H247+parametros_recargas!$H$96*'Plan mensual'!H248+parametros_recargas!$I$96*'Plan mensual'!H249+parametros_recargas!$J$96*'Plan mensual'!H250+parametros_recargas!$K$96*'Plan mensual'!H251+parametros_recargas!$L$96*'Plan mensual'!H252</f>
        <v>466.877903519257</v>
      </c>
      <c r="G250" s="25" t="n">
        <f aca="false">parametros_recargas!$E$96*'Plan mensual'!I245+parametros_recargas!$F$96*'Plan mensual'!I246+parametros_recargas!$G$96*'Plan mensual'!I247+parametros_recargas!$H$96*'Plan mensual'!I248+parametros_recargas!$I$96*'Plan mensual'!I249+parametros_recargas!$J$96*'Plan mensual'!I250+parametros_recargas!$K$96*'Plan mensual'!I251+parametros_recargas!$L$96*'Plan mensual'!I252</f>
        <v>469.655905046099</v>
      </c>
      <c r="H250" s="25" t="n">
        <f aca="false">parametros_recargas!$E$96*'Plan mensual'!J245+parametros_recargas!$F$96*'Plan mensual'!J246+parametros_recargas!$G$96*'Plan mensual'!J247+parametros_recargas!$H$96*'Plan mensual'!J248+parametros_recargas!$I$96*'Plan mensual'!J249+parametros_recargas!$J$96*'Plan mensual'!J250+parametros_recargas!$K$96*'Plan mensual'!J251+parametros_recargas!$L$96*'Plan mensual'!J252</f>
        <v>472.450830661489</v>
      </c>
      <c r="I250" s="25" t="n">
        <f aca="false">parametros_recargas!$E$96*'Plan mensual'!K245+parametros_recargas!$F$96*'Plan mensual'!K246+parametros_recargas!$G$96*'Plan mensual'!K247+parametros_recargas!$H$96*'Plan mensual'!K248+parametros_recargas!$I$96*'Plan mensual'!K249+parametros_recargas!$J$96*'Plan mensual'!K250+parametros_recargas!$K$96*'Plan mensual'!K251+parametros_recargas!$L$96*'Plan mensual'!K252</f>
        <v>475.26278347004</v>
      </c>
      <c r="J250" s="25" t="n">
        <f aca="false">parametros_recargas!$E$96*'Plan mensual'!L245+parametros_recargas!$F$96*'Plan mensual'!L246+parametros_recargas!$G$96*'Plan mensual'!L247+parametros_recargas!$H$96*'Plan mensual'!L248+parametros_recargas!$I$96*'Plan mensual'!L249+parametros_recargas!$J$96*'Plan mensual'!L250+parametros_recargas!$K$96*'Plan mensual'!L251+parametros_recargas!$L$96*'Plan mensual'!L252</f>
        <v>478.091867204498</v>
      </c>
      <c r="K250" s="25" t="n">
        <f aca="false">parametros_recargas!$E$96*'Plan mensual'!M245+parametros_recargas!$F$96*'Plan mensual'!M246+parametros_recargas!$G$96*'Plan mensual'!M247+parametros_recargas!$H$96*'Plan mensual'!M248+parametros_recargas!$I$96*'Plan mensual'!M249+parametros_recargas!$J$96*'Plan mensual'!M250+parametros_recargas!$K$96*'Plan mensual'!M251+parametros_recargas!$L$96*'Plan mensual'!M252</f>
        <v>480.938186229565</v>
      </c>
      <c r="L250" s="25" t="n">
        <f aca="false">parametros_recargas!$E$96*'Plan mensual'!N245+parametros_recargas!$F$96*'Plan mensual'!N246+parametros_recargas!$G$96*'Plan mensual'!N247+parametros_recargas!$H$96*'Plan mensual'!N248+parametros_recargas!$I$96*'Plan mensual'!N249+parametros_recargas!$J$96*'Plan mensual'!N250+parametros_recargas!$K$96*'Plan mensual'!N251+parametros_recargas!$L$96*'Plan mensual'!N252</f>
        <v>483.801845545756</v>
      </c>
      <c r="M250" s="25" t="n">
        <f aca="false">parametros_recargas!$E$96*'Plan mensual'!O245+parametros_recargas!$F$96*'Plan mensual'!O246+parametros_recargas!$G$96*'Plan mensual'!O247+parametros_recargas!$H$96*'Plan mensual'!O248+parametros_recargas!$I$96*'Plan mensual'!O249+parametros_recargas!$J$96*'Plan mensual'!O250+parametros_recargas!$K$96*'Plan mensual'!O251+parametros_recargas!$L$96*'Plan mensual'!O252</f>
        <v>486.682950793265</v>
      </c>
      <c r="N250" s="7" t="n">
        <f aca="false">SUM(B250:M250)</f>
        <v>5653.82877924479</v>
      </c>
      <c r="O250" s="26" t="n">
        <f aca="false">MAX(B250:M250)</f>
        <v>486.682950793265</v>
      </c>
      <c r="P250" s="15" t="n">
        <f aca="false">O250/parametros_recargas!$B$6</f>
        <v>3.24455300528843</v>
      </c>
    </row>
    <row r="251" customFormat="false" ht="15" hidden="false" customHeight="false" outlineLevel="0" collapsed="false">
      <c r="A251" s="12" t="str">
        <f aca="false">parametros_recargas!$B$97</f>
        <v>Ensayo de pérdidas</v>
      </c>
      <c r="B251" s="25" t="n">
        <f aca="false">parametros_recargas!$E$97*'Plan mensual'!D245+parametros_recargas!$F$97*'Plan mensual'!D246+parametros_recargas!$G$97*'Plan mensual'!D247+parametros_recargas!$H$97*'Plan mensual'!D248+parametros_recargas!$I$97*'Plan mensual'!D249+parametros_recargas!$J$97*'Plan mensual'!D250+parametros_recargas!$K$97*'Plan mensual'!D251+parametros_recargas!$L$97*'Plan mensual'!D252</f>
        <v>7827.91148829634</v>
      </c>
      <c r="C251" s="25" t="n">
        <f aca="false">parametros_recargas!$E$97*'Plan mensual'!E245+parametros_recargas!$F$97*'Plan mensual'!E246+parametros_recargas!$G$97*'Plan mensual'!E247+parametros_recargas!$H$97*'Plan mensual'!E248+parametros_recargas!$I$97*'Plan mensual'!E249+parametros_recargas!$J$97*'Plan mensual'!E250+parametros_recargas!$K$97*'Plan mensual'!E251+parametros_recargas!$L$97*'Plan mensual'!E252</f>
        <v>7874.7674373682</v>
      </c>
      <c r="D251" s="25" t="n">
        <f aca="false">parametros_recargas!$E$97*'Plan mensual'!F245+parametros_recargas!$F$97*'Plan mensual'!F246+parametros_recargas!$G$97*'Plan mensual'!F247+parametros_recargas!$H$97*'Plan mensual'!F248+parametros_recargas!$I$97*'Plan mensual'!F249+parametros_recargas!$J$97*'Plan mensual'!F250+parametros_recargas!$K$97*'Plan mensual'!F251+parametros_recargas!$L$97*'Plan mensual'!F252</f>
        <v>7921.90884136996</v>
      </c>
      <c r="E251" s="25" t="n">
        <f aca="false">parametros_recargas!$E$97*'Plan mensual'!G245+parametros_recargas!$F$97*'Plan mensual'!G246+parametros_recargas!$G$97*'Plan mensual'!G247+parametros_recargas!$H$97*'Plan mensual'!G248+parametros_recargas!$I$97*'Plan mensual'!G249+parametros_recargas!$J$97*'Plan mensual'!G250+parametros_recargas!$K$97*'Plan mensual'!G251+parametros_recargas!$L$97*'Plan mensual'!G252</f>
        <v>7969.33743934474</v>
      </c>
      <c r="F251" s="25" t="n">
        <f aca="false">parametros_recargas!$E$97*'Plan mensual'!H245+parametros_recargas!$F$97*'Plan mensual'!H246+parametros_recargas!$G$97*'Plan mensual'!H247+parametros_recargas!$H$97*'Plan mensual'!H248+parametros_recargas!$I$97*'Plan mensual'!H249+parametros_recargas!$J$97*'Plan mensual'!H250+parametros_recargas!$K$97*'Plan mensual'!H251+parametros_recargas!$L$97*'Plan mensual'!H252</f>
        <v>8017.05498093028</v>
      </c>
      <c r="G251" s="25" t="n">
        <f aca="false">parametros_recargas!$E$97*'Plan mensual'!I245+parametros_recargas!$F$97*'Plan mensual'!I246+parametros_recargas!$G$97*'Plan mensual'!I247+parametros_recargas!$H$97*'Plan mensual'!I248+parametros_recargas!$I$97*'Plan mensual'!I249+parametros_recargas!$J$97*'Plan mensual'!I250+parametros_recargas!$K$97*'Plan mensual'!I251+parametros_recargas!$L$97*'Plan mensual'!I252</f>
        <v>8065.06322642338</v>
      </c>
      <c r="H251" s="25" t="n">
        <f aca="false">parametros_recargas!$E$97*'Plan mensual'!J245+parametros_recargas!$F$97*'Plan mensual'!J246+parametros_recargas!$G$97*'Plan mensual'!J247+parametros_recargas!$H$97*'Plan mensual'!J248+parametros_recargas!$I$97*'Plan mensual'!J249+parametros_recargas!$J$97*'Plan mensual'!J250+parametros_recargas!$K$97*'Plan mensual'!J251+parametros_recargas!$L$97*'Plan mensual'!J252</f>
        <v>8113.36394684491</v>
      </c>
      <c r="I251" s="25" t="n">
        <f aca="false">parametros_recargas!$E$97*'Plan mensual'!K245+parametros_recargas!$F$97*'Plan mensual'!K246+parametros_recargas!$G$97*'Plan mensual'!K247+parametros_recargas!$H$97*'Plan mensual'!K248+parametros_recargas!$I$97*'Plan mensual'!K249+parametros_recargas!$J$97*'Plan mensual'!K250+parametros_recargas!$K$97*'Plan mensual'!K251+parametros_recargas!$L$97*'Plan mensual'!K252</f>
        <v>8161.95892400512</v>
      </c>
      <c r="J251" s="25" t="n">
        <f aca="false">parametros_recargas!$E$97*'Plan mensual'!L245+parametros_recargas!$F$97*'Plan mensual'!L246+parametros_recargas!$G$97*'Plan mensual'!L247+parametros_recargas!$H$97*'Plan mensual'!L248+parametros_recargas!$I$97*'Plan mensual'!L249+parametros_recargas!$J$97*'Plan mensual'!L250+parametros_recargas!$K$97*'Plan mensual'!L251+parametros_recargas!$L$97*'Plan mensual'!L252</f>
        <v>8210.84995056937</v>
      </c>
      <c r="K251" s="25" t="n">
        <f aca="false">parametros_recargas!$E$97*'Plan mensual'!M245+parametros_recargas!$F$97*'Plan mensual'!M246+parametros_recargas!$G$97*'Plan mensual'!M247+parametros_recargas!$H$97*'Plan mensual'!M248+parametros_recargas!$I$97*'Plan mensual'!M249+parametros_recargas!$J$97*'Plan mensual'!M250+parametros_recargas!$K$97*'Plan mensual'!M251+parametros_recargas!$L$97*'Plan mensual'!M252</f>
        <v>8260.03883012426</v>
      </c>
      <c r="L251" s="25" t="n">
        <f aca="false">parametros_recargas!$E$97*'Plan mensual'!N245+parametros_recargas!$F$97*'Plan mensual'!N246+parametros_recargas!$G$97*'Plan mensual'!N247+parametros_recargas!$H$97*'Plan mensual'!N248+parametros_recargas!$I$97*'Plan mensual'!N249+parametros_recargas!$J$97*'Plan mensual'!N250+parametros_recargas!$K$97*'Plan mensual'!N251+parametros_recargas!$L$97*'Plan mensual'!N252</f>
        <v>8309.52737724416</v>
      </c>
      <c r="M251" s="25" t="n">
        <f aca="false">parametros_recargas!$E$97*'Plan mensual'!O245+parametros_recargas!$F$97*'Plan mensual'!O246+parametros_recargas!$G$97*'Plan mensual'!O247+parametros_recargas!$H$97*'Plan mensual'!O248+parametros_recargas!$I$97*'Plan mensual'!O249+parametros_recargas!$J$97*'Plan mensual'!O250+parametros_recargas!$K$97*'Plan mensual'!O251+parametros_recargas!$L$97*'Plan mensual'!O252</f>
        <v>8359.31741755817</v>
      </c>
      <c r="N251" s="7" t="n">
        <f aca="false">SUM(B251:M251)</f>
        <v>97091.0998600789</v>
      </c>
      <c r="O251" s="26" t="n">
        <f aca="false">MAX(B251:M251)</f>
        <v>8359.31741755817</v>
      </c>
      <c r="P251" s="15" t="n">
        <f aca="false">O251/parametros_recargas!$B$6</f>
        <v>55.7287827837211</v>
      </c>
    </row>
    <row r="252" customFormat="false" ht="15" hidden="false" customHeight="false" outlineLevel="0" collapsed="false">
      <c r="A252" s="12" t="str">
        <f aca="false">parametros_recargas!$B$98</f>
        <v>Precinto, etiqueta y despacho</v>
      </c>
      <c r="B252" s="25" t="n">
        <f aca="false">parametros_recargas!$E$98*'Plan mensual'!D245+parametros_recargas!$F$98*'Plan mensual'!D246+parametros_recargas!$G$98*'Plan mensual'!D247+parametros_recargas!$H$98*'Plan mensual'!D248+parametros_recargas!$I$98*'Plan mensual'!D249+parametros_recargas!$J$98*'Plan mensual'!D250+parametros_recargas!$K$98*'Plan mensual'!D251+parametros_recargas!$L$98*'Plan mensual'!D252</f>
        <v>7827.91148829634</v>
      </c>
      <c r="C252" s="25" t="n">
        <f aca="false">parametros_recargas!$E$98*'Plan mensual'!E245+parametros_recargas!$F$98*'Plan mensual'!E246+parametros_recargas!$G$98*'Plan mensual'!E247+parametros_recargas!$H$98*'Plan mensual'!E248+parametros_recargas!$I$98*'Plan mensual'!E249+parametros_recargas!$J$98*'Plan mensual'!E250+parametros_recargas!$K$98*'Plan mensual'!E251+parametros_recargas!$L$98*'Plan mensual'!E252</f>
        <v>7874.7674373682</v>
      </c>
      <c r="D252" s="25" t="n">
        <f aca="false">parametros_recargas!$E$98*'Plan mensual'!F245+parametros_recargas!$F$98*'Plan mensual'!F246+parametros_recargas!$G$98*'Plan mensual'!F247+parametros_recargas!$H$98*'Plan mensual'!F248+parametros_recargas!$I$98*'Plan mensual'!F249+parametros_recargas!$J$98*'Plan mensual'!F250+parametros_recargas!$K$98*'Plan mensual'!F251+parametros_recargas!$L$98*'Plan mensual'!F252</f>
        <v>7921.90884136996</v>
      </c>
      <c r="E252" s="25" t="n">
        <f aca="false">parametros_recargas!$E$98*'Plan mensual'!G245+parametros_recargas!$F$98*'Plan mensual'!G246+parametros_recargas!$G$98*'Plan mensual'!G247+parametros_recargas!$H$98*'Plan mensual'!G248+parametros_recargas!$I$98*'Plan mensual'!G249+parametros_recargas!$J$98*'Plan mensual'!G250+parametros_recargas!$K$98*'Plan mensual'!G251+parametros_recargas!$L$98*'Plan mensual'!G252</f>
        <v>7969.33743934474</v>
      </c>
      <c r="F252" s="25" t="n">
        <f aca="false">parametros_recargas!$E$98*'Plan mensual'!H245+parametros_recargas!$F$98*'Plan mensual'!H246+parametros_recargas!$G$98*'Plan mensual'!H247+parametros_recargas!$H$98*'Plan mensual'!H248+parametros_recargas!$I$98*'Plan mensual'!H249+parametros_recargas!$J$98*'Plan mensual'!H250+parametros_recargas!$K$98*'Plan mensual'!H251+parametros_recargas!$L$98*'Plan mensual'!H252</f>
        <v>8017.05498093028</v>
      </c>
      <c r="G252" s="25" t="n">
        <f aca="false">parametros_recargas!$E$98*'Plan mensual'!I245+parametros_recargas!$F$98*'Plan mensual'!I246+parametros_recargas!$G$98*'Plan mensual'!I247+parametros_recargas!$H$98*'Plan mensual'!I248+parametros_recargas!$I$98*'Plan mensual'!I249+parametros_recargas!$J$98*'Plan mensual'!I250+parametros_recargas!$K$98*'Plan mensual'!I251+parametros_recargas!$L$98*'Plan mensual'!I252</f>
        <v>8065.06322642338</v>
      </c>
      <c r="H252" s="25" t="n">
        <f aca="false">parametros_recargas!$E$98*'Plan mensual'!J245+parametros_recargas!$F$98*'Plan mensual'!J246+parametros_recargas!$G$98*'Plan mensual'!J247+parametros_recargas!$H$98*'Plan mensual'!J248+parametros_recargas!$I$98*'Plan mensual'!J249+parametros_recargas!$J$98*'Plan mensual'!J250+parametros_recargas!$K$98*'Plan mensual'!J251+parametros_recargas!$L$98*'Plan mensual'!J252</f>
        <v>8113.36394684491</v>
      </c>
      <c r="I252" s="25" t="n">
        <f aca="false">parametros_recargas!$E$98*'Plan mensual'!K245+parametros_recargas!$F$98*'Plan mensual'!K246+parametros_recargas!$G$98*'Plan mensual'!K247+parametros_recargas!$H$98*'Plan mensual'!K248+parametros_recargas!$I$98*'Plan mensual'!K249+parametros_recargas!$J$98*'Plan mensual'!K250+parametros_recargas!$K$98*'Plan mensual'!K251+parametros_recargas!$L$98*'Plan mensual'!K252</f>
        <v>8161.95892400512</v>
      </c>
      <c r="J252" s="25" t="n">
        <f aca="false">parametros_recargas!$E$98*'Plan mensual'!L245+parametros_recargas!$F$98*'Plan mensual'!L246+parametros_recargas!$G$98*'Plan mensual'!L247+parametros_recargas!$H$98*'Plan mensual'!L248+parametros_recargas!$I$98*'Plan mensual'!L249+parametros_recargas!$J$98*'Plan mensual'!L250+parametros_recargas!$K$98*'Plan mensual'!L251+parametros_recargas!$L$98*'Plan mensual'!L252</f>
        <v>8210.84995056937</v>
      </c>
      <c r="K252" s="25" t="n">
        <f aca="false">parametros_recargas!$E$98*'Plan mensual'!M245+parametros_recargas!$F$98*'Plan mensual'!M246+parametros_recargas!$G$98*'Plan mensual'!M247+parametros_recargas!$H$98*'Plan mensual'!M248+parametros_recargas!$I$98*'Plan mensual'!M249+parametros_recargas!$J$98*'Plan mensual'!M250+parametros_recargas!$K$98*'Plan mensual'!M251+parametros_recargas!$L$98*'Plan mensual'!M252</f>
        <v>8260.03883012426</v>
      </c>
      <c r="L252" s="25" t="n">
        <f aca="false">parametros_recargas!$E$98*'Plan mensual'!N245+parametros_recargas!$F$98*'Plan mensual'!N246+parametros_recargas!$G$98*'Plan mensual'!N247+parametros_recargas!$H$98*'Plan mensual'!N248+parametros_recargas!$I$98*'Plan mensual'!N249+parametros_recargas!$J$98*'Plan mensual'!N250+parametros_recargas!$K$98*'Plan mensual'!N251+parametros_recargas!$L$98*'Plan mensual'!N252</f>
        <v>8309.52737724416</v>
      </c>
      <c r="M252" s="25" t="n">
        <f aca="false">parametros_recargas!$E$98*'Plan mensual'!O245+parametros_recargas!$F$98*'Plan mensual'!O246+parametros_recargas!$G$98*'Plan mensual'!O247+parametros_recargas!$H$98*'Plan mensual'!O248+parametros_recargas!$I$98*'Plan mensual'!O249+parametros_recargas!$J$98*'Plan mensual'!O250+parametros_recargas!$K$98*'Plan mensual'!O251+parametros_recargas!$L$98*'Plan mensual'!O252</f>
        <v>8359.31741755817</v>
      </c>
      <c r="N252" s="7" t="n">
        <f aca="false">SUM(B252:M252)</f>
        <v>97091.0998600789</v>
      </c>
      <c r="O252" s="26" t="n">
        <f aca="false">MAX(B252:M252)</f>
        <v>8359.31741755817</v>
      </c>
      <c r="P252" s="15" t="n">
        <f aca="false">O252/parametros_recargas!$B$6</f>
        <v>55.7287827837211</v>
      </c>
    </row>
    <row r="253" customFormat="false" ht="15" hidden="false" customHeight="false" outlineLevel="0" collapsed="false">
      <c r="A253" s="12" t="str">
        <f aca="false">parametros_recargas!$B$99</f>
        <v>Inutilización y disposición final</v>
      </c>
      <c r="B253" s="25" t="n">
        <f aca="false">parametros_recargas!$E$99*'Plan mensual'!D245+parametros_recargas!$F$99*'Plan mensual'!D246+parametros_recargas!$G$99*'Plan mensual'!D247+parametros_recargas!$H$99*'Plan mensual'!D248+parametros_recargas!$I$99*'Plan mensual'!D249+parametros_recargas!$J$99*'Plan mensual'!D250+parametros_recargas!$K$99*'Plan mensual'!D251+parametros_recargas!$L$99*'Plan mensual'!D252</f>
        <v>615.833973071645</v>
      </c>
      <c r="C253" s="25" t="n">
        <f aca="false">parametros_recargas!$E$99*'Plan mensual'!E245+parametros_recargas!$F$99*'Plan mensual'!E246+parametros_recargas!$G$99*'Plan mensual'!E247+parametros_recargas!$H$99*'Plan mensual'!E248+parametros_recargas!$I$99*'Plan mensual'!E249+parametros_recargas!$J$99*'Plan mensual'!E250+parametros_recargas!$K$99*'Plan mensual'!E251+parametros_recargas!$L$99*'Plan mensual'!E252</f>
        <v>619.520602857162</v>
      </c>
      <c r="D253" s="25" t="n">
        <f aca="false">parametros_recargas!$E$99*'Plan mensual'!F245+parametros_recargas!$F$99*'Plan mensual'!F246+parametros_recargas!$G$99*'Plan mensual'!F247+parametros_recargas!$H$99*'Plan mensual'!F248+parametros_recargas!$I$99*'Plan mensual'!F249+parametros_recargas!$J$99*'Plan mensual'!F250+parametros_recargas!$K$99*'Plan mensual'!F251+parametros_recargas!$L$99*'Plan mensual'!F252</f>
        <v>623.22969225918</v>
      </c>
      <c r="E253" s="25" t="n">
        <f aca="false">parametros_recargas!$E$99*'Plan mensual'!G245+parametros_recargas!$F$99*'Plan mensual'!G246+parametros_recargas!$G$99*'Plan mensual'!G247+parametros_recargas!$H$99*'Plan mensual'!G248+parametros_recargas!$I$99*'Plan mensual'!G249+parametros_recargas!$J$99*'Plan mensual'!G250+parametros_recargas!$K$99*'Plan mensual'!G251+parametros_recargas!$L$99*'Plan mensual'!G252</f>
        <v>626.961378105752</v>
      </c>
      <c r="F253" s="25" t="n">
        <f aca="false">parametros_recargas!$E$99*'Plan mensual'!H245+parametros_recargas!$F$99*'Plan mensual'!H246+parametros_recargas!$G$99*'Plan mensual'!H247+parametros_recargas!$H$99*'Plan mensual'!H248+parametros_recargas!$I$99*'Plan mensual'!H249+parametros_recargas!$J$99*'Plan mensual'!H250+parametros_recargas!$K$99*'Plan mensual'!H251+parametros_recargas!$L$99*'Plan mensual'!H252</f>
        <v>630.715798058512</v>
      </c>
      <c r="G253" s="25" t="n">
        <f aca="false">parametros_recargas!$E$99*'Plan mensual'!I245+parametros_recargas!$F$99*'Plan mensual'!I246+parametros_recargas!$G$99*'Plan mensual'!I247+parametros_recargas!$H$99*'Plan mensual'!I248+parametros_recargas!$I$99*'Plan mensual'!I249+parametros_recargas!$J$99*'Plan mensual'!I250+parametros_recargas!$K$99*'Plan mensual'!I251+parametros_recargas!$L$99*'Plan mensual'!I252</f>
        <v>634.493090617752</v>
      </c>
      <c r="H253" s="25" t="n">
        <f aca="false">parametros_recargas!$E$99*'Plan mensual'!J245+parametros_recargas!$F$99*'Plan mensual'!J246+parametros_recargas!$G$99*'Plan mensual'!J247+parametros_recargas!$H$99*'Plan mensual'!J248+parametros_recargas!$I$99*'Plan mensual'!J249+parametros_recargas!$J$99*'Plan mensual'!J250+parametros_recargas!$K$99*'Plan mensual'!J251+parametros_recargas!$L$99*'Plan mensual'!J252</f>
        <v>638.293395127535</v>
      </c>
      <c r="I253" s="25" t="n">
        <f aca="false">parametros_recargas!$E$99*'Plan mensual'!K245+parametros_recargas!$F$99*'Plan mensual'!K246+parametros_recargas!$G$99*'Plan mensual'!K247+parametros_recargas!$H$99*'Plan mensual'!K248+parametros_recargas!$I$99*'Plan mensual'!K249+parametros_recargas!$J$99*'Plan mensual'!K250+parametros_recargas!$K$99*'Plan mensual'!K251+parametros_recargas!$L$99*'Plan mensual'!K252</f>
        <v>642.116851780832</v>
      </c>
      <c r="J253" s="25" t="n">
        <f aca="false">parametros_recargas!$E$99*'Plan mensual'!L245+parametros_recargas!$F$99*'Plan mensual'!L246+parametros_recargas!$G$99*'Plan mensual'!L247+parametros_recargas!$H$99*'Plan mensual'!L248+parametros_recargas!$I$99*'Plan mensual'!L249+parametros_recargas!$J$99*'Plan mensual'!L250+parametros_recargas!$K$99*'Plan mensual'!L251+parametros_recargas!$L$99*'Plan mensual'!L252</f>
        <v>645.963601624695</v>
      </c>
      <c r="K253" s="25" t="n">
        <f aca="false">parametros_recargas!$E$99*'Plan mensual'!M245+parametros_recargas!$F$99*'Plan mensual'!M246+parametros_recargas!$G$99*'Plan mensual'!M247+parametros_recargas!$H$99*'Plan mensual'!M248+parametros_recargas!$I$99*'Plan mensual'!M249+parametros_recargas!$J$99*'Plan mensual'!M250+parametros_recargas!$K$99*'Plan mensual'!M251+parametros_recargas!$L$99*'Plan mensual'!M252</f>
        <v>649.833786565462</v>
      </c>
      <c r="L253" s="25" t="n">
        <f aca="false">parametros_recargas!$E$99*'Plan mensual'!N245+parametros_recargas!$F$99*'Plan mensual'!N246+parametros_recargas!$G$99*'Plan mensual'!N247+parametros_recargas!$H$99*'Plan mensual'!N248+parametros_recargas!$I$99*'Plan mensual'!N249+parametros_recargas!$J$99*'Plan mensual'!N250+parametros_recargas!$K$99*'Plan mensual'!N251+parametros_recargas!$L$99*'Plan mensual'!N252</f>
        <v>653.727549373988</v>
      </c>
      <c r="M253" s="25" t="n">
        <f aca="false">parametros_recargas!$E$99*'Plan mensual'!O245+parametros_recargas!$F$99*'Plan mensual'!O246+parametros_recargas!$G$99*'Plan mensual'!O247+parametros_recargas!$H$99*'Plan mensual'!O248+parametros_recargas!$I$99*'Plan mensual'!O249+parametros_recargas!$J$99*'Plan mensual'!O250+parametros_recargas!$K$99*'Plan mensual'!O251+parametros_recargas!$L$99*'Plan mensual'!O252</f>
        <v>657.645033690914</v>
      </c>
      <c r="N253" s="7" t="n">
        <f aca="false">SUM(B253:M253)</f>
        <v>7638.33475313343</v>
      </c>
      <c r="O253" s="26" t="n">
        <f aca="false">MAX(B253:M253)</f>
        <v>657.645033690914</v>
      </c>
      <c r="P253" s="15" t="n">
        <f aca="false">O253/parametros_recargas!$B$6</f>
        <v>4.3843002246061</v>
      </c>
    </row>
    <row r="254" customFormat="false" ht="15" hidden="false" customHeight="false" outlineLevel="0" collapsed="false">
      <c r="A254" s="12" t="str">
        <f aca="false">parametros_recargas!$B$100</f>
        <v>PH de mangueras (CO₂ y rodantes)</v>
      </c>
      <c r="B254" s="25" t="n">
        <f aca="false">'Plan mensual'!D253</f>
        <v>271.404771872541</v>
      </c>
      <c r="C254" s="25" t="n">
        <f aca="false">'Plan mensual'!E253</f>
        <v>272.943990512227</v>
      </c>
      <c r="D254" s="25" t="n">
        <f aca="false">'Plan mensual'!F253</f>
        <v>274.492586350702</v>
      </c>
      <c r="E254" s="25" t="n">
        <f aca="false">'Plan mensual'!G253</f>
        <v>276.050616515559</v>
      </c>
      <c r="F254" s="25" t="n">
        <f aca="false">'Plan mensual'!H253</f>
        <v>277.618138482425</v>
      </c>
      <c r="G254" s="25" t="n">
        <f aca="false">'Plan mensual'!I253</f>
        <v>279.195210077075</v>
      </c>
      <c r="H254" s="25" t="n">
        <f aca="false">'Plan mensual'!J253</f>
        <v>280.781889477573</v>
      </c>
      <c r="I254" s="25" t="n">
        <f aca="false">'Plan mensual'!K253</f>
        <v>282.378235216412</v>
      </c>
      <c r="J254" s="25" t="n">
        <f aca="false">'Plan mensual'!L253</f>
        <v>283.984306182676</v>
      </c>
      <c r="K254" s="25" t="n">
        <f aca="false">'Plan mensual'!M253</f>
        <v>285.600161624213</v>
      </c>
      <c r="L254" s="25" t="n">
        <f aca="false">'Plan mensual'!N253</f>
        <v>287.225861149819</v>
      </c>
      <c r="M254" s="25" t="n">
        <f aca="false">'Plan mensual'!O253</f>
        <v>288.861464731438</v>
      </c>
      <c r="N254" s="7" t="n">
        <f aca="false">SUM(B254:M254)</f>
        <v>3360.53723219266</v>
      </c>
      <c r="O254" s="26" t="n">
        <f aca="false">MAX(B254:M254)</f>
        <v>288.861464731438</v>
      </c>
      <c r="P254" s="15" t="n">
        <f aca="false">O254/parametros_recargas!$B$6</f>
        <v>1.92574309820958</v>
      </c>
    </row>
    <row r="257" customFormat="false" ht="23.85" hidden="false" customHeight="false" outlineLevel="0" collapsed="false">
      <c r="A257" s="3" t="s">
        <v>287</v>
      </c>
      <c r="B257" s="3" t="s">
        <v>124</v>
      </c>
      <c r="C257" s="3" t="s">
        <v>125</v>
      </c>
      <c r="D257" s="3" t="s">
        <v>126</v>
      </c>
      <c r="E257" s="3" t="s">
        <v>127</v>
      </c>
      <c r="F257" s="3" t="s">
        <v>128</v>
      </c>
      <c r="G257" s="3" t="s">
        <v>129</v>
      </c>
      <c r="H257" s="3" t="s">
        <v>130</v>
      </c>
      <c r="I257" s="3" t="s">
        <v>131</v>
      </c>
      <c r="J257" s="3" t="s">
        <v>132</v>
      </c>
      <c r="K257" s="3" t="s">
        <v>133</v>
      </c>
      <c r="L257" s="3" t="s">
        <v>134</v>
      </c>
      <c r="M257" s="3" t="s">
        <v>135</v>
      </c>
      <c r="N257" s="3" t="s">
        <v>277</v>
      </c>
      <c r="O257" s="3" t="s">
        <v>278</v>
      </c>
      <c r="P257" s="3" t="s">
        <v>279</v>
      </c>
    </row>
    <row r="258" customFormat="false" ht="15" hidden="false" customHeight="false" outlineLevel="0" collapsed="false">
      <c r="A258" s="12" t="str">
        <f aca="false">parametros_recargas!$B$72</f>
        <v>Recepción y registro</v>
      </c>
      <c r="B258" s="25" t="n">
        <f aca="false">parametros_recargas!$E$72*'Plan mensual'!D277+parametros_recargas!$F$72*'Plan mensual'!D278+parametros_recargas!$G$72*'Plan mensual'!D279+parametros_recargas!$H$72*'Plan mensual'!D280+parametros_recargas!$I$72*'Plan mensual'!D281+parametros_recargas!$J$72*'Plan mensual'!D282+parametros_recargas!$K$72*'Plan mensual'!D283+parametros_recargas!$L$72*'Plan mensual'!D284</f>
        <v>8491.51608257794</v>
      </c>
      <c r="C258" s="25" t="n">
        <f aca="false">parametros_recargas!$E$72*'Plan mensual'!E277+parametros_recargas!$F$72*'Plan mensual'!E278+parametros_recargas!$G$72*'Plan mensual'!E279+parametros_recargas!$H$72*'Plan mensual'!E280+parametros_recargas!$I$72*'Plan mensual'!E281+parametros_recargas!$J$72*'Plan mensual'!E282+parametros_recargas!$K$72*'Plan mensual'!E283+parametros_recargas!$L$72*'Plan mensual'!E284</f>
        <v>8539.52685656779</v>
      </c>
      <c r="D258" s="25" t="n">
        <f aca="false">parametros_recargas!$E$72*'Plan mensual'!F277+parametros_recargas!$F$72*'Plan mensual'!F278+parametros_recargas!$G$72*'Plan mensual'!F279+parametros_recargas!$H$72*'Plan mensual'!F280+parametros_recargas!$I$72*'Plan mensual'!F281+parametros_recargas!$J$72*'Plan mensual'!F282+parametros_recargas!$K$72*'Plan mensual'!F283+parametros_recargas!$L$72*'Plan mensual'!F284</f>
        <v>8587.81573592016</v>
      </c>
      <c r="E258" s="25" t="n">
        <f aca="false">parametros_recargas!$E$72*'Plan mensual'!G277+parametros_recargas!$F$72*'Plan mensual'!G278+parametros_recargas!$G$72*'Plan mensual'!G279+parametros_recargas!$H$72*'Plan mensual'!G280+parametros_recargas!$I$72*'Plan mensual'!G281+parametros_recargas!$J$72*'Plan mensual'!G282+parametros_recargas!$K$72*'Plan mensual'!G283+parametros_recargas!$L$72*'Plan mensual'!G284</f>
        <v>8636.3843315775</v>
      </c>
      <c r="F258" s="25" t="n">
        <f aca="false">parametros_recargas!$E$72*'Plan mensual'!H277+parametros_recargas!$F$72*'Plan mensual'!H278+parametros_recargas!$G$72*'Plan mensual'!H279+parametros_recargas!$H$72*'Plan mensual'!H280+parametros_recargas!$I$72*'Plan mensual'!H281+parametros_recargas!$J$72*'Plan mensual'!H282+parametros_recargas!$K$72*'Plan mensual'!H283+parametros_recargas!$L$72*'Plan mensual'!H284</f>
        <v>8685.23426381369</v>
      </c>
      <c r="G258" s="25" t="n">
        <f aca="false">parametros_recargas!$E$72*'Plan mensual'!I277+parametros_recargas!$F$72*'Plan mensual'!I278+parametros_recargas!$G$72*'Plan mensual'!I279+parametros_recargas!$H$72*'Plan mensual'!I280+parametros_recargas!$I$72*'Plan mensual'!I281+parametros_recargas!$J$72*'Plan mensual'!I282+parametros_recargas!$K$72*'Plan mensual'!I283+parametros_recargas!$L$72*'Plan mensual'!I284</f>
        <v>8734.3671622882</v>
      </c>
      <c r="H258" s="25" t="n">
        <f aca="false">parametros_recargas!$E$72*'Plan mensual'!J277+parametros_recargas!$F$72*'Plan mensual'!J278+parametros_recargas!$G$72*'Plan mensual'!J279+parametros_recargas!$H$72*'Plan mensual'!J280+parametros_recargas!$I$72*'Plan mensual'!J281+parametros_recargas!$J$72*'Plan mensual'!J282+parametros_recargas!$K$72*'Plan mensual'!J283+parametros_recargas!$L$72*'Plan mensual'!J284</f>
        <v>8783.78466610037</v>
      </c>
      <c r="I258" s="25" t="n">
        <f aca="false">parametros_recargas!$E$72*'Plan mensual'!K277+parametros_recargas!$F$72*'Plan mensual'!K278+parametros_recargas!$G$72*'Plan mensual'!K279+parametros_recargas!$H$72*'Plan mensual'!K280+parametros_recargas!$I$72*'Plan mensual'!K281+parametros_recargas!$J$72*'Plan mensual'!K282+parametros_recargas!$K$72*'Plan mensual'!K283+parametros_recargas!$L$72*'Plan mensual'!K284</f>
        <v>8833.48842384412</v>
      </c>
      <c r="J258" s="25" t="n">
        <f aca="false">parametros_recargas!$E$72*'Plan mensual'!L277+parametros_recargas!$F$72*'Plan mensual'!L278+parametros_recargas!$G$72*'Plan mensual'!L279+parametros_recargas!$H$72*'Plan mensual'!L280+parametros_recargas!$I$72*'Plan mensual'!L281+parametros_recargas!$J$72*'Plan mensual'!L282+parametros_recargas!$K$72*'Plan mensual'!L283+parametros_recargas!$L$72*'Plan mensual'!L284</f>
        <v>8883.48009366297</v>
      </c>
      <c r="K258" s="25" t="n">
        <f aca="false">parametros_recargas!$E$72*'Plan mensual'!M277+parametros_recargas!$F$72*'Plan mensual'!M278+parametros_recargas!$G$72*'Plan mensual'!M279+parametros_recargas!$H$72*'Plan mensual'!M280+parametros_recargas!$I$72*'Plan mensual'!M281+parametros_recargas!$J$72*'Plan mensual'!M282+parametros_recargas!$K$72*'Plan mensual'!M283+parametros_recargas!$L$72*'Plan mensual'!M284</f>
        <v>8933.76134330533</v>
      </c>
      <c r="L258" s="25" t="n">
        <f aca="false">parametros_recargas!$E$72*'Plan mensual'!N277+parametros_recargas!$F$72*'Plan mensual'!N278+parametros_recargas!$G$72*'Plan mensual'!N279+parametros_recargas!$H$72*'Plan mensual'!N280+parametros_recargas!$I$72*'Plan mensual'!N281+parametros_recargas!$J$72*'Plan mensual'!N282+parametros_recargas!$K$72*'Plan mensual'!N283+parametros_recargas!$L$72*'Plan mensual'!N284</f>
        <v>8984.33385018014</v>
      </c>
      <c r="M258" s="25" t="n">
        <f aca="false">parametros_recargas!$E$72*'Plan mensual'!O277+parametros_recargas!$F$72*'Plan mensual'!O278+parametros_recargas!$G$72*'Plan mensual'!O279+parametros_recargas!$H$72*'Plan mensual'!O280+parametros_recargas!$I$72*'Plan mensual'!O281+parametros_recargas!$J$72*'Plan mensual'!O282+parametros_recargas!$K$72*'Plan mensual'!O283+parametros_recargas!$L$72*'Plan mensual'!O284</f>
        <v>9035.19930141285</v>
      </c>
      <c r="N258" s="7" t="n">
        <f aca="false">SUM(B258:M258)</f>
        <v>105128.892111251</v>
      </c>
      <c r="O258" s="26" t="n">
        <f aca="false">MAX(B258:M258)</f>
        <v>9035.19930141285</v>
      </c>
      <c r="P258" s="15" t="n">
        <f aca="false">O258/parametros_recargas!$B$6</f>
        <v>60.234662009419</v>
      </c>
    </row>
    <row r="259" customFormat="false" ht="15" hidden="false" customHeight="false" outlineLevel="0" collapsed="false">
      <c r="A259" s="12" t="str">
        <f aca="false">parametros_recargas!$B$73</f>
        <v>Inspección visual</v>
      </c>
      <c r="B259" s="25" t="n">
        <f aca="false">parametros_recargas!$E$73*'Plan mensual'!D277+parametros_recargas!$F$73*'Plan mensual'!D278+parametros_recargas!$G$73*'Plan mensual'!D279+parametros_recargas!$H$73*'Plan mensual'!D280+parametros_recargas!$I$73*'Plan mensual'!D281+parametros_recargas!$J$73*'Plan mensual'!D282+parametros_recargas!$K$73*'Plan mensual'!D283+parametros_recargas!$L$73*'Plan mensual'!D284</f>
        <v>8491.51608257794</v>
      </c>
      <c r="C259" s="25" t="n">
        <f aca="false">parametros_recargas!$E$73*'Plan mensual'!E277+parametros_recargas!$F$73*'Plan mensual'!E278+parametros_recargas!$G$73*'Plan mensual'!E279+parametros_recargas!$H$73*'Plan mensual'!E280+parametros_recargas!$I$73*'Plan mensual'!E281+parametros_recargas!$J$73*'Plan mensual'!E282+parametros_recargas!$K$73*'Plan mensual'!E283+parametros_recargas!$L$73*'Plan mensual'!E284</f>
        <v>8539.52685656779</v>
      </c>
      <c r="D259" s="25" t="n">
        <f aca="false">parametros_recargas!$E$73*'Plan mensual'!F277+parametros_recargas!$F$73*'Plan mensual'!F278+parametros_recargas!$G$73*'Plan mensual'!F279+parametros_recargas!$H$73*'Plan mensual'!F280+parametros_recargas!$I$73*'Plan mensual'!F281+parametros_recargas!$J$73*'Plan mensual'!F282+parametros_recargas!$K$73*'Plan mensual'!F283+parametros_recargas!$L$73*'Plan mensual'!F284</f>
        <v>8587.81573592016</v>
      </c>
      <c r="E259" s="25" t="n">
        <f aca="false">parametros_recargas!$E$73*'Plan mensual'!G277+parametros_recargas!$F$73*'Plan mensual'!G278+parametros_recargas!$G$73*'Plan mensual'!G279+parametros_recargas!$H$73*'Plan mensual'!G280+parametros_recargas!$I$73*'Plan mensual'!G281+parametros_recargas!$J$73*'Plan mensual'!G282+parametros_recargas!$K$73*'Plan mensual'!G283+parametros_recargas!$L$73*'Plan mensual'!G284</f>
        <v>8636.3843315775</v>
      </c>
      <c r="F259" s="25" t="n">
        <f aca="false">parametros_recargas!$E$73*'Plan mensual'!H277+parametros_recargas!$F$73*'Plan mensual'!H278+parametros_recargas!$G$73*'Plan mensual'!H279+parametros_recargas!$H$73*'Plan mensual'!H280+parametros_recargas!$I$73*'Plan mensual'!H281+parametros_recargas!$J$73*'Plan mensual'!H282+parametros_recargas!$K$73*'Plan mensual'!H283+parametros_recargas!$L$73*'Plan mensual'!H284</f>
        <v>8685.23426381369</v>
      </c>
      <c r="G259" s="25" t="n">
        <f aca="false">parametros_recargas!$E$73*'Plan mensual'!I277+parametros_recargas!$F$73*'Plan mensual'!I278+parametros_recargas!$G$73*'Plan mensual'!I279+parametros_recargas!$H$73*'Plan mensual'!I280+parametros_recargas!$I$73*'Plan mensual'!I281+parametros_recargas!$J$73*'Plan mensual'!I282+parametros_recargas!$K$73*'Plan mensual'!I283+parametros_recargas!$L$73*'Plan mensual'!I284</f>
        <v>8734.3671622882</v>
      </c>
      <c r="H259" s="25" t="n">
        <f aca="false">parametros_recargas!$E$73*'Plan mensual'!J277+parametros_recargas!$F$73*'Plan mensual'!J278+parametros_recargas!$G$73*'Plan mensual'!J279+parametros_recargas!$H$73*'Plan mensual'!J280+parametros_recargas!$I$73*'Plan mensual'!J281+parametros_recargas!$J$73*'Plan mensual'!J282+parametros_recargas!$K$73*'Plan mensual'!J283+parametros_recargas!$L$73*'Plan mensual'!J284</f>
        <v>8783.78466610037</v>
      </c>
      <c r="I259" s="25" t="n">
        <f aca="false">parametros_recargas!$E$73*'Plan mensual'!K277+parametros_recargas!$F$73*'Plan mensual'!K278+parametros_recargas!$G$73*'Plan mensual'!K279+parametros_recargas!$H$73*'Plan mensual'!K280+parametros_recargas!$I$73*'Plan mensual'!K281+parametros_recargas!$J$73*'Plan mensual'!K282+parametros_recargas!$K$73*'Plan mensual'!K283+parametros_recargas!$L$73*'Plan mensual'!K284</f>
        <v>8833.48842384412</v>
      </c>
      <c r="J259" s="25" t="n">
        <f aca="false">parametros_recargas!$E$73*'Plan mensual'!L277+parametros_recargas!$F$73*'Plan mensual'!L278+parametros_recargas!$G$73*'Plan mensual'!L279+parametros_recargas!$H$73*'Plan mensual'!L280+parametros_recargas!$I$73*'Plan mensual'!L281+parametros_recargas!$J$73*'Plan mensual'!L282+parametros_recargas!$K$73*'Plan mensual'!L283+parametros_recargas!$L$73*'Plan mensual'!L284</f>
        <v>8883.48009366297</v>
      </c>
      <c r="K259" s="25" t="n">
        <f aca="false">parametros_recargas!$E$73*'Plan mensual'!M277+parametros_recargas!$F$73*'Plan mensual'!M278+parametros_recargas!$G$73*'Plan mensual'!M279+parametros_recargas!$H$73*'Plan mensual'!M280+parametros_recargas!$I$73*'Plan mensual'!M281+parametros_recargas!$J$73*'Plan mensual'!M282+parametros_recargas!$K$73*'Plan mensual'!M283+parametros_recargas!$L$73*'Plan mensual'!M284</f>
        <v>8933.76134330533</v>
      </c>
      <c r="L259" s="25" t="n">
        <f aca="false">parametros_recargas!$E$73*'Plan mensual'!N277+parametros_recargas!$F$73*'Plan mensual'!N278+parametros_recargas!$G$73*'Plan mensual'!N279+parametros_recargas!$H$73*'Plan mensual'!N280+parametros_recargas!$I$73*'Plan mensual'!N281+parametros_recargas!$J$73*'Plan mensual'!N282+parametros_recargas!$K$73*'Plan mensual'!N283+parametros_recargas!$L$73*'Plan mensual'!N284</f>
        <v>8984.33385018014</v>
      </c>
      <c r="M259" s="25" t="n">
        <f aca="false">parametros_recargas!$E$73*'Plan mensual'!O277+parametros_recargas!$F$73*'Plan mensual'!O278+parametros_recargas!$G$73*'Plan mensual'!O279+parametros_recargas!$H$73*'Plan mensual'!O280+parametros_recargas!$I$73*'Plan mensual'!O281+parametros_recargas!$J$73*'Plan mensual'!O282+parametros_recargas!$K$73*'Plan mensual'!O283+parametros_recargas!$L$73*'Plan mensual'!O284</f>
        <v>9035.19930141285</v>
      </c>
      <c r="N259" s="7" t="n">
        <f aca="false">SUM(B259:M259)</f>
        <v>105128.892111251</v>
      </c>
      <c r="O259" s="26" t="n">
        <f aca="false">MAX(B259:M259)</f>
        <v>9035.19930141285</v>
      </c>
      <c r="P259" s="15" t="n">
        <f aca="false">O259/parametros_recargas!$B$6</f>
        <v>60.234662009419</v>
      </c>
    </row>
    <row r="260" customFormat="false" ht="15" hidden="false" customHeight="false" outlineLevel="0" collapsed="false">
      <c r="A260" s="12" t="str">
        <f aca="false">parametros_recargas!$B$74</f>
        <v>Descarga ABC — ruta recuperable</v>
      </c>
      <c r="B260" s="25" t="n">
        <f aca="false">parametros_recargas!$E$74*'Plan mensual'!D277+parametros_recargas!$F$74*'Plan mensual'!D278+parametros_recargas!$G$74*'Plan mensual'!D279+parametros_recargas!$H$74*'Plan mensual'!D280+parametros_recargas!$I$74*'Plan mensual'!D281+parametros_recargas!$J$74*'Plan mensual'!D282+parametros_recargas!$K$74*'Plan mensual'!D283+parametros_recargas!$L$74*'Plan mensual'!D284</f>
        <v>6276.68135824759</v>
      </c>
      <c r="C260" s="25" t="n">
        <f aca="false">parametros_recargas!$E$74*'Plan mensual'!E277+parametros_recargas!$F$74*'Plan mensual'!E278+parametros_recargas!$G$74*'Plan mensual'!E279+parametros_recargas!$H$74*'Plan mensual'!E280+parametros_recargas!$I$74*'Plan mensual'!E281+parametros_recargas!$J$74*'Plan mensual'!E282+parametros_recargas!$K$74*'Plan mensual'!E283+parametros_recargas!$L$74*'Plan mensual'!E284</f>
        <v>6312.23398968625</v>
      </c>
      <c r="D260" s="25" t="n">
        <f aca="false">parametros_recargas!$E$74*'Plan mensual'!F277+parametros_recargas!$F$74*'Plan mensual'!F278+parametros_recargas!$G$74*'Plan mensual'!F279+parametros_recargas!$H$74*'Plan mensual'!F280+parametros_recargas!$I$74*'Plan mensual'!F281+parametros_recargas!$J$74*'Plan mensual'!F282+parametros_recargas!$K$74*'Plan mensual'!F283+parametros_recargas!$L$74*'Plan mensual'!F284</f>
        <v>6347.99256193014</v>
      </c>
      <c r="E260" s="25" t="n">
        <f aca="false">parametros_recargas!$E$74*'Plan mensual'!G277+parametros_recargas!$F$74*'Plan mensual'!G278+parametros_recargas!$G$74*'Plan mensual'!G279+parametros_recargas!$H$74*'Plan mensual'!G280+parametros_recargas!$I$74*'Plan mensual'!G281+parametros_recargas!$J$74*'Plan mensual'!G282+parametros_recargas!$K$74*'Plan mensual'!G283+parametros_recargas!$L$74*'Plan mensual'!G284</f>
        <v>6383.95826790404</v>
      </c>
      <c r="F260" s="25" t="n">
        <f aca="false">parametros_recargas!$E$74*'Plan mensual'!H277+parametros_recargas!$F$74*'Plan mensual'!H278+parametros_recargas!$G$74*'Plan mensual'!H279+parametros_recargas!$H$74*'Plan mensual'!H280+parametros_recargas!$I$74*'Plan mensual'!H281+parametros_recargas!$J$74*'Plan mensual'!H282+parametros_recargas!$K$74*'Plan mensual'!H283+parametros_recargas!$L$74*'Plan mensual'!H284</f>
        <v>6420.13230744284</v>
      </c>
      <c r="G260" s="25" t="n">
        <f aca="false">parametros_recargas!$E$74*'Plan mensual'!I277+parametros_recargas!$F$74*'Plan mensual'!I278+parametros_recargas!$G$74*'Plan mensual'!I279+parametros_recargas!$H$74*'Plan mensual'!I280+parametros_recargas!$I$74*'Plan mensual'!I281+parametros_recargas!$J$74*'Plan mensual'!I282+parametros_recargas!$K$74*'Plan mensual'!I283+parametros_recargas!$L$74*'Plan mensual'!I284</f>
        <v>6456.51588733153</v>
      </c>
      <c r="H260" s="25" t="n">
        <f aca="false">parametros_recargas!$E$74*'Plan mensual'!J277+parametros_recargas!$F$74*'Plan mensual'!J278+parametros_recargas!$G$74*'Plan mensual'!J279+parametros_recargas!$H$74*'Plan mensual'!J280+parametros_recargas!$I$74*'Plan mensual'!J281+parametros_recargas!$J$74*'Plan mensual'!J282+parametros_recargas!$K$74*'Plan mensual'!J283+parametros_recargas!$L$74*'Plan mensual'!J284</f>
        <v>6493.11022134547</v>
      </c>
      <c r="I260" s="25" t="n">
        <f aca="false">parametros_recargas!$E$74*'Plan mensual'!K277+parametros_recargas!$F$74*'Plan mensual'!K278+parametros_recargas!$G$74*'Plan mensual'!K279+parametros_recargas!$H$74*'Plan mensual'!K280+parametros_recargas!$I$74*'Plan mensual'!K281+parametros_recargas!$J$74*'Plan mensual'!K282+parametros_recargas!$K$74*'Plan mensual'!K283+parametros_recargas!$L$74*'Plan mensual'!K284</f>
        <v>6529.91653029091</v>
      </c>
      <c r="J260" s="25" t="n">
        <f aca="false">parametros_recargas!$E$74*'Plan mensual'!L277+parametros_recargas!$F$74*'Plan mensual'!L278+parametros_recargas!$G$74*'Plan mensual'!L279+parametros_recargas!$H$74*'Plan mensual'!L280+parametros_recargas!$I$74*'Plan mensual'!L281+parametros_recargas!$J$74*'Plan mensual'!L282+parametros_recargas!$K$74*'Plan mensual'!L283+parametros_recargas!$L$74*'Plan mensual'!L284</f>
        <v>6566.93604204568</v>
      </c>
      <c r="K260" s="25" t="n">
        <f aca="false">parametros_recargas!$E$74*'Plan mensual'!M277+parametros_recargas!$F$74*'Plan mensual'!M278+parametros_recargas!$G$74*'Plan mensual'!M279+parametros_recargas!$H$74*'Plan mensual'!M280+parametros_recargas!$I$74*'Plan mensual'!M281+parametros_recargas!$J$74*'Plan mensual'!M282+parametros_recargas!$K$74*'Plan mensual'!M283+parametros_recargas!$L$74*'Plan mensual'!M284</f>
        <v>6604.16999160017</v>
      </c>
      <c r="L260" s="25" t="n">
        <f aca="false">parametros_recargas!$E$74*'Plan mensual'!N277+parametros_recargas!$F$74*'Plan mensual'!N278+parametros_recargas!$G$74*'Plan mensual'!N279+parametros_recargas!$H$74*'Plan mensual'!N280+parametros_recargas!$I$74*'Plan mensual'!N281+parametros_recargas!$J$74*'Plan mensual'!N282+parametros_recargas!$K$74*'Plan mensual'!N283+parametros_recargas!$L$74*'Plan mensual'!N284</f>
        <v>6641.61962109853</v>
      </c>
      <c r="M260" s="25" t="n">
        <f aca="false">parametros_recargas!$E$74*'Plan mensual'!O277+parametros_recargas!$F$74*'Plan mensual'!O278+parametros_recargas!$G$74*'Plan mensual'!O279+parametros_recargas!$H$74*'Plan mensual'!O280+parametros_recargas!$I$74*'Plan mensual'!O281+parametros_recargas!$J$74*'Plan mensual'!O282+parametros_recargas!$K$74*'Plan mensual'!O283+parametros_recargas!$L$74*'Plan mensual'!O284</f>
        <v>6679.28617988011</v>
      </c>
      <c r="N260" s="7" t="n">
        <f aca="false">SUM(B260:M260)</f>
        <v>77712.5529588033</v>
      </c>
      <c r="O260" s="26" t="n">
        <f aca="false">MAX(B260:M260)</f>
        <v>6679.28617988011</v>
      </c>
      <c r="P260" s="15" t="n">
        <f aca="false">O260/parametros_recargas!$B$6</f>
        <v>44.528574532534</v>
      </c>
    </row>
    <row r="261" customFormat="false" ht="15" hidden="false" customHeight="false" outlineLevel="0" collapsed="false">
      <c r="A261" s="12" t="str">
        <f aca="false">parametros_recargas!$B$75</f>
        <v>Descarga ABC — ruta descarte</v>
      </c>
      <c r="B261" s="25" t="n">
        <f aca="false">parametros_recargas!$E$75*'Plan mensual'!D277+parametros_recargas!$F$75*'Plan mensual'!D278+parametros_recargas!$G$75*'Plan mensual'!D279+parametros_recargas!$H$75*'Plan mensual'!D280+parametros_recargas!$I$75*'Plan mensual'!D281+parametros_recargas!$J$75*'Plan mensual'!D282+parametros_recargas!$K$75*'Plan mensual'!D283+parametros_recargas!$L$75*'Plan mensual'!D284</f>
        <v>738.433100970305</v>
      </c>
      <c r="C261" s="25" t="n">
        <f aca="false">parametros_recargas!$E$75*'Plan mensual'!E277+parametros_recargas!$F$75*'Plan mensual'!E278+parametros_recargas!$G$75*'Plan mensual'!E279+parametros_recargas!$H$75*'Plan mensual'!E280+parametros_recargas!$I$75*'Plan mensual'!E281+parametros_recargas!$J$75*'Plan mensual'!E282+parametros_recargas!$K$75*'Plan mensual'!E283+parametros_recargas!$L$75*'Plan mensual'!E284</f>
        <v>742.6157634925</v>
      </c>
      <c r="D261" s="25" t="n">
        <f aca="false">parametros_recargas!$E$75*'Plan mensual'!F277+parametros_recargas!$F$75*'Plan mensual'!F278+parametros_recargas!$G$75*'Plan mensual'!F279+parametros_recargas!$H$75*'Plan mensual'!F280+parametros_recargas!$I$75*'Plan mensual'!F281+parametros_recargas!$J$75*'Plan mensual'!F282+parametros_recargas!$K$75*'Plan mensual'!F283+parametros_recargas!$L$75*'Plan mensual'!F284</f>
        <v>746.822654344722</v>
      </c>
      <c r="E261" s="25" t="n">
        <f aca="false">parametros_recargas!$E$75*'Plan mensual'!G277+parametros_recargas!$F$75*'Plan mensual'!G278+parametros_recargas!$G$75*'Plan mensual'!G279+parametros_recargas!$H$75*'Plan mensual'!G280+parametros_recargas!$I$75*'Plan mensual'!G281+parametros_recargas!$J$75*'Plan mensual'!G282+parametros_recargas!$K$75*'Plan mensual'!G283+parametros_recargas!$L$75*'Plan mensual'!G284</f>
        <v>751.053913871064</v>
      </c>
      <c r="F261" s="25" t="n">
        <f aca="false">parametros_recargas!$E$75*'Plan mensual'!H277+parametros_recargas!$F$75*'Plan mensual'!H278+parametros_recargas!$G$75*'Plan mensual'!H279+parametros_recargas!$H$75*'Plan mensual'!H280+parametros_recargas!$I$75*'Plan mensual'!H281+parametros_recargas!$J$75*'Plan mensual'!H282+parametros_recargas!$K$75*'Plan mensual'!H283+parametros_recargas!$L$75*'Plan mensual'!H284</f>
        <v>755.30968322857</v>
      </c>
      <c r="G261" s="25" t="n">
        <f aca="false">parametros_recargas!$E$75*'Plan mensual'!I277+parametros_recargas!$F$75*'Plan mensual'!I278+parametros_recargas!$G$75*'Plan mensual'!I279+parametros_recargas!$H$75*'Plan mensual'!I280+parametros_recargas!$I$75*'Plan mensual'!I281+parametros_recargas!$J$75*'Plan mensual'!I282+parametros_recargas!$K$75*'Plan mensual'!I283+parametros_recargas!$L$75*'Plan mensual'!I284</f>
        <v>759.590104391944</v>
      </c>
      <c r="H261" s="25" t="n">
        <f aca="false">parametros_recargas!$E$75*'Plan mensual'!J277+parametros_recargas!$F$75*'Plan mensual'!J278+parametros_recargas!$G$75*'Plan mensual'!J279+parametros_recargas!$H$75*'Plan mensual'!J280+parametros_recargas!$I$75*'Plan mensual'!J281+parametros_recargas!$J$75*'Plan mensual'!J282+parametros_recargas!$K$75*'Plan mensual'!J283+parametros_recargas!$L$75*'Plan mensual'!J284</f>
        <v>763.895320158291</v>
      </c>
      <c r="I261" s="25" t="n">
        <f aca="false">parametros_recargas!$E$75*'Plan mensual'!K277+parametros_recargas!$F$75*'Plan mensual'!K278+parametros_recargas!$G$75*'Plan mensual'!K279+parametros_recargas!$H$75*'Plan mensual'!K280+parametros_recargas!$I$75*'Plan mensual'!K281+parametros_recargas!$J$75*'Plan mensual'!K282+parametros_recargas!$K$75*'Plan mensual'!K283+parametros_recargas!$L$75*'Plan mensual'!K284</f>
        <v>768.225474151872</v>
      </c>
      <c r="J261" s="25" t="n">
        <f aca="false">parametros_recargas!$E$75*'Plan mensual'!L277+parametros_recargas!$F$75*'Plan mensual'!L278+parametros_recargas!$G$75*'Plan mensual'!L279+parametros_recargas!$H$75*'Plan mensual'!L280+parametros_recargas!$I$75*'Plan mensual'!L281+parametros_recargas!$J$75*'Plan mensual'!L282+parametros_recargas!$K$75*'Plan mensual'!L283+parametros_recargas!$L$75*'Plan mensual'!L284</f>
        <v>772.580710828903</v>
      </c>
      <c r="K261" s="25" t="n">
        <f aca="false">parametros_recargas!$E$75*'Plan mensual'!M277+parametros_recargas!$F$75*'Plan mensual'!M278+parametros_recargas!$G$75*'Plan mensual'!M279+parametros_recargas!$H$75*'Plan mensual'!M280+parametros_recargas!$I$75*'Plan mensual'!M281+parametros_recargas!$J$75*'Plan mensual'!M282+parametros_recargas!$K$75*'Plan mensual'!M283+parametros_recargas!$L$75*'Plan mensual'!M284</f>
        <v>776.961175482373</v>
      </c>
      <c r="L261" s="25" t="n">
        <f aca="false">parametros_recargas!$E$75*'Plan mensual'!N277+parametros_recargas!$F$75*'Plan mensual'!N278+parametros_recargas!$G$75*'Plan mensual'!N279+parametros_recargas!$H$75*'Plan mensual'!N280+parametros_recargas!$I$75*'Plan mensual'!N281+parametros_recargas!$J$75*'Plan mensual'!N282+parametros_recargas!$K$75*'Plan mensual'!N283+parametros_recargas!$L$75*'Plan mensual'!N284</f>
        <v>781.367014246886</v>
      </c>
      <c r="M261" s="25" t="n">
        <f aca="false">parametros_recargas!$E$75*'Plan mensual'!O277+parametros_recargas!$F$75*'Plan mensual'!O278+parametros_recargas!$G$75*'Plan mensual'!O279+parametros_recargas!$H$75*'Plan mensual'!O280+parametros_recargas!$I$75*'Plan mensual'!O281+parametros_recargas!$J$75*'Plan mensual'!O282+parametros_recargas!$K$75*'Plan mensual'!O283+parametros_recargas!$L$75*'Plan mensual'!O284</f>
        <v>785.798374103542</v>
      </c>
      <c r="N261" s="7" t="n">
        <f aca="false">SUM(B261:M261)</f>
        <v>9142.65328927097</v>
      </c>
      <c r="O261" s="26" t="n">
        <f aca="false">MAX(B261:M261)</f>
        <v>785.798374103542</v>
      </c>
      <c r="P261" s="15" t="n">
        <f aca="false">O261/parametros_recargas!$B$6</f>
        <v>5.23865582735695</v>
      </c>
    </row>
    <row r="262" customFormat="false" ht="15" hidden="false" customHeight="false" outlineLevel="0" collapsed="false">
      <c r="A262" s="12" t="str">
        <f aca="false">parametros_recargas!$B$76</f>
        <v>Descarga BC</v>
      </c>
      <c r="B262" s="25" t="n">
        <f aca="false">parametros_recargas!$E$76*'Plan mensual'!D277+parametros_recargas!$F$76*'Plan mensual'!D278+parametros_recargas!$G$76*'Plan mensual'!D279+parametros_recargas!$H$76*'Plan mensual'!D280+parametros_recargas!$I$76*'Plan mensual'!D281+parametros_recargas!$J$76*'Plan mensual'!D282+parametros_recargas!$K$76*'Plan mensual'!D283+parametros_recargas!$L$76*'Plan mensual'!D284</f>
        <v>10.9540216599496</v>
      </c>
      <c r="C262" s="25" t="n">
        <f aca="false">parametros_recargas!$E$76*'Plan mensual'!E277+parametros_recargas!$F$76*'Plan mensual'!E278+parametros_recargas!$G$76*'Plan mensual'!E279+parametros_recargas!$H$76*'Plan mensual'!E280+parametros_recargas!$I$76*'Plan mensual'!E281+parametros_recargas!$J$76*'Plan mensual'!E282+parametros_recargas!$K$76*'Plan mensual'!E283+parametros_recargas!$L$76*'Plan mensual'!E284</f>
        <v>11.0140945102101</v>
      </c>
      <c r="D262" s="25" t="n">
        <f aca="false">parametros_recargas!$E$76*'Plan mensual'!F277+parametros_recargas!$F$76*'Plan mensual'!F278+parametros_recargas!$G$76*'Plan mensual'!F279+parametros_recargas!$H$76*'Plan mensual'!F280+parametros_recargas!$I$76*'Plan mensual'!F281+parametros_recargas!$J$76*'Plan mensual'!F282+parametros_recargas!$K$76*'Plan mensual'!F283+parametros_recargas!$L$76*'Plan mensual'!F284</f>
        <v>11.074515336152</v>
      </c>
      <c r="E262" s="25" t="n">
        <f aca="false">parametros_recargas!$E$76*'Plan mensual'!G277+parametros_recargas!$F$76*'Plan mensual'!G278+parametros_recargas!$G$76*'Plan mensual'!G279+parametros_recargas!$H$76*'Plan mensual'!G280+parametros_recargas!$I$76*'Plan mensual'!G281+parametros_recargas!$J$76*'Plan mensual'!G282+parametros_recargas!$K$76*'Plan mensual'!G283+parametros_recargas!$L$76*'Plan mensual'!G284</f>
        <v>11.1352861534461</v>
      </c>
      <c r="F262" s="25" t="n">
        <f aca="false">parametros_recargas!$E$76*'Plan mensual'!H277+parametros_recargas!$F$76*'Plan mensual'!H278+parametros_recargas!$G$76*'Plan mensual'!H279+parametros_recargas!$H$76*'Plan mensual'!H280+parametros_recargas!$I$76*'Plan mensual'!H281+parametros_recargas!$J$76*'Plan mensual'!H282+parametros_recargas!$K$76*'Plan mensual'!H283+parametros_recargas!$L$76*'Plan mensual'!H284</f>
        <v>11.1964089894387</v>
      </c>
      <c r="G262" s="25" t="n">
        <f aca="false">parametros_recargas!$E$76*'Plan mensual'!I277+parametros_recargas!$F$76*'Plan mensual'!I278+parametros_recargas!$G$76*'Plan mensual'!I279+parametros_recargas!$H$76*'Plan mensual'!I280+parametros_recargas!$I$76*'Plan mensual'!I281+parametros_recargas!$J$76*'Plan mensual'!I282+parametros_recargas!$K$76*'Plan mensual'!I283+parametros_recargas!$L$76*'Plan mensual'!I284</f>
        <v>11.2578858832198</v>
      </c>
      <c r="H262" s="25" t="n">
        <f aca="false">parametros_recargas!$E$76*'Plan mensual'!J277+parametros_recargas!$F$76*'Plan mensual'!J278+parametros_recargas!$G$76*'Plan mensual'!J279+parametros_recargas!$H$76*'Plan mensual'!J280+parametros_recargas!$I$76*'Plan mensual'!J281+parametros_recargas!$J$76*'Plan mensual'!J282+parametros_recargas!$K$76*'Plan mensual'!J283+parametros_recargas!$L$76*'Plan mensual'!J284</f>
        <v>11.3197188856908</v>
      </c>
      <c r="I262" s="25" t="n">
        <f aca="false">parametros_recargas!$E$76*'Plan mensual'!K277+parametros_recargas!$F$76*'Plan mensual'!K278+parametros_recargas!$G$76*'Plan mensual'!K279+parametros_recargas!$H$76*'Plan mensual'!K280+parametros_recargas!$I$76*'Plan mensual'!K281+parametros_recargas!$J$76*'Plan mensual'!K282+parametros_recargas!$K$76*'Plan mensual'!K283+parametros_recargas!$L$76*'Plan mensual'!K284</f>
        <v>11.3819100596335</v>
      </c>
      <c r="J262" s="25" t="n">
        <f aca="false">parametros_recargas!$E$76*'Plan mensual'!L277+parametros_recargas!$F$76*'Plan mensual'!L278+parametros_recargas!$G$76*'Plan mensual'!L279+parametros_recargas!$H$76*'Plan mensual'!L280+parametros_recargas!$I$76*'Plan mensual'!L281+parametros_recargas!$J$76*'Plan mensual'!L282+parametros_recargas!$K$76*'Plan mensual'!L283+parametros_recargas!$L$76*'Plan mensual'!L284</f>
        <v>11.4444614797779</v>
      </c>
      <c r="K262" s="25" t="n">
        <f aca="false">parametros_recargas!$E$76*'Plan mensual'!M277+parametros_recargas!$F$76*'Plan mensual'!M278+parametros_recargas!$G$76*'Plan mensual'!M279+parametros_recargas!$H$76*'Plan mensual'!M280+parametros_recargas!$I$76*'Plan mensual'!M281+parametros_recargas!$J$76*'Plan mensual'!M282+parametros_recargas!$K$76*'Plan mensual'!M283+parametros_recargas!$L$76*'Plan mensual'!M284</f>
        <v>11.5073752328724</v>
      </c>
      <c r="L262" s="25" t="n">
        <f aca="false">parametros_recargas!$E$76*'Plan mensual'!N277+parametros_recargas!$F$76*'Plan mensual'!N278+parametros_recargas!$G$76*'Plan mensual'!N279+parametros_recargas!$H$76*'Plan mensual'!N280+parametros_recargas!$I$76*'Plan mensual'!N281+parametros_recargas!$J$76*'Plan mensual'!N282+parametros_recargas!$K$76*'Plan mensual'!N283+parametros_recargas!$L$76*'Plan mensual'!N284</f>
        <v>11.5706534177529</v>
      </c>
      <c r="M262" s="25" t="n">
        <f aca="false">parametros_recargas!$E$76*'Plan mensual'!O277+parametros_recargas!$F$76*'Plan mensual'!O278+parametros_recargas!$G$76*'Plan mensual'!O279+parametros_recargas!$H$76*'Plan mensual'!O280+parametros_recargas!$I$76*'Plan mensual'!O281+parametros_recargas!$J$76*'Plan mensual'!O282+parametros_recargas!$K$76*'Plan mensual'!O283+parametros_recargas!$L$76*'Plan mensual'!O284</f>
        <v>11.634298145413</v>
      </c>
      <c r="N262" s="7" t="n">
        <f aca="false">SUM(B262:M262)</f>
        <v>135.490629753557</v>
      </c>
      <c r="O262" s="26" t="n">
        <f aca="false">MAX(B262:M262)</f>
        <v>11.634298145413</v>
      </c>
      <c r="P262" s="15" t="n">
        <f aca="false">O262/parametros_recargas!$B$6</f>
        <v>0.0775619876360865</v>
      </c>
    </row>
    <row r="263" customFormat="false" ht="15" hidden="false" customHeight="false" outlineLevel="0" collapsed="false">
      <c r="A263" s="12" t="str">
        <f aca="false">parametros_recargas!$B$77</f>
        <v>Descarga de agua / AFFF / sales K</v>
      </c>
      <c r="B263" s="25" t="n">
        <f aca="false">parametros_recargas!$E$77*'Plan mensual'!D277+parametros_recargas!$F$77*'Plan mensual'!D278+parametros_recargas!$G$77*'Plan mensual'!D279+parametros_recargas!$H$77*'Plan mensual'!D280+parametros_recargas!$I$77*'Plan mensual'!D281+parametros_recargas!$J$77*'Plan mensual'!D282+parametros_recargas!$K$77*'Plan mensual'!D283+parametros_recargas!$L$77*'Plan mensual'!D284</f>
        <v>374.483597355127</v>
      </c>
      <c r="C263" s="25" t="n">
        <f aca="false">parametros_recargas!$E$77*'Plan mensual'!E277+parametros_recargas!$F$77*'Plan mensual'!E278+parametros_recargas!$G$77*'Plan mensual'!E279+parametros_recargas!$H$77*'Plan mensual'!E280+parametros_recargas!$I$77*'Plan mensual'!E281+parametros_recargas!$J$77*'Plan mensual'!E282+parametros_recargas!$K$77*'Plan mensual'!E283+parametros_recargas!$L$77*'Plan mensual'!E284</f>
        <v>376.575582481748</v>
      </c>
      <c r="D263" s="25" t="n">
        <f aca="false">parametros_recargas!$E$77*'Plan mensual'!F277+parametros_recargas!$F$77*'Plan mensual'!F278+parametros_recargas!$G$77*'Plan mensual'!F279+parametros_recargas!$H$77*'Plan mensual'!F280+parametros_recargas!$I$77*'Plan mensual'!F281+parametros_recargas!$J$77*'Plan mensual'!F282+parametros_recargas!$K$77*'Plan mensual'!F283+parametros_recargas!$L$77*'Plan mensual'!F284</f>
        <v>378.679685560939</v>
      </c>
      <c r="E263" s="25" t="n">
        <f aca="false">parametros_recargas!$E$77*'Plan mensual'!G277+parametros_recargas!$F$77*'Plan mensual'!G278+parametros_recargas!$G$77*'Plan mensual'!G279+parametros_recargas!$H$77*'Plan mensual'!G280+parametros_recargas!$I$77*'Plan mensual'!G281+parametros_recargas!$J$77*'Plan mensual'!G282+parametros_recargas!$K$77*'Plan mensual'!G283+parametros_recargas!$L$77*'Plan mensual'!G284</f>
        <v>380.795976786685</v>
      </c>
      <c r="F263" s="25" t="n">
        <f aca="false">parametros_recargas!$E$77*'Plan mensual'!H277+parametros_recargas!$F$77*'Plan mensual'!H278+parametros_recargas!$G$77*'Plan mensual'!H279+parametros_recargas!$H$77*'Plan mensual'!H280+parametros_recargas!$I$77*'Plan mensual'!H281+parametros_recargas!$J$77*'Plan mensual'!H282+parametros_recargas!$K$77*'Plan mensual'!H283+parametros_recargas!$L$77*'Plan mensual'!H284</f>
        <v>382.924526759576</v>
      </c>
      <c r="G263" s="25" t="n">
        <f aca="false">parametros_recargas!$E$77*'Plan mensual'!I277+parametros_recargas!$F$77*'Plan mensual'!I278+parametros_recargas!$G$77*'Plan mensual'!I279+parametros_recargas!$H$77*'Plan mensual'!I280+parametros_recargas!$I$77*'Plan mensual'!I281+parametros_recargas!$J$77*'Plan mensual'!I282+parametros_recargas!$K$77*'Plan mensual'!I283+parametros_recargas!$L$77*'Plan mensual'!I284</f>
        <v>385.065406489159</v>
      </c>
      <c r="H263" s="25" t="n">
        <f aca="false">parametros_recargas!$E$77*'Plan mensual'!J277+parametros_recargas!$F$77*'Plan mensual'!J278+parametros_recargas!$G$77*'Plan mensual'!J279+parametros_recargas!$H$77*'Plan mensual'!J280+parametros_recargas!$I$77*'Plan mensual'!J281+parametros_recargas!$J$77*'Plan mensual'!J282+parametros_recargas!$K$77*'Plan mensual'!J283+parametros_recargas!$L$77*'Plan mensual'!J284</f>
        <v>387.218687396308</v>
      </c>
      <c r="I263" s="25" t="n">
        <f aca="false">parametros_recargas!$E$77*'Plan mensual'!K277+parametros_recargas!$F$77*'Plan mensual'!K278+parametros_recargas!$G$77*'Plan mensual'!K279+parametros_recargas!$H$77*'Plan mensual'!K280+parametros_recargas!$I$77*'Plan mensual'!K281+parametros_recargas!$J$77*'Plan mensual'!K282+parametros_recargas!$K$77*'Plan mensual'!K283+parametros_recargas!$L$77*'Plan mensual'!K284</f>
        <v>389.384441315607</v>
      </c>
      <c r="J263" s="25" t="n">
        <f aca="false">parametros_recargas!$E$77*'Plan mensual'!L277+parametros_recargas!$F$77*'Plan mensual'!L278+parametros_recargas!$G$77*'Plan mensual'!L279+parametros_recargas!$H$77*'Plan mensual'!L280+parametros_recargas!$I$77*'Plan mensual'!L281+parametros_recargas!$J$77*'Plan mensual'!L282+parametros_recargas!$K$77*'Plan mensual'!L283+parametros_recargas!$L$77*'Plan mensual'!L284</f>
        <v>391.562740497747</v>
      </c>
      <c r="K263" s="25" t="n">
        <f aca="false">parametros_recargas!$E$77*'Plan mensual'!M277+parametros_recargas!$F$77*'Plan mensual'!M278+parametros_recargas!$G$77*'Plan mensual'!M279+parametros_recargas!$H$77*'Plan mensual'!M280+parametros_recargas!$I$77*'Plan mensual'!M281+parametros_recargas!$J$77*'Plan mensual'!M282+parametros_recargas!$K$77*'Plan mensual'!M283+parametros_recargas!$L$77*'Plan mensual'!M284</f>
        <v>393.753657611934</v>
      </c>
      <c r="L263" s="25" t="n">
        <f aca="false">parametros_recargas!$E$77*'Plan mensual'!N277+parametros_recargas!$F$77*'Plan mensual'!N278+parametros_recargas!$G$77*'Plan mensual'!N279+parametros_recargas!$H$77*'Plan mensual'!N280+parametros_recargas!$I$77*'Plan mensual'!N281+parametros_recargas!$J$77*'Plan mensual'!N282+parametros_recargas!$K$77*'Plan mensual'!N283+parametros_recargas!$L$77*'Plan mensual'!N284</f>
        <v>395.957265748317</v>
      </c>
      <c r="M263" s="25" t="n">
        <f aca="false">parametros_recargas!$E$77*'Plan mensual'!O277+parametros_recargas!$F$77*'Plan mensual'!O278+parametros_recargas!$G$77*'Plan mensual'!O279+parametros_recargas!$H$77*'Plan mensual'!O280+parametros_recargas!$I$77*'Plan mensual'!O281+parametros_recargas!$J$77*'Plan mensual'!O282+parametros_recargas!$K$77*'Plan mensual'!O283+parametros_recargas!$L$77*'Plan mensual'!O284</f>
        <v>398.173638420421</v>
      </c>
      <c r="N263" s="7" t="n">
        <f aca="false">SUM(B263:M263)</f>
        <v>4634.57520642357</v>
      </c>
      <c r="O263" s="26" t="n">
        <f aca="false">MAX(B263:M263)</f>
        <v>398.173638420421</v>
      </c>
      <c r="P263" s="15" t="n">
        <f aca="false">O263/parametros_recargas!$B$6</f>
        <v>2.65449092280281</v>
      </c>
    </row>
    <row r="264" customFormat="false" ht="15" hidden="false" customHeight="false" outlineLevel="0" collapsed="false">
      <c r="A264" s="12" t="str">
        <f aca="false">parametros_recargas!$B$78</f>
        <v>Recuperación de CO₂</v>
      </c>
      <c r="B264" s="25" t="n">
        <f aca="false">parametros_recargas!$E$78*'Plan mensual'!D277+parametros_recargas!$F$78*'Plan mensual'!D278+parametros_recargas!$G$78*'Plan mensual'!D279+parametros_recargas!$H$78*'Plan mensual'!D280+parametros_recargas!$I$78*'Plan mensual'!D281+parametros_recargas!$J$78*'Plan mensual'!D282+parametros_recargas!$K$78*'Plan mensual'!D283+parametros_recargas!$L$78*'Plan mensual'!D284</f>
        <v>170.890251663917</v>
      </c>
      <c r="C264" s="25" t="n">
        <f aca="false">parametros_recargas!$E$78*'Plan mensual'!E277+parametros_recargas!$F$78*'Plan mensual'!E278+parametros_recargas!$G$78*'Plan mensual'!E279+parametros_recargas!$H$78*'Plan mensual'!E280+parametros_recargas!$I$78*'Plan mensual'!E281+parametros_recargas!$J$78*'Plan mensual'!E282+parametros_recargas!$K$78*'Plan mensual'!E283+parametros_recargas!$L$78*'Plan mensual'!E284</f>
        <v>171.845267914331</v>
      </c>
      <c r="D264" s="25" t="n">
        <f aca="false">parametros_recargas!$E$78*'Plan mensual'!F277+parametros_recargas!$F$78*'Plan mensual'!F278+parametros_recargas!$G$78*'Plan mensual'!F279+parametros_recargas!$H$78*'Plan mensual'!F280+parametros_recargas!$I$78*'Plan mensual'!F281+parametros_recargas!$J$78*'Plan mensual'!F282+parametros_recargas!$K$78*'Plan mensual'!F283+parametros_recargas!$L$78*'Plan mensual'!F284</f>
        <v>172.80581615514</v>
      </c>
      <c r="E264" s="25" t="n">
        <f aca="false">parametros_recargas!$E$78*'Plan mensual'!G277+parametros_recargas!$F$78*'Plan mensual'!G278+parametros_recargas!$G$78*'Plan mensual'!G279+parametros_recargas!$H$78*'Plan mensual'!G280+parametros_recargas!$I$78*'Plan mensual'!G281+parametros_recargas!$J$78*'Plan mensual'!G282+parametros_recargas!$K$78*'Plan mensual'!G283+parametros_recargas!$L$78*'Plan mensual'!G284</f>
        <v>173.771928430738</v>
      </c>
      <c r="F264" s="25" t="n">
        <f aca="false">parametros_recargas!$E$78*'Plan mensual'!H277+parametros_recargas!$F$78*'Plan mensual'!H278+parametros_recargas!$G$78*'Plan mensual'!H279+parametros_recargas!$H$78*'Plan mensual'!H280+parametros_recargas!$I$78*'Plan mensual'!H281+parametros_recargas!$J$78*'Plan mensual'!H282+parametros_recargas!$K$78*'Plan mensual'!H283+parametros_recargas!$L$78*'Plan mensual'!H284</f>
        <v>174.743636971139</v>
      </c>
      <c r="G264" s="25" t="n">
        <f aca="false">parametros_recargas!$E$78*'Plan mensual'!I277+parametros_recargas!$F$78*'Plan mensual'!I278+parametros_recargas!$G$78*'Plan mensual'!I279+parametros_recargas!$H$78*'Plan mensual'!I280+parametros_recargas!$I$78*'Plan mensual'!I281+parametros_recargas!$J$78*'Plan mensual'!I282+parametros_recargas!$K$78*'Plan mensual'!I283+parametros_recargas!$L$78*'Plan mensual'!I284</f>
        <v>175.720974193052</v>
      </c>
      <c r="H264" s="25" t="n">
        <f aca="false">parametros_recargas!$E$78*'Plan mensual'!J277+parametros_recargas!$F$78*'Plan mensual'!J278+parametros_recargas!$G$78*'Plan mensual'!J279+parametros_recargas!$H$78*'Plan mensual'!J280+parametros_recargas!$I$78*'Plan mensual'!J281+parametros_recargas!$J$78*'Plan mensual'!J282+parametros_recargas!$K$78*'Plan mensual'!J283+parametros_recargas!$L$78*'Plan mensual'!J284</f>
        <v>176.70397270096</v>
      </c>
      <c r="I264" s="25" t="n">
        <f aca="false">parametros_recargas!$E$78*'Plan mensual'!K277+parametros_recargas!$F$78*'Plan mensual'!K278+parametros_recargas!$G$78*'Plan mensual'!K279+parametros_recargas!$H$78*'Plan mensual'!K280+parametros_recargas!$I$78*'Plan mensual'!K281+parametros_recargas!$J$78*'Plan mensual'!K282+parametros_recargas!$K$78*'Plan mensual'!K283+parametros_recargas!$L$78*'Plan mensual'!K284</f>
        <v>177.692665288211</v>
      </c>
      <c r="J264" s="25" t="n">
        <f aca="false">parametros_recargas!$E$78*'Plan mensual'!L277+parametros_recargas!$F$78*'Plan mensual'!L278+parametros_recargas!$G$78*'Plan mensual'!L279+parametros_recargas!$H$78*'Plan mensual'!L280+parametros_recargas!$I$78*'Plan mensual'!L281+parametros_recargas!$J$78*'Plan mensual'!L282+parametros_recargas!$K$78*'Plan mensual'!L283+parametros_recargas!$L$78*'Plan mensual'!L284</f>
        <v>178.687084938109</v>
      </c>
      <c r="K264" s="25" t="n">
        <f aca="false">parametros_recargas!$E$78*'Plan mensual'!M277+parametros_recargas!$F$78*'Plan mensual'!M278+parametros_recargas!$G$78*'Plan mensual'!M279+parametros_recargas!$H$78*'Plan mensual'!M280+parametros_recargas!$I$78*'Plan mensual'!M281+parametros_recargas!$J$78*'Plan mensual'!M282+parametros_recargas!$K$78*'Plan mensual'!M283+parametros_recargas!$L$78*'Plan mensual'!M284</f>
        <v>179.687264825019</v>
      </c>
      <c r="L264" s="25" t="n">
        <f aca="false">parametros_recargas!$E$78*'Plan mensual'!N277+parametros_recargas!$F$78*'Plan mensual'!N278+parametros_recargas!$G$78*'Plan mensual'!N279+parametros_recargas!$H$78*'Plan mensual'!N280+parametros_recargas!$I$78*'Plan mensual'!N281+parametros_recargas!$J$78*'Plan mensual'!N282+parametros_recargas!$K$78*'Plan mensual'!N283+parametros_recargas!$L$78*'Plan mensual'!N284</f>
        <v>180.693238315466</v>
      </c>
      <c r="M264" s="25" t="n">
        <f aca="false">parametros_recargas!$E$78*'Plan mensual'!O277+parametros_recargas!$F$78*'Plan mensual'!O278+parametros_recargas!$G$78*'Plan mensual'!O279+parametros_recargas!$H$78*'Plan mensual'!O280+parametros_recargas!$I$78*'Plan mensual'!O281+parametros_recargas!$J$78*'Plan mensual'!O282+parametros_recargas!$K$78*'Plan mensual'!O283+parametros_recargas!$L$78*'Plan mensual'!O284</f>
        <v>181.705038969256</v>
      </c>
      <c r="N264" s="7" t="n">
        <f aca="false">SUM(B264:M264)</f>
        <v>2114.94714036534</v>
      </c>
      <c r="O264" s="26" t="n">
        <f aca="false">MAX(B264:M264)</f>
        <v>181.705038969256</v>
      </c>
      <c r="P264" s="15" t="n">
        <f aca="false">O264/parametros_recargas!$B$6</f>
        <v>1.21136692646171</v>
      </c>
    </row>
    <row r="265" customFormat="false" ht="15" hidden="false" customHeight="false" outlineLevel="0" collapsed="false">
      <c r="A265" s="12" t="str">
        <f aca="false">parametros_recargas!$B$79</f>
        <v>Recuperación de halogenado</v>
      </c>
      <c r="B265" s="25" t="n">
        <f aca="false">parametros_recargas!$E$79*'Plan mensual'!D277+parametros_recargas!$F$79*'Plan mensual'!D278+parametros_recargas!$G$79*'Plan mensual'!D279+parametros_recargas!$H$79*'Plan mensual'!D280+parametros_recargas!$I$79*'Plan mensual'!D281+parametros_recargas!$J$79*'Plan mensual'!D282+parametros_recargas!$K$79*'Plan mensual'!D283+parametros_recargas!$L$79*'Plan mensual'!D284</f>
        <v>7.06459378937013</v>
      </c>
      <c r="C265" s="25" t="n">
        <f aca="false">parametros_recargas!$E$79*'Plan mensual'!E277+parametros_recargas!$F$79*'Plan mensual'!E278+parametros_recargas!$G$79*'Plan mensual'!E279+parametros_recargas!$H$79*'Plan mensual'!E280+parametros_recargas!$I$79*'Plan mensual'!E281+parametros_recargas!$J$79*'Plan mensual'!E282+parametros_recargas!$K$79*'Plan mensual'!E283+parametros_recargas!$L$79*'Plan mensual'!E284</f>
        <v>7.1040677432102</v>
      </c>
      <c r="D265" s="25" t="n">
        <f aca="false">parametros_recargas!$E$79*'Plan mensual'!F277+parametros_recargas!$F$79*'Plan mensual'!F278+parametros_recargas!$G$79*'Plan mensual'!F279+parametros_recargas!$H$79*'Plan mensual'!F280+parametros_recargas!$I$79*'Plan mensual'!F281+parametros_recargas!$J$79*'Plan mensual'!F282+parametros_recargas!$K$79*'Plan mensual'!F283+parametros_recargas!$L$79*'Plan mensual'!F284</f>
        <v>7.1437703523568</v>
      </c>
      <c r="E265" s="25" t="n">
        <f aca="false">parametros_recargas!$E$79*'Plan mensual'!G277+parametros_recargas!$F$79*'Plan mensual'!G278+parametros_recargas!$G$79*'Plan mensual'!G279+parametros_recargas!$H$79*'Plan mensual'!G280+parametros_recargas!$I$79*'Plan mensual'!G281+parametros_recargas!$J$79*'Plan mensual'!G282+parametros_recargas!$K$79*'Plan mensual'!G283+parametros_recargas!$L$79*'Plan mensual'!G284</f>
        <v>7.18370294130986</v>
      </c>
      <c r="F265" s="25" t="n">
        <f aca="false">parametros_recargas!$E$79*'Plan mensual'!H277+parametros_recargas!$F$79*'Plan mensual'!H278+parametros_recargas!$G$79*'Plan mensual'!H279+parametros_recargas!$H$79*'Plan mensual'!H280+parametros_recargas!$I$79*'Plan mensual'!H281+parametros_recargas!$J$79*'Plan mensual'!H282+parametros_recargas!$K$79*'Plan mensual'!H283+parametros_recargas!$L$79*'Plan mensual'!H284</f>
        <v>7.22386684224155</v>
      </c>
      <c r="G265" s="25" t="n">
        <f aca="false">parametros_recargas!$E$79*'Plan mensual'!I277+parametros_recargas!$F$79*'Plan mensual'!I278+parametros_recargas!$G$79*'Plan mensual'!I279+parametros_recargas!$H$79*'Plan mensual'!I280+parametros_recargas!$I$79*'Plan mensual'!I281+parametros_recargas!$J$79*'Plan mensual'!I282+parametros_recargas!$K$79*'Plan mensual'!I283+parametros_recargas!$L$79*'Plan mensual'!I284</f>
        <v>7.26426339504076</v>
      </c>
      <c r="H265" s="25" t="n">
        <f aca="false">parametros_recargas!$E$79*'Plan mensual'!J277+parametros_recargas!$F$79*'Plan mensual'!J278+parametros_recargas!$G$79*'Plan mensual'!J279+parametros_recargas!$H$79*'Plan mensual'!J280+parametros_recargas!$I$79*'Plan mensual'!J281+parametros_recargas!$J$79*'Plan mensual'!J282+parametros_recargas!$K$79*'Plan mensual'!J283+parametros_recargas!$L$79*'Plan mensual'!J284</f>
        <v>7.30489394735774</v>
      </c>
      <c r="I265" s="25" t="n">
        <f aca="false">parametros_recargas!$E$79*'Plan mensual'!K277+parametros_recargas!$F$79*'Plan mensual'!K278+parametros_recargas!$G$79*'Plan mensual'!K279+parametros_recargas!$H$79*'Plan mensual'!K280+parametros_recargas!$I$79*'Plan mensual'!K281+parametros_recargas!$J$79*'Plan mensual'!K282+parametros_recargas!$K$79*'Plan mensual'!K283+parametros_recargas!$L$79*'Plan mensual'!K284</f>
        <v>7.34575985464908</v>
      </c>
      <c r="J265" s="25" t="n">
        <f aca="false">parametros_recargas!$E$79*'Plan mensual'!L277+parametros_recargas!$F$79*'Plan mensual'!L278+parametros_recargas!$G$79*'Plan mensual'!L279+parametros_recargas!$H$79*'Plan mensual'!L280+parametros_recargas!$I$79*'Plan mensual'!L281+parametros_recargas!$J$79*'Plan mensual'!L282+parametros_recargas!$K$79*'Plan mensual'!L283+parametros_recargas!$L$79*'Plan mensual'!L284</f>
        <v>7.38686248022297</v>
      </c>
      <c r="K265" s="25" t="n">
        <f aca="false">parametros_recargas!$E$79*'Plan mensual'!M277+parametros_recargas!$F$79*'Plan mensual'!M278+parametros_recargas!$G$79*'Plan mensual'!M279+parametros_recargas!$H$79*'Plan mensual'!M280+parametros_recargas!$I$79*'Plan mensual'!M281+parametros_recargas!$J$79*'Plan mensual'!M282+parametros_recargas!$K$79*'Plan mensual'!M283+parametros_recargas!$L$79*'Plan mensual'!M284</f>
        <v>7.42820319528462</v>
      </c>
      <c r="L265" s="25" t="n">
        <f aca="false">parametros_recargas!$E$79*'Plan mensual'!N277+parametros_recargas!$F$79*'Plan mensual'!N278+parametros_recargas!$G$79*'Plan mensual'!N279+parametros_recargas!$H$79*'Plan mensual'!N280+parametros_recargas!$I$79*'Plan mensual'!N281+parametros_recargas!$J$79*'Plan mensual'!N282+parametros_recargas!$K$79*'Plan mensual'!N283+parametros_recargas!$L$79*'Plan mensual'!N284</f>
        <v>7.46978337898204</v>
      </c>
      <c r="M265" s="25" t="n">
        <f aca="false">parametros_recargas!$E$79*'Plan mensual'!O277+parametros_recargas!$F$79*'Plan mensual'!O278+parametros_recargas!$G$79*'Plan mensual'!O279+parametros_recargas!$H$79*'Plan mensual'!O280+parametros_recargas!$I$79*'Plan mensual'!O281+parametros_recargas!$J$79*'Plan mensual'!O282+parametros_recargas!$K$79*'Plan mensual'!O283+parametros_recargas!$L$79*'Plan mensual'!O284</f>
        <v>7.51160441845204</v>
      </c>
      <c r="N265" s="7" t="n">
        <f aca="false">SUM(B265:M265)</f>
        <v>87.4313723384778</v>
      </c>
      <c r="O265" s="26" t="n">
        <f aca="false">MAX(B265:M265)</f>
        <v>7.51160441845204</v>
      </c>
      <c r="P265" s="15" t="n">
        <f aca="false">O265/parametros_recargas!$B$6</f>
        <v>0.0500773627896803</v>
      </c>
    </row>
    <row r="266" customFormat="false" ht="15" hidden="false" customHeight="false" outlineLevel="0" collapsed="false">
      <c r="A266" s="12" t="str">
        <f aca="false">parametros_recargas!$B$80</f>
        <v>Desarme y limpieza — recinto</v>
      </c>
      <c r="B266" s="25" t="n">
        <f aca="false">parametros_recargas!$E$80*'Plan mensual'!D277+parametros_recargas!$F$80*'Plan mensual'!D278+parametros_recargas!$G$80*'Plan mensual'!D279+parametros_recargas!$H$80*'Plan mensual'!D280+parametros_recargas!$I$80*'Plan mensual'!D281+parametros_recargas!$J$80*'Plan mensual'!D282+parametros_recargas!$K$80*'Plan mensual'!D283+parametros_recargas!$L$80*'Plan mensual'!D284</f>
        <v>7405.21310340967</v>
      </c>
      <c r="C266" s="25" t="n">
        <f aca="false">parametros_recargas!$E$80*'Plan mensual'!E277+parametros_recargas!$F$80*'Plan mensual'!E278+parametros_recargas!$G$80*'Plan mensual'!E279+parametros_recargas!$H$80*'Plan mensual'!E280+parametros_recargas!$I$80*'Plan mensual'!E281+parametros_recargas!$J$80*'Plan mensual'!E282+parametros_recargas!$K$80*'Plan mensual'!E283+parametros_recargas!$L$80*'Plan mensual'!E284</f>
        <v>7447.15393145587</v>
      </c>
      <c r="D266" s="25" t="n">
        <f aca="false">parametros_recargas!$E$80*'Plan mensual'!F277+parametros_recargas!$F$80*'Plan mensual'!F278+parametros_recargas!$G$80*'Plan mensual'!F279+parametros_recargas!$H$80*'Plan mensual'!F280+parametros_recargas!$I$80*'Plan mensual'!F281+parametros_recargas!$J$80*'Plan mensual'!F282+parametros_recargas!$K$80*'Plan mensual'!F283+parametros_recargas!$L$80*'Plan mensual'!F284</f>
        <v>7489.33770432924</v>
      </c>
      <c r="E266" s="25" t="n">
        <f aca="false">parametros_recargas!$E$80*'Plan mensual'!G277+parametros_recargas!$F$80*'Plan mensual'!G278+parametros_recargas!$G$80*'Plan mensual'!G279+parametros_recargas!$H$80*'Plan mensual'!G280+parametros_recargas!$I$80*'Plan mensual'!G281+parametros_recargas!$J$80*'Plan mensual'!G282+parametros_recargas!$K$80*'Plan mensual'!G283+parametros_recargas!$L$80*'Plan mensual'!G284</f>
        <v>7531.76582930262</v>
      </c>
      <c r="F266" s="25" t="n">
        <f aca="false">parametros_recargas!$E$80*'Plan mensual'!H277+parametros_recargas!$F$80*'Plan mensual'!H278+parametros_recargas!$G$80*'Plan mensual'!H279+parametros_recargas!$H$80*'Plan mensual'!H280+parametros_recargas!$I$80*'Plan mensual'!H281+parametros_recargas!$J$80*'Plan mensual'!H282+parametros_recargas!$K$80*'Plan mensual'!H283+parametros_recargas!$L$80*'Plan mensual'!H284</f>
        <v>7574.43972180059</v>
      </c>
      <c r="G266" s="25" t="n">
        <f aca="false">parametros_recargas!$E$80*'Plan mensual'!I277+parametros_recargas!$F$80*'Plan mensual'!I278+parametros_recargas!$G$80*'Plan mensual'!I279+parametros_recargas!$H$80*'Plan mensual'!I280+parametros_recargas!$I$80*'Plan mensual'!I281+parametros_recargas!$J$80*'Plan mensual'!I282+parametros_recargas!$K$80*'Plan mensual'!I283+parametros_recargas!$L$80*'Plan mensual'!I284</f>
        <v>7617.36080544667</v>
      </c>
      <c r="H266" s="25" t="n">
        <f aca="false">parametros_recargas!$E$80*'Plan mensual'!J277+parametros_recargas!$F$80*'Plan mensual'!J278+parametros_recargas!$G$80*'Plan mensual'!J279+parametros_recargas!$H$80*'Plan mensual'!J280+parametros_recargas!$I$80*'Plan mensual'!J281+parametros_recargas!$J$80*'Plan mensual'!J282+parametros_recargas!$K$80*'Plan mensual'!J283+parametros_recargas!$L$80*'Plan mensual'!J284</f>
        <v>7660.53051211079</v>
      </c>
      <c r="I266" s="25" t="n">
        <f aca="false">parametros_recargas!$E$80*'Plan mensual'!K277+parametros_recargas!$F$80*'Plan mensual'!K278+parametros_recargas!$G$80*'Plan mensual'!K279+parametros_recargas!$H$80*'Plan mensual'!K280+parametros_recargas!$I$80*'Plan mensual'!K281+parametros_recargas!$J$80*'Plan mensual'!K282+parametros_recargas!$K$80*'Plan mensual'!K283+parametros_recargas!$L$80*'Plan mensual'!K284</f>
        <v>7703.95028195707</v>
      </c>
      <c r="J266" s="25" t="n">
        <f aca="false">parametros_recargas!$E$80*'Plan mensual'!L277+parametros_recargas!$F$80*'Plan mensual'!L278+parametros_recargas!$G$80*'Plan mensual'!L279+parametros_recargas!$H$80*'Plan mensual'!L280+parametros_recargas!$I$80*'Plan mensual'!L281+parametros_recargas!$J$80*'Plan mensual'!L282+parametros_recargas!$K$80*'Plan mensual'!L283+parametros_recargas!$L$80*'Plan mensual'!L284</f>
        <v>7747.62156349189</v>
      </c>
      <c r="K266" s="25" t="n">
        <f aca="false">parametros_recargas!$E$80*'Plan mensual'!M277+parametros_recargas!$F$80*'Plan mensual'!M278+parametros_recargas!$G$80*'Plan mensual'!M279+parametros_recargas!$H$80*'Plan mensual'!M280+parametros_recargas!$I$80*'Plan mensual'!M281+parametros_recargas!$J$80*'Plan mensual'!M282+parametros_recargas!$K$80*'Plan mensual'!M283+parametros_recargas!$L$80*'Plan mensual'!M284</f>
        <v>7791.54581361218</v>
      </c>
      <c r="L266" s="25" t="n">
        <f aca="false">parametros_recargas!$E$80*'Plan mensual'!N277+parametros_recargas!$F$80*'Plan mensual'!N278+parametros_recargas!$G$80*'Plan mensual'!N279+parametros_recargas!$H$80*'Plan mensual'!N280+parametros_recargas!$I$80*'Plan mensual'!N281+parametros_recargas!$J$80*'Plan mensual'!N282+parametros_recargas!$K$80*'Plan mensual'!N283+parametros_recargas!$L$80*'Plan mensual'!N284</f>
        <v>7835.72449765403</v>
      </c>
      <c r="M266" s="25" t="n">
        <f aca="false">parametros_recargas!$E$80*'Plan mensual'!O277+parametros_recargas!$F$80*'Plan mensual'!O278+parametros_recargas!$G$80*'Plan mensual'!O279+parametros_recargas!$H$80*'Plan mensual'!O280+parametros_recargas!$I$80*'Plan mensual'!O281+parametros_recargas!$J$80*'Plan mensual'!O282+parametros_recargas!$K$80*'Plan mensual'!O283+parametros_recargas!$L$80*'Plan mensual'!O284</f>
        <v>7880.1590894416</v>
      </c>
      <c r="N266" s="7" t="n">
        <f aca="false">SUM(B266:M266)</f>
        <v>91684.8028540122</v>
      </c>
      <c r="O266" s="26" t="n">
        <f aca="false">MAX(B266:M266)</f>
        <v>7880.1590894416</v>
      </c>
      <c r="P266" s="15" t="n">
        <f aca="false">O266/parametros_recargas!$B$6</f>
        <v>52.5343939296107</v>
      </c>
    </row>
    <row r="267" customFormat="false" ht="15" hidden="false" customHeight="false" outlineLevel="0" collapsed="false">
      <c r="A267" s="12" t="str">
        <f aca="false">parametros_recargas!$B$81</f>
        <v>Desarme e inspección interior — zona general</v>
      </c>
      <c r="B267" s="25" t="n">
        <f aca="false">parametros_recargas!$E$81*'Plan mensual'!D277+parametros_recargas!$F$81*'Plan mensual'!D278+parametros_recargas!$G$81*'Plan mensual'!D279+parametros_recargas!$H$81*'Plan mensual'!D280+parametros_recargas!$I$81*'Plan mensual'!D281+parametros_recargas!$J$81*'Plan mensual'!D282+parametros_recargas!$K$81*'Plan mensual'!D283+parametros_recargas!$L$81*'Plan mensual'!D284</f>
        <v>552.438442808414</v>
      </c>
      <c r="C267" s="25" t="n">
        <f aca="false">parametros_recargas!$E$81*'Plan mensual'!E277+parametros_recargas!$F$81*'Plan mensual'!E278+parametros_recargas!$G$81*'Plan mensual'!E279+parametros_recargas!$H$81*'Plan mensual'!E280+parametros_recargas!$I$81*'Plan mensual'!E281+parametros_recargas!$J$81*'Plan mensual'!E282+parametros_recargas!$K$81*'Plan mensual'!E283+parametros_recargas!$L$81*'Plan mensual'!E284</f>
        <v>555.524918139289</v>
      </c>
      <c r="D267" s="25" t="n">
        <f aca="false">parametros_recargas!$E$81*'Plan mensual'!F277+parametros_recargas!$F$81*'Plan mensual'!F278+parametros_recargas!$G$81*'Plan mensual'!F279+parametros_recargas!$H$81*'Plan mensual'!F280+parametros_recargas!$I$81*'Plan mensual'!F281+parametros_recargas!$J$81*'Plan mensual'!F282+parametros_recargas!$K$81*'Plan mensual'!F283+parametros_recargas!$L$81*'Plan mensual'!F284</f>
        <v>558.629272068435</v>
      </c>
      <c r="E267" s="25" t="n">
        <f aca="false">parametros_recargas!$E$81*'Plan mensual'!G277+parametros_recargas!$F$81*'Plan mensual'!G278+parametros_recargas!$G$81*'Plan mensual'!G279+parametros_recargas!$H$81*'Plan mensual'!G280+parametros_recargas!$I$81*'Plan mensual'!G281+parametros_recargas!$J$81*'Plan mensual'!G282+parametros_recargas!$K$81*'Plan mensual'!G283+parametros_recargas!$L$81*'Plan mensual'!G284</f>
        <v>561.751608158733</v>
      </c>
      <c r="F267" s="25" t="n">
        <f aca="false">parametros_recargas!$E$81*'Plan mensual'!H277+parametros_recargas!$F$81*'Plan mensual'!H278+parametros_recargas!$G$81*'Plan mensual'!H279+parametros_recargas!$H$81*'Plan mensual'!H280+parametros_recargas!$I$81*'Plan mensual'!H281+parametros_recargas!$J$81*'Plan mensual'!H282+parametros_recargas!$K$81*'Plan mensual'!H283+parametros_recargas!$L$81*'Plan mensual'!H284</f>
        <v>564.892030572957</v>
      </c>
      <c r="G267" s="25" t="n">
        <f aca="false">parametros_recargas!$E$81*'Plan mensual'!I277+parametros_recargas!$F$81*'Plan mensual'!I278+parametros_recargas!$G$81*'Plan mensual'!I279+parametros_recargas!$H$81*'Plan mensual'!I280+parametros_recargas!$I$81*'Plan mensual'!I281+parametros_recargas!$J$81*'Plan mensual'!I282+parametros_recargas!$K$81*'Plan mensual'!I283+parametros_recargas!$L$81*'Plan mensual'!I284</f>
        <v>568.050644077252</v>
      </c>
      <c r="H267" s="25" t="n">
        <f aca="false">parametros_recargas!$E$81*'Plan mensual'!J277+parametros_recargas!$F$81*'Plan mensual'!J278+parametros_recargas!$G$81*'Plan mensual'!J279+parametros_recargas!$H$81*'Plan mensual'!J280+parametros_recargas!$I$81*'Plan mensual'!J281+parametros_recargas!$J$81*'Plan mensual'!J282+parametros_recargas!$K$81*'Plan mensual'!J283+parametros_recargas!$L$81*'Plan mensual'!J284</f>
        <v>571.227554044626</v>
      </c>
      <c r="I267" s="25" t="n">
        <f aca="false">parametros_recargas!$E$81*'Plan mensual'!K277+parametros_recargas!$F$81*'Plan mensual'!K278+parametros_recargas!$G$81*'Plan mensual'!K279+parametros_recargas!$H$81*'Plan mensual'!K280+parametros_recargas!$I$81*'Plan mensual'!K281+parametros_recargas!$J$81*'Plan mensual'!K282+parametros_recargas!$K$81*'Plan mensual'!K283+parametros_recargas!$L$81*'Plan mensual'!K284</f>
        <v>574.422866458467</v>
      </c>
      <c r="J267" s="25" t="n">
        <f aca="false">parametros_recargas!$E$81*'Plan mensual'!L277+parametros_recargas!$F$81*'Plan mensual'!L278+parametros_recargas!$G$81*'Plan mensual'!L279+parametros_recargas!$H$81*'Plan mensual'!L280+parametros_recargas!$I$81*'Plan mensual'!L281+parametros_recargas!$J$81*'Plan mensual'!L282+parametros_recargas!$K$81*'Plan mensual'!L283+parametros_recargas!$L$81*'Plan mensual'!L284</f>
        <v>577.636687916079</v>
      </c>
      <c r="K267" s="25" t="n">
        <f aca="false">parametros_recargas!$E$81*'Plan mensual'!M277+parametros_recargas!$F$81*'Plan mensual'!M278+parametros_recargas!$G$81*'Plan mensual'!M279+parametros_recargas!$H$81*'Plan mensual'!M280+parametros_recargas!$I$81*'Plan mensual'!M281+parametros_recargas!$J$81*'Plan mensual'!M282+parametros_recargas!$K$81*'Plan mensual'!M283+parametros_recargas!$L$81*'Plan mensual'!M284</f>
        <v>580.869125632237</v>
      </c>
      <c r="L267" s="25" t="n">
        <f aca="false">parametros_recargas!$E$81*'Plan mensual'!N277+parametros_recargas!$F$81*'Plan mensual'!N278+parametros_recargas!$G$81*'Plan mensual'!N279+parametros_recargas!$H$81*'Plan mensual'!N280+parametros_recargas!$I$81*'Plan mensual'!N281+parametros_recargas!$J$81*'Plan mensual'!N282+parametros_recargas!$K$81*'Plan mensual'!N283+parametros_recargas!$L$81*'Plan mensual'!N284</f>
        <v>584.120287442765</v>
      </c>
      <c r="M267" s="25" t="n">
        <f aca="false">parametros_recargas!$E$81*'Plan mensual'!O277+parametros_recargas!$F$81*'Plan mensual'!O278+parametros_recargas!$G$81*'Plan mensual'!O279+parametros_recargas!$H$81*'Plan mensual'!O280+parametros_recargas!$I$81*'Plan mensual'!O281+parametros_recargas!$J$81*'Plan mensual'!O282+parametros_recargas!$K$81*'Plan mensual'!O283+parametros_recargas!$L$81*'Plan mensual'!O284</f>
        <v>587.390281808129</v>
      </c>
      <c r="N267" s="7" t="n">
        <f aca="false">SUM(B267:M267)</f>
        <v>6836.95371912738</v>
      </c>
      <c r="O267" s="26" t="n">
        <f aca="false">MAX(B267:M267)</f>
        <v>587.390281808129</v>
      </c>
      <c r="P267" s="15" t="n">
        <f aca="false">O267/parametros_recargas!$B$6</f>
        <v>3.9159352120542</v>
      </c>
    </row>
    <row r="268" customFormat="false" ht="15" hidden="false" customHeight="false" outlineLevel="0" collapsed="false">
      <c r="A268" s="12" t="str">
        <f aca="false">parametros_recargas!$B$82</f>
        <v>Laboratorio — Puffer y mufla</v>
      </c>
      <c r="B268" s="25" t="n">
        <f aca="false">parametros_recargas!$E$82*'Plan mensual'!D277+parametros_recargas!$F$82*'Plan mensual'!D278+parametros_recargas!$G$82*'Plan mensual'!D279+parametros_recargas!$H$82*'Plan mensual'!D280+parametros_recargas!$I$82*'Plan mensual'!D281+parametros_recargas!$J$82*'Plan mensual'!D282+parametros_recargas!$K$82*'Plan mensual'!D283+parametros_recargas!$L$82*'Plan mensual'!D284</f>
        <v>7.395285031363</v>
      </c>
      <c r="C268" s="25" t="n">
        <f aca="false">parametros_recargas!$E$82*'Plan mensual'!E277+parametros_recargas!$F$82*'Plan mensual'!E278+parametros_recargas!$G$82*'Plan mensual'!E279+parametros_recargas!$H$82*'Plan mensual'!E280+parametros_recargas!$I$82*'Plan mensual'!E281+parametros_recargas!$J$82*'Plan mensual'!E282+parametros_recargas!$K$82*'Plan mensual'!E283+parametros_recargas!$L$82*'Plan mensual'!E284</f>
        <v>7.43717172943521</v>
      </c>
      <c r="D268" s="25" t="n">
        <f aca="false">parametros_recargas!$E$82*'Plan mensual'!F277+parametros_recargas!$F$82*'Plan mensual'!F278+parametros_recargas!$G$82*'Plan mensual'!F279+parametros_recargas!$H$82*'Plan mensual'!F280+parametros_recargas!$I$82*'Plan mensual'!F281+parametros_recargas!$J$82*'Plan mensual'!F282+parametros_recargas!$K$82*'Plan mensual'!F283+parametros_recargas!$L$82*'Plan mensual'!F284</f>
        <v>7.47930105878338</v>
      </c>
      <c r="E268" s="25" t="n">
        <f aca="false">parametros_recargas!$E$82*'Plan mensual'!G277+parametros_recargas!$F$82*'Plan mensual'!G278+parametros_recargas!$G$82*'Plan mensual'!G279+parametros_recargas!$H$82*'Plan mensual'!G280+parametros_recargas!$I$82*'Plan mensual'!G281+parametros_recargas!$J$82*'Plan mensual'!G282+parametros_recargas!$K$82*'Plan mensual'!G283+parametros_recargas!$L$82*'Plan mensual'!G284</f>
        <v>7.52167442486409</v>
      </c>
      <c r="F268" s="25" t="n">
        <f aca="false">parametros_recargas!$E$82*'Plan mensual'!H277+parametros_recargas!$F$82*'Plan mensual'!H278+parametros_recargas!$G$82*'Plan mensual'!H279+parametros_recargas!$H$82*'Plan mensual'!H280+parametros_recargas!$I$82*'Plan mensual'!H281+parametros_recargas!$J$82*'Plan mensual'!H282+parametros_recargas!$K$82*'Plan mensual'!H283+parametros_recargas!$L$82*'Plan mensual'!H284</f>
        <v>7.56429324127513</v>
      </c>
      <c r="G268" s="25" t="n">
        <f aca="false">parametros_recargas!$E$82*'Plan mensual'!I277+parametros_recargas!$F$82*'Plan mensual'!I278+parametros_recargas!$G$82*'Plan mensual'!I279+parametros_recargas!$H$82*'Plan mensual'!I280+parametros_recargas!$I$82*'Plan mensual'!I281+parametros_recargas!$J$82*'Plan mensual'!I282+parametros_recargas!$K$82*'Plan mensual'!I283+parametros_recargas!$L$82*'Plan mensual'!I284</f>
        <v>7.60715892980266</v>
      </c>
      <c r="H268" s="25" t="n">
        <f aca="false">parametros_recargas!$E$82*'Plan mensual'!J277+parametros_recargas!$F$82*'Plan mensual'!J278+parametros_recargas!$G$82*'Plan mensual'!J279+parametros_recargas!$H$82*'Plan mensual'!J280+parametros_recargas!$I$82*'Plan mensual'!J281+parametros_recargas!$J$82*'Plan mensual'!J282+parametros_recargas!$K$82*'Plan mensual'!J283+parametros_recargas!$L$82*'Plan mensual'!J284</f>
        <v>7.6502729204686</v>
      </c>
      <c r="I268" s="25" t="n">
        <f aca="false">parametros_recargas!$E$82*'Plan mensual'!K277+parametros_recargas!$F$82*'Plan mensual'!K278+parametros_recargas!$G$82*'Plan mensual'!K279+parametros_recargas!$H$82*'Plan mensual'!K280+parametros_recargas!$I$82*'Plan mensual'!K281+parametros_recargas!$J$82*'Plan mensual'!K282+parametros_recargas!$K$82*'Plan mensual'!K283+parametros_recargas!$L$82*'Plan mensual'!K284</f>
        <v>7.69363665157835</v>
      </c>
      <c r="J268" s="25" t="n">
        <f aca="false">parametros_recargas!$E$82*'Plan mensual'!L277+parametros_recargas!$F$82*'Plan mensual'!L278+parametros_recargas!$G$82*'Plan mensual'!L279+parametros_recargas!$H$82*'Plan mensual'!L280+parametros_recargas!$I$82*'Plan mensual'!L281+parametros_recargas!$J$82*'Plan mensual'!L282+parametros_recargas!$K$82*'Plan mensual'!L283+parametros_recargas!$L$82*'Plan mensual'!L284</f>
        <v>7.73725156976881</v>
      </c>
      <c r="K268" s="25" t="n">
        <f aca="false">parametros_recargas!$E$82*'Plan mensual'!M277+parametros_recargas!$F$82*'Plan mensual'!M278+parametros_recargas!$G$82*'Plan mensual'!M279+parametros_recargas!$H$82*'Plan mensual'!M280+parametros_recargas!$I$82*'Plan mensual'!M281+parametros_recargas!$J$82*'Plan mensual'!M282+parametros_recargas!$K$82*'Plan mensual'!M283+parametros_recargas!$L$82*'Plan mensual'!M284</f>
        <v>7.7811191300566</v>
      </c>
      <c r="L268" s="25" t="n">
        <f aca="false">parametros_recargas!$E$82*'Plan mensual'!N277+parametros_recargas!$F$82*'Plan mensual'!N278+parametros_recargas!$G$82*'Plan mensual'!N279+parametros_recargas!$H$82*'Plan mensual'!N280+parametros_recargas!$I$82*'Plan mensual'!N281+parametros_recargas!$J$82*'Plan mensual'!N282+parametros_recargas!$K$82*'Plan mensual'!N283+parametros_recargas!$L$82*'Plan mensual'!N284</f>
        <v>7.82524079588661</v>
      </c>
      <c r="M268" s="25" t="n">
        <f aca="false">parametros_recargas!$E$82*'Plan mensual'!O277+parametros_recargas!$F$82*'Plan mensual'!O278+parametros_recargas!$G$82*'Plan mensual'!O279+parametros_recargas!$H$82*'Plan mensual'!O280+parametros_recargas!$I$82*'Plan mensual'!O281+parametros_recargas!$J$82*'Plan mensual'!O282+parametros_recargas!$K$82*'Plan mensual'!O283+parametros_recargas!$L$82*'Plan mensual'!O284</f>
        <v>7.86961803918083</v>
      </c>
      <c r="N268" s="7" t="n">
        <f aca="false">SUM(B268:M268)</f>
        <v>91.5620235224633</v>
      </c>
      <c r="O268" s="26" t="n">
        <f aca="false">MAX(B268:M268)</f>
        <v>7.86961803918083</v>
      </c>
      <c r="P268" s="15" t="n">
        <f aca="false">O268/parametros_recargas!$B$6</f>
        <v>0.0524641202612056</v>
      </c>
    </row>
    <row r="269" customFormat="false" ht="15" hidden="false" customHeight="false" outlineLevel="0" collapsed="false">
      <c r="A269" s="12" t="str">
        <f aca="false">parametros_recargas!$B$83</f>
        <v>Prueba hidráulica</v>
      </c>
      <c r="B269" s="25" t="n">
        <f aca="false">parametros_recargas!$E$83*'Plan mensual'!D277+parametros_recargas!$F$83*'Plan mensual'!D278+parametros_recargas!$G$83*'Plan mensual'!D279+parametros_recargas!$H$83*'Plan mensual'!D280+parametros_recargas!$I$83*'Plan mensual'!D281+parametros_recargas!$J$83*'Plan mensual'!D282+parametros_recargas!$K$83*'Plan mensual'!D283+parametros_recargas!$L$83*'Plan mensual'!D284</f>
        <v>1810.64829572213</v>
      </c>
      <c r="C269" s="25" t="n">
        <f aca="false">parametros_recargas!$E$83*'Plan mensual'!E277+parametros_recargas!$F$83*'Plan mensual'!E278+parametros_recargas!$G$83*'Plan mensual'!E279+parametros_recargas!$H$83*'Plan mensual'!E280+parametros_recargas!$I$83*'Plan mensual'!E281+parametros_recargas!$J$83*'Plan mensual'!E282+parametros_recargas!$K$83*'Plan mensual'!E283+parametros_recargas!$L$83*'Plan mensual'!E284</f>
        <v>1820.87804605808</v>
      </c>
      <c r="D269" s="25" t="n">
        <f aca="false">parametros_recargas!$E$83*'Plan mensual'!F277+parametros_recargas!$F$83*'Plan mensual'!F278+parametros_recargas!$G$83*'Plan mensual'!F279+parametros_recargas!$H$83*'Plan mensual'!F280+parametros_recargas!$I$83*'Plan mensual'!F281+parametros_recargas!$J$83*'Plan mensual'!F282+parametros_recargas!$K$83*'Plan mensual'!F283+parametros_recargas!$L$83*'Plan mensual'!F284</f>
        <v>1831.16705285231</v>
      </c>
      <c r="E269" s="25" t="n">
        <f aca="false">parametros_recargas!$E$83*'Plan mensual'!G277+parametros_recargas!$F$83*'Plan mensual'!G278+parametros_recargas!$G$83*'Plan mensual'!G279+parametros_recargas!$H$83*'Plan mensual'!G280+parametros_recargas!$I$83*'Plan mensual'!G281+parametros_recargas!$J$83*'Plan mensual'!G282+parametros_recargas!$K$83*'Plan mensual'!G283+parametros_recargas!$L$83*'Plan mensual'!G284</f>
        <v>1841.5156593515</v>
      </c>
      <c r="F269" s="25" t="n">
        <f aca="false">parametros_recargas!$E$83*'Plan mensual'!H277+parametros_recargas!$F$83*'Plan mensual'!H278+parametros_recargas!$G$83*'Plan mensual'!H279+parametros_recargas!$H$83*'Plan mensual'!H280+parametros_recargas!$I$83*'Plan mensual'!H281+parametros_recargas!$J$83*'Plan mensual'!H282+parametros_recargas!$K$83*'Plan mensual'!H283+parametros_recargas!$L$83*'Plan mensual'!H284</f>
        <v>1851.92421079061</v>
      </c>
      <c r="G269" s="25" t="n">
        <f aca="false">parametros_recargas!$E$83*'Plan mensual'!I277+parametros_recargas!$F$83*'Plan mensual'!I278+parametros_recargas!$G$83*'Plan mensual'!I279+parametros_recargas!$H$83*'Plan mensual'!I280+parametros_recargas!$I$83*'Plan mensual'!I281+parametros_recargas!$J$83*'Plan mensual'!I282+parametros_recargas!$K$83*'Plan mensual'!I283+parametros_recargas!$L$83*'Plan mensual'!I284</f>
        <v>1862.39305440439</v>
      </c>
      <c r="H269" s="25" t="n">
        <f aca="false">parametros_recargas!$E$83*'Plan mensual'!J277+parametros_recargas!$F$83*'Plan mensual'!J278+parametros_recargas!$G$83*'Plan mensual'!J279+parametros_recargas!$H$83*'Plan mensual'!J280+parametros_recargas!$I$83*'Plan mensual'!J281+parametros_recargas!$J$83*'Plan mensual'!J282+parametros_recargas!$K$83*'Plan mensual'!J283+parametros_recargas!$L$83*'Plan mensual'!J284</f>
        <v>1872.92253943897</v>
      </c>
      <c r="I269" s="25" t="n">
        <f aca="false">parametros_recargas!$E$83*'Plan mensual'!K277+parametros_recargas!$F$83*'Plan mensual'!K278+parametros_recargas!$G$83*'Plan mensual'!K279+parametros_recargas!$H$83*'Plan mensual'!K280+parametros_recargas!$I$83*'Plan mensual'!K281+parametros_recargas!$J$83*'Plan mensual'!K282+parametros_recargas!$K$83*'Plan mensual'!K283+parametros_recargas!$L$83*'Plan mensual'!K284</f>
        <v>1883.51301716351</v>
      </c>
      <c r="J269" s="25" t="n">
        <f aca="false">parametros_recargas!$E$83*'Plan mensual'!L277+parametros_recargas!$F$83*'Plan mensual'!L278+parametros_recargas!$G$83*'Plan mensual'!L279+parametros_recargas!$H$83*'Plan mensual'!L280+parametros_recargas!$I$83*'Plan mensual'!L281+parametros_recargas!$J$83*'Plan mensual'!L282+parametros_recargas!$K$83*'Plan mensual'!L283+parametros_recargas!$L$83*'Plan mensual'!L284</f>
        <v>1894.16484088192</v>
      </c>
      <c r="K269" s="25" t="n">
        <f aca="false">parametros_recargas!$E$83*'Plan mensual'!M277+parametros_recargas!$F$83*'Plan mensual'!M278+parametros_recargas!$G$83*'Plan mensual'!M279+parametros_recargas!$H$83*'Plan mensual'!M280+parametros_recargas!$I$83*'Plan mensual'!M281+parametros_recargas!$J$83*'Plan mensual'!M282+parametros_recargas!$K$83*'Plan mensual'!M283+parametros_recargas!$L$83*'Plan mensual'!M284</f>
        <v>1904.87836594465</v>
      </c>
      <c r="L269" s="25" t="n">
        <f aca="false">parametros_recargas!$E$83*'Plan mensual'!N277+parametros_recargas!$F$83*'Plan mensual'!N278+parametros_recargas!$G$83*'Plan mensual'!N279+parametros_recargas!$H$83*'Plan mensual'!N280+parametros_recargas!$I$83*'Plan mensual'!N281+parametros_recargas!$J$83*'Plan mensual'!N282+parametros_recargas!$K$83*'Plan mensual'!N283+parametros_recargas!$L$83*'Plan mensual'!N284</f>
        <v>1915.65394976052</v>
      </c>
      <c r="M269" s="25" t="n">
        <f aca="false">parametros_recargas!$E$83*'Plan mensual'!O277+parametros_recargas!$F$83*'Plan mensual'!O278+parametros_recargas!$G$83*'Plan mensual'!O279+parametros_recargas!$H$83*'Plan mensual'!O280+parametros_recargas!$I$83*'Plan mensual'!O281+parametros_recargas!$J$83*'Plan mensual'!O282+parametros_recargas!$K$83*'Plan mensual'!O283+parametros_recargas!$L$83*'Plan mensual'!O284</f>
        <v>1926.4919518087</v>
      </c>
      <c r="N269" s="7" t="n">
        <f aca="false">SUM(B269:M269)</f>
        <v>22416.1509841773</v>
      </c>
      <c r="O269" s="26" t="n">
        <f aca="false">MAX(B269:M269)</f>
        <v>1926.4919518087</v>
      </c>
      <c r="P269" s="15" t="n">
        <f aca="false">O269/parametros_recargas!$B$6</f>
        <v>12.8432796787246</v>
      </c>
    </row>
    <row r="270" customFormat="false" ht="15" hidden="false" customHeight="false" outlineLevel="0" collapsed="false">
      <c r="A270" s="12" t="str">
        <f aca="false">parametros_recargas!$B$84</f>
        <v>Secado</v>
      </c>
      <c r="B270" s="25" t="n">
        <f aca="false">parametros_recargas!$E$84*'Plan mensual'!D277+parametros_recargas!$F$84*'Plan mensual'!D278+parametros_recargas!$G$84*'Plan mensual'!D279+parametros_recargas!$H$84*'Plan mensual'!D280+parametros_recargas!$I$84*'Plan mensual'!D281+parametros_recargas!$J$84*'Plan mensual'!D282+parametros_recargas!$K$84*'Plan mensual'!D283+parametros_recargas!$L$84*'Plan mensual'!D284</f>
        <v>1697.45862807866</v>
      </c>
      <c r="C270" s="25" t="n">
        <f aca="false">parametros_recargas!$E$84*'Plan mensual'!E277+parametros_recargas!$F$84*'Plan mensual'!E278+parametros_recargas!$G$84*'Plan mensual'!E279+parametros_recargas!$H$84*'Plan mensual'!E280+parametros_recargas!$I$84*'Plan mensual'!E281+parametros_recargas!$J$84*'Plan mensual'!E282+parametros_recargas!$K$84*'Plan mensual'!E283+parametros_recargas!$L$84*'Plan mensual'!E284</f>
        <v>1707.06179413177</v>
      </c>
      <c r="D270" s="25" t="n">
        <f aca="false">parametros_recargas!$E$84*'Plan mensual'!F277+parametros_recargas!$F$84*'Plan mensual'!F278+parametros_recargas!$G$84*'Plan mensual'!F279+parametros_recargas!$H$84*'Plan mensual'!F280+parametros_recargas!$I$84*'Plan mensual'!F281+parametros_recargas!$J$84*'Plan mensual'!F282+parametros_recargas!$K$84*'Plan mensual'!F283+parametros_recargas!$L$84*'Plan mensual'!F284</f>
        <v>1716.72058711514</v>
      </c>
      <c r="E270" s="25" t="n">
        <f aca="false">parametros_recargas!$E$84*'Plan mensual'!G277+parametros_recargas!$F$84*'Plan mensual'!G278+parametros_recargas!$G$84*'Plan mensual'!G279+parametros_recargas!$H$84*'Plan mensual'!G280+parametros_recargas!$I$84*'Plan mensual'!G281+parametros_recargas!$J$84*'Plan mensual'!G282+parametros_recargas!$K$84*'Plan mensual'!G283+parametros_recargas!$L$84*'Plan mensual'!G284</f>
        <v>1726.43532925119</v>
      </c>
      <c r="F270" s="25" t="n">
        <f aca="false">parametros_recargas!$E$84*'Plan mensual'!H277+parametros_recargas!$F$84*'Plan mensual'!H278+parametros_recargas!$G$84*'Plan mensual'!H279+parametros_recargas!$H$84*'Plan mensual'!H280+parametros_recargas!$I$84*'Plan mensual'!H281+parametros_recargas!$J$84*'Plan mensual'!H282+parametros_recargas!$K$84*'Plan mensual'!H283+parametros_recargas!$L$84*'Plan mensual'!H284</f>
        <v>1736.20634462883</v>
      </c>
      <c r="G270" s="25" t="n">
        <f aca="false">parametros_recargas!$E$84*'Plan mensual'!I277+parametros_recargas!$F$84*'Plan mensual'!I278+parametros_recargas!$G$84*'Plan mensual'!I279+parametros_recargas!$H$84*'Plan mensual'!I280+parametros_recargas!$I$84*'Plan mensual'!I281+parametros_recargas!$J$84*'Plan mensual'!I282+parametros_recargas!$K$84*'Plan mensual'!I283+parametros_recargas!$L$84*'Plan mensual'!I284</f>
        <v>1746.03395921428</v>
      </c>
      <c r="H270" s="25" t="n">
        <f aca="false">parametros_recargas!$E$84*'Plan mensual'!J277+parametros_recargas!$F$84*'Plan mensual'!J278+parametros_recargas!$G$84*'Plan mensual'!J279+parametros_recargas!$H$84*'Plan mensual'!J280+parametros_recargas!$I$84*'Plan mensual'!J281+parametros_recargas!$J$84*'Plan mensual'!J282+parametros_recargas!$K$84*'Plan mensual'!J283+parametros_recargas!$L$84*'Plan mensual'!J284</f>
        <v>1755.91850086192</v>
      </c>
      <c r="I270" s="25" t="n">
        <f aca="false">parametros_recargas!$E$84*'Plan mensual'!K277+parametros_recargas!$F$84*'Plan mensual'!K278+parametros_recargas!$G$84*'Plan mensual'!K279+parametros_recargas!$H$84*'Plan mensual'!K280+parametros_recargas!$I$84*'Plan mensual'!K281+parametros_recargas!$J$84*'Plan mensual'!K282+parametros_recargas!$K$84*'Plan mensual'!K283+parametros_recargas!$L$84*'Plan mensual'!K284</f>
        <v>1765.86029932527</v>
      </c>
      <c r="J270" s="25" t="n">
        <f aca="false">parametros_recargas!$E$84*'Plan mensual'!L277+parametros_recargas!$F$84*'Plan mensual'!L278+parametros_recargas!$G$84*'Plan mensual'!L279+parametros_recargas!$H$84*'Plan mensual'!L280+parametros_recargas!$I$84*'Plan mensual'!L281+parametros_recargas!$J$84*'Plan mensual'!L282+parametros_recargas!$K$84*'Plan mensual'!L283+parametros_recargas!$L$84*'Plan mensual'!L284</f>
        <v>1775.85968626796</v>
      </c>
      <c r="K270" s="25" t="n">
        <f aca="false">parametros_recargas!$E$84*'Plan mensual'!M277+parametros_recargas!$F$84*'Plan mensual'!M278+parametros_recargas!$G$84*'Plan mensual'!M279+parametros_recargas!$H$84*'Plan mensual'!M280+parametros_recargas!$I$84*'Plan mensual'!M281+parametros_recargas!$J$84*'Plan mensual'!M282+parametros_recargas!$K$84*'Plan mensual'!M283+parametros_recargas!$L$84*'Plan mensual'!M284</f>
        <v>1785.9169952748</v>
      </c>
      <c r="L270" s="25" t="n">
        <f aca="false">parametros_recargas!$E$84*'Plan mensual'!N277+parametros_recargas!$F$84*'Plan mensual'!N278+parametros_recargas!$G$84*'Plan mensual'!N279+parametros_recargas!$H$84*'Plan mensual'!N280+parametros_recargas!$I$84*'Plan mensual'!N281+parametros_recargas!$J$84*'Plan mensual'!N282+parametros_recargas!$K$84*'Plan mensual'!N283+parametros_recargas!$L$84*'Plan mensual'!N284</f>
        <v>1796.03256186291</v>
      </c>
      <c r="M270" s="25" t="n">
        <f aca="false">parametros_recargas!$E$84*'Plan mensual'!O277+parametros_recargas!$F$84*'Plan mensual'!O278+parametros_recargas!$G$84*'Plan mensual'!O279+parametros_recargas!$H$84*'Plan mensual'!O280+parametros_recargas!$I$84*'Plan mensual'!O281+parametros_recargas!$J$84*'Plan mensual'!O282+parametros_recargas!$K$84*'Plan mensual'!O283+parametros_recargas!$L$84*'Plan mensual'!O284</f>
        <v>1806.2067234929</v>
      </c>
      <c r="N270" s="7" t="n">
        <f aca="false">SUM(B270:M270)</f>
        <v>21015.7114095056</v>
      </c>
      <c r="O270" s="26" t="n">
        <f aca="false">MAX(B270:M270)</f>
        <v>1806.2067234929</v>
      </c>
      <c r="P270" s="15" t="n">
        <f aca="false">O270/parametros_recargas!$B$6</f>
        <v>12.0413781566193</v>
      </c>
    </row>
    <row r="271" customFormat="false" ht="15" hidden="false" customHeight="false" outlineLevel="0" collapsed="false">
      <c r="A271" s="12" t="str">
        <f aca="false">parametros_recargas!$B$85</f>
        <v>Inspección interior con videoscopio</v>
      </c>
      <c r="B271" s="25" t="n">
        <f aca="false">parametros_recargas!$E$85*'Plan mensual'!D277+parametros_recargas!$F$85*'Plan mensual'!D278+parametros_recargas!$G$85*'Plan mensual'!D279+parametros_recargas!$H$85*'Plan mensual'!D280+parametros_recargas!$I$85*'Plan mensual'!D281+parametros_recargas!$J$85*'Plan mensual'!D282+parametros_recargas!$K$85*'Plan mensual'!D283+parametros_recargas!$L$85*'Plan mensual'!D284</f>
        <v>1697.45862807866</v>
      </c>
      <c r="C271" s="25" t="n">
        <f aca="false">parametros_recargas!$E$85*'Plan mensual'!E277+parametros_recargas!$F$85*'Plan mensual'!E278+parametros_recargas!$G$85*'Plan mensual'!E279+parametros_recargas!$H$85*'Plan mensual'!E280+parametros_recargas!$I$85*'Plan mensual'!E281+parametros_recargas!$J$85*'Plan mensual'!E282+parametros_recargas!$K$85*'Plan mensual'!E283+parametros_recargas!$L$85*'Plan mensual'!E284</f>
        <v>1707.06179413177</v>
      </c>
      <c r="D271" s="25" t="n">
        <f aca="false">parametros_recargas!$E$85*'Plan mensual'!F277+parametros_recargas!$F$85*'Plan mensual'!F278+parametros_recargas!$G$85*'Plan mensual'!F279+parametros_recargas!$H$85*'Plan mensual'!F280+parametros_recargas!$I$85*'Plan mensual'!F281+parametros_recargas!$J$85*'Plan mensual'!F282+parametros_recargas!$K$85*'Plan mensual'!F283+parametros_recargas!$L$85*'Plan mensual'!F284</f>
        <v>1716.72058711514</v>
      </c>
      <c r="E271" s="25" t="n">
        <f aca="false">parametros_recargas!$E$85*'Plan mensual'!G277+parametros_recargas!$F$85*'Plan mensual'!G278+parametros_recargas!$G$85*'Plan mensual'!G279+parametros_recargas!$H$85*'Plan mensual'!G280+parametros_recargas!$I$85*'Plan mensual'!G281+parametros_recargas!$J$85*'Plan mensual'!G282+parametros_recargas!$K$85*'Plan mensual'!G283+parametros_recargas!$L$85*'Plan mensual'!G284</f>
        <v>1726.43532925119</v>
      </c>
      <c r="F271" s="25" t="n">
        <f aca="false">parametros_recargas!$E$85*'Plan mensual'!H277+parametros_recargas!$F$85*'Plan mensual'!H278+parametros_recargas!$G$85*'Plan mensual'!H279+parametros_recargas!$H$85*'Plan mensual'!H280+parametros_recargas!$I$85*'Plan mensual'!H281+parametros_recargas!$J$85*'Plan mensual'!H282+parametros_recargas!$K$85*'Plan mensual'!H283+parametros_recargas!$L$85*'Plan mensual'!H284</f>
        <v>1736.20634462883</v>
      </c>
      <c r="G271" s="25" t="n">
        <f aca="false">parametros_recargas!$E$85*'Plan mensual'!I277+parametros_recargas!$F$85*'Plan mensual'!I278+parametros_recargas!$G$85*'Plan mensual'!I279+parametros_recargas!$H$85*'Plan mensual'!I280+parametros_recargas!$I$85*'Plan mensual'!I281+parametros_recargas!$J$85*'Plan mensual'!I282+parametros_recargas!$K$85*'Plan mensual'!I283+parametros_recargas!$L$85*'Plan mensual'!I284</f>
        <v>1746.03395921428</v>
      </c>
      <c r="H271" s="25" t="n">
        <f aca="false">parametros_recargas!$E$85*'Plan mensual'!J277+parametros_recargas!$F$85*'Plan mensual'!J278+parametros_recargas!$G$85*'Plan mensual'!J279+parametros_recargas!$H$85*'Plan mensual'!J280+parametros_recargas!$I$85*'Plan mensual'!J281+parametros_recargas!$J$85*'Plan mensual'!J282+parametros_recargas!$K$85*'Plan mensual'!J283+parametros_recargas!$L$85*'Plan mensual'!J284</f>
        <v>1755.91850086192</v>
      </c>
      <c r="I271" s="25" t="n">
        <f aca="false">parametros_recargas!$E$85*'Plan mensual'!K277+parametros_recargas!$F$85*'Plan mensual'!K278+parametros_recargas!$G$85*'Plan mensual'!K279+parametros_recargas!$H$85*'Plan mensual'!K280+parametros_recargas!$I$85*'Plan mensual'!K281+parametros_recargas!$J$85*'Plan mensual'!K282+parametros_recargas!$K$85*'Plan mensual'!K283+parametros_recargas!$L$85*'Plan mensual'!K284</f>
        <v>1765.86029932527</v>
      </c>
      <c r="J271" s="25" t="n">
        <f aca="false">parametros_recargas!$E$85*'Plan mensual'!L277+parametros_recargas!$F$85*'Plan mensual'!L278+parametros_recargas!$G$85*'Plan mensual'!L279+parametros_recargas!$H$85*'Plan mensual'!L280+parametros_recargas!$I$85*'Plan mensual'!L281+parametros_recargas!$J$85*'Plan mensual'!L282+parametros_recargas!$K$85*'Plan mensual'!L283+parametros_recargas!$L$85*'Plan mensual'!L284</f>
        <v>1775.85968626796</v>
      </c>
      <c r="K271" s="25" t="n">
        <f aca="false">parametros_recargas!$E$85*'Plan mensual'!M277+parametros_recargas!$F$85*'Plan mensual'!M278+parametros_recargas!$G$85*'Plan mensual'!M279+parametros_recargas!$H$85*'Plan mensual'!M280+parametros_recargas!$I$85*'Plan mensual'!M281+parametros_recargas!$J$85*'Plan mensual'!M282+parametros_recargas!$K$85*'Plan mensual'!M283+parametros_recargas!$L$85*'Plan mensual'!M284</f>
        <v>1785.9169952748</v>
      </c>
      <c r="L271" s="25" t="n">
        <f aca="false">parametros_recargas!$E$85*'Plan mensual'!N277+parametros_recargas!$F$85*'Plan mensual'!N278+parametros_recargas!$G$85*'Plan mensual'!N279+parametros_recargas!$H$85*'Plan mensual'!N280+parametros_recargas!$I$85*'Plan mensual'!N281+parametros_recargas!$J$85*'Plan mensual'!N282+parametros_recargas!$K$85*'Plan mensual'!N283+parametros_recargas!$L$85*'Plan mensual'!N284</f>
        <v>1796.03256186291</v>
      </c>
      <c r="M271" s="25" t="n">
        <f aca="false">parametros_recargas!$E$85*'Plan mensual'!O277+parametros_recargas!$F$85*'Plan mensual'!O278+parametros_recargas!$G$85*'Plan mensual'!O279+parametros_recargas!$H$85*'Plan mensual'!O280+parametros_recargas!$I$85*'Plan mensual'!O281+parametros_recargas!$J$85*'Plan mensual'!O282+parametros_recargas!$K$85*'Plan mensual'!O283+parametros_recargas!$L$85*'Plan mensual'!O284</f>
        <v>1806.2067234929</v>
      </c>
      <c r="N271" s="7" t="n">
        <f aca="false">SUM(B271:M271)</f>
        <v>21015.7114095056</v>
      </c>
      <c r="O271" s="26" t="n">
        <f aca="false">MAX(B271:M271)</f>
        <v>1806.2067234929</v>
      </c>
      <c r="P271" s="15" t="n">
        <f aca="false">O271/parametros_recargas!$B$6</f>
        <v>12.0413781566193</v>
      </c>
    </row>
    <row r="272" customFormat="false" ht="15" hidden="false" customHeight="false" outlineLevel="0" collapsed="false">
      <c r="A272" s="12" t="str">
        <f aca="false">parametros_recargas!$B$86</f>
        <v>Pintura</v>
      </c>
      <c r="B272" s="25" t="n">
        <f aca="false">parametros_recargas!$E$86*'Plan mensual'!D277+parametros_recargas!$F$86*'Plan mensual'!D278+parametros_recargas!$G$86*'Plan mensual'!D279+parametros_recargas!$H$86*'Plan mensual'!D280+parametros_recargas!$I$86*'Plan mensual'!D281+parametros_recargas!$J$86*'Plan mensual'!D282+parametros_recargas!$K$86*'Plan mensual'!D283+parametros_recargas!$L$86*'Plan mensual'!D284</f>
        <v>849.151608257794</v>
      </c>
      <c r="C272" s="25" t="n">
        <f aca="false">parametros_recargas!$E$86*'Plan mensual'!E277+parametros_recargas!$F$86*'Plan mensual'!E278+parametros_recargas!$G$86*'Plan mensual'!E279+parametros_recargas!$H$86*'Plan mensual'!E280+parametros_recargas!$I$86*'Plan mensual'!E281+parametros_recargas!$J$86*'Plan mensual'!E282+parametros_recargas!$K$86*'Plan mensual'!E283+parametros_recargas!$L$86*'Plan mensual'!E284</f>
        <v>853.952685656779</v>
      </c>
      <c r="D272" s="25" t="n">
        <f aca="false">parametros_recargas!$E$86*'Plan mensual'!F277+parametros_recargas!$F$86*'Plan mensual'!F278+parametros_recargas!$G$86*'Plan mensual'!F279+parametros_recargas!$H$86*'Plan mensual'!F280+parametros_recargas!$I$86*'Plan mensual'!F281+parametros_recargas!$J$86*'Plan mensual'!F282+parametros_recargas!$K$86*'Plan mensual'!F283+parametros_recargas!$L$86*'Plan mensual'!F284</f>
        <v>858.781573592016</v>
      </c>
      <c r="E272" s="25" t="n">
        <f aca="false">parametros_recargas!$E$86*'Plan mensual'!G277+parametros_recargas!$F$86*'Plan mensual'!G278+parametros_recargas!$G$86*'Plan mensual'!G279+parametros_recargas!$H$86*'Plan mensual'!G280+parametros_recargas!$I$86*'Plan mensual'!G281+parametros_recargas!$J$86*'Plan mensual'!G282+parametros_recargas!$K$86*'Plan mensual'!G283+parametros_recargas!$L$86*'Plan mensual'!G284</f>
        <v>863.63843315775</v>
      </c>
      <c r="F272" s="25" t="n">
        <f aca="false">parametros_recargas!$E$86*'Plan mensual'!H277+parametros_recargas!$F$86*'Plan mensual'!H278+parametros_recargas!$G$86*'Plan mensual'!H279+parametros_recargas!$H$86*'Plan mensual'!H280+parametros_recargas!$I$86*'Plan mensual'!H281+parametros_recargas!$J$86*'Plan mensual'!H282+parametros_recargas!$K$86*'Plan mensual'!H283+parametros_recargas!$L$86*'Plan mensual'!H284</f>
        <v>868.523426381369</v>
      </c>
      <c r="G272" s="25" t="n">
        <f aca="false">parametros_recargas!$E$86*'Plan mensual'!I277+parametros_recargas!$F$86*'Plan mensual'!I278+parametros_recargas!$G$86*'Plan mensual'!I279+parametros_recargas!$H$86*'Plan mensual'!I280+parametros_recargas!$I$86*'Plan mensual'!I281+parametros_recargas!$J$86*'Plan mensual'!I282+parametros_recargas!$K$86*'Plan mensual'!I283+parametros_recargas!$L$86*'Plan mensual'!I284</f>
        <v>873.43671622882</v>
      </c>
      <c r="H272" s="25" t="n">
        <f aca="false">parametros_recargas!$E$86*'Plan mensual'!J277+parametros_recargas!$F$86*'Plan mensual'!J278+parametros_recargas!$G$86*'Plan mensual'!J279+parametros_recargas!$H$86*'Plan mensual'!J280+parametros_recargas!$I$86*'Plan mensual'!J281+parametros_recargas!$J$86*'Plan mensual'!J282+parametros_recargas!$K$86*'Plan mensual'!J283+parametros_recargas!$L$86*'Plan mensual'!J284</f>
        <v>878.378466610037</v>
      </c>
      <c r="I272" s="25" t="n">
        <f aca="false">parametros_recargas!$E$86*'Plan mensual'!K277+parametros_recargas!$F$86*'Plan mensual'!K278+parametros_recargas!$G$86*'Plan mensual'!K279+parametros_recargas!$H$86*'Plan mensual'!K280+parametros_recargas!$I$86*'Plan mensual'!K281+parametros_recargas!$J$86*'Plan mensual'!K282+parametros_recargas!$K$86*'Plan mensual'!K283+parametros_recargas!$L$86*'Plan mensual'!K284</f>
        <v>883.348842384412</v>
      </c>
      <c r="J272" s="25" t="n">
        <f aca="false">parametros_recargas!$E$86*'Plan mensual'!L277+parametros_recargas!$F$86*'Plan mensual'!L278+parametros_recargas!$G$86*'Plan mensual'!L279+parametros_recargas!$H$86*'Plan mensual'!L280+parametros_recargas!$I$86*'Plan mensual'!L281+parametros_recargas!$J$86*'Plan mensual'!L282+parametros_recargas!$K$86*'Plan mensual'!L283+parametros_recargas!$L$86*'Plan mensual'!L284</f>
        <v>888.348009366297</v>
      </c>
      <c r="K272" s="25" t="n">
        <f aca="false">parametros_recargas!$E$86*'Plan mensual'!M277+parametros_recargas!$F$86*'Plan mensual'!M278+parametros_recargas!$G$86*'Plan mensual'!M279+parametros_recargas!$H$86*'Plan mensual'!M280+parametros_recargas!$I$86*'Plan mensual'!M281+parametros_recargas!$J$86*'Plan mensual'!M282+parametros_recargas!$K$86*'Plan mensual'!M283+parametros_recargas!$L$86*'Plan mensual'!M284</f>
        <v>893.376134330533</v>
      </c>
      <c r="L272" s="25" t="n">
        <f aca="false">parametros_recargas!$E$86*'Plan mensual'!N277+parametros_recargas!$F$86*'Plan mensual'!N278+parametros_recargas!$G$86*'Plan mensual'!N279+parametros_recargas!$H$86*'Plan mensual'!N280+parametros_recargas!$I$86*'Plan mensual'!N281+parametros_recargas!$J$86*'Plan mensual'!N282+parametros_recargas!$K$86*'Plan mensual'!N283+parametros_recargas!$L$86*'Plan mensual'!N284</f>
        <v>898.433385018014</v>
      </c>
      <c r="M272" s="25" t="n">
        <f aca="false">parametros_recargas!$E$86*'Plan mensual'!O277+parametros_recargas!$F$86*'Plan mensual'!O278+parametros_recargas!$G$86*'Plan mensual'!O279+parametros_recargas!$H$86*'Plan mensual'!O280+parametros_recargas!$I$86*'Plan mensual'!O281+parametros_recargas!$J$86*'Plan mensual'!O282+parametros_recargas!$K$86*'Plan mensual'!O283+parametros_recargas!$L$86*'Plan mensual'!O284</f>
        <v>903.519930141285</v>
      </c>
      <c r="N272" s="7" t="n">
        <f aca="false">SUM(B272:M272)</f>
        <v>10512.8892111251</v>
      </c>
      <c r="O272" s="26" t="n">
        <f aca="false">MAX(B272:M272)</f>
        <v>903.519930141285</v>
      </c>
      <c r="P272" s="15" t="n">
        <f aca="false">O272/parametros_recargas!$B$6</f>
        <v>6.0234662009419</v>
      </c>
    </row>
    <row r="273" customFormat="false" ht="15" hidden="false" customHeight="false" outlineLevel="0" collapsed="false">
      <c r="A273" s="12" t="str">
        <f aca="false">parametros_recargas!$B$87</f>
        <v>Carga de polvo ABC</v>
      </c>
      <c r="B273" s="25" t="n">
        <f aca="false">parametros_recargas!$E$87*'Plan mensual'!D277+parametros_recargas!$F$87*'Plan mensual'!D278+parametros_recargas!$G$87*'Plan mensual'!D279+parametros_recargas!$H$87*'Plan mensual'!D280+parametros_recargas!$I$87*'Plan mensual'!D281+parametros_recargas!$J$87*'Plan mensual'!D282+parametros_recargas!$K$87*'Plan mensual'!D283+parametros_recargas!$L$87*'Plan mensual'!D284</f>
        <v>7384.33100970305</v>
      </c>
      <c r="C273" s="25" t="n">
        <f aca="false">parametros_recargas!$E$87*'Plan mensual'!E277+parametros_recargas!$F$87*'Plan mensual'!E278+parametros_recargas!$G$87*'Plan mensual'!E279+parametros_recargas!$H$87*'Plan mensual'!E280+parametros_recargas!$I$87*'Plan mensual'!E281+parametros_recargas!$J$87*'Plan mensual'!E282+parametros_recargas!$K$87*'Plan mensual'!E283+parametros_recargas!$L$87*'Plan mensual'!E284</f>
        <v>7426.157634925</v>
      </c>
      <c r="D273" s="25" t="n">
        <f aca="false">parametros_recargas!$E$87*'Plan mensual'!F277+parametros_recargas!$F$87*'Plan mensual'!F278+parametros_recargas!$G$87*'Plan mensual'!F279+parametros_recargas!$H$87*'Plan mensual'!F280+parametros_recargas!$I$87*'Plan mensual'!F281+parametros_recargas!$J$87*'Plan mensual'!F282+parametros_recargas!$K$87*'Plan mensual'!F283+parametros_recargas!$L$87*'Plan mensual'!F284</f>
        <v>7468.22654344722</v>
      </c>
      <c r="E273" s="25" t="n">
        <f aca="false">parametros_recargas!$E$87*'Plan mensual'!G277+parametros_recargas!$F$87*'Plan mensual'!G278+parametros_recargas!$G$87*'Plan mensual'!G279+parametros_recargas!$H$87*'Plan mensual'!G280+parametros_recargas!$I$87*'Plan mensual'!G281+parametros_recargas!$J$87*'Plan mensual'!G282+parametros_recargas!$K$87*'Plan mensual'!G283+parametros_recargas!$L$87*'Plan mensual'!G284</f>
        <v>7510.53913871064</v>
      </c>
      <c r="F273" s="25" t="n">
        <f aca="false">parametros_recargas!$E$87*'Plan mensual'!H277+parametros_recargas!$F$87*'Plan mensual'!H278+parametros_recargas!$G$87*'Plan mensual'!H279+parametros_recargas!$H$87*'Plan mensual'!H280+parametros_recargas!$I$87*'Plan mensual'!H281+parametros_recargas!$J$87*'Plan mensual'!H282+parametros_recargas!$K$87*'Plan mensual'!H283+parametros_recargas!$L$87*'Plan mensual'!H284</f>
        <v>7553.0968322857</v>
      </c>
      <c r="G273" s="25" t="n">
        <f aca="false">parametros_recargas!$E$87*'Plan mensual'!I277+parametros_recargas!$F$87*'Plan mensual'!I278+parametros_recargas!$G$87*'Plan mensual'!I279+parametros_recargas!$H$87*'Plan mensual'!I280+parametros_recargas!$I$87*'Plan mensual'!I281+parametros_recargas!$J$87*'Plan mensual'!I282+parametros_recargas!$K$87*'Plan mensual'!I283+parametros_recargas!$L$87*'Plan mensual'!I284</f>
        <v>7595.90104391944</v>
      </c>
      <c r="H273" s="25" t="n">
        <f aca="false">parametros_recargas!$E$87*'Plan mensual'!J277+parametros_recargas!$F$87*'Plan mensual'!J278+parametros_recargas!$G$87*'Plan mensual'!J279+parametros_recargas!$H$87*'Plan mensual'!J280+parametros_recargas!$I$87*'Plan mensual'!J281+parametros_recargas!$J$87*'Plan mensual'!J282+parametros_recargas!$K$87*'Plan mensual'!J283+parametros_recargas!$L$87*'Plan mensual'!J284</f>
        <v>7638.95320158291</v>
      </c>
      <c r="I273" s="25" t="n">
        <f aca="false">parametros_recargas!$E$87*'Plan mensual'!K277+parametros_recargas!$F$87*'Plan mensual'!K278+parametros_recargas!$G$87*'Plan mensual'!K279+parametros_recargas!$H$87*'Plan mensual'!K280+parametros_recargas!$I$87*'Plan mensual'!K281+parametros_recargas!$J$87*'Plan mensual'!K282+parametros_recargas!$K$87*'Plan mensual'!K283+parametros_recargas!$L$87*'Plan mensual'!K284</f>
        <v>7682.25474151872</v>
      </c>
      <c r="J273" s="25" t="n">
        <f aca="false">parametros_recargas!$E$87*'Plan mensual'!L277+parametros_recargas!$F$87*'Plan mensual'!L278+parametros_recargas!$G$87*'Plan mensual'!L279+parametros_recargas!$H$87*'Plan mensual'!L280+parametros_recargas!$I$87*'Plan mensual'!L281+parametros_recargas!$J$87*'Plan mensual'!L282+parametros_recargas!$K$87*'Plan mensual'!L283+parametros_recargas!$L$87*'Plan mensual'!L284</f>
        <v>7725.80710828903</v>
      </c>
      <c r="K273" s="25" t="n">
        <f aca="false">parametros_recargas!$E$87*'Plan mensual'!M277+parametros_recargas!$F$87*'Plan mensual'!M278+parametros_recargas!$G$87*'Plan mensual'!M279+parametros_recargas!$H$87*'Plan mensual'!M280+parametros_recargas!$I$87*'Plan mensual'!M281+parametros_recargas!$J$87*'Plan mensual'!M282+parametros_recargas!$K$87*'Plan mensual'!M283+parametros_recargas!$L$87*'Plan mensual'!M284</f>
        <v>7769.61175482373</v>
      </c>
      <c r="L273" s="25" t="n">
        <f aca="false">parametros_recargas!$E$87*'Plan mensual'!N277+parametros_recargas!$F$87*'Plan mensual'!N278+parametros_recargas!$G$87*'Plan mensual'!N279+parametros_recargas!$H$87*'Plan mensual'!N280+parametros_recargas!$I$87*'Plan mensual'!N281+parametros_recargas!$J$87*'Plan mensual'!N282+parametros_recargas!$K$87*'Plan mensual'!N283+parametros_recargas!$L$87*'Plan mensual'!N284</f>
        <v>7813.67014246886</v>
      </c>
      <c r="M273" s="25" t="n">
        <f aca="false">parametros_recargas!$E$87*'Plan mensual'!O277+parametros_recargas!$F$87*'Plan mensual'!O278+parametros_recargas!$G$87*'Plan mensual'!O279+parametros_recargas!$H$87*'Plan mensual'!O280+parametros_recargas!$I$87*'Plan mensual'!O281+parametros_recargas!$J$87*'Plan mensual'!O282+parametros_recargas!$K$87*'Plan mensual'!O283+parametros_recargas!$L$87*'Plan mensual'!O284</f>
        <v>7857.98374103542</v>
      </c>
      <c r="N273" s="7" t="n">
        <f aca="false">SUM(B273:M273)</f>
        <v>91426.5328927097</v>
      </c>
      <c r="O273" s="26" t="n">
        <f aca="false">MAX(B273:M273)</f>
        <v>7857.98374103542</v>
      </c>
      <c r="P273" s="15" t="n">
        <f aca="false">O273/parametros_recargas!$B$6</f>
        <v>52.3865582735695</v>
      </c>
    </row>
    <row r="274" customFormat="false" ht="15" hidden="false" customHeight="false" outlineLevel="0" collapsed="false">
      <c r="A274" s="12" t="str">
        <f aca="false">parametros_recargas!$B$88</f>
        <v>Carga de polvo BC</v>
      </c>
      <c r="B274" s="25" t="n">
        <f aca="false">parametros_recargas!$E$88*'Plan mensual'!D277+parametros_recargas!$F$88*'Plan mensual'!D278+parametros_recargas!$G$88*'Plan mensual'!D279+parametros_recargas!$H$88*'Plan mensual'!D280+parametros_recargas!$I$88*'Plan mensual'!D281+parametros_recargas!$J$88*'Plan mensual'!D282+parametros_recargas!$K$88*'Plan mensual'!D283+parametros_recargas!$L$88*'Plan mensual'!D284</f>
        <v>10.9540216599496</v>
      </c>
      <c r="C274" s="25" t="n">
        <f aca="false">parametros_recargas!$E$88*'Plan mensual'!E277+parametros_recargas!$F$88*'Plan mensual'!E278+parametros_recargas!$G$88*'Plan mensual'!E279+parametros_recargas!$H$88*'Plan mensual'!E280+parametros_recargas!$I$88*'Plan mensual'!E281+parametros_recargas!$J$88*'Plan mensual'!E282+parametros_recargas!$K$88*'Plan mensual'!E283+parametros_recargas!$L$88*'Plan mensual'!E284</f>
        <v>11.0140945102101</v>
      </c>
      <c r="D274" s="25" t="n">
        <f aca="false">parametros_recargas!$E$88*'Plan mensual'!F277+parametros_recargas!$F$88*'Plan mensual'!F278+parametros_recargas!$G$88*'Plan mensual'!F279+parametros_recargas!$H$88*'Plan mensual'!F280+parametros_recargas!$I$88*'Plan mensual'!F281+parametros_recargas!$J$88*'Plan mensual'!F282+parametros_recargas!$K$88*'Plan mensual'!F283+parametros_recargas!$L$88*'Plan mensual'!F284</f>
        <v>11.074515336152</v>
      </c>
      <c r="E274" s="25" t="n">
        <f aca="false">parametros_recargas!$E$88*'Plan mensual'!G277+parametros_recargas!$F$88*'Plan mensual'!G278+parametros_recargas!$G$88*'Plan mensual'!G279+parametros_recargas!$H$88*'Plan mensual'!G280+parametros_recargas!$I$88*'Plan mensual'!G281+parametros_recargas!$J$88*'Plan mensual'!G282+parametros_recargas!$K$88*'Plan mensual'!G283+parametros_recargas!$L$88*'Plan mensual'!G284</f>
        <v>11.1352861534461</v>
      </c>
      <c r="F274" s="25" t="n">
        <f aca="false">parametros_recargas!$E$88*'Plan mensual'!H277+parametros_recargas!$F$88*'Plan mensual'!H278+parametros_recargas!$G$88*'Plan mensual'!H279+parametros_recargas!$H$88*'Plan mensual'!H280+parametros_recargas!$I$88*'Plan mensual'!H281+parametros_recargas!$J$88*'Plan mensual'!H282+parametros_recargas!$K$88*'Plan mensual'!H283+parametros_recargas!$L$88*'Plan mensual'!H284</f>
        <v>11.1964089894387</v>
      </c>
      <c r="G274" s="25" t="n">
        <f aca="false">parametros_recargas!$E$88*'Plan mensual'!I277+parametros_recargas!$F$88*'Plan mensual'!I278+parametros_recargas!$G$88*'Plan mensual'!I279+parametros_recargas!$H$88*'Plan mensual'!I280+parametros_recargas!$I$88*'Plan mensual'!I281+parametros_recargas!$J$88*'Plan mensual'!I282+parametros_recargas!$K$88*'Plan mensual'!I283+parametros_recargas!$L$88*'Plan mensual'!I284</f>
        <v>11.2578858832198</v>
      </c>
      <c r="H274" s="25" t="n">
        <f aca="false">parametros_recargas!$E$88*'Plan mensual'!J277+parametros_recargas!$F$88*'Plan mensual'!J278+parametros_recargas!$G$88*'Plan mensual'!J279+parametros_recargas!$H$88*'Plan mensual'!J280+parametros_recargas!$I$88*'Plan mensual'!J281+parametros_recargas!$J$88*'Plan mensual'!J282+parametros_recargas!$K$88*'Plan mensual'!J283+parametros_recargas!$L$88*'Plan mensual'!J284</f>
        <v>11.3197188856908</v>
      </c>
      <c r="I274" s="25" t="n">
        <f aca="false">parametros_recargas!$E$88*'Plan mensual'!K277+parametros_recargas!$F$88*'Plan mensual'!K278+parametros_recargas!$G$88*'Plan mensual'!K279+parametros_recargas!$H$88*'Plan mensual'!K280+parametros_recargas!$I$88*'Plan mensual'!K281+parametros_recargas!$J$88*'Plan mensual'!K282+parametros_recargas!$K$88*'Plan mensual'!K283+parametros_recargas!$L$88*'Plan mensual'!K284</f>
        <v>11.3819100596335</v>
      </c>
      <c r="J274" s="25" t="n">
        <f aca="false">parametros_recargas!$E$88*'Plan mensual'!L277+parametros_recargas!$F$88*'Plan mensual'!L278+parametros_recargas!$G$88*'Plan mensual'!L279+parametros_recargas!$H$88*'Plan mensual'!L280+parametros_recargas!$I$88*'Plan mensual'!L281+parametros_recargas!$J$88*'Plan mensual'!L282+parametros_recargas!$K$88*'Plan mensual'!L283+parametros_recargas!$L$88*'Plan mensual'!L284</f>
        <v>11.4444614797779</v>
      </c>
      <c r="K274" s="25" t="n">
        <f aca="false">parametros_recargas!$E$88*'Plan mensual'!M277+parametros_recargas!$F$88*'Plan mensual'!M278+parametros_recargas!$G$88*'Plan mensual'!M279+parametros_recargas!$H$88*'Plan mensual'!M280+parametros_recargas!$I$88*'Plan mensual'!M281+parametros_recargas!$J$88*'Plan mensual'!M282+parametros_recargas!$K$88*'Plan mensual'!M283+parametros_recargas!$L$88*'Plan mensual'!M284</f>
        <v>11.5073752328724</v>
      </c>
      <c r="L274" s="25" t="n">
        <f aca="false">parametros_recargas!$E$88*'Plan mensual'!N277+parametros_recargas!$F$88*'Plan mensual'!N278+parametros_recargas!$G$88*'Plan mensual'!N279+parametros_recargas!$H$88*'Plan mensual'!N280+parametros_recargas!$I$88*'Plan mensual'!N281+parametros_recargas!$J$88*'Plan mensual'!N282+parametros_recargas!$K$88*'Plan mensual'!N283+parametros_recargas!$L$88*'Plan mensual'!N284</f>
        <v>11.5706534177529</v>
      </c>
      <c r="M274" s="25" t="n">
        <f aca="false">parametros_recargas!$E$88*'Plan mensual'!O277+parametros_recargas!$F$88*'Plan mensual'!O278+parametros_recargas!$G$88*'Plan mensual'!O279+parametros_recargas!$H$88*'Plan mensual'!O280+parametros_recargas!$I$88*'Plan mensual'!O281+parametros_recargas!$J$88*'Plan mensual'!O282+parametros_recargas!$K$88*'Plan mensual'!O283+parametros_recargas!$L$88*'Plan mensual'!O284</f>
        <v>11.634298145413</v>
      </c>
      <c r="N274" s="7" t="n">
        <f aca="false">SUM(B274:M274)</f>
        <v>135.490629753557</v>
      </c>
      <c r="O274" s="26" t="n">
        <f aca="false">MAX(B274:M274)</f>
        <v>11.634298145413</v>
      </c>
      <c r="P274" s="15" t="n">
        <f aca="false">O274/parametros_recargas!$B$6</f>
        <v>0.0775619876360865</v>
      </c>
    </row>
    <row r="275" customFormat="false" ht="15" hidden="false" customHeight="false" outlineLevel="0" collapsed="false">
      <c r="A275" s="12" t="str">
        <f aca="false">parametros_recargas!$B$89</f>
        <v>Descarga y carga Clase D</v>
      </c>
      <c r="B275" s="25" t="n">
        <f aca="false">parametros_recargas!$E$89*'Plan mensual'!D277+parametros_recargas!$F$89*'Plan mensual'!D278+parametros_recargas!$G$89*'Plan mensual'!D279+parametros_recargas!$H$89*'Plan mensual'!D280+parametros_recargas!$I$89*'Plan mensual'!D281+parametros_recargas!$J$89*'Plan mensual'!D282+parametros_recargas!$K$89*'Plan mensual'!D283+parametros_recargas!$L$89*'Plan mensual'!D284</f>
        <v>9.9280720466631</v>
      </c>
      <c r="C275" s="25" t="n">
        <f aca="false">parametros_recargas!$E$89*'Plan mensual'!E277+parametros_recargas!$F$89*'Plan mensual'!E278+parametros_recargas!$G$89*'Plan mensual'!E279+parametros_recargas!$H$89*'Plan mensual'!E280+parametros_recargas!$I$89*'Plan mensual'!E281+parametros_recargas!$J$89*'Plan mensual'!E282+parametros_recargas!$K$89*'Plan mensual'!E283+parametros_recargas!$L$89*'Plan mensual'!E284</f>
        <v>9.98220202065992</v>
      </c>
      <c r="D275" s="25" t="n">
        <f aca="false">parametros_recargas!$E$89*'Plan mensual'!F277+parametros_recargas!$F$89*'Plan mensual'!F278+parametros_recargas!$G$89*'Plan mensual'!F279+parametros_recargas!$H$89*'Plan mensual'!F280+parametros_recargas!$I$89*'Plan mensual'!F281+parametros_recargas!$J$89*'Plan mensual'!F282+parametros_recargas!$K$89*'Plan mensual'!F283+parametros_recargas!$L$89*'Plan mensual'!F284</f>
        <v>10.0366455458618</v>
      </c>
      <c r="E275" s="25" t="n">
        <f aca="false">parametros_recargas!$E$89*'Plan mensual'!G277+parametros_recargas!$F$89*'Plan mensual'!G278+parametros_recargas!$G$89*'Plan mensual'!G279+parametros_recargas!$H$89*'Plan mensual'!G280+parametros_recargas!$I$89*'Plan mensual'!G281+parametros_recargas!$J$89*'Plan mensual'!G282+parametros_recargas!$K$89*'Plan mensual'!G283+parametros_recargas!$L$89*'Plan mensual'!G284</f>
        <v>10.0914044385335</v>
      </c>
      <c r="F275" s="25" t="n">
        <f aca="false">parametros_recargas!$E$89*'Plan mensual'!H277+parametros_recargas!$F$89*'Plan mensual'!H278+parametros_recargas!$G$89*'Plan mensual'!H279+parametros_recargas!$H$89*'Plan mensual'!H280+parametros_recargas!$I$89*'Plan mensual'!H281+parametros_recargas!$J$89*'Plan mensual'!H282+parametros_recargas!$K$89*'Plan mensual'!H283+parametros_recargas!$L$89*'Plan mensual'!H284</f>
        <v>10.1464805254604</v>
      </c>
      <c r="G275" s="25" t="n">
        <f aca="false">parametros_recargas!$E$89*'Plan mensual'!I277+parametros_recargas!$F$89*'Plan mensual'!I278+parametros_recargas!$G$89*'Plan mensual'!I279+parametros_recargas!$H$89*'Plan mensual'!I280+parametros_recargas!$I$89*'Plan mensual'!I281+parametros_recargas!$J$89*'Plan mensual'!I282+parametros_recargas!$K$89*'Plan mensual'!I283+parametros_recargas!$L$89*'Plan mensual'!I284</f>
        <v>10.2018756440097</v>
      </c>
      <c r="H275" s="25" t="n">
        <f aca="false">parametros_recargas!$E$89*'Plan mensual'!J277+parametros_recargas!$F$89*'Plan mensual'!J278+parametros_recargas!$G$89*'Plan mensual'!J279+parametros_recargas!$H$89*'Plan mensual'!J280+parametros_recargas!$I$89*'Plan mensual'!J281+parametros_recargas!$J$89*'Plan mensual'!J282+parametros_recargas!$K$89*'Plan mensual'!J283+parametros_recargas!$L$89*'Plan mensual'!J284</f>
        <v>10.2575916421919</v>
      </c>
      <c r="I275" s="25" t="n">
        <f aca="false">parametros_recargas!$E$89*'Plan mensual'!K277+parametros_recargas!$F$89*'Plan mensual'!K278+parametros_recargas!$G$89*'Plan mensual'!K279+parametros_recargas!$H$89*'Plan mensual'!K280+parametros_recargas!$I$89*'Plan mensual'!K281+parametros_recargas!$J$89*'Plan mensual'!K282+parametros_recargas!$K$89*'Plan mensual'!K283+parametros_recargas!$L$89*'Plan mensual'!K284</f>
        <v>10.3136303787218</v>
      </c>
      <c r="J275" s="25" t="n">
        <f aca="false">parametros_recargas!$E$89*'Plan mensual'!L277+parametros_recargas!$F$89*'Plan mensual'!L278+parametros_recargas!$G$89*'Plan mensual'!L279+parametros_recargas!$H$89*'Plan mensual'!L280+parametros_recargas!$I$89*'Plan mensual'!L281+parametros_recargas!$J$89*'Plan mensual'!L282+parametros_recargas!$K$89*'Plan mensual'!L283+parametros_recargas!$L$89*'Plan mensual'!L284</f>
        <v>10.3699937230812</v>
      </c>
      <c r="K275" s="25" t="n">
        <f aca="false">parametros_recargas!$E$89*'Plan mensual'!M277+parametros_recargas!$F$89*'Plan mensual'!M278+parametros_recargas!$G$89*'Plan mensual'!M279+parametros_recargas!$H$89*'Plan mensual'!M280+parametros_recargas!$I$89*'Plan mensual'!M281+parametros_recargas!$J$89*'Plan mensual'!M282+parametros_recargas!$K$89*'Plan mensual'!M283+parametros_recargas!$L$89*'Plan mensual'!M284</f>
        <v>10.4266835555809</v>
      </c>
      <c r="L275" s="25" t="n">
        <f aca="false">parametros_recargas!$E$89*'Plan mensual'!N277+parametros_recargas!$F$89*'Plan mensual'!N278+parametros_recargas!$G$89*'Plan mensual'!N279+parametros_recargas!$H$89*'Plan mensual'!N280+parametros_recargas!$I$89*'Plan mensual'!N281+parametros_recargas!$J$89*'Plan mensual'!N282+parametros_recargas!$K$89*'Plan mensual'!N283+parametros_recargas!$L$89*'Plan mensual'!N284</f>
        <v>10.4837017674237</v>
      </c>
      <c r="M275" s="25" t="n">
        <f aca="false">parametros_recargas!$E$89*'Plan mensual'!O277+parametros_recargas!$F$89*'Plan mensual'!O278+parametros_recargas!$G$89*'Plan mensual'!O279+parametros_recargas!$H$89*'Plan mensual'!O280+parametros_recargas!$I$89*'Plan mensual'!O281+parametros_recargas!$J$89*'Plan mensual'!O282+parametros_recargas!$K$89*'Plan mensual'!O283+parametros_recargas!$L$89*'Plan mensual'!O284</f>
        <v>10.541050260767</v>
      </c>
      <c r="N275" s="7" t="n">
        <f aca="false">SUM(B275:M275)</f>
        <v>122.779331548955</v>
      </c>
      <c r="O275" s="26" t="n">
        <f aca="false">MAX(B275:M275)</f>
        <v>10.541050260767</v>
      </c>
      <c r="P275" s="15" t="n">
        <f aca="false">O275/parametros_recargas!$B$6</f>
        <v>0.0702736684051133</v>
      </c>
    </row>
    <row r="276" customFormat="false" ht="15" hidden="false" customHeight="false" outlineLevel="0" collapsed="false">
      <c r="A276" s="12" t="str">
        <f aca="false">parametros_recargas!$B$90</f>
        <v>Carga de agua / AFFF / sales K</v>
      </c>
      <c r="B276" s="25" t="n">
        <f aca="false">parametros_recargas!$E$90*'Plan mensual'!D277+parametros_recargas!$F$90*'Plan mensual'!D278+parametros_recargas!$G$90*'Plan mensual'!D279+parametros_recargas!$H$90*'Plan mensual'!D280+parametros_recargas!$I$90*'Plan mensual'!D281+parametros_recargas!$J$90*'Plan mensual'!D282+parametros_recargas!$K$90*'Plan mensual'!D283+parametros_recargas!$L$90*'Plan mensual'!D284</f>
        <v>374.483597355127</v>
      </c>
      <c r="C276" s="25" t="n">
        <f aca="false">parametros_recargas!$E$90*'Plan mensual'!E277+parametros_recargas!$F$90*'Plan mensual'!E278+parametros_recargas!$G$90*'Plan mensual'!E279+parametros_recargas!$H$90*'Plan mensual'!E280+parametros_recargas!$I$90*'Plan mensual'!E281+parametros_recargas!$J$90*'Plan mensual'!E282+parametros_recargas!$K$90*'Plan mensual'!E283+parametros_recargas!$L$90*'Plan mensual'!E284</f>
        <v>376.575582481748</v>
      </c>
      <c r="D276" s="25" t="n">
        <f aca="false">parametros_recargas!$E$90*'Plan mensual'!F277+parametros_recargas!$F$90*'Plan mensual'!F278+parametros_recargas!$G$90*'Plan mensual'!F279+parametros_recargas!$H$90*'Plan mensual'!F280+parametros_recargas!$I$90*'Plan mensual'!F281+parametros_recargas!$J$90*'Plan mensual'!F282+parametros_recargas!$K$90*'Plan mensual'!F283+parametros_recargas!$L$90*'Plan mensual'!F284</f>
        <v>378.679685560939</v>
      </c>
      <c r="E276" s="25" t="n">
        <f aca="false">parametros_recargas!$E$90*'Plan mensual'!G277+parametros_recargas!$F$90*'Plan mensual'!G278+parametros_recargas!$G$90*'Plan mensual'!G279+parametros_recargas!$H$90*'Plan mensual'!G280+parametros_recargas!$I$90*'Plan mensual'!G281+parametros_recargas!$J$90*'Plan mensual'!G282+parametros_recargas!$K$90*'Plan mensual'!G283+parametros_recargas!$L$90*'Plan mensual'!G284</f>
        <v>380.795976786685</v>
      </c>
      <c r="F276" s="25" t="n">
        <f aca="false">parametros_recargas!$E$90*'Plan mensual'!H277+parametros_recargas!$F$90*'Plan mensual'!H278+parametros_recargas!$G$90*'Plan mensual'!H279+parametros_recargas!$H$90*'Plan mensual'!H280+parametros_recargas!$I$90*'Plan mensual'!H281+parametros_recargas!$J$90*'Plan mensual'!H282+parametros_recargas!$K$90*'Plan mensual'!H283+parametros_recargas!$L$90*'Plan mensual'!H284</f>
        <v>382.924526759576</v>
      </c>
      <c r="G276" s="25" t="n">
        <f aca="false">parametros_recargas!$E$90*'Plan mensual'!I277+parametros_recargas!$F$90*'Plan mensual'!I278+parametros_recargas!$G$90*'Plan mensual'!I279+parametros_recargas!$H$90*'Plan mensual'!I280+parametros_recargas!$I$90*'Plan mensual'!I281+parametros_recargas!$J$90*'Plan mensual'!I282+parametros_recargas!$K$90*'Plan mensual'!I283+parametros_recargas!$L$90*'Plan mensual'!I284</f>
        <v>385.065406489159</v>
      </c>
      <c r="H276" s="25" t="n">
        <f aca="false">parametros_recargas!$E$90*'Plan mensual'!J277+parametros_recargas!$F$90*'Plan mensual'!J278+parametros_recargas!$G$90*'Plan mensual'!J279+parametros_recargas!$H$90*'Plan mensual'!J280+parametros_recargas!$I$90*'Plan mensual'!J281+parametros_recargas!$J$90*'Plan mensual'!J282+parametros_recargas!$K$90*'Plan mensual'!J283+parametros_recargas!$L$90*'Plan mensual'!J284</f>
        <v>387.218687396308</v>
      </c>
      <c r="I276" s="25" t="n">
        <f aca="false">parametros_recargas!$E$90*'Plan mensual'!K277+parametros_recargas!$F$90*'Plan mensual'!K278+parametros_recargas!$G$90*'Plan mensual'!K279+parametros_recargas!$H$90*'Plan mensual'!K280+parametros_recargas!$I$90*'Plan mensual'!K281+parametros_recargas!$J$90*'Plan mensual'!K282+parametros_recargas!$K$90*'Plan mensual'!K283+parametros_recargas!$L$90*'Plan mensual'!K284</f>
        <v>389.384441315607</v>
      </c>
      <c r="J276" s="25" t="n">
        <f aca="false">parametros_recargas!$E$90*'Plan mensual'!L277+parametros_recargas!$F$90*'Plan mensual'!L278+parametros_recargas!$G$90*'Plan mensual'!L279+parametros_recargas!$H$90*'Plan mensual'!L280+parametros_recargas!$I$90*'Plan mensual'!L281+parametros_recargas!$J$90*'Plan mensual'!L282+parametros_recargas!$K$90*'Plan mensual'!L283+parametros_recargas!$L$90*'Plan mensual'!L284</f>
        <v>391.562740497747</v>
      </c>
      <c r="K276" s="25" t="n">
        <f aca="false">parametros_recargas!$E$90*'Plan mensual'!M277+parametros_recargas!$F$90*'Plan mensual'!M278+parametros_recargas!$G$90*'Plan mensual'!M279+parametros_recargas!$H$90*'Plan mensual'!M280+parametros_recargas!$I$90*'Plan mensual'!M281+parametros_recargas!$J$90*'Plan mensual'!M282+parametros_recargas!$K$90*'Plan mensual'!M283+parametros_recargas!$L$90*'Plan mensual'!M284</f>
        <v>393.753657611934</v>
      </c>
      <c r="L276" s="25" t="n">
        <f aca="false">parametros_recargas!$E$90*'Plan mensual'!N277+parametros_recargas!$F$90*'Plan mensual'!N278+parametros_recargas!$G$90*'Plan mensual'!N279+parametros_recargas!$H$90*'Plan mensual'!N280+parametros_recargas!$I$90*'Plan mensual'!N281+parametros_recargas!$J$90*'Plan mensual'!N282+parametros_recargas!$K$90*'Plan mensual'!N283+parametros_recargas!$L$90*'Plan mensual'!N284</f>
        <v>395.957265748317</v>
      </c>
      <c r="M276" s="25" t="n">
        <f aca="false">parametros_recargas!$E$90*'Plan mensual'!O277+parametros_recargas!$F$90*'Plan mensual'!O278+parametros_recargas!$G$90*'Plan mensual'!O279+parametros_recargas!$H$90*'Plan mensual'!O280+parametros_recargas!$I$90*'Plan mensual'!O281+parametros_recargas!$J$90*'Plan mensual'!O282+parametros_recargas!$K$90*'Plan mensual'!O283+parametros_recargas!$L$90*'Plan mensual'!O284</f>
        <v>398.173638420421</v>
      </c>
      <c r="N276" s="7" t="n">
        <f aca="false">SUM(B276:M276)</f>
        <v>4634.57520642357</v>
      </c>
      <c r="O276" s="26" t="n">
        <f aca="false">MAX(B276:M276)</f>
        <v>398.173638420421</v>
      </c>
      <c r="P276" s="15" t="n">
        <f aca="false">O276/parametros_recargas!$B$6</f>
        <v>2.65449092280281</v>
      </c>
    </row>
    <row r="277" customFormat="false" ht="15" hidden="false" customHeight="false" outlineLevel="0" collapsed="false">
      <c r="A277" s="12" t="str">
        <f aca="false">parametros_recargas!$B$91</f>
        <v>Carga de CO₂</v>
      </c>
      <c r="B277" s="25" t="n">
        <f aca="false">parametros_recargas!$E$91*'Plan mensual'!D277+parametros_recargas!$F$91*'Plan mensual'!D278+parametros_recargas!$G$91*'Plan mensual'!D279+parametros_recargas!$H$91*'Plan mensual'!D280+parametros_recargas!$I$91*'Plan mensual'!D281+parametros_recargas!$J$91*'Plan mensual'!D282+parametros_recargas!$K$91*'Plan mensual'!D283+parametros_recargas!$L$91*'Plan mensual'!D284</f>
        <v>205.0683019967</v>
      </c>
      <c r="C277" s="25" t="n">
        <f aca="false">parametros_recargas!$E$91*'Plan mensual'!E277+parametros_recargas!$F$91*'Plan mensual'!E278+parametros_recargas!$G$91*'Plan mensual'!E279+parametros_recargas!$H$91*'Plan mensual'!E280+parametros_recargas!$I$91*'Plan mensual'!E281+parametros_recargas!$J$91*'Plan mensual'!E282+parametros_recargas!$K$91*'Plan mensual'!E283+parametros_recargas!$L$91*'Plan mensual'!E284</f>
        <v>206.214321497197</v>
      </c>
      <c r="D277" s="25" t="n">
        <f aca="false">parametros_recargas!$E$91*'Plan mensual'!F277+parametros_recargas!$F$91*'Plan mensual'!F278+parametros_recargas!$G$91*'Plan mensual'!F279+parametros_recargas!$H$91*'Plan mensual'!F280+parametros_recargas!$I$91*'Plan mensual'!F281+parametros_recargas!$J$91*'Plan mensual'!F282+parametros_recargas!$K$91*'Plan mensual'!F283+parametros_recargas!$L$91*'Plan mensual'!F284</f>
        <v>207.366979386168</v>
      </c>
      <c r="E277" s="25" t="n">
        <f aca="false">parametros_recargas!$E$91*'Plan mensual'!G277+parametros_recargas!$F$91*'Plan mensual'!G278+parametros_recargas!$G$91*'Plan mensual'!G279+parametros_recargas!$H$91*'Plan mensual'!G280+parametros_recargas!$I$91*'Plan mensual'!G281+parametros_recargas!$J$91*'Plan mensual'!G282+parametros_recargas!$K$91*'Plan mensual'!G283+parametros_recargas!$L$91*'Plan mensual'!G284</f>
        <v>208.526314116886</v>
      </c>
      <c r="F277" s="25" t="n">
        <f aca="false">parametros_recargas!$E$91*'Plan mensual'!H277+parametros_recargas!$F$91*'Plan mensual'!H278+parametros_recargas!$G$91*'Plan mensual'!H279+parametros_recargas!$H$91*'Plan mensual'!H280+parametros_recargas!$I$91*'Plan mensual'!H281+parametros_recargas!$J$91*'Plan mensual'!H282+parametros_recargas!$K$91*'Plan mensual'!H283+parametros_recargas!$L$91*'Plan mensual'!H284</f>
        <v>209.692364365367</v>
      </c>
      <c r="G277" s="25" t="n">
        <f aca="false">parametros_recargas!$E$91*'Plan mensual'!I277+parametros_recargas!$F$91*'Plan mensual'!I278+parametros_recargas!$G$91*'Plan mensual'!I279+parametros_recargas!$H$91*'Plan mensual'!I280+parametros_recargas!$I$91*'Plan mensual'!I281+parametros_recargas!$J$91*'Plan mensual'!I282+parametros_recargas!$K$91*'Plan mensual'!I283+parametros_recargas!$L$91*'Plan mensual'!I284</f>
        <v>210.865169031662</v>
      </c>
      <c r="H277" s="25" t="n">
        <f aca="false">parametros_recargas!$E$91*'Plan mensual'!J277+parametros_recargas!$F$91*'Plan mensual'!J278+parametros_recargas!$G$91*'Plan mensual'!J279+parametros_recargas!$H$91*'Plan mensual'!J280+parametros_recargas!$I$91*'Plan mensual'!J281+parametros_recargas!$J$91*'Plan mensual'!J282+parametros_recargas!$K$91*'Plan mensual'!J283+parametros_recargas!$L$91*'Plan mensual'!J284</f>
        <v>212.044767241152</v>
      </c>
      <c r="I277" s="25" t="n">
        <f aca="false">parametros_recargas!$E$91*'Plan mensual'!K277+parametros_recargas!$F$91*'Plan mensual'!K278+parametros_recargas!$G$91*'Plan mensual'!K279+parametros_recargas!$H$91*'Plan mensual'!K280+parametros_recargas!$I$91*'Plan mensual'!K281+parametros_recargas!$J$91*'Plan mensual'!K282+parametros_recargas!$K$91*'Plan mensual'!K283+parametros_recargas!$L$91*'Plan mensual'!K284</f>
        <v>213.231198345853</v>
      </c>
      <c r="J277" s="25" t="n">
        <f aca="false">parametros_recargas!$E$91*'Plan mensual'!L277+parametros_recargas!$F$91*'Plan mensual'!L278+parametros_recargas!$G$91*'Plan mensual'!L279+parametros_recargas!$H$91*'Plan mensual'!L280+parametros_recargas!$I$91*'Plan mensual'!L281+parametros_recargas!$J$91*'Plan mensual'!L282+parametros_recargas!$K$91*'Plan mensual'!L283+parametros_recargas!$L$91*'Plan mensual'!L284</f>
        <v>214.424501925731</v>
      </c>
      <c r="K277" s="25" t="n">
        <f aca="false">parametros_recargas!$E$91*'Plan mensual'!M277+parametros_recargas!$F$91*'Plan mensual'!M278+parametros_recargas!$G$91*'Plan mensual'!M279+parametros_recargas!$H$91*'Plan mensual'!M280+parametros_recargas!$I$91*'Plan mensual'!M281+parametros_recargas!$J$91*'Plan mensual'!M282+parametros_recargas!$K$91*'Plan mensual'!M283+parametros_recargas!$L$91*'Plan mensual'!M284</f>
        <v>215.624717790022</v>
      </c>
      <c r="L277" s="25" t="n">
        <f aca="false">parametros_recargas!$E$91*'Plan mensual'!N277+parametros_recargas!$F$91*'Plan mensual'!N278+parametros_recargas!$G$91*'Plan mensual'!N279+parametros_recargas!$H$91*'Plan mensual'!N280+parametros_recargas!$I$91*'Plan mensual'!N281+parametros_recargas!$J$91*'Plan mensual'!N282+parametros_recargas!$K$91*'Plan mensual'!N283+parametros_recargas!$L$91*'Plan mensual'!N284</f>
        <v>216.831885978559</v>
      </c>
      <c r="M277" s="25" t="n">
        <f aca="false">parametros_recargas!$E$91*'Plan mensual'!O277+parametros_recargas!$F$91*'Plan mensual'!O278+parametros_recargas!$G$91*'Plan mensual'!O279+parametros_recargas!$H$91*'Plan mensual'!O280+parametros_recargas!$I$91*'Plan mensual'!O281+parametros_recargas!$J$91*'Plan mensual'!O282+parametros_recargas!$K$91*'Plan mensual'!O283+parametros_recargas!$L$91*'Plan mensual'!O284</f>
        <v>218.046046763107</v>
      </c>
      <c r="N277" s="7" t="n">
        <f aca="false">SUM(B277:M277)</f>
        <v>2537.9365684384</v>
      </c>
      <c r="O277" s="26" t="n">
        <f aca="false">MAX(B277:M277)</f>
        <v>218.046046763107</v>
      </c>
      <c r="P277" s="15" t="n">
        <f aca="false">O277/parametros_recargas!$B$6</f>
        <v>1.45364031175405</v>
      </c>
    </row>
    <row r="278" customFormat="false" ht="15" hidden="false" customHeight="false" outlineLevel="0" collapsed="false">
      <c r="A278" s="12" t="str">
        <f aca="false">parametros_recargas!$B$92</f>
        <v>Ensamblaje y marbete — recinto</v>
      </c>
      <c r="B278" s="25" t="n">
        <f aca="false">parametros_recargas!$E$92*'Plan mensual'!D277+parametros_recargas!$F$92*'Plan mensual'!D278+parametros_recargas!$G$92*'Plan mensual'!D279+parametros_recargas!$H$92*'Plan mensual'!D280+parametros_recargas!$I$92*'Plan mensual'!D281+parametros_recargas!$J$92*'Plan mensual'!D282+parametros_recargas!$K$92*'Plan mensual'!D283+parametros_recargas!$L$92*'Plan mensual'!D284</f>
        <v>7405.21310340967</v>
      </c>
      <c r="C278" s="25" t="n">
        <f aca="false">parametros_recargas!$E$92*'Plan mensual'!E277+parametros_recargas!$F$92*'Plan mensual'!E278+parametros_recargas!$G$92*'Plan mensual'!E279+parametros_recargas!$H$92*'Plan mensual'!E280+parametros_recargas!$I$92*'Plan mensual'!E281+parametros_recargas!$J$92*'Plan mensual'!E282+parametros_recargas!$K$92*'Plan mensual'!E283+parametros_recargas!$L$92*'Plan mensual'!E284</f>
        <v>7447.15393145587</v>
      </c>
      <c r="D278" s="25" t="n">
        <f aca="false">parametros_recargas!$E$92*'Plan mensual'!F277+parametros_recargas!$F$92*'Plan mensual'!F278+parametros_recargas!$G$92*'Plan mensual'!F279+parametros_recargas!$H$92*'Plan mensual'!F280+parametros_recargas!$I$92*'Plan mensual'!F281+parametros_recargas!$J$92*'Plan mensual'!F282+parametros_recargas!$K$92*'Plan mensual'!F283+parametros_recargas!$L$92*'Plan mensual'!F284</f>
        <v>7489.33770432924</v>
      </c>
      <c r="E278" s="25" t="n">
        <f aca="false">parametros_recargas!$E$92*'Plan mensual'!G277+parametros_recargas!$F$92*'Plan mensual'!G278+parametros_recargas!$G$92*'Plan mensual'!G279+parametros_recargas!$H$92*'Plan mensual'!G280+parametros_recargas!$I$92*'Plan mensual'!G281+parametros_recargas!$J$92*'Plan mensual'!G282+parametros_recargas!$K$92*'Plan mensual'!G283+parametros_recargas!$L$92*'Plan mensual'!G284</f>
        <v>7531.76582930262</v>
      </c>
      <c r="F278" s="25" t="n">
        <f aca="false">parametros_recargas!$E$92*'Plan mensual'!H277+parametros_recargas!$F$92*'Plan mensual'!H278+parametros_recargas!$G$92*'Plan mensual'!H279+parametros_recargas!$H$92*'Plan mensual'!H280+parametros_recargas!$I$92*'Plan mensual'!H281+parametros_recargas!$J$92*'Plan mensual'!H282+parametros_recargas!$K$92*'Plan mensual'!H283+parametros_recargas!$L$92*'Plan mensual'!H284</f>
        <v>7574.43972180059</v>
      </c>
      <c r="G278" s="25" t="n">
        <f aca="false">parametros_recargas!$E$92*'Plan mensual'!I277+parametros_recargas!$F$92*'Plan mensual'!I278+parametros_recargas!$G$92*'Plan mensual'!I279+parametros_recargas!$H$92*'Plan mensual'!I280+parametros_recargas!$I$92*'Plan mensual'!I281+parametros_recargas!$J$92*'Plan mensual'!I282+parametros_recargas!$K$92*'Plan mensual'!I283+parametros_recargas!$L$92*'Plan mensual'!I284</f>
        <v>7617.36080544667</v>
      </c>
      <c r="H278" s="25" t="n">
        <f aca="false">parametros_recargas!$E$92*'Plan mensual'!J277+parametros_recargas!$F$92*'Plan mensual'!J278+parametros_recargas!$G$92*'Plan mensual'!J279+parametros_recargas!$H$92*'Plan mensual'!J280+parametros_recargas!$I$92*'Plan mensual'!J281+parametros_recargas!$J$92*'Plan mensual'!J282+parametros_recargas!$K$92*'Plan mensual'!J283+parametros_recargas!$L$92*'Plan mensual'!J284</f>
        <v>7660.53051211079</v>
      </c>
      <c r="I278" s="25" t="n">
        <f aca="false">parametros_recargas!$E$92*'Plan mensual'!K277+parametros_recargas!$F$92*'Plan mensual'!K278+parametros_recargas!$G$92*'Plan mensual'!K279+parametros_recargas!$H$92*'Plan mensual'!K280+parametros_recargas!$I$92*'Plan mensual'!K281+parametros_recargas!$J$92*'Plan mensual'!K282+parametros_recargas!$K$92*'Plan mensual'!K283+parametros_recargas!$L$92*'Plan mensual'!K284</f>
        <v>7703.95028195707</v>
      </c>
      <c r="J278" s="25" t="n">
        <f aca="false">parametros_recargas!$E$92*'Plan mensual'!L277+parametros_recargas!$F$92*'Plan mensual'!L278+parametros_recargas!$G$92*'Plan mensual'!L279+parametros_recargas!$H$92*'Plan mensual'!L280+parametros_recargas!$I$92*'Plan mensual'!L281+parametros_recargas!$J$92*'Plan mensual'!L282+parametros_recargas!$K$92*'Plan mensual'!L283+parametros_recargas!$L$92*'Plan mensual'!L284</f>
        <v>7747.62156349189</v>
      </c>
      <c r="K278" s="25" t="n">
        <f aca="false">parametros_recargas!$E$92*'Plan mensual'!M277+parametros_recargas!$F$92*'Plan mensual'!M278+parametros_recargas!$G$92*'Plan mensual'!M279+parametros_recargas!$H$92*'Plan mensual'!M280+parametros_recargas!$I$92*'Plan mensual'!M281+parametros_recargas!$J$92*'Plan mensual'!M282+parametros_recargas!$K$92*'Plan mensual'!M283+parametros_recargas!$L$92*'Plan mensual'!M284</f>
        <v>7791.54581361218</v>
      </c>
      <c r="L278" s="25" t="n">
        <f aca="false">parametros_recargas!$E$92*'Plan mensual'!N277+parametros_recargas!$F$92*'Plan mensual'!N278+parametros_recargas!$G$92*'Plan mensual'!N279+parametros_recargas!$H$92*'Plan mensual'!N280+parametros_recargas!$I$92*'Plan mensual'!N281+parametros_recargas!$J$92*'Plan mensual'!N282+parametros_recargas!$K$92*'Plan mensual'!N283+parametros_recargas!$L$92*'Plan mensual'!N284</f>
        <v>7835.72449765403</v>
      </c>
      <c r="M278" s="25" t="n">
        <f aca="false">parametros_recargas!$E$92*'Plan mensual'!O277+parametros_recargas!$F$92*'Plan mensual'!O278+parametros_recargas!$G$92*'Plan mensual'!O279+parametros_recargas!$H$92*'Plan mensual'!O280+parametros_recargas!$I$92*'Plan mensual'!O281+parametros_recargas!$J$92*'Plan mensual'!O282+parametros_recargas!$K$92*'Plan mensual'!O283+parametros_recargas!$L$92*'Plan mensual'!O284</f>
        <v>7880.1590894416</v>
      </c>
      <c r="N278" s="7" t="n">
        <f aca="false">SUM(B278:M278)</f>
        <v>91684.8028540122</v>
      </c>
      <c r="O278" s="26" t="n">
        <f aca="false">MAX(B278:M278)</f>
        <v>7880.1590894416</v>
      </c>
      <c r="P278" s="15" t="n">
        <f aca="false">O278/parametros_recargas!$B$6</f>
        <v>52.5343939296107</v>
      </c>
    </row>
    <row r="279" customFormat="false" ht="15" hidden="false" customHeight="false" outlineLevel="0" collapsed="false">
      <c r="A279" s="12" t="str">
        <f aca="false">parametros_recargas!$B$93</f>
        <v>Presurización — recinto</v>
      </c>
      <c r="B279" s="25" t="n">
        <f aca="false">parametros_recargas!$E$93*'Plan mensual'!D277+parametros_recargas!$F$93*'Plan mensual'!D278+parametros_recargas!$G$93*'Plan mensual'!D279+parametros_recargas!$H$93*'Plan mensual'!D280+parametros_recargas!$I$93*'Plan mensual'!D281+parametros_recargas!$J$93*'Plan mensual'!D282+parametros_recargas!$K$93*'Plan mensual'!D283+parametros_recargas!$L$93*'Plan mensual'!D284</f>
        <v>7405.21310340967</v>
      </c>
      <c r="C279" s="25" t="n">
        <f aca="false">parametros_recargas!$E$93*'Plan mensual'!E277+parametros_recargas!$F$93*'Plan mensual'!E278+parametros_recargas!$G$93*'Plan mensual'!E279+parametros_recargas!$H$93*'Plan mensual'!E280+parametros_recargas!$I$93*'Plan mensual'!E281+parametros_recargas!$J$93*'Plan mensual'!E282+parametros_recargas!$K$93*'Plan mensual'!E283+parametros_recargas!$L$93*'Plan mensual'!E284</f>
        <v>7447.15393145587</v>
      </c>
      <c r="D279" s="25" t="n">
        <f aca="false">parametros_recargas!$E$93*'Plan mensual'!F277+parametros_recargas!$F$93*'Plan mensual'!F278+parametros_recargas!$G$93*'Plan mensual'!F279+parametros_recargas!$H$93*'Plan mensual'!F280+parametros_recargas!$I$93*'Plan mensual'!F281+parametros_recargas!$J$93*'Plan mensual'!F282+parametros_recargas!$K$93*'Plan mensual'!F283+parametros_recargas!$L$93*'Plan mensual'!F284</f>
        <v>7489.33770432924</v>
      </c>
      <c r="E279" s="25" t="n">
        <f aca="false">parametros_recargas!$E$93*'Plan mensual'!G277+parametros_recargas!$F$93*'Plan mensual'!G278+parametros_recargas!$G$93*'Plan mensual'!G279+parametros_recargas!$H$93*'Plan mensual'!G280+parametros_recargas!$I$93*'Plan mensual'!G281+parametros_recargas!$J$93*'Plan mensual'!G282+parametros_recargas!$K$93*'Plan mensual'!G283+parametros_recargas!$L$93*'Plan mensual'!G284</f>
        <v>7531.76582930262</v>
      </c>
      <c r="F279" s="25" t="n">
        <f aca="false">parametros_recargas!$E$93*'Plan mensual'!H277+parametros_recargas!$F$93*'Plan mensual'!H278+parametros_recargas!$G$93*'Plan mensual'!H279+parametros_recargas!$H$93*'Plan mensual'!H280+parametros_recargas!$I$93*'Plan mensual'!H281+parametros_recargas!$J$93*'Plan mensual'!H282+parametros_recargas!$K$93*'Plan mensual'!H283+parametros_recargas!$L$93*'Plan mensual'!H284</f>
        <v>7574.43972180059</v>
      </c>
      <c r="G279" s="25" t="n">
        <f aca="false">parametros_recargas!$E$93*'Plan mensual'!I277+parametros_recargas!$F$93*'Plan mensual'!I278+parametros_recargas!$G$93*'Plan mensual'!I279+parametros_recargas!$H$93*'Plan mensual'!I280+parametros_recargas!$I$93*'Plan mensual'!I281+parametros_recargas!$J$93*'Plan mensual'!I282+parametros_recargas!$K$93*'Plan mensual'!I283+parametros_recargas!$L$93*'Plan mensual'!I284</f>
        <v>7617.36080544667</v>
      </c>
      <c r="H279" s="25" t="n">
        <f aca="false">parametros_recargas!$E$93*'Plan mensual'!J277+parametros_recargas!$F$93*'Plan mensual'!J278+parametros_recargas!$G$93*'Plan mensual'!J279+parametros_recargas!$H$93*'Plan mensual'!J280+parametros_recargas!$I$93*'Plan mensual'!J281+parametros_recargas!$J$93*'Plan mensual'!J282+parametros_recargas!$K$93*'Plan mensual'!J283+parametros_recargas!$L$93*'Plan mensual'!J284</f>
        <v>7660.53051211079</v>
      </c>
      <c r="I279" s="25" t="n">
        <f aca="false">parametros_recargas!$E$93*'Plan mensual'!K277+parametros_recargas!$F$93*'Plan mensual'!K278+parametros_recargas!$G$93*'Plan mensual'!K279+parametros_recargas!$H$93*'Plan mensual'!K280+parametros_recargas!$I$93*'Plan mensual'!K281+parametros_recargas!$J$93*'Plan mensual'!K282+parametros_recargas!$K$93*'Plan mensual'!K283+parametros_recargas!$L$93*'Plan mensual'!K284</f>
        <v>7703.95028195707</v>
      </c>
      <c r="J279" s="25" t="n">
        <f aca="false">parametros_recargas!$E$93*'Plan mensual'!L277+parametros_recargas!$F$93*'Plan mensual'!L278+parametros_recargas!$G$93*'Plan mensual'!L279+parametros_recargas!$H$93*'Plan mensual'!L280+parametros_recargas!$I$93*'Plan mensual'!L281+parametros_recargas!$J$93*'Plan mensual'!L282+parametros_recargas!$K$93*'Plan mensual'!L283+parametros_recargas!$L$93*'Plan mensual'!L284</f>
        <v>7747.62156349189</v>
      </c>
      <c r="K279" s="25" t="n">
        <f aca="false">parametros_recargas!$E$93*'Plan mensual'!M277+parametros_recargas!$F$93*'Plan mensual'!M278+parametros_recargas!$G$93*'Plan mensual'!M279+parametros_recargas!$H$93*'Plan mensual'!M280+parametros_recargas!$I$93*'Plan mensual'!M281+parametros_recargas!$J$93*'Plan mensual'!M282+parametros_recargas!$K$93*'Plan mensual'!M283+parametros_recargas!$L$93*'Plan mensual'!M284</f>
        <v>7791.54581361218</v>
      </c>
      <c r="L279" s="25" t="n">
        <f aca="false">parametros_recargas!$E$93*'Plan mensual'!N277+parametros_recargas!$F$93*'Plan mensual'!N278+parametros_recargas!$G$93*'Plan mensual'!N279+parametros_recargas!$H$93*'Plan mensual'!N280+parametros_recargas!$I$93*'Plan mensual'!N281+parametros_recargas!$J$93*'Plan mensual'!N282+parametros_recargas!$K$93*'Plan mensual'!N283+parametros_recargas!$L$93*'Plan mensual'!N284</f>
        <v>7835.72449765403</v>
      </c>
      <c r="M279" s="25" t="n">
        <f aca="false">parametros_recargas!$E$93*'Plan mensual'!O277+parametros_recargas!$F$93*'Plan mensual'!O278+parametros_recargas!$G$93*'Plan mensual'!O279+parametros_recargas!$H$93*'Plan mensual'!O280+parametros_recargas!$I$93*'Plan mensual'!O281+parametros_recargas!$J$93*'Plan mensual'!O282+parametros_recargas!$K$93*'Plan mensual'!O283+parametros_recargas!$L$93*'Plan mensual'!O284</f>
        <v>7880.1590894416</v>
      </c>
      <c r="N279" s="7" t="n">
        <f aca="false">SUM(B279:M279)</f>
        <v>91684.8028540122</v>
      </c>
      <c r="O279" s="26" t="n">
        <f aca="false">MAX(B279:M279)</f>
        <v>7880.1590894416</v>
      </c>
      <c r="P279" s="15" t="n">
        <f aca="false">O279/parametros_recargas!$B$6</f>
        <v>52.5343939296107</v>
      </c>
    </row>
    <row r="280" customFormat="false" ht="15" hidden="false" customHeight="false" outlineLevel="0" collapsed="false">
      <c r="A280" s="12" t="str">
        <f aca="false">parametros_recargas!$B$94</f>
        <v>Ensamblaje y presurización — zona general</v>
      </c>
      <c r="B280" s="25" t="n">
        <f aca="false">parametros_recargas!$E$94*'Plan mensual'!D277+parametros_recargas!$F$94*'Plan mensual'!D278+parametros_recargas!$G$94*'Plan mensual'!D279+parametros_recargas!$H$94*'Plan mensual'!D280+parametros_recargas!$I$94*'Plan mensual'!D281+parametros_recargas!$J$94*'Plan mensual'!D282+parametros_recargas!$K$94*'Plan mensual'!D283+parametros_recargas!$L$94*'Plan mensual'!D284</f>
        <v>552.438442808414</v>
      </c>
      <c r="C280" s="25" t="n">
        <f aca="false">parametros_recargas!$E$94*'Plan mensual'!E277+parametros_recargas!$F$94*'Plan mensual'!E278+parametros_recargas!$G$94*'Plan mensual'!E279+parametros_recargas!$H$94*'Plan mensual'!E280+parametros_recargas!$I$94*'Plan mensual'!E281+parametros_recargas!$J$94*'Plan mensual'!E282+parametros_recargas!$K$94*'Plan mensual'!E283+parametros_recargas!$L$94*'Plan mensual'!E284</f>
        <v>555.524918139289</v>
      </c>
      <c r="D280" s="25" t="n">
        <f aca="false">parametros_recargas!$E$94*'Plan mensual'!F277+parametros_recargas!$F$94*'Plan mensual'!F278+parametros_recargas!$G$94*'Plan mensual'!F279+parametros_recargas!$H$94*'Plan mensual'!F280+parametros_recargas!$I$94*'Plan mensual'!F281+parametros_recargas!$J$94*'Plan mensual'!F282+parametros_recargas!$K$94*'Plan mensual'!F283+parametros_recargas!$L$94*'Plan mensual'!F284</f>
        <v>558.629272068435</v>
      </c>
      <c r="E280" s="25" t="n">
        <f aca="false">parametros_recargas!$E$94*'Plan mensual'!G277+parametros_recargas!$F$94*'Plan mensual'!G278+parametros_recargas!$G$94*'Plan mensual'!G279+parametros_recargas!$H$94*'Plan mensual'!G280+parametros_recargas!$I$94*'Plan mensual'!G281+parametros_recargas!$J$94*'Plan mensual'!G282+parametros_recargas!$K$94*'Plan mensual'!G283+parametros_recargas!$L$94*'Plan mensual'!G284</f>
        <v>561.751608158733</v>
      </c>
      <c r="F280" s="25" t="n">
        <f aca="false">parametros_recargas!$E$94*'Plan mensual'!H277+parametros_recargas!$F$94*'Plan mensual'!H278+parametros_recargas!$G$94*'Plan mensual'!H279+parametros_recargas!$H$94*'Plan mensual'!H280+parametros_recargas!$I$94*'Plan mensual'!H281+parametros_recargas!$J$94*'Plan mensual'!H282+parametros_recargas!$K$94*'Plan mensual'!H283+parametros_recargas!$L$94*'Plan mensual'!H284</f>
        <v>564.892030572957</v>
      </c>
      <c r="G280" s="25" t="n">
        <f aca="false">parametros_recargas!$E$94*'Plan mensual'!I277+parametros_recargas!$F$94*'Plan mensual'!I278+parametros_recargas!$G$94*'Plan mensual'!I279+parametros_recargas!$H$94*'Plan mensual'!I280+parametros_recargas!$I$94*'Plan mensual'!I281+parametros_recargas!$J$94*'Plan mensual'!I282+parametros_recargas!$K$94*'Plan mensual'!I283+parametros_recargas!$L$94*'Plan mensual'!I284</f>
        <v>568.050644077252</v>
      </c>
      <c r="H280" s="25" t="n">
        <f aca="false">parametros_recargas!$E$94*'Plan mensual'!J277+parametros_recargas!$F$94*'Plan mensual'!J278+parametros_recargas!$G$94*'Plan mensual'!J279+parametros_recargas!$H$94*'Plan mensual'!J280+parametros_recargas!$I$94*'Plan mensual'!J281+parametros_recargas!$J$94*'Plan mensual'!J282+parametros_recargas!$K$94*'Plan mensual'!J283+parametros_recargas!$L$94*'Plan mensual'!J284</f>
        <v>571.227554044626</v>
      </c>
      <c r="I280" s="25" t="n">
        <f aca="false">parametros_recargas!$E$94*'Plan mensual'!K277+parametros_recargas!$F$94*'Plan mensual'!K278+parametros_recargas!$G$94*'Plan mensual'!K279+parametros_recargas!$H$94*'Plan mensual'!K280+parametros_recargas!$I$94*'Plan mensual'!K281+parametros_recargas!$J$94*'Plan mensual'!K282+parametros_recargas!$K$94*'Plan mensual'!K283+parametros_recargas!$L$94*'Plan mensual'!K284</f>
        <v>574.422866458467</v>
      </c>
      <c r="J280" s="25" t="n">
        <f aca="false">parametros_recargas!$E$94*'Plan mensual'!L277+parametros_recargas!$F$94*'Plan mensual'!L278+parametros_recargas!$G$94*'Plan mensual'!L279+parametros_recargas!$H$94*'Plan mensual'!L280+parametros_recargas!$I$94*'Plan mensual'!L281+parametros_recargas!$J$94*'Plan mensual'!L282+parametros_recargas!$K$94*'Plan mensual'!L283+parametros_recargas!$L$94*'Plan mensual'!L284</f>
        <v>577.636687916079</v>
      </c>
      <c r="K280" s="25" t="n">
        <f aca="false">parametros_recargas!$E$94*'Plan mensual'!M277+parametros_recargas!$F$94*'Plan mensual'!M278+parametros_recargas!$G$94*'Plan mensual'!M279+parametros_recargas!$H$94*'Plan mensual'!M280+parametros_recargas!$I$94*'Plan mensual'!M281+parametros_recargas!$J$94*'Plan mensual'!M282+parametros_recargas!$K$94*'Plan mensual'!M283+parametros_recargas!$L$94*'Plan mensual'!M284</f>
        <v>580.869125632237</v>
      </c>
      <c r="L280" s="25" t="n">
        <f aca="false">parametros_recargas!$E$94*'Plan mensual'!N277+parametros_recargas!$F$94*'Plan mensual'!N278+parametros_recargas!$G$94*'Plan mensual'!N279+parametros_recargas!$H$94*'Plan mensual'!N280+parametros_recargas!$I$94*'Plan mensual'!N281+parametros_recargas!$J$94*'Plan mensual'!N282+parametros_recargas!$K$94*'Plan mensual'!N283+parametros_recargas!$L$94*'Plan mensual'!N284</f>
        <v>584.120287442765</v>
      </c>
      <c r="M280" s="25" t="n">
        <f aca="false">parametros_recargas!$E$94*'Plan mensual'!O277+parametros_recargas!$F$94*'Plan mensual'!O278+parametros_recargas!$G$94*'Plan mensual'!O279+parametros_recargas!$H$94*'Plan mensual'!O280+parametros_recargas!$I$94*'Plan mensual'!O281+parametros_recargas!$J$94*'Plan mensual'!O282+parametros_recargas!$K$94*'Plan mensual'!O283+parametros_recargas!$L$94*'Plan mensual'!O284</f>
        <v>587.390281808129</v>
      </c>
      <c r="N280" s="7" t="n">
        <f aca="false">SUM(B280:M280)</f>
        <v>6836.95371912738</v>
      </c>
      <c r="O280" s="26" t="n">
        <f aca="false">MAX(B280:M280)</f>
        <v>587.390281808129</v>
      </c>
      <c r="P280" s="15" t="n">
        <f aca="false">O280/parametros_recargas!$B$6</f>
        <v>3.9159352120542</v>
      </c>
    </row>
    <row r="281" customFormat="false" ht="15" hidden="false" customHeight="false" outlineLevel="0" collapsed="false">
      <c r="A281" s="12" t="str">
        <f aca="false">parametros_recargas!$B$95</f>
        <v>Carga y presurización de halogenado</v>
      </c>
      <c r="B281" s="25" t="n">
        <f aca="false">parametros_recargas!$E$95*'Plan mensual'!D277+parametros_recargas!$F$95*'Plan mensual'!D278+parametros_recargas!$G$95*'Plan mensual'!D279+parametros_recargas!$H$95*'Plan mensual'!D280+parametros_recargas!$I$95*'Plan mensual'!D281+parametros_recargas!$J$95*'Plan mensual'!D282+parametros_recargas!$K$95*'Plan mensual'!D283+parametros_recargas!$L$95*'Plan mensual'!D284</f>
        <v>7.06459378937013</v>
      </c>
      <c r="C281" s="25" t="n">
        <f aca="false">parametros_recargas!$E$95*'Plan mensual'!E277+parametros_recargas!$F$95*'Plan mensual'!E278+parametros_recargas!$G$95*'Plan mensual'!E279+parametros_recargas!$H$95*'Plan mensual'!E280+parametros_recargas!$I$95*'Plan mensual'!E281+parametros_recargas!$J$95*'Plan mensual'!E282+parametros_recargas!$K$95*'Plan mensual'!E283+parametros_recargas!$L$95*'Plan mensual'!E284</f>
        <v>7.1040677432102</v>
      </c>
      <c r="D281" s="25" t="n">
        <f aca="false">parametros_recargas!$E$95*'Plan mensual'!F277+parametros_recargas!$F$95*'Plan mensual'!F278+parametros_recargas!$G$95*'Plan mensual'!F279+parametros_recargas!$H$95*'Plan mensual'!F280+parametros_recargas!$I$95*'Plan mensual'!F281+parametros_recargas!$J$95*'Plan mensual'!F282+parametros_recargas!$K$95*'Plan mensual'!F283+parametros_recargas!$L$95*'Plan mensual'!F284</f>
        <v>7.1437703523568</v>
      </c>
      <c r="E281" s="25" t="n">
        <f aca="false">parametros_recargas!$E$95*'Plan mensual'!G277+parametros_recargas!$F$95*'Plan mensual'!G278+parametros_recargas!$G$95*'Plan mensual'!G279+parametros_recargas!$H$95*'Plan mensual'!G280+parametros_recargas!$I$95*'Plan mensual'!G281+parametros_recargas!$J$95*'Plan mensual'!G282+parametros_recargas!$K$95*'Plan mensual'!G283+parametros_recargas!$L$95*'Plan mensual'!G284</f>
        <v>7.18370294130986</v>
      </c>
      <c r="F281" s="25" t="n">
        <f aca="false">parametros_recargas!$E$95*'Plan mensual'!H277+parametros_recargas!$F$95*'Plan mensual'!H278+parametros_recargas!$G$95*'Plan mensual'!H279+parametros_recargas!$H$95*'Plan mensual'!H280+parametros_recargas!$I$95*'Plan mensual'!H281+parametros_recargas!$J$95*'Plan mensual'!H282+parametros_recargas!$K$95*'Plan mensual'!H283+parametros_recargas!$L$95*'Plan mensual'!H284</f>
        <v>7.22386684224155</v>
      </c>
      <c r="G281" s="25" t="n">
        <f aca="false">parametros_recargas!$E$95*'Plan mensual'!I277+parametros_recargas!$F$95*'Plan mensual'!I278+parametros_recargas!$G$95*'Plan mensual'!I279+parametros_recargas!$H$95*'Plan mensual'!I280+parametros_recargas!$I$95*'Plan mensual'!I281+parametros_recargas!$J$95*'Plan mensual'!I282+parametros_recargas!$K$95*'Plan mensual'!I283+parametros_recargas!$L$95*'Plan mensual'!I284</f>
        <v>7.26426339504076</v>
      </c>
      <c r="H281" s="25" t="n">
        <f aca="false">parametros_recargas!$E$95*'Plan mensual'!J277+parametros_recargas!$F$95*'Plan mensual'!J278+parametros_recargas!$G$95*'Plan mensual'!J279+parametros_recargas!$H$95*'Plan mensual'!J280+parametros_recargas!$I$95*'Plan mensual'!J281+parametros_recargas!$J$95*'Plan mensual'!J282+parametros_recargas!$K$95*'Plan mensual'!J283+parametros_recargas!$L$95*'Plan mensual'!J284</f>
        <v>7.30489394735774</v>
      </c>
      <c r="I281" s="25" t="n">
        <f aca="false">parametros_recargas!$E$95*'Plan mensual'!K277+parametros_recargas!$F$95*'Plan mensual'!K278+parametros_recargas!$G$95*'Plan mensual'!K279+parametros_recargas!$H$95*'Plan mensual'!K280+parametros_recargas!$I$95*'Plan mensual'!K281+parametros_recargas!$J$95*'Plan mensual'!K282+parametros_recargas!$K$95*'Plan mensual'!K283+parametros_recargas!$L$95*'Plan mensual'!K284</f>
        <v>7.34575985464908</v>
      </c>
      <c r="J281" s="25" t="n">
        <f aca="false">parametros_recargas!$E$95*'Plan mensual'!L277+parametros_recargas!$F$95*'Plan mensual'!L278+parametros_recargas!$G$95*'Plan mensual'!L279+parametros_recargas!$H$95*'Plan mensual'!L280+parametros_recargas!$I$95*'Plan mensual'!L281+parametros_recargas!$J$95*'Plan mensual'!L282+parametros_recargas!$K$95*'Plan mensual'!L283+parametros_recargas!$L$95*'Plan mensual'!L284</f>
        <v>7.38686248022297</v>
      </c>
      <c r="K281" s="25" t="n">
        <f aca="false">parametros_recargas!$E$95*'Plan mensual'!M277+parametros_recargas!$F$95*'Plan mensual'!M278+parametros_recargas!$G$95*'Plan mensual'!M279+parametros_recargas!$H$95*'Plan mensual'!M280+parametros_recargas!$I$95*'Plan mensual'!M281+parametros_recargas!$J$95*'Plan mensual'!M282+parametros_recargas!$K$95*'Plan mensual'!M283+parametros_recargas!$L$95*'Plan mensual'!M284</f>
        <v>7.42820319528462</v>
      </c>
      <c r="L281" s="25" t="n">
        <f aca="false">parametros_recargas!$E$95*'Plan mensual'!N277+parametros_recargas!$F$95*'Plan mensual'!N278+parametros_recargas!$G$95*'Plan mensual'!N279+parametros_recargas!$H$95*'Plan mensual'!N280+parametros_recargas!$I$95*'Plan mensual'!N281+parametros_recargas!$J$95*'Plan mensual'!N282+parametros_recargas!$K$95*'Plan mensual'!N283+parametros_recargas!$L$95*'Plan mensual'!N284</f>
        <v>7.46978337898204</v>
      </c>
      <c r="M281" s="25" t="n">
        <f aca="false">parametros_recargas!$E$95*'Plan mensual'!O277+parametros_recargas!$F$95*'Plan mensual'!O278+parametros_recargas!$G$95*'Plan mensual'!O279+parametros_recargas!$H$95*'Plan mensual'!O280+parametros_recargas!$I$95*'Plan mensual'!O281+parametros_recargas!$J$95*'Plan mensual'!O282+parametros_recargas!$K$95*'Plan mensual'!O283+parametros_recargas!$L$95*'Plan mensual'!O284</f>
        <v>7.51160441845204</v>
      </c>
      <c r="N281" s="7" t="n">
        <f aca="false">SUM(B281:M281)</f>
        <v>87.4313723384778</v>
      </c>
      <c r="O281" s="26" t="n">
        <f aca="false">MAX(B281:M281)</f>
        <v>7.51160441845204</v>
      </c>
      <c r="P281" s="15" t="n">
        <f aca="false">O281/parametros_recargas!$B$6</f>
        <v>0.0500773627896803</v>
      </c>
    </row>
    <row r="282" customFormat="false" ht="15" hidden="false" customHeight="false" outlineLevel="0" collapsed="false">
      <c r="A282" s="12" t="str">
        <f aca="false">parametros_recargas!$B$96</f>
        <v>Control de peso (CO₂ y halogenados sin recarga)</v>
      </c>
      <c r="B282" s="25" t="n">
        <f aca="false">parametros_recargas!$E$96*'Plan mensual'!D277+parametros_recargas!$F$96*'Plan mensual'!D278+parametros_recargas!$G$96*'Plan mensual'!D279+parametros_recargas!$H$96*'Plan mensual'!D280+parametros_recargas!$I$96*'Plan mensual'!D281+parametros_recargas!$J$96*'Plan mensual'!D282+parametros_recargas!$K$96*'Plan mensual'!D283+parametros_recargas!$L$96*'Plan mensual'!D284</f>
        <v>499.686486027078</v>
      </c>
      <c r="C282" s="25" t="n">
        <f aca="false">parametros_recargas!$E$96*'Plan mensual'!E277+parametros_recargas!$F$96*'Plan mensual'!E278+parametros_recargas!$G$96*'Plan mensual'!E279+parametros_recargas!$H$96*'Plan mensual'!E280+parametros_recargas!$I$96*'Plan mensual'!E281+parametros_recargas!$J$96*'Plan mensual'!E282+parametros_recargas!$K$96*'Plan mensual'!E283+parametros_recargas!$L$96*'Plan mensual'!E284</f>
        <v>502.478953389758</v>
      </c>
      <c r="D282" s="25" t="n">
        <f aca="false">parametros_recargas!$E$96*'Plan mensual'!F277+parametros_recargas!$F$96*'Plan mensual'!F278+parametros_recargas!$G$96*'Plan mensual'!F279+parametros_recargas!$H$96*'Plan mensual'!F280+parametros_recargas!$I$96*'Plan mensual'!F281+parametros_recargas!$J$96*'Plan mensual'!F282+parametros_recargas!$K$96*'Plan mensual'!F283+parametros_recargas!$L$96*'Plan mensual'!F284</f>
        <v>505.287596291462</v>
      </c>
      <c r="E282" s="25" t="n">
        <f aca="false">parametros_recargas!$E$96*'Plan mensual'!G277+parametros_recargas!$F$96*'Plan mensual'!G278+parametros_recargas!$G$96*'Plan mensual'!G279+parametros_recargas!$H$96*'Plan mensual'!G280+parametros_recargas!$I$96*'Plan mensual'!G281+parametros_recargas!$J$96*'Plan mensual'!G282+parametros_recargas!$K$96*'Plan mensual'!G283+parametros_recargas!$L$96*'Plan mensual'!G284</f>
        <v>508.112508429996</v>
      </c>
      <c r="F282" s="25" t="n">
        <f aca="false">parametros_recargas!$E$96*'Plan mensual'!H277+parametros_recargas!$F$96*'Plan mensual'!H278+parametros_recargas!$G$96*'Plan mensual'!H279+parametros_recargas!$H$96*'Plan mensual'!H280+parametros_recargas!$I$96*'Plan mensual'!H281+parametros_recargas!$J$96*'Plan mensual'!H282+parametros_recargas!$K$96*'Plan mensual'!H283+parametros_recargas!$L$96*'Plan mensual'!H284</f>
        <v>510.953784045914</v>
      </c>
      <c r="G282" s="25" t="n">
        <f aca="false">parametros_recargas!$E$96*'Plan mensual'!I277+parametros_recargas!$F$96*'Plan mensual'!I278+parametros_recargas!$G$96*'Plan mensual'!I279+parametros_recargas!$H$96*'Plan mensual'!I280+parametros_recargas!$I$96*'Plan mensual'!I281+parametros_recargas!$J$96*'Plan mensual'!I282+parametros_recargas!$K$96*'Plan mensual'!I283+parametros_recargas!$L$96*'Plan mensual'!I284</f>
        <v>513.811517925667</v>
      </c>
      <c r="H282" s="25" t="n">
        <f aca="false">parametros_recargas!$E$96*'Plan mensual'!J277+parametros_recargas!$F$96*'Plan mensual'!J278+parametros_recargas!$G$96*'Plan mensual'!J279+parametros_recargas!$H$96*'Plan mensual'!J280+parametros_recargas!$I$96*'Plan mensual'!J281+parametros_recargas!$J$96*'Plan mensual'!J282+parametros_recargas!$K$96*'Plan mensual'!J283+parametros_recargas!$L$96*'Plan mensual'!J284</f>
        <v>516.685805404761</v>
      </c>
      <c r="I282" s="25" t="n">
        <f aca="false">parametros_recargas!$E$96*'Plan mensual'!K277+parametros_recargas!$F$96*'Plan mensual'!K278+parametros_recargas!$G$96*'Plan mensual'!K279+parametros_recargas!$H$96*'Plan mensual'!K280+parametros_recargas!$I$96*'Plan mensual'!K281+parametros_recargas!$J$96*'Plan mensual'!K282+parametros_recargas!$K$96*'Plan mensual'!K283+parametros_recargas!$L$96*'Plan mensual'!K284</f>
        <v>519.576742370937</v>
      </c>
      <c r="J282" s="25" t="n">
        <f aca="false">parametros_recargas!$E$96*'Plan mensual'!L277+parametros_recargas!$F$96*'Plan mensual'!L278+parametros_recargas!$G$96*'Plan mensual'!L279+parametros_recargas!$H$96*'Plan mensual'!L280+parametros_recargas!$I$96*'Plan mensual'!L281+parametros_recargas!$J$96*'Plan mensual'!L282+parametros_recargas!$K$96*'Plan mensual'!L283+parametros_recargas!$L$96*'Plan mensual'!L284</f>
        <v>522.484425267375</v>
      </c>
      <c r="K282" s="25" t="n">
        <f aca="false">parametros_recargas!$E$96*'Plan mensual'!M277+parametros_recargas!$F$96*'Plan mensual'!M278+parametros_recargas!$G$96*'Plan mensual'!M279+parametros_recargas!$H$96*'Plan mensual'!M280+parametros_recargas!$I$96*'Plan mensual'!M281+parametros_recargas!$J$96*'Plan mensual'!M282+parametros_recargas!$K$96*'Plan mensual'!M283+parametros_recargas!$L$96*'Plan mensual'!M284</f>
        <v>525.408951095906</v>
      </c>
      <c r="L282" s="25" t="n">
        <f aca="false">parametros_recargas!$E$96*'Plan mensual'!N277+parametros_recargas!$F$96*'Plan mensual'!N278+parametros_recargas!$G$96*'Plan mensual'!N279+parametros_recargas!$H$96*'Plan mensual'!N280+parametros_recargas!$I$96*'Plan mensual'!N281+parametros_recargas!$J$96*'Plan mensual'!N282+parametros_recargas!$K$96*'Plan mensual'!N283+parametros_recargas!$L$96*'Plan mensual'!N284</f>
        <v>528.35041742025</v>
      </c>
      <c r="M282" s="25" t="n">
        <f aca="false">parametros_recargas!$E$96*'Plan mensual'!O277+parametros_recargas!$F$96*'Plan mensual'!O278+parametros_recargas!$G$96*'Plan mensual'!O279+parametros_recargas!$H$96*'Plan mensual'!O280+parametros_recargas!$I$96*'Plan mensual'!O281+parametros_recargas!$J$96*'Plan mensual'!O282+parametros_recargas!$K$96*'Plan mensual'!O283+parametros_recargas!$L$96*'Plan mensual'!O284</f>
        <v>531.308922369273</v>
      </c>
      <c r="N282" s="7" t="n">
        <f aca="false">SUM(B282:M282)</f>
        <v>6184.14611003838</v>
      </c>
      <c r="O282" s="26" t="n">
        <f aca="false">MAX(B282:M282)</f>
        <v>531.308922369273</v>
      </c>
      <c r="P282" s="15" t="n">
        <f aca="false">O282/parametros_recargas!$B$6</f>
        <v>3.54205948246182</v>
      </c>
    </row>
    <row r="283" customFormat="false" ht="15" hidden="false" customHeight="false" outlineLevel="0" collapsed="false">
      <c r="A283" s="12" t="str">
        <f aca="false">parametros_recargas!$B$97</f>
        <v>Ensayo de pérdidas</v>
      </c>
      <c r="B283" s="25" t="n">
        <f aca="false">parametros_recargas!$E$97*'Plan mensual'!D277+parametros_recargas!$F$97*'Plan mensual'!D278+parametros_recargas!$G$97*'Plan mensual'!D279+parametros_recargas!$H$97*'Plan mensual'!D280+parametros_recargas!$I$97*'Plan mensual'!D281+parametros_recargas!$J$97*'Plan mensual'!D282+parametros_recargas!$K$97*'Plan mensual'!D283+parametros_recargas!$L$97*'Plan mensual'!D284</f>
        <v>8491.51608257794</v>
      </c>
      <c r="C283" s="25" t="n">
        <f aca="false">parametros_recargas!$E$97*'Plan mensual'!E277+parametros_recargas!$F$97*'Plan mensual'!E278+parametros_recargas!$G$97*'Plan mensual'!E279+parametros_recargas!$H$97*'Plan mensual'!E280+parametros_recargas!$I$97*'Plan mensual'!E281+parametros_recargas!$J$97*'Plan mensual'!E282+parametros_recargas!$K$97*'Plan mensual'!E283+parametros_recargas!$L$97*'Plan mensual'!E284</f>
        <v>8539.52685656779</v>
      </c>
      <c r="D283" s="25" t="n">
        <f aca="false">parametros_recargas!$E$97*'Plan mensual'!F277+parametros_recargas!$F$97*'Plan mensual'!F278+parametros_recargas!$G$97*'Plan mensual'!F279+parametros_recargas!$H$97*'Plan mensual'!F280+parametros_recargas!$I$97*'Plan mensual'!F281+parametros_recargas!$J$97*'Plan mensual'!F282+parametros_recargas!$K$97*'Plan mensual'!F283+parametros_recargas!$L$97*'Plan mensual'!F284</f>
        <v>8587.81573592016</v>
      </c>
      <c r="E283" s="25" t="n">
        <f aca="false">parametros_recargas!$E$97*'Plan mensual'!G277+parametros_recargas!$F$97*'Plan mensual'!G278+parametros_recargas!$G$97*'Plan mensual'!G279+parametros_recargas!$H$97*'Plan mensual'!G280+parametros_recargas!$I$97*'Plan mensual'!G281+parametros_recargas!$J$97*'Plan mensual'!G282+parametros_recargas!$K$97*'Plan mensual'!G283+parametros_recargas!$L$97*'Plan mensual'!G284</f>
        <v>8636.3843315775</v>
      </c>
      <c r="F283" s="25" t="n">
        <f aca="false">parametros_recargas!$E$97*'Plan mensual'!H277+parametros_recargas!$F$97*'Plan mensual'!H278+parametros_recargas!$G$97*'Plan mensual'!H279+parametros_recargas!$H$97*'Plan mensual'!H280+parametros_recargas!$I$97*'Plan mensual'!H281+parametros_recargas!$J$97*'Plan mensual'!H282+parametros_recargas!$K$97*'Plan mensual'!H283+parametros_recargas!$L$97*'Plan mensual'!H284</f>
        <v>8685.23426381369</v>
      </c>
      <c r="G283" s="25" t="n">
        <f aca="false">parametros_recargas!$E$97*'Plan mensual'!I277+parametros_recargas!$F$97*'Plan mensual'!I278+parametros_recargas!$G$97*'Plan mensual'!I279+parametros_recargas!$H$97*'Plan mensual'!I280+parametros_recargas!$I$97*'Plan mensual'!I281+parametros_recargas!$J$97*'Plan mensual'!I282+parametros_recargas!$K$97*'Plan mensual'!I283+parametros_recargas!$L$97*'Plan mensual'!I284</f>
        <v>8734.3671622882</v>
      </c>
      <c r="H283" s="25" t="n">
        <f aca="false">parametros_recargas!$E$97*'Plan mensual'!J277+parametros_recargas!$F$97*'Plan mensual'!J278+parametros_recargas!$G$97*'Plan mensual'!J279+parametros_recargas!$H$97*'Plan mensual'!J280+parametros_recargas!$I$97*'Plan mensual'!J281+parametros_recargas!$J$97*'Plan mensual'!J282+parametros_recargas!$K$97*'Plan mensual'!J283+parametros_recargas!$L$97*'Plan mensual'!J284</f>
        <v>8783.78466610037</v>
      </c>
      <c r="I283" s="25" t="n">
        <f aca="false">parametros_recargas!$E$97*'Plan mensual'!K277+parametros_recargas!$F$97*'Plan mensual'!K278+parametros_recargas!$G$97*'Plan mensual'!K279+parametros_recargas!$H$97*'Plan mensual'!K280+parametros_recargas!$I$97*'Plan mensual'!K281+parametros_recargas!$J$97*'Plan mensual'!K282+parametros_recargas!$K$97*'Plan mensual'!K283+parametros_recargas!$L$97*'Plan mensual'!K284</f>
        <v>8833.48842384412</v>
      </c>
      <c r="J283" s="25" t="n">
        <f aca="false">parametros_recargas!$E$97*'Plan mensual'!L277+parametros_recargas!$F$97*'Plan mensual'!L278+parametros_recargas!$G$97*'Plan mensual'!L279+parametros_recargas!$H$97*'Plan mensual'!L280+parametros_recargas!$I$97*'Plan mensual'!L281+parametros_recargas!$J$97*'Plan mensual'!L282+parametros_recargas!$K$97*'Plan mensual'!L283+parametros_recargas!$L$97*'Plan mensual'!L284</f>
        <v>8883.48009366297</v>
      </c>
      <c r="K283" s="25" t="n">
        <f aca="false">parametros_recargas!$E$97*'Plan mensual'!M277+parametros_recargas!$F$97*'Plan mensual'!M278+parametros_recargas!$G$97*'Plan mensual'!M279+parametros_recargas!$H$97*'Plan mensual'!M280+parametros_recargas!$I$97*'Plan mensual'!M281+parametros_recargas!$J$97*'Plan mensual'!M282+parametros_recargas!$K$97*'Plan mensual'!M283+parametros_recargas!$L$97*'Plan mensual'!M284</f>
        <v>8933.76134330533</v>
      </c>
      <c r="L283" s="25" t="n">
        <f aca="false">parametros_recargas!$E$97*'Plan mensual'!N277+parametros_recargas!$F$97*'Plan mensual'!N278+parametros_recargas!$G$97*'Plan mensual'!N279+parametros_recargas!$H$97*'Plan mensual'!N280+parametros_recargas!$I$97*'Plan mensual'!N281+parametros_recargas!$J$97*'Plan mensual'!N282+parametros_recargas!$K$97*'Plan mensual'!N283+parametros_recargas!$L$97*'Plan mensual'!N284</f>
        <v>8984.33385018014</v>
      </c>
      <c r="M283" s="25" t="n">
        <f aca="false">parametros_recargas!$E$97*'Plan mensual'!O277+parametros_recargas!$F$97*'Plan mensual'!O278+parametros_recargas!$G$97*'Plan mensual'!O279+parametros_recargas!$H$97*'Plan mensual'!O280+parametros_recargas!$I$97*'Plan mensual'!O281+parametros_recargas!$J$97*'Plan mensual'!O282+parametros_recargas!$K$97*'Plan mensual'!O283+parametros_recargas!$L$97*'Plan mensual'!O284</f>
        <v>9035.19930141285</v>
      </c>
      <c r="N283" s="7" t="n">
        <f aca="false">SUM(B283:M283)</f>
        <v>105128.892111251</v>
      </c>
      <c r="O283" s="26" t="n">
        <f aca="false">MAX(B283:M283)</f>
        <v>9035.19930141285</v>
      </c>
      <c r="P283" s="15" t="n">
        <f aca="false">O283/parametros_recargas!$B$6</f>
        <v>60.234662009419</v>
      </c>
    </row>
    <row r="284" customFormat="false" ht="15" hidden="false" customHeight="false" outlineLevel="0" collapsed="false">
      <c r="A284" s="12" t="str">
        <f aca="false">parametros_recargas!$B$98</f>
        <v>Precinto, etiqueta y despacho</v>
      </c>
      <c r="B284" s="25" t="n">
        <f aca="false">parametros_recargas!$E$98*'Plan mensual'!D277+parametros_recargas!$F$98*'Plan mensual'!D278+parametros_recargas!$G$98*'Plan mensual'!D279+parametros_recargas!$H$98*'Plan mensual'!D280+parametros_recargas!$I$98*'Plan mensual'!D281+parametros_recargas!$J$98*'Plan mensual'!D282+parametros_recargas!$K$98*'Plan mensual'!D283+parametros_recargas!$L$98*'Plan mensual'!D284</f>
        <v>8491.51608257794</v>
      </c>
      <c r="C284" s="25" t="n">
        <f aca="false">parametros_recargas!$E$98*'Plan mensual'!E277+parametros_recargas!$F$98*'Plan mensual'!E278+parametros_recargas!$G$98*'Plan mensual'!E279+parametros_recargas!$H$98*'Plan mensual'!E280+parametros_recargas!$I$98*'Plan mensual'!E281+parametros_recargas!$J$98*'Plan mensual'!E282+parametros_recargas!$K$98*'Plan mensual'!E283+parametros_recargas!$L$98*'Plan mensual'!E284</f>
        <v>8539.52685656779</v>
      </c>
      <c r="D284" s="25" t="n">
        <f aca="false">parametros_recargas!$E$98*'Plan mensual'!F277+parametros_recargas!$F$98*'Plan mensual'!F278+parametros_recargas!$G$98*'Plan mensual'!F279+parametros_recargas!$H$98*'Plan mensual'!F280+parametros_recargas!$I$98*'Plan mensual'!F281+parametros_recargas!$J$98*'Plan mensual'!F282+parametros_recargas!$K$98*'Plan mensual'!F283+parametros_recargas!$L$98*'Plan mensual'!F284</f>
        <v>8587.81573592016</v>
      </c>
      <c r="E284" s="25" t="n">
        <f aca="false">parametros_recargas!$E$98*'Plan mensual'!G277+parametros_recargas!$F$98*'Plan mensual'!G278+parametros_recargas!$G$98*'Plan mensual'!G279+parametros_recargas!$H$98*'Plan mensual'!G280+parametros_recargas!$I$98*'Plan mensual'!G281+parametros_recargas!$J$98*'Plan mensual'!G282+parametros_recargas!$K$98*'Plan mensual'!G283+parametros_recargas!$L$98*'Plan mensual'!G284</f>
        <v>8636.3843315775</v>
      </c>
      <c r="F284" s="25" t="n">
        <f aca="false">parametros_recargas!$E$98*'Plan mensual'!H277+parametros_recargas!$F$98*'Plan mensual'!H278+parametros_recargas!$G$98*'Plan mensual'!H279+parametros_recargas!$H$98*'Plan mensual'!H280+parametros_recargas!$I$98*'Plan mensual'!H281+parametros_recargas!$J$98*'Plan mensual'!H282+parametros_recargas!$K$98*'Plan mensual'!H283+parametros_recargas!$L$98*'Plan mensual'!H284</f>
        <v>8685.23426381369</v>
      </c>
      <c r="G284" s="25" t="n">
        <f aca="false">parametros_recargas!$E$98*'Plan mensual'!I277+parametros_recargas!$F$98*'Plan mensual'!I278+parametros_recargas!$G$98*'Plan mensual'!I279+parametros_recargas!$H$98*'Plan mensual'!I280+parametros_recargas!$I$98*'Plan mensual'!I281+parametros_recargas!$J$98*'Plan mensual'!I282+parametros_recargas!$K$98*'Plan mensual'!I283+parametros_recargas!$L$98*'Plan mensual'!I284</f>
        <v>8734.3671622882</v>
      </c>
      <c r="H284" s="25" t="n">
        <f aca="false">parametros_recargas!$E$98*'Plan mensual'!J277+parametros_recargas!$F$98*'Plan mensual'!J278+parametros_recargas!$G$98*'Plan mensual'!J279+parametros_recargas!$H$98*'Plan mensual'!J280+parametros_recargas!$I$98*'Plan mensual'!J281+parametros_recargas!$J$98*'Plan mensual'!J282+parametros_recargas!$K$98*'Plan mensual'!J283+parametros_recargas!$L$98*'Plan mensual'!J284</f>
        <v>8783.78466610037</v>
      </c>
      <c r="I284" s="25" t="n">
        <f aca="false">parametros_recargas!$E$98*'Plan mensual'!K277+parametros_recargas!$F$98*'Plan mensual'!K278+parametros_recargas!$G$98*'Plan mensual'!K279+parametros_recargas!$H$98*'Plan mensual'!K280+parametros_recargas!$I$98*'Plan mensual'!K281+parametros_recargas!$J$98*'Plan mensual'!K282+parametros_recargas!$K$98*'Plan mensual'!K283+parametros_recargas!$L$98*'Plan mensual'!K284</f>
        <v>8833.48842384412</v>
      </c>
      <c r="J284" s="25" t="n">
        <f aca="false">parametros_recargas!$E$98*'Plan mensual'!L277+parametros_recargas!$F$98*'Plan mensual'!L278+parametros_recargas!$G$98*'Plan mensual'!L279+parametros_recargas!$H$98*'Plan mensual'!L280+parametros_recargas!$I$98*'Plan mensual'!L281+parametros_recargas!$J$98*'Plan mensual'!L282+parametros_recargas!$K$98*'Plan mensual'!L283+parametros_recargas!$L$98*'Plan mensual'!L284</f>
        <v>8883.48009366297</v>
      </c>
      <c r="K284" s="25" t="n">
        <f aca="false">parametros_recargas!$E$98*'Plan mensual'!M277+parametros_recargas!$F$98*'Plan mensual'!M278+parametros_recargas!$G$98*'Plan mensual'!M279+parametros_recargas!$H$98*'Plan mensual'!M280+parametros_recargas!$I$98*'Plan mensual'!M281+parametros_recargas!$J$98*'Plan mensual'!M282+parametros_recargas!$K$98*'Plan mensual'!M283+parametros_recargas!$L$98*'Plan mensual'!M284</f>
        <v>8933.76134330533</v>
      </c>
      <c r="L284" s="25" t="n">
        <f aca="false">parametros_recargas!$E$98*'Plan mensual'!N277+parametros_recargas!$F$98*'Plan mensual'!N278+parametros_recargas!$G$98*'Plan mensual'!N279+parametros_recargas!$H$98*'Plan mensual'!N280+parametros_recargas!$I$98*'Plan mensual'!N281+parametros_recargas!$J$98*'Plan mensual'!N282+parametros_recargas!$K$98*'Plan mensual'!N283+parametros_recargas!$L$98*'Plan mensual'!N284</f>
        <v>8984.33385018014</v>
      </c>
      <c r="M284" s="25" t="n">
        <f aca="false">parametros_recargas!$E$98*'Plan mensual'!O277+parametros_recargas!$F$98*'Plan mensual'!O278+parametros_recargas!$G$98*'Plan mensual'!O279+parametros_recargas!$H$98*'Plan mensual'!O280+parametros_recargas!$I$98*'Plan mensual'!O281+parametros_recargas!$J$98*'Plan mensual'!O282+parametros_recargas!$K$98*'Plan mensual'!O283+parametros_recargas!$L$98*'Plan mensual'!O284</f>
        <v>9035.19930141285</v>
      </c>
      <c r="N284" s="7" t="n">
        <f aca="false">SUM(B284:M284)</f>
        <v>105128.892111251</v>
      </c>
      <c r="O284" s="26" t="n">
        <f aca="false">MAX(B284:M284)</f>
        <v>9035.19930141285</v>
      </c>
      <c r="P284" s="15" t="n">
        <f aca="false">O284/parametros_recargas!$B$6</f>
        <v>60.234662009419</v>
      </c>
    </row>
    <row r="285" customFormat="false" ht="15" hidden="false" customHeight="false" outlineLevel="0" collapsed="false">
      <c r="A285" s="12" t="str">
        <f aca="false">parametros_recargas!$B$99</f>
        <v>Inutilización y disposición final</v>
      </c>
      <c r="B285" s="25" t="n">
        <f aca="false">parametros_recargas!$E$99*'Plan mensual'!D277+parametros_recargas!$F$99*'Plan mensual'!D278+parametros_recargas!$G$99*'Plan mensual'!D279+parametros_recargas!$H$99*'Plan mensual'!D280+parametros_recargas!$I$99*'Plan mensual'!D281+parametros_recargas!$J$99*'Plan mensual'!D282+parametros_recargas!$K$99*'Plan mensual'!D283+parametros_recargas!$L$99*'Plan mensual'!D284</f>
        <v>667.928603161974</v>
      </c>
      <c r="C285" s="25" t="n">
        <f aca="false">parametros_recargas!$E$99*'Plan mensual'!E277+parametros_recargas!$F$99*'Plan mensual'!E278+parametros_recargas!$G$99*'Plan mensual'!E279+parametros_recargas!$H$99*'Plan mensual'!E280+parametros_recargas!$I$99*'Plan mensual'!E281+parametros_recargas!$J$99*'Plan mensual'!E282+parametros_recargas!$K$99*'Plan mensual'!E283+parametros_recargas!$L$99*'Plan mensual'!E284</f>
        <v>671.705797331134</v>
      </c>
      <c r="D285" s="25" t="n">
        <f aca="false">parametros_recargas!$E$99*'Plan mensual'!F277+parametros_recargas!$F$99*'Plan mensual'!F278+parametros_recargas!$G$99*'Plan mensual'!F279+parametros_recargas!$H$99*'Plan mensual'!F280+parametros_recargas!$I$99*'Plan mensual'!F281+parametros_recargas!$J$99*'Plan mensual'!F282+parametros_recargas!$K$99*'Plan mensual'!F283+parametros_recargas!$L$99*'Plan mensual'!F284</f>
        <v>675.504871129937</v>
      </c>
      <c r="E285" s="25" t="n">
        <f aca="false">parametros_recargas!$E$99*'Plan mensual'!G277+parametros_recargas!$F$99*'Plan mensual'!G278+parametros_recargas!$G$99*'Plan mensual'!G279+parametros_recargas!$H$99*'Plan mensual'!G280+parametros_recargas!$I$99*'Plan mensual'!G281+parametros_recargas!$J$99*'Plan mensual'!G282+parametros_recargas!$K$99*'Plan mensual'!G283+parametros_recargas!$L$99*'Plan mensual'!G284</f>
        <v>679.325951297484</v>
      </c>
      <c r="F285" s="25" t="n">
        <f aca="false">parametros_recargas!$E$99*'Plan mensual'!H277+parametros_recargas!$F$99*'Plan mensual'!H278+parametros_recargas!$G$99*'Plan mensual'!H279+parametros_recargas!$H$99*'Plan mensual'!H280+parametros_recargas!$I$99*'Plan mensual'!H281+parametros_recargas!$J$99*'Plan mensual'!H282+parametros_recargas!$K$99*'Plan mensual'!H283+parametros_recargas!$L$99*'Plan mensual'!H284</f>
        <v>683.16916530702</v>
      </c>
      <c r="G285" s="25" t="n">
        <f aca="false">parametros_recargas!$E$99*'Plan mensual'!I277+parametros_recargas!$F$99*'Plan mensual'!I278+parametros_recargas!$G$99*'Plan mensual'!I279+parametros_recargas!$H$99*'Plan mensual'!I280+parametros_recargas!$I$99*'Plan mensual'!I281+parametros_recargas!$J$99*'Plan mensual'!I282+parametros_recargas!$K$99*'Plan mensual'!I283+parametros_recargas!$L$99*'Plan mensual'!I284</f>
        <v>687.034641370186</v>
      </c>
      <c r="H285" s="25" t="n">
        <f aca="false">parametros_recargas!$E$99*'Plan mensual'!J277+parametros_recargas!$F$99*'Plan mensual'!J278+parametros_recargas!$G$99*'Plan mensual'!J279+parametros_recargas!$H$99*'Plan mensual'!J280+parametros_recargas!$I$99*'Plan mensual'!J281+parametros_recargas!$J$99*'Plan mensual'!J282+parametros_recargas!$K$99*'Plan mensual'!J283+parametros_recargas!$L$99*'Plan mensual'!J284</f>
        <v>690.922508441299</v>
      </c>
      <c r="I285" s="25" t="n">
        <f aca="false">parametros_recargas!$E$99*'Plan mensual'!K277+parametros_recargas!$F$99*'Plan mensual'!K278+parametros_recargas!$G$99*'Plan mensual'!K279+parametros_recargas!$H$99*'Plan mensual'!K280+parametros_recargas!$I$99*'Plan mensual'!K281+parametros_recargas!$J$99*'Plan mensual'!K282+parametros_recargas!$K$99*'Plan mensual'!K283+parametros_recargas!$L$99*'Plan mensual'!K284</f>
        <v>694.832896221649</v>
      </c>
      <c r="J285" s="25" t="n">
        <f aca="false">parametros_recargas!$E$99*'Plan mensual'!L277+parametros_recargas!$F$99*'Plan mensual'!L278+parametros_recargas!$G$99*'Plan mensual'!L279+parametros_recargas!$H$99*'Plan mensual'!L280+parametros_recargas!$I$99*'Plan mensual'!L281+parametros_recargas!$J$99*'Plan mensual'!L282+parametros_recargas!$K$99*'Plan mensual'!L283+parametros_recargas!$L$99*'Plan mensual'!L284</f>
        <v>698.76593516383</v>
      </c>
      <c r="K285" s="25" t="n">
        <f aca="false">parametros_recargas!$E$99*'Plan mensual'!M277+parametros_recargas!$F$99*'Plan mensual'!M278+parametros_recargas!$G$99*'Plan mensual'!M279+parametros_recargas!$H$99*'Plan mensual'!M280+parametros_recargas!$I$99*'Plan mensual'!M281+parametros_recargas!$J$99*'Plan mensual'!M282+parametros_recargas!$K$99*'Plan mensual'!M283+parametros_recargas!$L$99*'Plan mensual'!M284</f>
        <v>702.721756476091</v>
      </c>
      <c r="L285" s="25" t="n">
        <f aca="false">parametros_recargas!$E$99*'Plan mensual'!N277+parametros_recargas!$F$99*'Plan mensual'!N278+parametros_recargas!$G$99*'Plan mensual'!N279+parametros_recargas!$H$99*'Plan mensual'!N280+parametros_recargas!$I$99*'Plan mensual'!N281+parametros_recargas!$J$99*'Plan mensual'!N282+parametros_recargas!$K$99*'Plan mensual'!N283+parametros_recargas!$L$99*'Plan mensual'!N284</f>
        <v>706.700492126714</v>
      </c>
      <c r="M285" s="25" t="n">
        <f aca="false">parametros_recargas!$E$99*'Plan mensual'!O277+parametros_recargas!$F$99*'Plan mensual'!O278+parametros_recargas!$G$99*'Plan mensual'!O279+parametros_recargas!$H$99*'Plan mensual'!O280+parametros_recargas!$I$99*'Plan mensual'!O281+parametros_recargas!$J$99*'Plan mensual'!O282+parametros_recargas!$K$99*'Plan mensual'!O283+parametros_recargas!$L$99*'Plan mensual'!O284</f>
        <v>710.702274848411</v>
      </c>
      <c r="N285" s="7" t="n">
        <f aca="false">SUM(B285:M285)</f>
        <v>8269.31489287573</v>
      </c>
      <c r="O285" s="26" t="n">
        <f aca="false">MAX(B285:M285)</f>
        <v>710.702274848411</v>
      </c>
      <c r="P285" s="15" t="n">
        <f aca="false">O285/parametros_recargas!$B$6</f>
        <v>4.73801516565607</v>
      </c>
    </row>
    <row r="286" customFormat="false" ht="15" hidden="false" customHeight="false" outlineLevel="0" collapsed="false">
      <c r="A286" s="12" t="str">
        <f aca="false">parametros_recargas!$B$100</f>
        <v>PH de mangueras (CO₂ y rodantes)</v>
      </c>
      <c r="B286" s="25" t="n">
        <f aca="false">'Plan mensual'!D285</f>
        <v>304.739399397811</v>
      </c>
      <c r="C286" s="25" t="n">
        <f aca="false">'Plan mensual'!E285</f>
        <v>306.332292414453</v>
      </c>
      <c r="D286" s="25" t="n">
        <f aca="false">'Plan mensual'!F285</f>
        <v>307.934412361907</v>
      </c>
      <c r="E286" s="25" t="n">
        <f aca="false">'Plan mensual'!G285</f>
        <v>309.545812687739</v>
      </c>
      <c r="F286" s="25" t="n">
        <f aca="false">'Plan mensual'!H285</f>
        <v>311.16654714911</v>
      </c>
      <c r="G286" s="25" t="n">
        <f aca="false">'Plan mensual'!I285</f>
        <v>312.796669814576</v>
      </c>
      <c r="H286" s="25" t="n">
        <f aca="false">'Plan mensual'!J285</f>
        <v>314.436235065887</v>
      </c>
      <c r="I286" s="25" t="n">
        <f aca="false">'Plan mensual'!K285</f>
        <v>316.085297599801</v>
      </c>
      <c r="J286" s="25" t="n">
        <f aca="false">'Plan mensual'!L285</f>
        <v>317.743912429913</v>
      </c>
      <c r="K286" s="25" t="n">
        <f aca="false">'Plan mensual'!M285</f>
        <v>319.412134888486</v>
      </c>
      <c r="L286" s="25" t="n">
        <f aca="false">'Plan mensual'!N285</f>
        <v>321.090020628299</v>
      </c>
      <c r="M286" s="25" t="n">
        <f aca="false">'Plan mensual'!O285</f>
        <v>322.777625624504</v>
      </c>
      <c r="N286" s="7" t="n">
        <f aca="false">SUM(B286:M286)</f>
        <v>3764.06036006249</v>
      </c>
      <c r="O286" s="26" t="n">
        <f aca="false">MAX(B286:M286)</f>
        <v>322.777625624504</v>
      </c>
      <c r="P286" s="15" t="n">
        <f aca="false">O286/parametros_recargas!$B$6</f>
        <v>2.15185083749669</v>
      </c>
    </row>
    <row r="289" customFormat="false" ht="23.85" hidden="false" customHeight="false" outlineLevel="0" collapsed="false">
      <c r="A289" s="3" t="s">
        <v>288</v>
      </c>
      <c r="B289" s="3" t="s">
        <v>124</v>
      </c>
      <c r="C289" s="3" t="s">
        <v>125</v>
      </c>
      <c r="D289" s="3" t="s">
        <v>126</v>
      </c>
      <c r="E289" s="3" t="s">
        <v>127</v>
      </c>
      <c r="F289" s="3" t="s">
        <v>128</v>
      </c>
      <c r="G289" s="3" t="s">
        <v>129</v>
      </c>
      <c r="H289" s="3" t="s">
        <v>130</v>
      </c>
      <c r="I289" s="3" t="s">
        <v>131</v>
      </c>
      <c r="J289" s="3" t="s">
        <v>132</v>
      </c>
      <c r="K289" s="3" t="s">
        <v>133</v>
      </c>
      <c r="L289" s="3" t="s">
        <v>134</v>
      </c>
      <c r="M289" s="3" t="s">
        <v>135</v>
      </c>
      <c r="N289" s="3" t="s">
        <v>277</v>
      </c>
      <c r="O289" s="3" t="s">
        <v>278</v>
      </c>
      <c r="P289" s="3" t="s">
        <v>279</v>
      </c>
    </row>
    <row r="290" customFormat="false" ht="15" hidden="false" customHeight="false" outlineLevel="0" collapsed="false">
      <c r="A290" s="12" t="str">
        <f aca="false">parametros_recargas!$B$72</f>
        <v>Recepción y registro</v>
      </c>
      <c r="B290" s="25" t="n">
        <f aca="false">parametros_recargas!$E$72*'Plan mensual'!D309+parametros_recargas!$F$72*'Plan mensual'!D310+parametros_recargas!$G$72*'Plan mensual'!D311+parametros_recargas!$H$72*'Plan mensual'!D312+parametros_recargas!$I$72*'Plan mensual'!D313+parametros_recargas!$J$72*'Plan mensual'!D314+parametros_recargas!$K$72*'Plan mensual'!D315+parametros_recargas!$L$72*'Plan mensual'!D316</f>
        <v>9148.48975561474</v>
      </c>
      <c r="C290" s="25" t="n">
        <f aca="false">parametros_recargas!$E$72*'Plan mensual'!E309+parametros_recargas!$F$72*'Plan mensual'!E310+parametros_recargas!$G$72*'Plan mensual'!E311+parametros_recargas!$H$72*'Plan mensual'!E312+parametros_recargas!$I$72*'Plan mensual'!E313+parametros_recargas!$J$72*'Plan mensual'!E314+parametros_recargas!$K$72*'Plan mensual'!E315+parametros_recargas!$L$72*'Plan mensual'!E316</f>
        <v>9199.95612277129</v>
      </c>
      <c r="D290" s="25" t="n">
        <f aca="false">parametros_recargas!$E$72*'Plan mensual'!F309+parametros_recargas!$F$72*'Plan mensual'!F310+parametros_recargas!$G$72*'Plan mensual'!F311+parametros_recargas!$H$72*'Plan mensual'!F312+parametros_recargas!$I$72*'Plan mensual'!F313+parametros_recargas!$J$72*'Plan mensual'!F314+parametros_recargas!$K$72*'Plan mensual'!F315+parametros_recargas!$L$72*'Plan mensual'!F316</f>
        <v>9251.72061202642</v>
      </c>
      <c r="E290" s="25" t="n">
        <f aca="false">parametros_recargas!$E$72*'Plan mensual'!G309+parametros_recargas!$F$72*'Plan mensual'!G310+parametros_recargas!$G$72*'Plan mensual'!G311+parametros_recargas!$H$72*'Plan mensual'!G312+parametros_recargas!$I$72*'Plan mensual'!G313+parametros_recargas!$J$72*'Plan mensual'!G314+parametros_recargas!$K$72*'Plan mensual'!G315+parametros_recargas!$L$72*'Plan mensual'!G316</f>
        <v>9303.78495027074</v>
      </c>
      <c r="F290" s="25" t="n">
        <f aca="false">parametros_recargas!$E$72*'Plan mensual'!H309+parametros_recargas!$F$72*'Plan mensual'!H310+parametros_recargas!$G$72*'Plan mensual'!H311+parametros_recargas!$H$72*'Plan mensual'!H312+parametros_recargas!$I$72*'Plan mensual'!H313+parametros_recargas!$J$72*'Plan mensual'!H314+parametros_recargas!$K$72*'Plan mensual'!H315+parametros_recargas!$L$72*'Plan mensual'!H316</f>
        <v>9356.15087439794</v>
      </c>
      <c r="G290" s="25" t="n">
        <f aca="false">parametros_recargas!$E$72*'Plan mensual'!I309+parametros_recargas!$F$72*'Plan mensual'!I310+parametros_recargas!$G$72*'Plan mensual'!I311+parametros_recargas!$H$72*'Plan mensual'!I312+parametros_recargas!$I$72*'Plan mensual'!I313+parametros_recargas!$J$72*'Plan mensual'!I314+parametros_recargas!$K$72*'Plan mensual'!I315+parametros_recargas!$L$72*'Plan mensual'!I316</f>
        <v>9408.82013136284</v>
      </c>
      <c r="H290" s="25" t="n">
        <f aca="false">parametros_recargas!$E$72*'Plan mensual'!J309+parametros_recargas!$F$72*'Plan mensual'!J310+parametros_recargas!$G$72*'Plan mensual'!J311+parametros_recargas!$H$72*'Plan mensual'!J312+parametros_recargas!$I$72*'Plan mensual'!J313+parametros_recargas!$J$72*'Plan mensual'!J314+parametros_recargas!$K$72*'Plan mensual'!J315+parametros_recargas!$L$72*'Plan mensual'!J316</f>
        <v>9461.79447823954</v>
      </c>
      <c r="I290" s="25" t="n">
        <f aca="false">parametros_recargas!$E$72*'Plan mensual'!K309+parametros_recargas!$F$72*'Plan mensual'!K310+parametros_recargas!$G$72*'Plan mensual'!K311+parametros_recargas!$H$72*'Plan mensual'!K312+parametros_recargas!$I$72*'Plan mensual'!K313+parametros_recargas!$J$72*'Plan mensual'!K314+parametros_recargas!$K$72*'Plan mensual'!K315+parametros_recargas!$L$72*'Plan mensual'!K316</f>
        <v>9515.07568228014</v>
      </c>
      <c r="J290" s="25" t="n">
        <f aca="false">parametros_recargas!$E$72*'Plan mensual'!L309+parametros_recargas!$F$72*'Plan mensual'!L310+parametros_recargas!$G$72*'Plan mensual'!L311+parametros_recargas!$H$72*'Plan mensual'!L312+parametros_recargas!$I$72*'Plan mensual'!L313+parametros_recargas!$J$72*'Plan mensual'!L314+parametros_recargas!$K$72*'Plan mensual'!L315+parametros_recargas!$L$72*'Plan mensual'!L316</f>
        <v>9568.66552097364</v>
      </c>
      <c r="K290" s="25" t="n">
        <f aca="false">parametros_recargas!$E$72*'Plan mensual'!M309+parametros_recargas!$F$72*'Plan mensual'!M310+parametros_recargas!$G$72*'Plan mensual'!M311+parametros_recargas!$H$72*'Plan mensual'!M312+parametros_recargas!$I$72*'Plan mensual'!M313+parametros_recargas!$J$72*'Plan mensual'!M314+parametros_recargas!$K$72*'Plan mensual'!M315+parametros_recargas!$L$72*'Plan mensual'!M316</f>
        <v>9622.56578210527</v>
      </c>
      <c r="L290" s="25" t="n">
        <f aca="false">parametros_recargas!$E$72*'Plan mensual'!N309+parametros_recargas!$F$72*'Plan mensual'!N310+parametros_recargas!$G$72*'Plan mensual'!N311+parametros_recargas!$H$72*'Plan mensual'!N312+parametros_recargas!$I$72*'Plan mensual'!N313+parametros_recargas!$J$72*'Plan mensual'!N314+parametros_recargas!$K$72*'Plan mensual'!N315+parametros_recargas!$L$72*'Plan mensual'!N316</f>
        <v>9676.77826381608</v>
      </c>
      <c r="M290" s="25" t="n">
        <f aca="false">parametros_recargas!$E$72*'Plan mensual'!O309+parametros_recargas!$F$72*'Plan mensual'!O310+parametros_recargas!$G$72*'Plan mensual'!O311+parametros_recargas!$H$72*'Plan mensual'!O312+parametros_recargas!$I$72*'Plan mensual'!O313+parametros_recargas!$J$72*'Plan mensual'!O314+parametros_recargas!$K$72*'Plan mensual'!O315+parametros_recargas!$L$72*'Plan mensual'!O316</f>
        <v>9731.304774663</v>
      </c>
      <c r="N290" s="7" t="n">
        <f aca="false">SUM(B290:M290)</f>
        <v>113245.106948522</v>
      </c>
      <c r="O290" s="26" t="n">
        <f aca="false">MAX(B290:M290)</f>
        <v>9731.304774663</v>
      </c>
      <c r="P290" s="15" t="n">
        <f aca="false">O290/parametros_recargas!$B$6</f>
        <v>64.87536516442</v>
      </c>
    </row>
    <row r="291" customFormat="false" ht="15" hidden="false" customHeight="false" outlineLevel="0" collapsed="false">
      <c r="A291" s="12" t="str">
        <f aca="false">parametros_recargas!$B$73</f>
        <v>Inspección visual</v>
      </c>
      <c r="B291" s="25" t="n">
        <f aca="false">parametros_recargas!$E$73*'Plan mensual'!D309+parametros_recargas!$F$73*'Plan mensual'!D310+parametros_recargas!$G$73*'Plan mensual'!D311+parametros_recargas!$H$73*'Plan mensual'!D312+parametros_recargas!$I$73*'Plan mensual'!D313+parametros_recargas!$J$73*'Plan mensual'!D314+parametros_recargas!$K$73*'Plan mensual'!D315+parametros_recargas!$L$73*'Plan mensual'!D316</f>
        <v>9148.48975561474</v>
      </c>
      <c r="C291" s="25" t="n">
        <f aca="false">parametros_recargas!$E$73*'Plan mensual'!E309+parametros_recargas!$F$73*'Plan mensual'!E310+parametros_recargas!$G$73*'Plan mensual'!E311+parametros_recargas!$H$73*'Plan mensual'!E312+parametros_recargas!$I$73*'Plan mensual'!E313+parametros_recargas!$J$73*'Plan mensual'!E314+parametros_recargas!$K$73*'Plan mensual'!E315+parametros_recargas!$L$73*'Plan mensual'!E316</f>
        <v>9199.95612277129</v>
      </c>
      <c r="D291" s="25" t="n">
        <f aca="false">parametros_recargas!$E$73*'Plan mensual'!F309+parametros_recargas!$F$73*'Plan mensual'!F310+parametros_recargas!$G$73*'Plan mensual'!F311+parametros_recargas!$H$73*'Plan mensual'!F312+parametros_recargas!$I$73*'Plan mensual'!F313+parametros_recargas!$J$73*'Plan mensual'!F314+parametros_recargas!$K$73*'Plan mensual'!F315+parametros_recargas!$L$73*'Plan mensual'!F316</f>
        <v>9251.72061202642</v>
      </c>
      <c r="E291" s="25" t="n">
        <f aca="false">parametros_recargas!$E$73*'Plan mensual'!G309+parametros_recargas!$F$73*'Plan mensual'!G310+parametros_recargas!$G$73*'Plan mensual'!G311+parametros_recargas!$H$73*'Plan mensual'!G312+parametros_recargas!$I$73*'Plan mensual'!G313+parametros_recargas!$J$73*'Plan mensual'!G314+parametros_recargas!$K$73*'Plan mensual'!G315+parametros_recargas!$L$73*'Plan mensual'!G316</f>
        <v>9303.78495027074</v>
      </c>
      <c r="F291" s="25" t="n">
        <f aca="false">parametros_recargas!$E$73*'Plan mensual'!H309+parametros_recargas!$F$73*'Plan mensual'!H310+parametros_recargas!$G$73*'Plan mensual'!H311+parametros_recargas!$H$73*'Plan mensual'!H312+parametros_recargas!$I$73*'Plan mensual'!H313+parametros_recargas!$J$73*'Plan mensual'!H314+parametros_recargas!$K$73*'Plan mensual'!H315+parametros_recargas!$L$73*'Plan mensual'!H316</f>
        <v>9356.15087439794</v>
      </c>
      <c r="G291" s="25" t="n">
        <f aca="false">parametros_recargas!$E$73*'Plan mensual'!I309+parametros_recargas!$F$73*'Plan mensual'!I310+parametros_recargas!$G$73*'Plan mensual'!I311+parametros_recargas!$H$73*'Plan mensual'!I312+parametros_recargas!$I$73*'Plan mensual'!I313+parametros_recargas!$J$73*'Plan mensual'!I314+parametros_recargas!$K$73*'Plan mensual'!I315+parametros_recargas!$L$73*'Plan mensual'!I316</f>
        <v>9408.82013136284</v>
      </c>
      <c r="H291" s="25" t="n">
        <f aca="false">parametros_recargas!$E$73*'Plan mensual'!J309+parametros_recargas!$F$73*'Plan mensual'!J310+parametros_recargas!$G$73*'Plan mensual'!J311+parametros_recargas!$H$73*'Plan mensual'!J312+parametros_recargas!$I$73*'Plan mensual'!J313+parametros_recargas!$J$73*'Plan mensual'!J314+parametros_recargas!$K$73*'Plan mensual'!J315+parametros_recargas!$L$73*'Plan mensual'!J316</f>
        <v>9461.79447823954</v>
      </c>
      <c r="I291" s="25" t="n">
        <f aca="false">parametros_recargas!$E$73*'Plan mensual'!K309+parametros_recargas!$F$73*'Plan mensual'!K310+parametros_recargas!$G$73*'Plan mensual'!K311+parametros_recargas!$H$73*'Plan mensual'!K312+parametros_recargas!$I$73*'Plan mensual'!K313+parametros_recargas!$J$73*'Plan mensual'!K314+parametros_recargas!$K$73*'Plan mensual'!K315+parametros_recargas!$L$73*'Plan mensual'!K316</f>
        <v>9515.07568228014</v>
      </c>
      <c r="J291" s="25" t="n">
        <f aca="false">parametros_recargas!$E$73*'Plan mensual'!L309+parametros_recargas!$F$73*'Plan mensual'!L310+parametros_recargas!$G$73*'Plan mensual'!L311+parametros_recargas!$H$73*'Plan mensual'!L312+parametros_recargas!$I$73*'Plan mensual'!L313+parametros_recargas!$J$73*'Plan mensual'!L314+parametros_recargas!$K$73*'Plan mensual'!L315+parametros_recargas!$L$73*'Plan mensual'!L316</f>
        <v>9568.66552097364</v>
      </c>
      <c r="K291" s="25" t="n">
        <f aca="false">parametros_recargas!$E$73*'Plan mensual'!M309+parametros_recargas!$F$73*'Plan mensual'!M310+parametros_recargas!$G$73*'Plan mensual'!M311+parametros_recargas!$H$73*'Plan mensual'!M312+parametros_recargas!$I$73*'Plan mensual'!M313+parametros_recargas!$J$73*'Plan mensual'!M314+parametros_recargas!$K$73*'Plan mensual'!M315+parametros_recargas!$L$73*'Plan mensual'!M316</f>
        <v>9622.56578210527</v>
      </c>
      <c r="L291" s="25" t="n">
        <f aca="false">parametros_recargas!$E$73*'Plan mensual'!N309+parametros_recargas!$F$73*'Plan mensual'!N310+parametros_recargas!$G$73*'Plan mensual'!N311+parametros_recargas!$H$73*'Plan mensual'!N312+parametros_recargas!$I$73*'Plan mensual'!N313+parametros_recargas!$J$73*'Plan mensual'!N314+parametros_recargas!$K$73*'Plan mensual'!N315+parametros_recargas!$L$73*'Plan mensual'!N316</f>
        <v>9676.77826381608</v>
      </c>
      <c r="M291" s="25" t="n">
        <f aca="false">parametros_recargas!$E$73*'Plan mensual'!O309+parametros_recargas!$F$73*'Plan mensual'!O310+parametros_recargas!$G$73*'Plan mensual'!O311+parametros_recargas!$H$73*'Plan mensual'!O312+parametros_recargas!$I$73*'Plan mensual'!O313+parametros_recargas!$J$73*'Plan mensual'!O314+parametros_recargas!$K$73*'Plan mensual'!O315+parametros_recargas!$L$73*'Plan mensual'!O316</f>
        <v>9731.304774663</v>
      </c>
      <c r="N291" s="7" t="n">
        <f aca="false">SUM(B291:M291)</f>
        <v>113245.106948522</v>
      </c>
      <c r="O291" s="26" t="n">
        <f aca="false">MAX(B291:M291)</f>
        <v>9731.304774663</v>
      </c>
      <c r="P291" s="15" t="n">
        <f aca="false">O291/parametros_recargas!$B$6</f>
        <v>64.87536516442</v>
      </c>
    </row>
    <row r="292" customFormat="false" ht="15" hidden="false" customHeight="false" outlineLevel="0" collapsed="false">
      <c r="A292" s="12" t="str">
        <f aca="false">parametros_recargas!$B$74</f>
        <v>Descarga ABC — ruta recuperable</v>
      </c>
      <c r="B292" s="25" t="n">
        <f aca="false">parametros_recargas!$E$74*'Plan mensual'!D309+parametros_recargas!$F$74*'Plan mensual'!D310+parametros_recargas!$G$74*'Plan mensual'!D311+parametros_recargas!$H$74*'Plan mensual'!D312+parametros_recargas!$I$74*'Plan mensual'!D313+parametros_recargas!$J$74*'Plan mensual'!D314+parametros_recargas!$K$74*'Plan mensual'!D315+parametros_recargas!$L$74*'Plan mensual'!D316</f>
        <v>6753.32957260886</v>
      </c>
      <c r="C292" s="25" t="n">
        <f aca="false">parametros_recargas!$E$74*'Plan mensual'!E309+parametros_recargas!$F$74*'Plan mensual'!E310+parametros_recargas!$G$74*'Plan mensual'!E311+parametros_recargas!$H$74*'Plan mensual'!E312+parametros_recargas!$I$74*'Plan mensual'!E313+parametros_recargas!$J$74*'Plan mensual'!E314+parametros_recargas!$K$74*'Plan mensual'!E315+parametros_recargas!$L$74*'Plan mensual'!E316</f>
        <v>6791.41426716374</v>
      </c>
      <c r="D292" s="25" t="n">
        <f aca="false">parametros_recargas!$E$74*'Plan mensual'!F309+parametros_recargas!$F$74*'Plan mensual'!F310+parametros_recargas!$G$74*'Plan mensual'!F311+parametros_recargas!$H$74*'Plan mensual'!F312+parametros_recargas!$I$74*'Plan mensual'!F313+parametros_recargas!$J$74*'Plan mensual'!F314+parametros_recargas!$K$74*'Plan mensual'!F315+parametros_recargas!$L$74*'Plan mensual'!F316</f>
        <v>6829.71956965526</v>
      </c>
      <c r="E292" s="25" t="n">
        <f aca="false">parametros_recargas!$E$74*'Plan mensual'!G309+parametros_recargas!$F$74*'Plan mensual'!G310+parametros_recargas!$G$74*'Plan mensual'!G311+parametros_recargas!$H$74*'Plan mensual'!G312+parametros_recargas!$I$74*'Plan mensual'!G313+parametros_recargas!$J$74*'Plan mensual'!G314+parametros_recargas!$K$74*'Plan mensual'!G315+parametros_recargas!$L$74*'Plan mensual'!G316</f>
        <v>6868.24675796846</v>
      </c>
      <c r="F292" s="25" t="n">
        <f aca="false">parametros_recargas!$E$74*'Plan mensual'!H309+parametros_recargas!$F$74*'Plan mensual'!H310+parametros_recargas!$G$74*'Plan mensual'!H311+parametros_recargas!$H$74*'Plan mensual'!H312+parametros_recargas!$I$74*'Plan mensual'!H313+parametros_recargas!$J$74*'Plan mensual'!H314+parametros_recargas!$K$74*'Plan mensual'!H315+parametros_recargas!$L$74*'Plan mensual'!H316</f>
        <v>6906.99711739061</v>
      </c>
      <c r="G292" s="25" t="n">
        <f aca="false">parametros_recargas!$E$74*'Plan mensual'!I309+parametros_recargas!$F$74*'Plan mensual'!I310+parametros_recargas!$G$74*'Plan mensual'!I311+parametros_recargas!$H$74*'Plan mensual'!I312+parametros_recargas!$I$74*'Plan mensual'!I313+parametros_recargas!$J$74*'Plan mensual'!I314+parametros_recargas!$K$74*'Plan mensual'!I315+parametros_recargas!$L$74*'Plan mensual'!I316</f>
        <v>6945.9719406541</v>
      </c>
      <c r="H292" s="25" t="n">
        <f aca="false">parametros_recargas!$E$74*'Plan mensual'!J309+parametros_recargas!$F$74*'Plan mensual'!J310+parametros_recargas!$G$74*'Plan mensual'!J311+parametros_recargas!$H$74*'Plan mensual'!J312+parametros_recargas!$I$74*'Plan mensual'!J313+parametros_recargas!$J$74*'Plan mensual'!J314+parametros_recargas!$K$74*'Plan mensual'!J315+parametros_recargas!$L$74*'Plan mensual'!J316</f>
        <v>6985.17252797955</v>
      </c>
      <c r="I292" s="25" t="n">
        <f aca="false">parametros_recargas!$E$74*'Plan mensual'!K309+parametros_recargas!$F$74*'Plan mensual'!K310+parametros_recargas!$G$74*'Plan mensual'!K311+parametros_recargas!$H$74*'Plan mensual'!K312+parametros_recargas!$I$74*'Plan mensual'!K313+parametros_recargas!$J$74*'Plan mensual'!K314+parametros_recargas!$K$74*'Plan mensual'!K315+parametros_recargas!$L$74*'Plan mensual'!K316</f>
        <v>7024.60018711916</v>
      </c>
      <c r="J292" s="25" t="n">
        <f aca="false">parametros_recargas!$E$74*'Plan mensual'!L309+parametros_recargas!$F$74*'Plan mensual'!L310+parametros_recargas!$G$74*'Plan mensual'!L311+parametros_recargas!$H$74*'Plan mensual'!L312+parametros_recargas!$I$74*'Plan mensual'!L313+parametros_recargas!$J$74*'Plan mensual'!L314+parametros_recargas!$K$74*'Plan mensual'!L315+parametros_recargas!$L$74*'Plan mensual'!L316</f>
        <v>7064.2562334004</v>
      </c>
      <c r="K292" s="25" t="n">
        <f aca="false">parametros_recargas!$E$74*'Plan mensual'!M309+parametros_recargas!$F$74*'Plan mensual'!M310+parametros_recargas!$G$74*'Plan mensual'!M311+parametros_recargas!$H$74*'Plan mensual'!M312+parametros_recargas!$I$74*'Plan mensual'!M313+parametros_recargas!$J$74*'Plan mensual'!M314+parametros_recargas!$K$74*'Plan mensual'!M315+parametros_recargas!$L$74*'Plan mensual'!M316</f>
        <v>7104.14198976983</v>
      </c>
      <c r="L292" s="25" t="n">
        <f aca="false">parametros_recargas!$E$74*'Plan mensual'!N309+parametros_recargas!$F$74*'Plan mensual'!N310+parametros_recargas!$G$74*'Plan mensual'!N311+parametros_recargas!$H$74*'Plan mensual'!N312+parametros_recargas!$I$74*'Plan mensual'!N313+parametros_recargas!$J$74*'Plan mensual'!N314+parametros_recargas!$K$74*'Plan mensual'!N315+parametros_recargas!$L$74*'Plan mensual'!N316</f>
        <v>7144.25878683729</v>
      </c>
      <c r="M292" s="25" t="n">
        <f aca="false">parametros_recargas!$E$74*'Plan mensual'!O309+parametros_recargas!$F$74*'Plan mensual'!O310+parametros_recargas!$G$74*'Plan mensual'!O311+parametros_recargas!$H$74*'Plan mensual'!O312+parametros_recargas!$I$74*'Plan mensual'!O313+parametros_recargas!$J$74*'Plan mensual'!O314+parametros_recargas!$K$74*'Plan mensual'!O315+parametros_recargas!$L$74*'Plan mensual'!O316</f>
        <v>7184.60796292022</v>
      </c>
      <c r="N292" s="7" t="n">
        <f aca="false">SUM(B292:M292)</f>
        <v>83602.7169134675</v>
      </c>
      <c r="O292" s="26" t="n">
        <f aca="false">MAX(B292:M292)</f>
        <v>7184.60796292022</v>
      </c>
      <c r="P292" s="15" t="n">
        <f aca="false">O292/parametros_recargas!$B$6</f>
        <v>47.8973864194681</v>
      </c>
    </row>
    <row r="293" customFormat="false" ht="15" hidden="false" customHeight="false" outlineLevel="0" collapsed="false">
      <c r="A293" s="12" t="str">
        <f aca="false">parametros_recargas!$B$75</f>
        <v>Descarga ABC — ruta descarte</v>
      </c>
      <c r="B293" s="25" t="n">
        <f aca="false">parametros_recargas!$E$75*'Plan mensual'!D309+parametros_recargas!$F$75*'Plan mensual'!D310+parametros_recargas!$G$75*'Plan mensual'!D311+parametros_recargas!$H$75*'Plan mensual'!D312+parametros_recargas!$I$75*'Plan mensual'!D313+parametros_recargas!$J$75*'Plan mensual'!D314+parametros_recargas!$K$75*'Plan mensual'!D315+parametros_recargas!$L$75*'Plan mensual'!D316</f>
        <v>794.509361483395</v>
      </c>
      <c r="C293" s="25" t="n">
        <f aca="false">parametros_recargas!$E$75*'Plan mensual'!E309+parametros_recargas!$F$75*'Plan mensual'!E310+parametros_recargas!$G$75*'Plan mensual'!E311+parametros_recargas!$H$75*'Plan mensual'!E312+parametros_recargas!$I$75*'Plan mensual'!E313+parametros_recargas!$J$75*'Plan mensual'!E314+parametros_recargas!$K$75*'Plan mensual'!E315+parametros_recargas!$L$75*'Plan mensual'!E316</f>
        <v>798.98991378397</v>
      </c>
      <c r="D293" s="25" t="n">
        <f aca="false">parametros_recargas!$E$75*'Plan mensual'!F309+parametros_recargas!$F$75*'Plan mensual'!F310+parametros_recargas!$G$75*'Plan mensual'!F311+parametros_recargas!$H$75*'Plan mensual'!F312+parametros_recargas!$I$75*'Plan mensual'!F313+parametros_recargas!$J$75*'Plan mensual'!F314+parametros_recargas!$K$75*'Plan mensual'!F315+parametros_recargas!$L$75*'Plan mensual'!F316</f>
        <v>803.496419959442</v>
      </c>
      <c r="E293" s="25" t="n">
        <f aca="false">parametros_recargas!$E$75*'Plan mensual'!G309+parametros_recargas!$F$75*'Plan mensual'!G310+parametros_recargas!$G$75*'Plan mensual'!G311+parametros_recargas!$H$75*'Plan mensual'!G312+parametros_recargas!$I$75*'Plan mensual'!G313+parametros_recargas!$J$75*'Plan mensual'!G314+parametros_recargas!$K$75*'Plan mensual'!G315+parametros_recargas!$L$75*'Plan mensual'!G316</f>
        <v>808.02903034923</v>
      </c>
      <c r="F293" s="25" t="n">
        <f aca="false">parametros_recargas!$E$75*'Plan mensual'!H309+parametros_recargas!$F$75*'Plan mensual'!H310+parametros_recargas!$G$75*'Plan mensual'!H311+parametros_recargas!$H$75*'Plan mensual'!H312+parametros_recargas!$I$75*'Plan mensual'!H313+parametros_recargas!$J$75*'Plan mensual'!H314+parametros_recargas!$K$75*'Plan mensual'!H315+parametros_recargas!$L$75*'Plan mensual'!H316</f>
        <v>812.587896163601</v>
      </c>
      <c r="G293" s="25" t="n">
        <f aca="false">parametros_recargas!$E$75*'Plan mensual'!I309+parametros_recargas!$F$75*'Plan mensual'!I310+parametros_recargas!$G$75*'Plan mensual'!I311+parametros_recargas!$H$75*'Plan mensual'!I312+parametros_recargas!$I$75*'Plan mensual'!I313+parametros_recargas!$J$75*'Plan mensual'!I314+parametros_recargas!$K$75*'Plan mensual'!I315+parametros_recargas!$L$75*'Plan mensual'!I316</f>
        <v>817.173169488718</v>
      </c>
      <c r="H293" s="25" t="n">
        <f aca="false">parametros_recargas!$E$75*'Plan mensual'!J309+parametros_recargas!$F$75*'Plan mensual'!J310+parametros_recargas!$G$75*'Plan mensual'!J311+parametros_recargas!$H$75*'Plan mensual'!J312+parametros_recargas!$I$75*'Plan mensual'!J313+parametros_recargas!$J$75*'Plan mensual'!J314+parametros_recargas!$K$75*'Plan mensual'!J315+parametros_recargas!$L$75*'Plan mensual'!J316</f>
        <v>821.785003291711</v>
      </c>
      <c r="I293" s="25" t="n">
        <f aca="false">parametros_recargas!$E$75*'Plan mensual'!K309+parametros_recargas!$F$75*'Plan mensual'!K310+parametros_recargas!$G$75*'Plan mensual'!K311+parametros_recargas!$H$75*'Plan mensual'!K312+parametros_recargas!$I$75*'Plan mensual'!K313+parametros_recargas!$J$75*'Plan mensual'!K314+parametros_recargas!$K$75*'Plan mensual'!K315+parametros_recargas!$L$75*'Plan mensual'!K316</f>
        <v>826.423551425783</v>
      </c>
      <c r="J293" s="25" t="n">
        <f aca="false">parametros_recargas!$E$75*'Plan mensual'!L309+parametros_recargas!$F$75*'Plan mensual'!L310+parametros_recargas!$G$75*'Plan mensual'!L311+parametros_recargas!$H$75*'Plan mensual'!L312+parametros_recargas!$I$75*'Plan mensual'!L313+parametros_recargas!$J$75*'Plan mensual'!L314+parametros_recargas!$K$75*'Plan mensual'!L315+parametros_recargas!$L$75*'Plan mensual'!L316</f>
        <v>831.088968635341</v>
      </c>
      <c r="K293" s="25" t="n">
        <f aca="false">parametros_recargas!$E$75*'Plan mensual'!M309+parametros_recargas!$F$75*'Plan mensual'!M310+parametros_recargas!$G$75*'Plan mensual'!M311+parametros_recargas!$H$75*'Plan mensual'!M312+parametros_recargas!$I$75*'Plan mensual'!M313+parametros_recargas!$J$75*'Plan mensual'!M314+parametros_recargas!$K$75*'Plan mensual'!M315+parametros_recargas!$L$75*'Plan mensual'!M316</f>
        <v>835.781410561157</v>
      </c>
      <c r="L293" s="25" t="n">
        <f aca="false">parametros_recargas!$E$75*'Plan mensual'!N309+parametros_recargas!$F$75*'Plan mensual'!N310+parametros_recargas!$G$75*'Plan mensual'!N311+parametros_recargas!$H$75*'Plan mensual'!N312+parametros_recargas!$I$75*'Plan mensual'!N313+parametros_recargas!$J$75*'Plan mensual'!N314+parametros_recargas!$K$75*'Plan mensual'!N315+parametros_recargas!$L$75*'Plan mensual'!N316</f>
        <v>840.501033745563</v>
      </c>
      <c r="M293" s="25" t="n">
        <f aca="false">parametros_recargas!$E$75*'Plan mensual'!O309+parametros_recargas!$F$75*'Plan mensual'!O310+parametros_recargas!$G$75*'Plan mensual'!O311+parametros_recargas!$H$75*'Plan mensual'!O312+parametros_recargas!$I$75*'Plan mensual'!O313+parametros_recargas!$J$75*'Plan mensual'!O314+parametros_recargas!$K$75*'Plan mensual'!O315+parametros_recargas!$L$75*'Plan mensual'!O316</f>
        <v>845.247995637673</v>
      </c>
      <c r="N293" s="7" t="n">
        <f aca="false">SUM(B293:M293)</f>
        <v>9835.61375452558</v>
      </c>
      <c r="O293" s="26" t="n">
        <f aca="false">MAX(B293:M293)</f>
        <v>845.247995637673</v>
      </c>
      <c r="P293" s="15" t="n">
        <f aca="false">O293/parametros_recargas!$B$6</f>
        <v>5.63498663758448</v>
      </c>
    </row>
    <row r="294" customFormat="false" ht="15" hidden="false" customHeight="false" outlineLevel="0" collapsed="false">
      <c r="A294" s="12" t="str">
        <f aca="false">parametros_recargas!$B$76</f>
        <v>Descarga BC</v>
      </c>
      <c r="B294" s="25" t="n">
        <f aca="false">parametros_recargas!$E$76*'Plan mensual'!D309+parametros_recargas!$F$76*'Plan mensual'!D310+parametros_recargas!$G$76*'Plan mensual'!D311+parametros_recargas!$H$76*'Plan mensual'!D312+parametros_recargas!$I$76*'Plan mensual'!D313+parametros_recargas!$J$76*'Plan mensual'!D314+parametros_recargas!$K$76*'Plan mensual'!D315+parametros_recargas!$L$76*'Plan mensual'!D316</f>
        <v>11.9976788129262</v>
      </c>
      <c r="C294" s="25" t="n">
        <f aca="false">parametros_recargas!$E$76*'Plan mensual'!E309+parametros_recargas!$F$76*'Plan mensual'!E310+parametros_recargas!$G$76*'Plan mensual'!E311+parametros_recargas!$H$76*'Plan mensual'!E312+parametros_recargas!$I$76*'Plan mensual'!E313+parametros_recargas!$J$76*'Plan mensual'!E314+parametros_recargas!$K$76*'Plan mensual'!E315+parametros_recargas!$L$76*'Plan mensual'!E316</f>
        <v>12.0628316845415</v>
      </c>
      <c r="D294" s="25" t="n">
        <f aca="false">parametros_recargas!$E$76*'Plan mensual'!F309+parametros_recargas!$F$76*'Plan mensual'!F310+parametros_recargas!$G$76*'Plan mensual'!F311+parametros_recargas!$H$76*'Plan mensual'!F312+parametros_recargas!$I$76*'Plan mensual'!F313+parametros_recargas!$J$76*'Plan mensual'!F314+parametros_recargas!$K$76*'Plan mensual'!F315+parametros_recargas!$L$76*'Plan mensual'!F316</f>
        <v>12.1283619581746</v>
      </c>
      <c r="E294" s="25" t="n">
        <f aca="false">parametros_recargas!$E$76*'Plan mensual'!G309+parametros_recargas!$F$76*'Plan mensual'!G310+parametros_recargas!$G$76*'Plan mensual'!G311+parametros_recargas!$H$76*'Plan mensual'!G312+parametros_recargas!$I$76*'Plan mensual'!G313+parametros_recargas!$J$76*'Plan mensual'!G314+parametros_recargas!$K$76*'Plan mensual'!G315+parametros_recargas!$L$76*'Plan mensual'!G316</f>
        <v>12.19427181995</v>
      </c>
      <c r="F294" s="25" t="n">
        <f aca="false">parametros_recargas!$E$76*'Plan mensual'!H309+parametros_recargas!$F$76*'Plan mensual'!H310+parametros_recargas!$G$76*'Plan mensual'!H311+parametros_recargas!$H$76*'Plan mensual'!H312+parametros_recargas!$I$76*'Plan mensual'!H313+parametros_recargas!$J$76*'Plan mensual'!H314+parametros_recargas!$K$76*'Plan mensual'!H315+parametros_recargas!$L$76*'Plan mensual'!H316</f>
        <v>12.2605634686552</v>
      </c>
      <c r="G294" s="25" t="n">
        <f aca="false">parametros_recargas!$E$76*'Plan mensual'!I309+parametros_recargas!$F$76*'Plan mensual'!I310+parametros_recargas!$G$76*'Plan mensual'!I311+parametros_recargas!$H$76*'Plan mensual'!I312+parametros_recargas!$I$76*'Plan mensual'!I313+parametros_recargas!$J$76*'Plan mensual'!I314+parametros_recargas!$K$76*'Plan mensual'!I315+parametros_recargas!$L$76*'Plan mensual'!I316</f>
        <v>12.3272391158147</v>
      </c>
      <c r="H294" s="25" t="n">
        <f aca="false">parametros_recargas!$E$76*'Plan mensual'!J309+parametros_recargas!$F$76*'Plan mensual'!J310+parametros_recargas!$G$76*'Plan mensual'!J311+parametros_recargas!$H$76*'Plan mensual'!J312+parametros_recargas!$I$76*'Plan mensual'!J313+parametros_recargas!$J$76*'Plan mensual'!J314+parametros_recargas!$K$76*'Plan mensual'!J315+parametros_recargas!$L$76*'Plan mensual'!J316</f>
        <v>12.394300985763</v>
      </c>
      <c r="I294" s="25" t="n">
        <f aca="false">parametros_recargas!$E$76*'Plan mensual'!K309+parametros_recargas!$F$76*'Plan mensual'!K310+parametros_recargas!$G$76*'Plan mensual'!K311+parametros_recargas!$H$76*'Plan mensual'!K312+parametros_recargas!$I$76*'Plan mensual'!K313+parametros_recargas!$J$76*'Plan mensual'!K314+parametros_recargas!$K$76*'Plan mensual'!K315+parametros_recargas!$L$76*'Plan mensual'!K316</f>
        <v>12.4617513157194</v>
      </c>
      <c r="J294" s="25" t="n">
        <f aca="false">parametros_recargas!$E$76*'Plan mensual'!L309+parametros_recargas!$F$76*'Plan mensual'!L310+parametros_recargas!$G$76*'Plan mensual'!L311+parametros_recargas!$H$76*'Plan mensual'!L312+parametros_recargas!$I$76*'Plan mensual'!L313+parametros_recargas!$J$76*'Plan mensual'!L314+parametros_recargas!$K$76*'Plan mensual'!L315+parametros_recargas!$L$76*'Plan mensual'!L316</f>
        <v>12.5295923558624</v>
      </c>
      <c r="K294" s="25" t="n">
        <f aca="false">parametros_recargas!$E$76*'Plan mensual'!M309+parametros_recargas!$F$76*'Plan mensual'!M310+parametros_recargas!$G$76*'Plan mensual'!M311+parametros_recargas!$H$76*'Plan mensual'!M312+parametros_recargas!$I$76*'Plan mensual'!M313+parametros_recargas!$J$76*'Plan mensual'!M314+parametros_recargas!$K$76*'Plan mensual'!M315+parametros_recargas!$L$76*'Plan mensual'!M316</f>
        <v>12.5978263694048</v>
      </c>
      <c r="L294" s="25" t="n">
        <f aca="false">parametros_recargas!$E$76*'Plan mensual'!N309+parametros_recargas!$F$76*'Plan mensual'!N310+parametros_recargas!$G$76*'Plan mensual'!N311+parametros_recargas!$H$76*'Plan mensual'!N312+parametros_recargas!$I$76*'Plan mensual'!N313+parametros_recargas!$J$76*'Plan mensual'!N314+parametros_recargas!$K$76*'Plan mensual'!N315+parametros_recargas!$L$76*'Plan mensual'!N316</f>
        <v>12.6664556326693</v>
      </c>
      <c r="M294" s="25" t="n">
        <f aca="false">parametros_recargas!$E$76*'Plan mensual'!O309+parametros_recargas!$F$76*'Plan mensual'!O310+parametros_recargas!$G$76*'Plan mensual'!O311+parametros_recargas!$H$76*'Plan mensual'!O312+parametros_recargas!$I$76*'Plan mensual'!O313+parametros_recargas!$J$76*'Plan mensual'!O314+parametros_recargas!$K$76*'Plan mensual'!O315+parametros_recargas!$L$76*'Plan mensual'!O316</f>
        <v>12.7354824351641</v>
      </c>
      <c r="N294" s="7" t="n">
        <f aca="false">SUM(B294:M294)</f>
        <v>148.356355954645</v>
      </c>
      <c r="O294" s="26" t="n">
        <f aca="false">MAX(B294:M294)</f>
        <v>12.7354824351641</v>
      </c>
      <c r="P294" s="15" t="n">
        <f aca="false">O294/parametros_recargas!$B$6</f>
        <v>0.0849032162344274</v>
      </c>
    </row>
    <row r="295" customFormat="false" ht="15" hidden="false" customHeight="false" outlineLevel="0" collapsed="false">
      <c r="A295" s="12" t="str">
        <f aca="false">parametros_recargas!$B$77</f>
        <v>Descarga de agua / AFFF / sales K</v>
      </c>
      <c r="B295" s="25" t="n">
        <f aca="false">parametros_recargas!$E$77*'Plan mensual'!D309+parametros_recargas!$F$77*'Plan mensual'!D310+parametros_recargas!$G$77*'Plan mensual'!D311+parametros_recargas!$H$77*'Plan mensual'!D312+parametros_recargas!$I$77*'Plan mensual'!D313+parametros_recargas!$J$77*'Plan mensual'!D314+parametros_recargas!$K$77*'Plan mensual'!D315+parametros_recargas!$L$77*'Plan mensual'!D316</f>
        <v>407.334144666257</v>
      </c>
      <c r="C295" s="25" t="n">
        <f aca="false">parametros_recargas!$E$77*'Plan mensual'!E309+parametros_recargas!$F$77*'Plan mensual'!E310+parametros_recargas!$G$77*'Plan mensual'!E311+parametros_recargas!$H$77*'Plan mensual'!E312+parametros_recargas!$I$77*'Plan mensual'!E313+parametros_recargas!$J$77*'Plan mensual'!E314+parametros_recargas!$K$77*'Plan mensual'!E315+parametros_recargas!$L$77*'Plan mensual'!E316</f>
        <v>409.588903942259</v>
      </c>
      <c r="D295" s="25" t="n">
        <f aca="false">parametros_recargas!$E$77*'Plan mensual'!F309+parametros_recargas!$F$77*'Plan mensual'!F310+parametros_recargas!$G$77*'Plan mensual'!F311+parametros_recargas!$H$77*'Plan mensual'!F312+parametros_recargas!$I$77*'Plan mensual'!F313+parametros_recargas!$J$77*'Plan mensual'!F314+parametros_recargas!$K$77*'Plan mensual'!F315+parametros_recargas!$L$77*'Plan mensual'!F316</f>
        <v>411.856724050106</v>
      </c>
      <c r="E295" s="25" t="n">
        <f aca="false">parametros_recargas!$E$77*'Plan mensual'!G309+parametros_recargas!$F$77*'Plan mensual'!G310+parametros_recargas!$G$77*'Plan mensual'!G311+parametros_recargas!$H$77*'Plan mensual'!G312+parametros_recargas!$I$77*'Plan mensual'!G313+parametros_recargas!$J$77*'Plan mensual'!G314+parametros_recargas!$K$77*'Plan mensual'!G315+parametros_recargas!$L$77*'Plan mensual'!G316</f>
        <v>414.137680645472</v>
      </c>
      <c r="F295" s="25" t="n">
        <f aca="false">parametros_recargas!$E$77*'Plan mensual'!H309+parametros_recargas!$F$77*'Plan mensual'!H310+parametros_recargas!$G$77*'Plan mensual'!H311+parametros_recargas!$H$77*'Plan mensual'!H312+parametros_recargas!$I$77*'Plan mensual'!H313+parametros_recargas!$J$77*'Plan mensual'!H314+parametros_recargas!$K$77*'Plan mensual'!H315+parametros_recargas!$L$77*'Plan mensual'!H316</f>
        <v>416.431849822268</v>
      </c>
      <c r="G295" s="25" t="n">
        <f aca="false">parametros_recargas!$E$77*'Plan mensual'!I309+parametros_recargas!$F$77*'Plan mensual'!I310+parametros_recargas!$G$77*'Plan mensual'!I311+parametros_recargas!$H$77*'Plan mensual'!I312+parametros_recargas!$I$77*'Plan mensual'!I313+parametros_recargas!$J$77*'Plan mensual'!I314+parametros_recargas!$K$77*'Plan mensual'!I315+parametros_recargas!$L$77*'Plan mensual'!I316</f>
        <v>418.739308115185</v>
      </c>
      <c r="H295" s="25" t="n">
        <f aca="false">parametros_recargas!$E$77*'Plan mensual'!J309+parametros_recargas!$F$77*'Plan mensual'!J310+parametros_recargas!$G$77*'Plan mensual'!J311+parametros_recargas!$H$77*'Plan mensual'!J312+parametros_recargas!$I$77*'Plan mensual'!J313+parametros_recargas!$J$77*'Plan mensual'!J314+parametros_recargas!$K$77*'Plan mensual'!J315+parametros_recargas!$L$77*'Plan mensual'!J316</f>
        <v>421.060132502247</v>
      </c>
      <c r="I295" s="25" t="n">
        <f aca="false">parametros_recargas!$E$77*'Plan mensual'!K309+parametros_recargas!$F$77*'Plan mensual'!K310+parametros_recargas!$G$77*'Plan mensual'!K311+parametros_recargas!$H$77*'Plan mensual'!K312+parametros_recargas!$I$77*'Plan mensual'!K313+parametros_recargas!$J$77*'Plan mensual'!K314+parametros_recargas!$K$77*'Plan mensual'!K315+parametros_recargas!$L$77*'Plan mensual'!K316</f>
        <v>423.394400407375</v>
      </c>
      <c r="J295" s="25" t="n">
        <f aca="false">parametros_recargas!$E$77*'Plan mensual'!L309+parametros_recargas!$F$77*'Plan mensual'!L310+parametros_recargas!$G$77*'Plan mensual'!L311+parametros_recargas!$H$77*'Plan mensual'!L312+parametros_recargas!$I$77*'Plan mensual'!L313+parametros_recargas!$J$77*'Plan mensual'!L314+parametros_recargas!$K$77*'Plan mensual'!L315+parametros_recargas!$L$77*'Plan mensual'!L316</f>
        <v>425.742189702975</v>
      </c>
      <c r="K295" s="25" t="n">
        <f aca="false">parametros_recargas!$E$77*'Plan mensual'!M309+parametros_recargas!$F$77*'Plan mensual'!M310+parametros_recargas!$G$77*'Plan mensual'!M311+parametros_recargas!$H$77*'Plan mensual'!M312+parametros_recargas!$I$77*'Plan mensual'!M313+parametros_recargas!$J$77*'Plan mensual'!M314+parametros_recargas!$K$77*'Plan mensual'!M315+parametros_recargas!$L$77*'Plan mensual'!M316</f>
        <v>428.103578712535</v>
      </c>
      <c r="L295" s="25" t="n">
        <f aca="false">parametros_recargas!$E$77*'Plan mensual'!N309+parametros_recargas!$F$77*'Plan mensual'!N310+parametros_recargas!$G$77*'Plan mensual'!N311+parametros_recargas!$H$77*'Plan mensual'!N312+parametros_recargas!$I$77*'Plan mensual'!N313+parametros_recargas!$J$77*'Plan mensual'!N314+parametros_recargas!$K$77*'Plan mensual'!N315+parametros_recargas!$L$77*'Plan mensual'!N316</f>
        <v>430.478646213233</v>
      </c>
      <c r="M295" s="25" t="n">
        <f aca="false">parametros_recargas!$E$77*'Plan mensual'!O309+parametros_recargas!$F$77*'Plan mensual'!O310+parametros_recargas!$G$77*'Plan mensual'!O311+parametros_recargas!$H$77*'Plan mensual'!O312+parametros_recargas!$I$77*'Plan mensual'!O313+parametros_recargas!$J$77*'Plan mensual'!O314+parametros_recargas!$K$77*'Plan mensual'!O315+parametros_recargas!$L$77*'Plan mensual'!O316</f>
        <v>432.867471438572</v>
      </c>
      <c r="N295" s="7" t="n">
        <f aca="false">SUM(B295:M295)</f>
        <v>5039.73503021848</v>
      </c>
      <c r="O295" s="26" t="n">
        <f aca="false">MAX(B295:M295)</f>
        <v>432.867471438572</v>
      </c>
      <c r="P295" s="15" t="n">
        <f aca="false">O295/parametros_recargas!$B$6</f>
        <v>2.88578314292381</v>
      </c>
    </row>
    <row r="296" customFormat="false" ht="15" hidden="false" customHeight="false" outlineLevel="0" collapsed="false">
      <c r="A296" s="12" t="str">
        <f aca="false">parametros_recargas!$B$78</f>
        <v>Recuperación de CO₂</v>
      </c>
      <c r="B296" s="25" t="n">
        <f aca="false">parametros_recargas!$E$78*'Plan mensual'!D309+parametros_recargas!$F$78*'Plan mensual'!D310+parametros_recargas!$G$78*'Plan mensual'!D311+parametros_recargas!$H$78*'Plan mensual'!D312+parametros_recargas!$I$78*'Plan mensual'!D313+parametros_recargas!$J$78*'Plan mensual'!D314+parametros_recargas!$K$78*'Plan mensual'!D315+parametros_recargas!$L$78*'Plan mensual'!D316</f>
        <v>185.557849772619</v>
      </c>
      <c r="C296" s="25" t="n">
        <f aca="false">parametros_recargas!$E$78*'Plan mensual'!E309+parametros_recargas!$F$78*'Plan mensual'!E310+parametros_recargas!$G$78*'Plan mensual'!E311+parametros_recargas!$H$78*'Plan mensual'!E312+parametros_recargas!$I$78*'Plan mensual'!E313+parametros_recargas!$J$78*'Plan mensual'!E314+parametros_recargas!$K$78*'Plan mensual'!E315+parametros_recargas!$L$78*'Plan mensual'!E316</f>
        <v>186.585519794348</v>
      </c>
      <c r="D296" s="25" t="n">
        <f aca="false">parametros_recargas!$E$78*'Plan mensual'!F309+parametros_recargas!$F$78*'Plan mensual'!F310+parametros_recargas!$G$78*'Plan mensual'!F311+parametros_recargas!$H$78*'Plan mensual'!F312+parametros_recargas!$I$78*'Plan mensual'!F313+parametros_recargas!$J$78*'Plan mensual'!F314+parametros_recargas!$K$78*'Plan mensual'!F315+parametros_recargas!$L$78*'Plan mensual'!F316</f>
        <v>187.619142657913</v>
      </c>
      <c r="E296" s="25" t="n">
        <f aca="false">parametros_recargas!$E$78*'Plan mensual'!G309+parametros_recargas!$F$78*'Plan mensual'!G310+parametros_recargas!$G$78*'Plan mensual'!G311+parametros_recargas!$H$78*'Plan mensual'!G312+parametros_recargas!$I$78*'Plan mensual'!G313+parametros_recargas!$J$78*'Plan mensual'!G314+parametros_recargas!$K$78*'Plan mensual'!G315+parametros_recargas!$L$78*'Plan mensual'!G316</f>
        <v>188.658752845516</v>
      </c>
      <c r="F296" s="25" t="n">
        <f aca="false">parametros_recargas!$E$78*'Plan mensual'!H309+parametros_recargas!$F$78*'Plan mensual'!H310+parametros_recargas!$G$78*'Plan mensual'!H311+parametros_recargas!$H$78*'Plan mensual'!H312+parametros_recargas!$I$78*'Plan mensual'!H313+parametros_recargas!$J$78*'Plan mensual'!H314+parametros_recargas!$K$78*'Plan mensual'!H315+parametros_recargas!$L$78*'Plan mensual'!H316</f>
        <v>189.704385039099</v>
      </c>
      <c r="G296" s="25" t="n">
        <f aca="false">parametros_recargas!$E$78*'Plan mensual'!I309+parametros_recargas!$F$78*'Plan mensual'!I310+parametros_recargas!$G$78*'Plan mensual'!I311+parametros_recargas!$H$78*'Plan mensual'!I312+parametros_recargas!$I$78*'Plan mensual'!I313+parametros_recargas!$J$78*'Plan mensual'!I314+parametros_recargas!$K$78*'Plan mensual'!I315+parametros_recargas!$L$78*'Plan mensual'!I316</f>
        <v>190.756074121504</v>
      </c>
      <c r="H296" s="25" t="n">
        <f aca="false">parametros_recargas!$E$78*'Plan mensual'!J309+parametros_recargas!$F$78*'Plan mensual'!J310+parametros_recargas!$G$78*'Plan mensual'!J311+parametros_recargas!$H$78*'Plan mensual'!J312+parametros_recargas!$I$78*'Plan mensual'!J313+parametros_recargas!$J$78*'Plan mensual'!J314+parametros_recargas!$K$78*'Plan mensual'!J315+parametros_recargas!$L$78*'Plan mensual'!J316</f>
        <v>191.813855177631</v>
      </c>
      <c r="I296" s="25" t="n">
        <f aca="false">parametros_recargas!$E$78*'Plan mensual'!K309+parametros_recargas!$F$78*'Plan mensual'!K310+parametros_recargas!$G$78*'Plan mensual'!K311+parametros_recargas!$H$78*'Plan mensual'!K312+parametros_recargas!$I$78*'Plan mensual'!K313+parametros_recargas!$J$78*'Plan mensual'!K314+parametros_recargas!$K$78*'Plan mensual'!K315+parametros_recargas!$L$78*'Plan mensual'!K316</f>
        <v>192.877763495613</v>
      </c>
      <c r="J296" s="25" t="n">
        <f aca="false">parametros_recargas!$E$78*'Plan mensual'!L309+parametros_recargas!$F$78*'Plan mensual'!L310+parametros_recargas!$G$78*'Plan mensual'!L311+parametros_recargas!$H$78*'Plan mensual'!L312+parametros_recargas!$I$78*'Plan mensual'!L313+parametros_recargas!$J$78*'Plan mensual'!L314+parametros_recargas!$K$78*'Plan mensual'!L315+parametros_recargas!$L$78*'Plan mensual'!L316</f>
        <v>193.947834567991</v>
      </c>
      <c r="K296" s="25" t="n">
        <f aca="false">parametros_recargas!$E$78*'Plan mensual'!M309+parametros_recargas!$F$78*'Plan mensual'!M310+parametros_recargas!$G$78*'Plan mensual'!M311+parametros_recargas!$H$78*'Plan mensual'!M312+parametros_recargas!$I$78*'Plan mensual'!M313+parametros_recargas!$J$78*'Plan mensual'!M314+parametros_recargas!$K$78*'Plan mensual'!M315+parametros_recargas!$L$78*'Plan mensual'!M316</f>
        <v>195.024104092899</v>
      </c>
      <c r="L296" s="25" t="n">
        <f aca="false">parametros_recargas!$E$78*'Plan mensual'!N309+parametros_recargas!$F$78*'Plan mensual'!N310+parametros_recargas!$G$78*'Plan mensual'!N311+parametros_recargas!$H$78*'Plan mensual'!N312+parametros_recargas!$I$78*'Plan mensual'!N313+parametros_recargas!$J$78*'Plan mensual'!N314+parametros_recargas!$K$78*'Plan mensual'!N315+parametros_recargas!$L$78*'Plan mensual'!N316</f>
        <v>196.106607975256</v>
      </c>
      <c r="M296" s="25" t="n">
        <f aca="false">parametros_recargas!$E$78*'Plan mensual'!O309+parametros_recargas!$F$78*'Plan mensual'!O310+parametros_recargas!$G$78*'Plan mensual'!O311+parametros_recargas!$H$78*'Plan mensual'!O312+parametros_recargas!$I$78*'Plan mensual'!O313+parametros_recargas!$J$78*'Plan mensual'!O314+parametros_recargas!$K$78*'Plan mensual'!O315+parametros_recargas!$L$78*'Plan mensual'!O316</f>
        <v>197.195382327959</v>
      </c>
      <c r="N296" s="7" t="n">
        <f aca="false">SUM(B296:M296)</f>
        <v>2295.84727186835</v>
      </c>
      <c r="O296" s="26" t="n">
        <f aca="false">MAX(B296:M296)</f>
        <v>197.195382327959</v>
      </c>
      <c r="P296" s="15" t="n">
        <f aca="false">O296/parametros_recargas!$B$6</f>
        <v>1.31463588218639</v>
      </c>
    </row>
    <row r="297" customFormat="false" ht="15" hidden="false" customHeight="false" outlineLevel="0" collapsed="false">
      <c r="A297" s="12" t="str">
        <f aca="false">parametros_recargas!$B$79</f>
        <v>Recuperación de halogenado</v>
      </c>
      <c r="B297" s="25" t="n">
        <f aca="false">parametros_recargas!$E$79*'Plan mensual'!D309+parametros_recargas!$F$79*'Plan mensual'!D310+parametros_recargas!$G$79*'Plan mensual'!D311+parametros_recargas!$H$79*'Plan mensual'!D312+parametros_recargas!$I$79*'Plan mensual'!D313+parametros_recargas!$J$79*'Plan mensual'!D314+parametros_recargas!$K$79*'Plan mensual'!D315+parametros_recargas!$L$79*'Plan mensual'!D316</f>
        <v>7.75178835429091</v>
      </c>
      <c r="C297" s="25" t="n">
        <f aca="false">parametros_recargas!$E$79*'Plan mensual'!E309+parametros_recargas!$F$79*'Plan mensual'!E310+parametros_recargas!$G$79*'Plan mensual'!E311+parametros_recargas!$H$79*'Plan mensual'!E312+parametros_recargas!$I$79*'Plan mensual'!E313+parametros_recargas!$J$79*'Plan mensual'!E314+parametros_recargas!$K$79*'Plan mensual'!E315+parametros_recargas!$L$79*'Plan mensual'!E316</f>
        <v>7.79463953310645</v>
      </c>
      <c r="D297" s="25" t="n">
        <f aca="false">parametros_recargas!$E$79*'Plan mensual'!F309+parametros_recargas!$F$79*'Plan mensual'!F310+parametros_recargas!$G$79*'Plan mensual'!F311+parametros_recargas!$H$79*'Plan mensual'!F312+parametros_recargas!$I$79*'Plan mensual'!F313+parametros_recargas!$J$79*'Plan mensual'!F314+parametros_recargas!$K$79*'Plan mensual'!F315+parametros_recargas!$L$79*'Plan mensual'!F316</f>
        <v>7.837738930012</v>
      </c>
      <c r="E297" s="25" t="n">
        <f aca="false">parametros_recargas!$E$79*'Plan mensual'!G309+parametros_recargas!$F$79*'Plan mensual'!G310+parametros_recargas!$G$79*'Plan mensual'!G311+parametros_recargas!$H$79*'Plan mensual'!G312+parametros_recargas!$I$79*'Plan mensual'!G313+parametros_recargas!$J$79*'Plan mensual'!G314+parametros_recargas!$K$79*'Plan mensual'!G315+parametros_recargas!$L$79*'Plan mensual'!G316</f>
        <v>7.88108798282611</v>
      </c>
      <c r="F297" s="25" t="n">
        <f aca="false">parametros_recargas!$E$79*'Plan mensual'!H309+parametros_recargas!$F$79*'Plan mensual'!H310+parametros_recargas!$G$79*'Plan mensual'!H311+parametros_recargas!$H$79*'Plan mensual'!H312+parametros_recargas!$I$79*'Plan mensual'!H313+parametros_recargas!$J$79*'Plan mensual'!H314+parametros_recargas!$K$79*'Plan mensual'!H315+parametros_recargas!$L$79*'Plan mensual'!H316</f>
        <v>7.924688137696</v>
      </c>
      <c r="G297" s="25" t="n">
        <f aca="false">parametros_recargas!$E$79*'Plan mensual'!I309+parametros_recargas!$F$79*'Plan mensual'!I310+parametros_recargas!$G$79*'Plan mensual'!I311+parametros_recargas!$H$79*'Plan mensual'!I312+parametros_recargas!$I$79*'Plan mensual'!I313+parametros_recargas!$J$79*'Plan mensual'!I314+parametros_recargas!$K$79*'Plan mensual'!I315+parametros_recargas!$L$79*'Plan mensual'!I316</f>
        <v>7.96854084914577</v>
      </c>
      <c r="H297" s="25" t="n">
        <f aca="false">parametros_recargas!$E$79*'Plan mensual'!J309+parametros_recargas!$F$79*'Plan mensual'!J310+parametros_recargas!$G$79*'Plan mensual'!J311+parametros_recargas!$H$79*'Plan mensual'!J312+parametros_recargas!$I$79*'Plan mensual'!J313+parametros_recargas!$J$79*'Plan mensual'!J314+parametros_recargas!$K$79*'Plan mensual'!J315+parametros_recargas!$L$79*'Plan mensual'!J316</f>
        <v>8.01264758012496</v>
      </c>
      <c r="I297" s="25" t="n">
        <f aca="false">parametros_recargas!$E$79*'Plan mensual'!K309+parametros_recargas!$F$79*'Plan mensual'!K310+parametros_recargas!$G$79*'Plan mensual'!K311+parametros_recargas!$H$79*'Plan mensual'!K312+parametros_recargas!$I$79*'Plan mensual'!K313+parametros_recargas!$J$79*'Plan mensual'!K314+parametros_recargas!$K$79*'Plan mensual'!K315+parametros_recargas!$L$79*'Plan mensual'!K316</f>
        <v>8.05700980205732</v>
      </c>
      <c r="J297" s="25" t="n">
        <f aca="false">parametros_recargas!$E$79*'Plan mensual'!L309+parametros_recargas!$F$79*'Plan mensual'!L310+parametros_recargas!$G$79*'Plan mensual'!L311+parametros_recargas!$H$79*'Plan mensual'!L312+parametros_recargas!$I$79*'Plan mensual'!L313+parametros_recargas!$J$79*'Plan mensual'!L314+parametros_recargas!$K$79*'Plan mensual'!L315+parametros_recargas!$L$79*'Plan mensual'!L316</f>
        <v>8.10162899488991</v>
      </c>
      <c r="K297" s="25" t="n">
        <f aca="false">parametros_recargas!$E$79*'Plan mensual'!M309+parametros_recargas!$F$79*'Plan mensual'!M310+parametros_recargas!$G$79*'Plan mensual'!M311+parametros_recargas!$H$79*'Plan mensual'!M312+parametros_recargas!$I$79*'Plan mensual'!M313+parametros_recargas!$J$79*'Plan mensual'!M314+parametros_recargas!$K$79*'Plan mensual'!M315+parametros_recargas!$L$79*'Plan mensual'!M316</f>
        <v>8.1465066471425</v>
      </c>
      <c r="L297" s="25" t="n">
        <f aca="false">parametros_recargas!$E$79*'Plan mensual'!N309+parametros_recargas!$F$79*'Plan mensual'!N310+parametros_recargas!$G$79*'Plan mensual'!N311+parametros_recargas!$H$79*'Plan mensual'!N312+parametros_recargas!$I$79*'Plan mensual'!N313+parametros_recargas!$J$79*'Plan mensual'!N314+parametros_recargas!$K$79*'Plan mensual'!N315+parametros_recargas!$L$79*'Plan mensual'!N316</f>
        <v>8.19164425595716</v>
      </c>
      <c r="M297" s="25" t="n">
        <f aca="false">parametros_recargas!$E$79*'Plan mensual'!O309+parametros_recargas!$F$79*'Plan mensual'!O310+parametros_recargas!$G$79*'Plan mensual'!O311+parametros_recargas!$H$79*'Plan mensual'!O312+parametros_recargas!$I$79*'Plan mensual'!O313+parametros_recargas!$J$79*'Plan mensual'!O314+parametros_recargas!$K$79*'Plan mensual'!O315+parametros_recargas!$L$79*'Plan mensual'!O316</f>
        <v>8.23704332714829</v>
      </c>
      <c r="N297" s="7" t="n">
        <f aca="false">SUM(B297:M297)</f>
        <v>95.9049643943974</v>
      </c>
      <c r="O297" s="26" t="n">
        <f aca="false">MAX(B297:M297)</f>
        <v>8.23704332714829</v>
      </c>
      <c r="P297" s="15" t="n">
        <f aca="false">O297/parametros_recargas!$B$6</f>
        <v>0.0549136221809886</v>
      </c>
    </row>
    <row r="298" customFormat="false" ht="15" hidden="false" customHeight="false" outlineLevel="0" collapsed="false">
      <c r="A298" s="12" t="str">
        <f aca="false">parametros_recargas!$B$80</f>
        <v>Desarme y limpieza — recinto</v>
      </c>
      <c r="B298" s="25" t="n">
        <f aca="false">parametros_recargas!$E$80*'Plan mensual'!D309+parametros_recargas!$F$80*'Plan mensual'!D310+parametros_recargas!$G$80*'Plan mensual'!D311+parametros_recargas!$H$80*'Plan mensual'!D312+parametros_recargas!$I$80*'Plan mensual'!D313+parametros_recargas!$J$80*'Plan mensual'!D314+parametros_recargas!$K$80*'Plan mensual'!D315+parametros_recargas!$L$80*'Plan mensual'!D316</f>
        <v>7967.91705844085</v>
      </c>
      <c r="C298" s="25" t="n">
        <f aca="false">parametros_recargas!$E$80*'Plan mensual'!E309+parametros_recargas!$F$80*'Plan mensual'!E310+parametros_recargas!$G$80*'Plan mensual'!E311+parametros_recargas!$H$80*'Plan mensual'!E312+parametros_recargas!$I$80*'Plan mensual'!E313+parametros_recargas!$J$80*'Plan mensual'!E314+parametros_recargas!$K$80*'Plan mensual'!E315+parametros_recargas!$L$80*'Plan mensual'!E316</f>
        <v>8012.84658151922</v>
      </c>
      <c r="D298" s="25" t="n">
        <f aca="false">parametros_recargas!$E$80*'Plan mensual'!F309+parametros_recargas!$F$80*'Plan mensual'!F310+parametros_recargas!$G$80*'Plan mensual'!F311+parametros_recargas!$H$80*'Plan mensual'!F312+parametros_recargas!$I$80*'Plan mensual'!F313+parametros_recargas!$J$80*'Plan mensual'!F314+parametros_recargas!$K$80*'Plan mensual'!F315+parametros_recargas!$L$80*'Plan mensual'!F316</f>
        <v>8058.03636162462</v>
      </c>
      <c r="E298" s="25" t="n">
        <f aca="false">parametros_recargas!$E$80*'Plan mensual'!G309+parametros_recargas!$F$80*'Plan mensual'!G310+parametros_recargas!$G$80*'Plan mensual'!G311+parametros_recargas!$H$80*'Plan mensual'!G312+parametros_recargas!$I$80*'Plan mensual'!G313+parametros_recargas!$J$80*'Plan mensual'!G314+parametros_recargas!$K$80*'Plan mensual'!G315+parametros_recargas!$L$80*'Plan mensual'!G316</f>
        <v>8103.4879063119</v>
      </c>
      <c r="F298" s="25" t="n">
        <f aca="false">parametros_recargas!$E$80*'Plan mensual'!H309+parametros_recargas!$F$80*'Plan mensual'!H310+parametros_recargas!$G$80*'Plan mensual'!H311+parametros_recargas!$H$80*'Plan mensual'!H312+parametros_recargas!$I$80*'Plan mensual'!H313+parametros_recargas!$J$80*'Plan mensual'!H314+parametros_recargas!$K$80*'Plan mensual'!H315+parametros_recargas!$L$80*'Plan mensual'!H316</f>
        <v>8149.2027318685</v>
      </c>
      <c r="G298" s="25" t="n">
        <f aca="false">parametros_recargas!$E$80*'Plan mensual'!I309+parametros_recargas!$F$80*'Plan mensual'!I310+parametros_recargas!$G$80*'Plan mensual'!I311+parametros_recargas!$H$80*'Plan mensual'!I312+parametros_recargas!$I$80*'Plan mensual'!I313+parametros_recargas!$J$80*'Plan mensual'!I314+parametros_recargas!$K$80*'Plan mensual'!I315+parametros_recargas!$L$80*'Plan mensual'!I316</f>
        <v>8195.18236336506</v>
      </c>
      <c r="H298" s="25" t="n">
        <f aca="false">parametros_recargas!$E$80*'Plan mensual'!J309+parametros_recargas!$F$80*'Plan mensual'!J310+parametros_recargas!$G$80*'Plan mensual'!J311+parametros_recargas!$H$80*'Plan mensual'!J312+parametros_recargas!$I$80*'Plan mensual'!J313+parametros_recargas!$J$80*'Plan mensual'!J314+parametros_recargas!$K$80*'Plan mensual'!J315+parametros_recargas!$L$80*'Plan mensual'!J316</f>
        <v>8241.42833470627</v>
      </c>
      <c r="I298" s="25" t="n">
        <f aca="false">parametros_recargas!$E$80*'Plan mensual'!K309+parametros_recargas!$F$80*'Plan mensual'!K310+parametros_recargas!$G$80*'Plan mensual'!K311+parametros_recargas!$H$80*'Plan mensual'!K312+parametros_recargas!$I$80*'Plan mensual'!K313+parametros_recargas!$J$80*'Plan mensual'!K314+parametros_recargas!$K$80*'Plan mensual'!K315+parametros_recargas!$L$80*'Plan mensual'!K316</f>
        <v>8287.94218868209</v>
      </c>
      <c r="J298" s="25" t="n">
        <f aca="false">parametros_recargas!$E$80*'Plan mensual'!L309+parametros_recargas!$F$80*'Plan mensual'!L310+parametros_recargas!$G$80*'Plan mensual'!L311+parametros_recargas!$H$80*'Plan mensual'!L312+parametros_recargas!$I$80*'Plan mensual'!L313+parametros_recargas!$J$80*'Plan mensual'!L314+parametros_recargas!$K$80*'Plan mensual'!L315+parametros_recargas!$L$80*'Plan mensual'!L316</f>
        <v>8334.72547701915</v>
      </c>
      <c r="K298" s="25" t="n">
        <f aca="false">parametros_recargas!$E$80*'Plan mensual'!M309+parametros_recargas!$F$80*'Plan mensual'!M310+parametros_recargas!$G$80*'Plan mensual'!M311+parametros_recargas!$H$80*'Plan mensual'!M312+parametros_recargas!$I$80*'Plan mensual'!M313+parametros_recargas!$J$80*'Plan mensual'!M314+parametros_recargas!$K$80*'Plan mensual'!M315+parametros_recargas!$L$80*'Plan mensual'!M316</f>
        <v>8381.77976043257</v>
      </c>
      <c r="L298" s="25" t="n">
        <f aca="false">parametros_recargas!$E$80*'Plan mensual'!N309+parametros_recargas!$F$80*'Plan mensual'!N310+parametros_recargas!$G$80*'Plan mensual'!N311+parametros_recargas!$H$80*'Plan mensual'!N312+parametros_recargas!$I$80*'Plan mensual'!N313+parametros_recargas!$J$80*'Plan mensual'!N314+parametros_recargas!$K$80*'Plan mensual'!N315+parametros_recargas!$L$80*'Plan mensual'!N316</f>
        <v>8429.106608678</v>
      </c>
      <c r="M298" s="25" t="n">
        <f aca="false">parametros_recargas!$E$80*'Plan mensual'!O309+parametros_recargas!$F$80*'Plan mensual'!O310+parametros_recargas!$G$80*'Plan mensual'!O311+parametros_recargas!$H$80*'Plan mensual'!O312+parametros_recargas!$I$80*'Plan mensual'!O313+parametros_recargas!$J$80*'Plan mensual'!O314+parametros_recargas!$K$80*'Plan mensual'!O315+parametros_recargas!$L$80*'Plan mensual'!O316</f>
        <v>8476.707600604</v>
      </c>
      <c r="N298" s="7" t="n">
        <f aca="false">SUM(B298:M298)</f>
        <v>98638.3629732522</v>
      </c>
      <c r="O298" s="26" t="n">
        <f aca="false">MAX(B298:M298)</f>
        <v>8476.707600604</v>
      </c>
      <c r="P298" s="15" t="n">
        <f aca="false">O298/parametros_recargas!$B$6</f>
        <v>56.5113840040267</v>
      </c>
    </row>
    <row r="299" customFormat="false" ht="15" hidden="false" customHeight="false" outlineLevel="0" collapsed="false">
      <c r="A299" s="12" t="str">
        <f aca="false">parametros_recargas!$B$81</f>
        <v>Desarme e inspección interior — zona general</v>
      </c>
      <c r="B299" s="25" t="n">
        <f aca="false">parametros_recargas!$E$81*'Plan mensual'!D309+parametros_recargas!$F$81*'Plan mensual'!D310+parametros_recargas!$G$81*'Plan mensual'!D311+parametros_recargas!$H$81*'Plan mensual'!D312+parametros_recargas!$I$81*'Plan mensual'!D313+parametros_recargas!$J$81*'Plan mensual'!D314+parametros_recargas!$K$81*'Plan mensual'!D315+parametros_recargas!$L$81*'Plan mensual'!D316</f>
        <v>600.643782793167</v>
      </c>
      <c r="C299" s="25" t="n">
        <f aca="false">parametros_recargas!$E$81*'Plan mensual'!E309+parametros_recargas!$F$81*'Plan mensual'!E310+parametros_recargas!$G$81*'Plan mensual'!E311+parametros_recargas!$H$81*'Plan mensual'!E312+parametros_recargas!$I$81*'Plan mensual'!E313+parametros_recargas!$J$81*'Plan mensual'!E314+parametros_recargas!$K$81*'Plan mensual'!E315+parametros_recargas!$L$81*'Plan mensual'!E316</f>
        <v>603.969063269713</v>
      </c>
      <c r="D299" s="25" t="n">
        <f aca="false">parametros_recargas!$E$81*'Plan mensual'!F309+parametros_recargas!$F$81*'Plan mensual'!F310+parametros_recargas!$G$81*'Plan mensual'!F311+parametros_recargas!$H$81*'Plan mensual'!F312+parametros_recargas!$I$81*'Plan mensual'!F313+parametros_recargas!$J$81*'Plan mensual'!F314+parametros_recargas!$K$81*'Plan mensual'!F315+parametros_recargas!$L$81*'Plan mensual'!F316</f>
        <v>607.313605638031</v>
      </c>
      <c r="E299" s="25" t="n">
        <f aca="false">parametros_recargas!$E$81*'Plan mensual'!G309+parametros_recargas!$F$81*'Plan mensual'!G310+parametros_recargas!$G$81*'Plan mensual'!G311+parametros_recargas!$H$81*'Plan mensual'!G312+parametros_recargas!$I$81*'Plan mensual'!G313+parametros_recargas!$J$81*'Plan mensual'!G314+parametros_recargas!$K$81*'Plan mensual'!G315+parametros_recargas!$L$81*'Plan mensual'!G316</f>
        <v>610.677521473813</v>
      </c>
      <c r="F299" s="25" t="n">
        <f aca="false">parametros_recargas!$E$81*'Plan mensual'!H309+parametros_recargas!$F$81*'Plan mensual'!H310+parametros_recargas!$G$81*'Plan mensual'!H311+parametros_recargas!$H$81*'Plan mensual'!H312+parametros_recargas!$I$81*'Plan mensual'!H313+parametros_recargas!$J$81*'Plan mensual'!H314+parametros_recargas!$K$81*'Plan mensual'!H315+parametros_recargas!$L$81*'Plan mensual'!H316</f>
        <v>614.060922999063</v>
      </c>
      <c r="G299" s="25" t="n">
        <f aca="false">parametros_recargas!$E$81*'Plan mensual'!I309+parametros_recargas!$F$81*'Plan mensual'!I310+parametros_recargas!$G$81*'Plan mensual'!I311+parametros_recargas!$H$81*'Plan mensual'!I312+parametros_recargas!$I$81*'Plan mensual'!I313+parametros_recargas!$J$81*'Plan mensual'!I314+parametros_recargas!$K$81*'Plan mensual'!I315+parametros_recargas!$L$81*'Plan mensual'!I316</f>
        <v>617.463923085835</v>
      </c>
      <c r="H299" s="25" t="n">
        <f aca="false">parametros_recargas!$E$81*'Plan mensual'!J309+parametros_recargas!$F$81*'Plan mensual'!J310+parametros_recargas!$G$81*'Plan mensual'!J311+parametros_recargas!$H$81*'Plan mensual'!J312+parametros_recargas!$I$81*'Plan mensual'!J313+parametros_recargas!$J$81*'Plan mensual'!J314+parametros_recargas!$K$81*'Plan mensual'!J315+parametros_recargas!$L$81*'Plan mensual'!J316</f>
        <v>620.886635260002</v>
      </c>
      <c r="I299" s="25" t="n">
        <f aca="false">parametros_recargas!$E$81*'Plan mensual'!K309+parametros_recargas!$F$81*'Plan mensual'!K310+parametros_recargas!$G$81*'Plan mensual'!K311+parametros_recargas!$H$81*'Plan mensual'!K312+parametros_recargas!$I$81*'Plan mensual'!K313+parametros_recargas!$J$81*'Plan mensual'!K314+parametros_recargas!$K$81*'Plan mensual'!K315+parametros_recargas!$L$81*'Plan mensual'!K316</f>
        <v>624.329173705045</v>
      </c>
      <c r="J299" s="25" t="n">
        <f aca="false">parametros_recargas!$E$81*'Plan mensual'!L309+parametros_recargas!$F$81*'Plan mensual'!L310+parametros_recargas!$G$81*'Plan mensual'!L311+parametros_recargas!$H$81*'Plan mensual'!L312+parametros_recargas!$I$81*'Plan mensual'!L313+parametros_recargas!$J$81*'Plan mensual'!L314+parametros_recargas!$K$81*'Plan mensual'!L315+parametros_recargas!$L$81*'Plan mensual'!L316</f>
        <v>627.791653265856</v>
      </c>
      <c r="K299" s="25" t="n">
        <f aca="false">parametros_recargas!$E$81*'Plan mensual'!M309+parametros_recargas!$F$81*'Plan mensual'!M310+parametros_recargas!$G$81*'Plan mensual'!M311+parametros_recargas!$H$81*'Plan mensual'!M312+parametros_recargas!$I$81*'Plan mensual'!M313+parametros_recargas!$J$81*'Plan mensual'!M314+parametros_recargas!$K$81*'Plan mensual'!M315+parametros_recargas!$L$81*'Plan mensual'!M316</f>
        <v>631.274189452577</v>
      </c>
      <c r="L299" s="25" t="n">
        <f aca="false">parametros_recargas!$E$81*'Plan mensual'!N309+parametros_recargas!$F$81*'Plan mensual'!N310+parametros_recargas!$G$81*'Plan mensual'!N311+parametros_recargas!$H$81*'Plan mensual'!N312+parametros_recargas!$I$81*'Plan mensual'!N313+parametros_recargas!$J$81*'Plan mensual'!N314+parametros_recargas!$K$81*'Plan mensual'!N315+parametros_recargas!$L$81*'Plan mensual'!N316</f>
        <v>634.776898444446</v>
      </c>
      <c r="M299" s="25" t="n">
        <f aca="false">parametros_recargas!$E$81*'Plan mensual'!O309+parametros_recargas!$F$81*'Plan mensual'!O310+parametros_recargas!$G$81*'Plan mensual'!O311+parametros_recargas!$H$81*'Plan mensual'!O312+parametros_recargas!$I$81*'Plan mensual'!O313+parametros_recargas!$J$81*'Plan mensual'!O314+parametros_recargas!$K$81*'Plan mensual'!O315+parametros_recargas!$L$81*'Plan mensual'!O316</f>
        <v>638.299897093679</v>
      </c>
      <c r="N299" s="7" t="n">
        <f aca="false">SUM(B299:M299)</f>
        <v>7431.48726648123</v>
      </c>
      <c r="O299" s="26" t="n">
        <f aca="false">MAX(B299:M299)</f>
        <v>638.299897093679</v>
      </c>
      <c r="P299" s="15" t="n">
        <f aca="false">O299/parametros_recargas!$B$6</f>
        <v>4.25533264729119</v>
      </c>
    </row>
    <row r="300" customFormat="false" ht="15" hidden="false" customHeight="false" outlineLevel="0" collapsed="false">
      <c r="A300" s="12" t="str">
        <f aca="false">parametros_recargas!$B$82</f>
        <v>Laboratorio — Puffer y mufla</v>
      </c>
      <c r="B300" s="25" t="n">
        <f aca="false">parametros_recargas!$E$82*'Plan mensual'!D309+parametros_recargas!$F$82*'Plan mensual'!D310+parametros_recargas!$G$82*'Plan mensual'!D311+parametros_recargas!$H$82*'Plan mensual'!D312+parametros_recargas!$I$82*'Plan mensual'!D313+parametros_recargas!$J$82*'Plan mensual'!D314+parametros_recargas!$K$82*'Plan mensual'!D315+parametros_recargas!$L$82*'Plan mensual'!D316</f>
        <v>7.95709129364688</v>
      </c>
      <c r="C300" s="25" t="n">
        <f aca="false">parametros_recargas!$E$82*'Plan mensual'!E309+parametros_recargas!$F$82*'Plan mensual'!E310+parametros_recargas!$G$82*'Plan mensual'!E311+parametros_recargas!$H$82*'Plan mensual'!E312+parametros_recargas!$I$82*'Plan mensual'!E313+parametros_recargas!$J$82*'Plan mensual'!E314+parametros_recargas!$K$82*'Plan mensual'!E315+parametros_recargas!$L$82*'Plan mensual'!E316</f>
        <v>8.00196196952424</v>
      </c>
      <c r="D300" s="25" t="n">
        <f aca="false">parametros_recargas!$E$82*'Plan mensual'!F309+parametros_recargas!$F$82*'Plan mensual'!F310+parametros_recargas!$G$82*'Plan mensual'!F311+parametros_recargas!$H$82*'Plan mensual'!F312+parametros_recargas!$I$82*'Plan mensual'!F313+parametros_recargas!$J$82*'Plan mensual'!F314+parametros_recargas!$K$82*'Plan mensual'!F315+parametros_recargas!$L$82*'Plan mensual'!F316</f>
        <v>8.0470925615526</v>
      </c>
      <c r="E300" s="25" t="n">
        <f aca="false">parametros_recargas!$E$82*'Plan mensual'!G309+parametros_recargas!$F$82*'Plan mensual'!G310+parametros_recargas!$G$82*'Plan mensual'!G311+parametros_recargas!$H$82*'Plan mensual'!G312+parametros_recargas!$I$82*'Plan mensual'!G313+parametros_recargas!$J$82*'Plan mensual'!G314+parametros_recargas!$K$82*'Plan mensual'!G315+parametros_recargas!$L$82*'Plan mensual'!G316</f>
        <v>8.09248457531225</v>
      </c>
      <c r="F300" s="25" t="n">
        <f aca="false">parametros_recargas!$E$82*'Plan mensual'!H309+parametros_recargas!$F$82*'Plan mensual'!H310+parametros_recargas!$G$82*'Plan mensual'!H311+parametros_recargas!$H$82*'Plan mensual'!H312+parametros_recargas!$I$82*'Plan mensual'!H313+parametros_recargas!$J$82*'Plan mensual'!H314+parametros_recargas!$K$82*'Plan mensual'!H315+parametros_recargas!$L$82*'Plan mensual'!H316</f>
        <v>8.13813952510467</v>
      </c>
      <c r="G300" s="25" t="n">
        <f aca="false">parametros_recargas!$E$82*'Plan mensual'!I309+parametros_recargas!$F$82*'Plan mensual'!I310+parametros_recargas!$G$82*'Plan mensual'!I311+parametros_recargas!$H$82*'Plan mensual'!I312+parametros_recargas!$I$82*'Plan mensual'!I313+parametros_recargas!$J$82*'Plan mensual'!I314+parametros_recargas!$K$82*'Plan mensual'!I315+parametros_recargas!$L$82*'Plan mensual'!I316</f>
        <v>8.18405893400299</v>
      </c>
      <c r="H300" s="25" t="n">
        <f aca="false">parametros_recargas!$E$82*'Plan mensual'!J309+parametros_recargas!$F$82*'Plan mensual'!J310+parametros_recargas!$G$82*'Plan mensual'!J311+parametros_recargas!$H$82*'Plan mensual'!J312+parametros_recargas!$I$82*'Plan mensual'!J313+parametros_recargas!$J$82*'Plan mensual'!J314+parametros_recargas!$K$82*'Plan mensual'!J315+parametros_recargas!$L$82*'Plan mensual'!J316</f>
        <v>8.23024433390287</v>
      </c>
      <c r="I300" s="25" t="n">
        <f aca="false">parametros_recargas!$E$82*'Plan mensual'!K309+parametros_recargas!$F$82*'Plan mensual'!K310+parametros_recargas!$G$82*'Plan mensual'!K311+parametros_recargas!$H$82*'Plan mensual'!K312+parametros_recargas!$I$82*'Plan mensual'!K313+parametros_recargas!$J$82*'Plan mensual'!K314+parametros_recargas!$K$82*'Plan mensual'!K315+parametros_recargas!$L$82*'Plan mensual'!K316</f>
        <v>8.27669726557355</v>
      </c>
      <c r="J300" s="25" t="n">
        <f aca="false">parametros_recargas!$E$82*'Plan mensual'!L309+parametros_recargas!$F$82*'Plan mensual'!L310+parametros_recargas!$G$82*'Plan mensual'!L311+parametros_recargas!$H$82*'Plan mensual'!L312+parametros_recargas!$I$82*'Plan mensual'!L313+parametros_recargas!$J$82*'Plan mensual'!L314+parametros_recargas!$K$82*'Plan mensual'!L315+parametros_recargas!$L$82*'Plan mensual'!L316</f>
        <v>8.32341927870927</v>
      </c>
      <c r="K300" s="25" t="n">
        <f aca="false">parametros_recargas!$E$82*'Plan mensual'!M309+parametros_recargas!$F$82*'Plan mensual'!M310+parametros_recargas!$G$82*'Plan mensual'!M311+parametros_recargas!$H$82*'Plan mensual'!M312+parametros_recargas!$I$82*'Plan mensual'!M313+parametros_recargas!$J$82*'Plan mensual'!M314+parametros_recargas!$K$82*'Plan mensual'!M315+parametros_recargas!$L$82*'Plan mensual'!M316</f>
        <v>8.37041193198097</v>
      </c>
      <c r="L300" s="25" t="n">
        <f aca="false">parametros_recargas!$E$82*'Plan mensual'!N309+parametros_recargas!$F$82*'Plan mensual'!N310+parametros_recargas!$G$82*'Plan mensual'!N311+parametros_recargas!$H$82*'Plan mensual'!N312+parametros_recargas!$I$82*'Plan mensual'!N313+parametros_recargas!$J$82*'Plan mensual'!N314+parametros_recargas!$K$82*'Plan mensual'!N315+parametros_recargas!$L$82*'Plan mensual'!N316</f>
        <v>8.4176767930883</v>
      </c>
      <c r="M300" s="25" t="n">
        <f aca="false">parametros_recargas!$E$82*'Plan mensual'!O309+parametros_recargas!$F$82*'Plan mensual'!O310+parametros_recargas!$G$82*'Plan mensual'!O311+parametros_recargas!$H$82*'Plan mensual'!O312+parametros_recargas!$I$82*'Plan mensual'!O313+parametros_recargas!$J$82*'Plan mensual'!O314+parametros_recargas!$K$82*'Plan mensual'!O315+parametros_recargas!$L$82*'Plan mensual'!O316</f>
        <v>8.46521543881189</v>
      </c>
      <c r="N300" s="7" t="n">
        <f aca="false">SUM(B300:M300)</f>
        <v>98.5044939012105</v>
      </c>
      <c r="O300" s="26" t="n">
        <f aca="false">MAX(B300:M300)</f>
        <v>8.46521543881189</v>
      </c>
      <c r="P300" s="15" t="n">
        <f aca="false">O300/parametros_recargas!$B$6</f>
        <v>0.0564347695920793</v>
      </c>
    </row>
    <row r="301" customFormat="false" ht="15" hidden="false" customHeight="false" outlineLevel="0" collapsed="false">
      <c r="A301" s="12" t="str">
        <f aca="false">parametros_recargas!$B$83</f>
        <v>Prueba hidráulica</v>
      </c>
      <c r="B301" s="25" t="n">
        <f aca="false">parametros_recargas!$E$83*'Plan mensual'!D309+parametros_recargas!$F$83*'Plan mensual'!D310+parametros_recargas!$G$83*'Plan mensual'!D311+parametros_recargas!$H$83*'Plan mensual'!D312+parametros_recargas!$I$83*'Plan mensual'!D313+parametros_recargas!$J$83*'Plan mensual'!D314+parametros_recargas!$K$83*'Plan mensual'!D315+parametros_recargas!$L$83*'Plan mensual'!D316</f>
        <v>1951.89819452283</v>
      </c>
      <c r="C301" s="25" t="n">
        <f aca="false">parametros_recargas!$E$83*'Plan mensual'!E309+parametros_recargas!$F$83*'Plan mensual'!E310+parametros_recargas!$G$83*'Plan mensual'!E311+parametros_recargas!$H$83*'Plan mensual'!E312+parametros_recargas!$I$83*'Plan mensual'!E313+parametros_recargas!$J$83*'Plan mensual'!E314+parametros_recargas!$K$83*'Plan mensual'!E315+parametros_recargas!$L$83*'Plan mensual'!E316</f>
        <v>1962.86789573694</v>
      </c>
      <c r="D301" s="25" t="n">
        <f aca="false">parametros_recargas!$E$83*'Plan mensual'!F309+parametros_recargas!$F$83*'Plan mensual'!F310+parametros_recargas!$G$83*'Plan mensual'!F311+parametros_recargas!$H$83*'Plan mensual'!F312+parametros_recargas!$I$83*'Plan mensual'!F313+parametros_recargas!$J$83*'Plan mensual'!F314+parametros_recargas!$K$83*'Plan mensual'!F315+parametros_recargas!$L$83*'Plan mensual'!F316</f>
        <v>1973.90113962032</v>
      </c>
      <c r="E301" s="25" t="n">
        <f aca="false">parametros_recargas!$E$83*'Plan mensual'!G309+parametros_recargas!$F$83*'Plan mensual'!G310+parametros_recargas!$G$83*'Plan mensual'!G311+parametros_recargas!$H$83*'Plan mensual'!G312+parametros_recargas!$I$83*'Plan mensual'!G313+parametros_recargas!$J$83*'Plan mensual'!G314+parametros_recargas!$K$83*'Plan mensual'!G315+parametros_recargas!$L$83*'Plan mensual'!G316</f>
        <v>1984.99829424779</v>
      </c>
      <c r="F301" s="25" t="n">
        <f aca="false">parametros_recargas!$E$83*'Plan mensual'!H309+parametros_recargas!$F$83*'Plan mensual'!H310+parametros_recargas!$G$83*'Plan mensual'!H311+parametros_recargas!$H$83*'Plan mensual'!H312+parametros_recargas!$I$83*'Plan mensual'!H313+parametros_recargas!$J$83*'Plan mensual'!H314+parametros_recargas!$K$83*'Plan mensual'!H315+parametros_recargas!$L$83*'Plan mensual'!H316</f>
        <v>1996.15972982627</v>
      </c>
      <c r="G301" s="25" t="n">
        <f aca="false">parametros_recargas!$E$83*'Plan mensual'!I309+parametros_recargas!$F$83*'Plan mensual'!I310+parametros_recargas!$G$83*'Plan mensual'!I311+parametros_recargas!$H$83*'Plan mensual'!I312+parametros_recargas!$I$83*'Plan mensual'!I313+parametros_recargas!$J$83*'Plan mensual'!I314+parametros_recargas!$K$83*'Plan mensual'!I315+parametros_recargas!$L$83*'Plan mensual'!I316</f>
        <v>2007.38581870712</v>
      </c>
      <c r="H301" s="25" t="n">
        <f aca="false">parametros_recargas!$E$83*'Plan mensual'!J309+parametros_recargas!$F$83*'Plan mensual'!J310+parametros_recargas!$G$83*'Plan mensual'!J311+parametros_recargas!$H$83*'Plan mensual'!J312+parametros_recargas!$I$83*'Plan mensual'!J313+parametros_recargas!$J$83*'Plan mensual'!J314+parametros_recargas!$K$83*'Plan mensual'!J315+parametros_recargas!$L$83*'Plan mensual'!J316</f>
        <v>2018.67693539858</v>
      </c>
      <c r="I301" s="25" t="n">
        <f aca="false">parametros_recargas!$E$83*'Plan mensual'!K309+parametros_recargas!$F$83*'Plan mensual'!K310+parametros_recargas!$G$83*'Plan mensual'!K311+parametros_recargas!$H$83*'Plan mensual'!K312+parametros_recargas!$I$83*'Plan mensual'!K313+parametros_recargas!$J$83*'Plan mensual'!K314+parametros_recargas!$K$83*'Plan mensual'!K315+parametros_recargas!$L$83*'Plan mensual'!K316</f>
        <v>2030.03345657824</v>
      </c>
      <c r="J301" s="25" t="n">
        <f aca="false">parametros_recargas!$E$83*'Plan mensual'!L309+parametros_recargas!$F$83*'Plan mensual'!L310+parametros_recargas!$G$83*'Plan mensual'!L311+parametros_recargas!$H$83*'Plan mensual'!L312+parametros_recargas!$I$83*'Plan mensual'!L313+parametros_recargas!$J$83*'Plan mensual'!L314+parametros_recargas!$K$83*'Plan mensual'!L315+parametros_recargas!$L$83*'Plan mensual'!L316</f>
        <v>2041.45576110562</v>
      </c>
      <c r="K301" s="25" t="n">
        <f aca="false">parametros_recargas!$E$83*'Plan mensual'!M309+parametros_recargas!$F$83*'Plan mensual'!M310+parametros_recargas!$G$83*'Plan mensual'!M311+parametros_recargas!$H$83*'Plan mensual'!M312+parametros_recargas!$I$83*'Plan mensual'!M313+parametros_recargas!$J$83*'Plan mensual'!M314+parametros_recargas!$K$83*'Plan mensual'!M315+parametros_recargas!$L$83*'Plan mensual'!M316</f>
        <v>2052.94423003481</v>
      </c>
      <c r="L301" s="25" t="n">
        <f aca="false">parametros_recargas!$E$83*'Plan mensual'!N309+parametros_recargas!$F$83*'Plan mensual'!N310+parametros_recargas!$G$83*'Plan mensual'!N311+parametros_recargas!$H$83*'Plan mensual'!N312+parametros_recargas!$I$83*'Plan mensual'!N313+parametros_recargas!$J$83*'Plan mensual'!N314+parametros_recargas!$K$83*'Plan mensual'!N315+parametros_recargas!$L$83*'Plan mensual'!N316</f>
        <v>2064.49924662719</v>
      </c>
      <c r="M301" s="25" t="n">
        <f aca="false">parametros_recargas!$E$83*'Plan mensual'!O309+parametros_recargas!$F$83*'Plan mensual'!O310+parametros_recargas!$G$83*'Plan mensual'!O311+parametros_recargas!$H$83*'Plan mensual'!O312+parametros_recargas!$I$83*'Plan mensual'!O313+parametros_recargas!$J$83*'Plan mensual'!O314+parametros_recargas!$K$83*'Plan mensual'!O315+parametros_recargas!$L$83*'Plan mensual'!O316</f>
        <v>2076.12119636417</v>
      </c>
      <c r="N301" s="7" t="n">
        <f aca="false">SUM(B301:M301)</f>
        <v>24160.9418987699</v>
      </c>
      <c r="O301" s="26" t="n">
        <f aca="false">MAX(B301:M301)</f>
        <v>2076.12119636417</v>
      </c>
      <c r="P301" s="15" t="n">
        <f aca="false">O301/parametros_recargas!$B$6</f>
        <v>13.8408079757611</v>
      </c>
    </row>
    <row r="302" customFormat="false" ht="15" hidden="false" customHeight="false" outlineLevel="0" collapsed="false">
      <c r="A302" s="12" t="str">
        <f aca="false">parametros_recargas!$B$84</f>
        <v>Secado</v>
      </c>
      <c r="B302" s="25" t="n">
        <f aca="false">parametros_recargas!$E$84*'Plan mensual'!D309+parametros_recargas!$F$84*'Plan mensual'!D310+parametros_recargas!$G$84*'Plan mensual'!D311+parametros_recargas!$H$84*'Plan mensual'!D312+parametros_recargas!$I$84*'Plan mensual'!D313+parametros_recargas!$J$84*'Plan mensual'!D314+parametros_recargas!$K$84*'Plan mensual'!D315+parametros_recargas!$L$84*'Plan mensual'!D316</f>
        <v>1827.91029277411</v>
      </c>
      <c r="C302" s="25" t="n">
        <f aca="false">parametros_recargas!$E$84*'Plan mensual'!E309+parametros_recargas!$F$84*'Plan mensual'!E310+parametros_recargas!$G$84*'Plan mensual'!E311+parametros_recargas!$H$84*'Plan mensual'!E312+parametros_recargas!$I$84*'Plan mensual'!E313+parametros_recargas!$J$84*'Plan mensual'!E314+parametros_recargas!$K$84*'Plan mensual'!E315+parametros_recargas!$L$84*'Plan mensual'!E316</f>
        <v>1838.201909581</v>
      </c>
      <c r="D302" s="25" t="n">
        <f aca="false">parametros_recargas!$E$84*'Plan mensual'!F309+parametros_recargas!$F$84*'Plan mensual'!F310+parametros_recargas!$G$84*'Plan mensual'!F311+parametros_recargas!$H$84*'Plan mensual'!F312+parametros_recargas!$I$84*'Plan mensual'!F313+parametros_recargas!$J$84*'Plan mensual'!F314+parametros_recargas!$K$84*'Plan mensual'!F315+parametros_recargas!$L$84*'Plan mensual'!F316</f>
        <v>1848.55314121151</v>
      </c>
      <c r="E302" s="25" t="n">
        <f aca="false">parametros_recargas!$E$84*'Plan mensual'!G309+parametros_recargas!$F$84*'Plan mensual'!G310+parametros_recargas!$G$84*'Plan mensual'!G311+parametros_recargas!$H$84*'Plan mensual'!G312+parametros_recargas!$I$84*'Plan mensual'!G313+parametros_recargas!$J$84*'Plan mensual'!G314+parametros_recargas!$K$84*'Plan mensual'!G315+parametros_recargas!$L$84*'Plan mensual'!G316</f>
        <v>1858.96433298817</v>
      </c>
      <c r="F302" s="25" t="n">
        <f aca="false">parametros_recargas!$E$84*'Plan mensual'!H309+parametros_recargas!$F$84*'Plan mensual'!H310+parametros_recargas!$G$84*'Plan mensual'!H311+parametros_recargas!$H$84*'Plan mensual'!H312+parametros_recargas!$I$84*'Plan mensual'!H313+parametros_recargas!$J$84*'Plan mensual'!H314+parametros_recargas!$K$84*'Plan mensual'!H315+parametros_recargas!$L$84*'Plan mensual'!H316</f>
        <v>1869.43583223382</v>
      </c>
      <c r="G302" s="25" t="n">
        <f aca="false">parametros_recargas!$E$84*'Plan mensual'!I309+parametros_recargas!$F$84*'Plan mensual'!I310+parametros_recargas!$G$84*'Plan mensual'!I311+parametros_recargas!$H$84*'Plan mensual'!I312+parametros_recargas!$I$84*'Plan mensual'!I313+parametros_recargas!$J$84*'Plan mensual'!I314+parametros_recargas!$K$84*'Plan mensual'!I315+parametros_recargas!$L$84*'Plan mensual'!I316</f>
        <v>1879.96798828318</v>
      </c>
      <c r="H302" s="25" t="n">
        <f aca="false">parametros_recargas!$E$84*'Plan mensual'!J309+parametros_recargas!$F$84*'Plan mensual'!J310+parametros_recargas!$G$84*'Plan mensual'!J311+parametros_recargas!$H$84*'Plan mensual'!J312+parametros_recargas!$I$84*'Plan mensual'!J313+parametros_recargas!$J$84*'Plan mensual'!J314+parametros_recargas!$K$84*'Plan mensual'!J315+parametros_recargas!$L$84*'Plan mensual'!J316</f>
        <v>1890.56115249452</v>
      </c>
      <c r="I302" s="25" t="n">
        <f aca="false">parametros_recargas!$E$84*'Plan mensual'!K309+parametros_recargas!$F$84*'Plan mensual'!K310+parametros_recargas!$G$84*'Plan mensual'!K311+parametros_recargas!$H$84*'Plan mensual'!K312+parametros_recargas!$I$84*'Plan mensual'!K313+parametros_recargas!$J$84*'Plan mensual'!K314+parametros_recargas!$K$84*'Plan mensual'!K315+parametros_recargas!$L$84*'Plan mensual'!K316</f>
        <v>1901.21567826137</v>
      </c>
      <c r="J302" s="25" t="n">
        <f aca="false">parametros_recargas!$E$84*'Plan mensual'!L309+parametros_recargas!$F$84*'Plan mensual'!L310+parametros_recargas!$G$84*'Plan mensual'!L311+parametros_recargas!$H$84*'Plan mensual'!L312+parametros_recargas!$I$84*'Plan mensual'!L313+parametros_recargas!$J$84*'Plan mensual'!L314+parametros_recargas!$K$84*'Plan mensual'!L315+parametros_recargas!$L$84*'Plan mensual'!L316</f>
        <v>1911.93192102433</v>
      </c>
      <c r="K302" s="25" t="n">
        <f aca="false">parametros_recargas!$E$84*'Plan mensual'!M309+parametros_recargas!$F$84*'Plan mensual'!M310+parametros_recargas!$G$84*'Plan mensual'!M311+parametros_recargas!$H$84*'Plan mensual'!M312+parametros_recargas!$I$84*'Plan mensual'!M313+parametros_recargas!$J$84*'Plan mensual'!M314+parametros_recargas!$K$84*'Plan mensual'!M315+parametros_recargas!$L$84*'Plan mensual'!M316</f>
        <v>1922.71023828287</v>
      </c>
      <c r="L302" s="25" t="n">
        <f aca="false">parametros_recargas!$E$84*'Plan mensual'!N309+parametros_recargas!$F$84*'Plan mensual'!N310+parametros_recargas!$G$84*'Plan mensual'!N311+parametros_recargas!$H$84*'Plan mensual'!N312+parametros_recargas!$I$84*'Plan mensual'!N313+parametros_recargas!$J$84*'Plan mensual'!N314+parametros_recargas!$K$84*'Plan mensual'!N315+parametros_recargas!$L$84*'Plan mensual'!N316</f>
        <v>1933.55098960735</v>
      </c>
      <c r="M302" s="25" t="n">
        <f aca="false">parametros_recargas!$E$84*'Plan mensual'!O309+parametros_recargas!$F$84*'Plan mensual'!O310+parametros_recargas!$G$84*'Plan mensual'!O311+parametros_recargas!$H$84*'Plan mensual'!O312+parametros_recargas!$I$84*'Plan mensual'!O313+parametros_recargas!$J$84*'Plan mensual'!O314+parametros_recargas!$K$84*'Plan mensual'!O315+parametros_recargas!$L$84*'Plan mensual'!O316</f>
        <v>1944.45453665093</v>
      </c>
      <c r="N302" s="7" t="n">
        <f aca="false">SUM(B302:M302)</f>
        <v>22627.4580133932</v>
      </c>
      <c r="O302" s="26" t="n">
        <f aca="false">MAX(B302:M302)</f>
        <v>1944.45453665093</v>
      </c>
      <c r="P302" s="15" t="n">
        <f aca="false">O302/parametros_recargas!$B$6</f>
        <v>12.9630302443395</v>
      </c>
    </row>
    <row r="303" customFormat="false" ht="15" hidden="false" customHeight="false" outlineLevel="0" collapsed="false">
      <c r="A303" s="12" t="str">
        <f aca="false">parametros_recargas!$B$85</f>
        <v>Inspección interior con videoscopio</v>
      </c>
      <c r="B303" s="25" t="n">
        <f aca="false">parametros_recargas!$E$85*'Plan mensual'!D309+parametros_recargas!$F$85*'Plan mensual'!D310+parametros_recargas!$G$85*'Plan mensual'!D311+parametros_recargas!$H$85*'Plan mensual'!D312+parametros_recargas!$I$85*'Plan mensual'!D313+parametros_recargas!$J$85*'Plan mensual'!D314+parametros_recargas!$K$85*'Plan mensual'!D315+parametros_recargas!$L$85*'Plan mensual'!D316</f>
        <v>1827.91029277411</v>
      </c>
      <c r="C303" s="25" t="n">
        <f aca="false">parametros_recargas!$E$85*'Plan mensual'!E309+parametros_recargas!$F$85*'Plan mensual'!E310+parametros_recargas!$G$85*'Plan mensual'!E311+parametros_recargas!$H$85*'Plan mensual'!E312+parametros_recargas!$I$85*'Plan mensual'!E313+parametros_recargas!$J$85*'Plan mensual'!E314+parametros_recargas!$K$85*'Plan mensual'!E315+parametros_recargas!$L$85*'Plan mensual'!E316</f>
        <v>1838.201909581</v>
      </c>
      <c r="D303" s="25" t="n">
        <f aca="false">parametros_recargas!$E$85*'Plan mensual'!F309+parametros_recargas!$F$85*'Plan mensual'!F310+parametros_recargas!$G$85*'Plan mensual'!F311+parametros_recargas!$H$85*'Plan mensual'!F312+parametros_recargas!$I$85*'Plan mensual'!F313+parametros_recargas!$J$85*'Plan mensual'!F314+parametros_recargas!$K$85*'Plan mensual'!F315+parametros_recargas!$L$85*'Plan mensual'!F316</f>
        <v>1848.55314121151</v>
      </c>
      <c r="E303" s="25" t="n">
        <f aca="false">parametros_recargas!$E$85*'Plan mensual'!G309+parametros_recargas!$F$85*'Plan mensual'!G310+parametros_recargas!$G$85*'Plan mensual'!G311+parametros_recargas!$H$85*'Plan mensual'!G312+parametros_recargas!$I$85*'Plan mensual'!G313+parametros_recargas!$J$85*'Plan mensual'!G314+parametros_recargas!$K$85*'Plan mensual'!G315+parametros_recargas!$L$85*'Plan mensual'!G316</f>
        <v>1858.96433298817</v>
      </c>
      <c r="F303" s="25" t="n">
        <f aca="false">parametros_recargas!$E$85*'Plan mensual'!H309+parametros_recargas!$F$85*'Plan mensual'!H310+parametros_recargas!$G$85*'Plan mensual'!H311+parametros_recargas!$H$85*'Plan mensual'!H312+parametros_recargas!$I$85*'Plan mensual'!H313+parametros_recargas!$J$85*'Plan mensual'!H314+parametros_recargas!$K$85*'Plan mensual'!H315+parametros_recargas!$L$85*'Plan mensual'!H316</f>
        <v>1869.43583223382</v>
      </c>
      <c r="G303" s="25" t="n">
        <f aca="false">parametros_recargas!$E$85*'Plan mensual'!I309+parametros_recargas!$F$85*'Plan mensual'!I310+parametros_recargas!$G$85*'Plan mensual'!I311+parametros_recargas!$H$85*'Plan mensual'!I312+parametros_recargas!$I$85*'Plan mensual'!I313+parametros_recargas!$J$85*'Plan mensual'!I314+parametros_recargas!$K$85*'Plan mensual'!I315+parametros_recargas!$L$85*'Plan mensual'!I316</f>
        <v>1879.96798828318</v>
      </c>
      <c r="H303" s="25" t="n">
        <f aca="false">parametros_recargas!$E$85*'Plan mensual'!J309+parametros_recargas!$F$85*'Plan mensual'!J310+parametros_recargas!$G$85*'Plan mensual'!J311+parametros_recargas!$H$85*'Plan mensual'!J312+parametros_recargas!$I$85*'Plan mensual'!J313+parametros_recargas!$J$85*'Plan mensual'!J314+parametros_recargas!$K$85*'Plan mensual'!J315+parametros_recargas!$L$85*'Plan mensual'!J316</f>
        <v>1890.56115249452</v>
      </c>
      <c r="I303" s="25" t="n">
        <f aca="false">parametros_recargas!$E$85*'Plan mensual'!K309+parametros_recargas!$F$85*'Plan mensual'!K310+parametros_recargas!$G$85*'Plan mensual'!K311+parametros_recargas!$H$85*'Plan mensual'!K312+parametros_recargas!$I$85*'Plan mensual'!K313+parametros_recargas!$J$85*'Plan mensual'!K314+parametros_recargas!$K$85*'Plan mensual'!K315+parametros_recargas!$L$85*'Plan mensual'!K316</f>
        <v>1901.21567826137</v>
      </c>
      <c r="J303" s="25" t="n">
        <f aca="false">parametros_recargas!$E$85*'Plan mensual'!L309+parametros_recargas!$F$85*'Plan mensual'!L310+parametros_recargas!$G$85*'Plan mensual'!L311+parametros_recargas!$H$85*'Plan mensual'!L312+parametros_recargas!$I$85*'Plan mensual'!L313+parametros_recargas!$J$85*'Plan mensual'!L314+parametros_recargas!$K$85*'Plan mensual'!L315+parametros_recargas!$L$85*'Plan mensual'!L316</f>
        <v>1911.93192102433</v>
      </c>
      <c r="K303" s="25" t="n">
        <f aca="false">parametros_recargas!$E$85*'Plan mensual'!M309+parametros_recargas!$F$85*'Plan mensual'!M310+parametros_recargas!$G$85*'Plan mensual'!M311+parametros_recargas!$H$85*'Plan mensual'!M312+parametros_recargas!$I$85*'Plan mensual'!M313+parametros_recargas!$J$85*'Plan mensual'!M314+parametros_recargas!$K$85*'Plan mensual'!M315+parametros_recargas!$L$85*'Plan mensual'!M316</f>
        <v>1922.71023828287</v>
      </c>
      <c r="L303" s="25" t="n">
        <f aca="false">parametros_recargas!$E$85*'Plan mensual'!N309+parametros_recargas!$F$85*'Plan mensual'!N310+parametros_recargas!$G$85*'Plan mensual'!N311+parametros_recargas!$H$85*'Plan mensual'!N312+parametros_recargas!$I$85*'Plan mensual'!N313+parametros_recargas!$J$85*'Plan mensual'!N314+parametros_recargas!$K$85*'Plan mensual'!N315+parametros_recargas!$L$85*'Plan mensual'!N316</f>
        <v>1933.55098960735</v>
      </c>
      <c r="M303" s="25" t="n">
        <f aca="false">parametros_recargas!$E$85*'Plan mensual'!O309+parametros_recargas!$F$85*'Plan mensual'!O310+parametros_recargas!$G$85*'Plan mensual'!O311+parametros_recargas!$H$85*'Plan mensual'!O312+parametros_recargas!$I$85*'Plan mensual'!O313+parametros_recargas!$J$85*'Plan mensual'!O314+parametros_recargas!$K$85*'Plan mensual'!O315+parametros_recargas!$L$85*'Plan mensual'!O316</f>
        <v>1944.45453665093</v>
      </c>
      <c r="N303" s="7" t="n">
        <f aca="false">SUM(B303:M303)</f>
        <v>22627.4580133932</v>
      </c>
      <c r="O303" s="26" t="n">
        <f aca="false">MAX(B303:M303)</f>
        <v>1944.45453665093</v>
      </c>
      <c r="P303" s="15" t="n">
        <f aca="false">O303/parametros_recargas!$B$6</f>
        <v>12.9630302443395</v>
      </c>
    </row>
    <row r="304" customFormat="false" ht="15" hidden="false" customHeight="false" outlineLevel="0" collapsed="false">
      <c r="A304" s="12" t="str">
        <f aca="false">parametros_recargas!$B$86</f>
        <v>Pintura</v>
      </c>
      <c r="B304" s="25" t="n">
        <f aca="false">parametros_recargas!$E$86*'Plan mensual'!D309+parametros_recargas!$F$86*'Plan mensual'!D310+parametros_recargas!$G$86*'Plan mensual'!D311+parametros_recargas!$H$86*'Plan mensual'!D312+parametros_recargas!$I$86*'Plan mensual'!D313+parametros_recargas!$J$86*'Plan mensual'!D314+parametros_recargas!$K$86*'Plan mensual'!D315+parametros_recargas!$L$86*'Plan mensual'!D316</f>
        <v>914.848975561474</v>
      </c>
      <c r="C304" s="25" t="n">
        <f aca="false">parametros_recargas!$E$86*'Plan mensual'!E309+parametros_recargas!$F$86*'Plan mensual'!E310+parametros_recargas!$G$86*'Plan mensual'!E311+parametros_recargas!$H$86*'Plan mensual'!E312+parametros_recargas!$I$86*'Plan mensual'!E313+parametros_recargas!$J$86*'Plan mensual'!E314+parametros_recargas!$K$86*'Plan mensual'!E315+parametros_recargas!$L$86*'Plan mensual'!E316</f>
        <v>919.99561227713</v>
      </c>
      <c r="D304" s="25" t="n">
        <f aca="false">parametros_recargas!$E$86*'Plan mensual'!F309+parametros_recargas!$F$86*'Plan mensual'!F310+parametros_recargas!$G$86*'Plan mensual'!F311+parametros_recargas!$H$86*'Plan mensual'!F312+parametros_recargas!$I$86*'Plan mensual'!F313+parametros_recargas!$J$86*'Plan mensual'!F314+parametros_recargas!$K$86*'Plan mensual'!F315+parametros_recargas!$L$86*'Plan mensual'!F316</f>
        <v>925.172061202643</v>
      </c>
      <c r="E304" s="25" t="n">
        <f aca="false">parametros_recargas!$E$86*'Plan mensual'!G309+parametros_recargas!$F$86*'Plan mensual'!G310+parametros_recargas!$G$86*'Plan mensual'!G311+parametros_recargas!$H$86*'Plan mensual'!G312+parametros_recargas!$I$86*'Plan mensual'!G313+parametros_recargas!$J$86*'Plan mensual'!G314+parametros_recargas!$K$86*'Plan mensual'!G315+parametros_recargas!$L$86*'Plan mensual'!G316</f>
        <v>930.378495027074</v>
      </c>
      <c r="F304" s="25" t="n">
        <f aca="false">parametros_recargas!$E$86*'Plan mensual'!H309+parametros_recargas!$F$86*'Plan mensual'!H310+parametros_recargas!$G$86*'Plan mensual'!H311+parametros_recargas!$H$86*'Plan mensual'!H312+parametros_recargas!$I$86*'Plan mensual'!H313+parametros_recargas!$J$86*'Plan mensual'!H314+parametros_recargas!$K$86*'Plan mensual'!H315+parametros_recargas!$L$86*'Plan mensual'!H316</f>
        <v>935.615087439794</v>
      </c>
      <c r="G304" s="25" t="n">
        <f aca="false">parametros_recargas!$E$86*'Plan mensual'!I309+parametros_recargas!$F$86*'Plan mensual'!I310+parametros_recargas!$G$86*'Plan mensual'!I311+parametros_recargas!$H$86*'Plan mensual'!I312+parametros_recargas!$I$86*'Plan mensual'!I313+parametros_recargas!$J$86*'Plan mensual'!I314+parametros_recargas!$K$86*'Plan mensual'!I315+parametros_recargas!$L$86*'Plan mensual'!I316</f>
        <v>940.882013136284</v>
      </c>
      <c r="H304" s="25" t="n">
        <f aca="false">parametros_recargas!$E$86*'Plan mensual'!J309+parametros_recargas!$F$86*'Plan mensual'!J310+parametros_recargas!$G$86*'Plan mensual'!J311+parametros_recargas!$H$86*'Plan mensual'!J312+parametros_recargas!$I$86*'Plan mensual'!J313+parametros_recargas!$J$86*'Plan mensual'!J314+parametros_recargas!$K$86*'Plan mensual'!J315+parametros_recargas!$L$86*'Plan mensual'!J316</f>
        <v>946.179447823954</v>
      </c>
      <c r="I304" s="25" t="n">
        <f aca="false">parametros_recargas!$E$86*'Plan mensual'!K309+parametros_recargas!$F$86*'Plan mensual'!K310+parametros_recargas!$G$86*'Plan mensual'!K311+parametros_recargas!$H$86*'Plan mensual'!K312+parametros_recargas!$I$86*'Plan mensual'!K313+parametros_recargas!$J$86*'Plan mensual'!K314+parametros_recargas!$K$86*'Plan mensual'!K315+parametros_recargas!$L$86*'Plan mensual'!K316</f>
        <v>951.507568228014</v>
      </c>
      <c r="J304" s="25" t="n">
        <f aca="false">parametros_recargas!$E$86*'Plan mensual'!L309+parametros_recargas!$F$86*'Plan mensual'!L310+parametros_recargas!$G$86*'Plan mensual'!L311+parametros_recargas!$H$86*'Plan mensual'!L312+parametros_recargas!$I$86*'Plan mensual'!L313+parametros_recargas!$J$86*'Plan mensual'!L314+parametros_recargas!$K$86*'Plan mensual'!L315+parametros_recargas!$L$86*'Plan mensual'!L316</f>
        <v>956.866552097365</v>
      </c>
      <c r="K304" s="25" t="n">
        <f aca="false">parametros_recargas!$E$86*'Plan mensual'!M309+parametros_recargas!$F$86*'Plan mensual'!M310+parametros_recargas!$G$86*'Plan mensual'!M311+parametros_recargas!$H$86*'Plan mensual'!M312+parametros_recargas!$I$86*'Plan mensual'!M313+parametros_recargas!$J$86*'Plan mensual'!M314+parametros_recargas!$K$86*'Plan mensual'!M315+parametros_recargas!$L$86*'Plan mensual'!M316</f>
        <v>962.256578210527</v>
      </c>
      <c r="L304" s="25" t="n">
        <f aca="false">parametros_recargas!$E$86*'Plan mensual'!N309+parametros_recargas!$F$86*'Plan mensual'!N310+parametros_recargas!$G$86*'Plan mensual'!N311+parametros_recargas!$H$86*'Plan mensual'!N312+parametros_recargas!$I$86*'Plan mensual'!N313+parametros_recargas!$J$86*'Plan mensual'!N314+parametros_recargas!$K$86*'Plan mensual'!N315+parametros_recargas!$L$86*'Plan mensual'!N316</f>
        <v>967.677826381608</v>
      </c>
      <c r="M304" s="25" t="n">
        <f aca="false">parametros_recargas!$E$86*'Plan mensual'!O309+parametros_recargas!$F$86*'Plan mensual'!O310+parametros_recargas!$G$86*'Plan mensual'!O311+parametros_recargas!$H$86*'Plan mensual'!O312+parametros_recargas!$I$86*'Plan mensual'!O313+parametros_recargas!$J$86*'Plan mensual'!O314+parametros_recargas!$K$86*'Plan mensual'!O315+parametros_recargas!$L$86*'Plan mensual'!O316</f>
        <v>973.1304774663</v>
      </c>
      <c r="N304" s="7" t="n">
        <f aca="false">SUM(B304:M304)</f>
        <v>11324.5106948522</v>
      </c>
      <c r="O304" s="26" t="n">
        <f aca="false">MAX(B304:M304)</f>
        <v>973.1304774663</v>
      </c>
      <c r="P304" s="15" t="n">
        <f aca="false">O304/parametros_recargas!$B$6</f>
        <v>6.487536516442</v>
      </c>
    </row>
    <row r="305" customFormat="false" ht="15" hidden="false" customHeight="false" outlineLevel="0" collapsed="false">
      <c r="A305" s="12" t="str">
        <f aca="false">parametros_recargas!$B$87</f>
        <v>Carga de polvo ABC</v>
      </c>
      <c r="B305" s="25" t="n">
        <f aca="false">parametros_recargas!$E$87*'Plan mensual'!D309+parametros_recargas!$F$87*'Plan mensual'!D310+parametros_recargas!$G$87*'Plan mensual'!D311+parametros_recargas!$H$87*'Plan mensual'!D312+parametros_recargas!$I$87*'Plan mensual'!D313+parametros_recargas!$J$87*'Plan mensual'!D314+parametros_recargas!$K$87*'Plan mensual'!D315+parametros_recargas!$L$87*'Plan mensual'!D316</f>
        <v>7945.09361483395</v>
      </c>
      <c r="C305" s="25" t="n">
        <f aca="false">parametros_recargas!$E$87*'Plan mensual'!E309+parametros_recargas!$F$87*'Plan mensual'!E310+parametros_recargas!$G$87*'Plan mensual'!E311+parametros_recargas!$H$87*'Plan mensual'!E312+parametros_recargas!$I$87*'Plan mensual'!E313+parametros_recargas!$J$87*'Plan mensual'!E314+parametros_recargas!$K$87*'Plan mensual'!E315+parametros_recargas!$L$87*'Plan mensual'!E316</f>
        <v>7989.8991378397</v>
      </c>
      <c r="D305" s="25" t="n">
        <f aca="false">parametros_recargas!$E$87*'Plan mensual'!F309+parametros_recargas!$F$87*'Plan mensual'!F310+parametros_recargas!$G$87*'Plan mensual'!F311+parametros_recargas!$H$87*'Plan mensual'!F312+parametros_recargas!$I$87*'Plan mensual'!F313+parametros_recargas!$J$87*'Plan mensual'!F314+parametros_recargas!$K$87*'Plan mensual'!F315+parametros_recargas!$L$87*'Plan mensual'!F316</f>
        <v>8034.96419959442</v>
      </c>
      <c r="E305" s="25" t="n">
        <f aca="false">parametros_recargas!$E$87*'Plan mensual'!G309+parametros_recargas!$F$87*'Plan mensual'!G310+parametros_recargas!$G$87*'Plan mensual'!G311+parametros_recargas!$H$87*'Plan mensual'!G312+parametros_recargas!$I$87*'Plan mensual'!G313+parametros_recargas!$J$87*'Plan mensual'!G314+parametros_recargas!$K$87*'Plan mensual'!G315+parametros_recargas!$L$87*'Plan mensual'!G316</f>
        <v>8080.2903034923</v>
      </c>
      <c r="F305" s="25" t="n">
        <f aca="false">parametros_recargas!$E$87*'Plan mensual'!H309+parametros_recargas!$F$87*'Plan mensual'!H310+parametros_recargas!$G$87*'Plan mensual'!H311+parametros_recargas!$H$87*'Plan mensual'!H312+parametros_recargas!$I$87*'Plan mensual'!H313+parametros_recargas!$J$87*'Plan mensual'!H314+parametros_recargas!$K$87*'Plan mensual'!H315+parametros_recargas!$L$87*'Plan mensual'!H316</f>
        <v>8125.87896163601</v>
      </c>
      <c r="G305" s="25" t="n">
        <f aca="false">parametros_recargas!$E$87*'Plan mensual'!I309+parametros_recargas!$F$87*'Plan mensual'!I310+parametros_recargas!$G$87*'Plan mensual'!I311+parametros_recargas!$H$87*'Plan mensual'!I312+parametros_recargas!$I$87*'Plan mensual'!I313+parametros_recargas!$J$87*'Plan mensual'!I314+parametros_recargas!$K$87*'Plan mensual'!I315+parametros_recargas!$L$87*'Plan mensual'!I316</f>
        <v>8171.73169488718</v>
      </c>
      <c r="H305" s="25" t="n">
        <f aca="false">parametros_recargas!$E$87*'Plan mensual'!J309+parametros_recargas!$F$87*'Plan mensual'!J310+parametros_recargas!$G$87*'Plan mensual'!J311+parametros_recargas!$H$87*'Plan mensual'!J312+parametros_recargas!$I$87*'Plan mensual'!J313+parametros_recargas!$J$87*'Plan mensual'!J314+parametros_recargas!$K$87*'Plan mensual'!J315+parametros_recargas!$L$87*'Plan mensual'!J316</f>
        <v>8217.85003291711</v>
      </c>
      <c r="I305" s="25" t="n">
        <f aca="false">parametros_recargas!$E$87*'Plan mensual'!K309+parametros_recargas!$F$87*'Plan mensual'!K310+parametros_recargas!$G$87*'Plan mensual'!K311+parametros_recargas!$H$87*'Plan mensual'!K312+parametros_recargas!$I$87*'Plan mensual'!K313+parametros_recargas!$J$87*'Plan mensual'!K314+parametros_recargas!$K$87*'Plan mensual'!K315+parametros_recargas!$L$87*'Plan mensual'!K316</f>
        <v>8264.23551425783</v>
      </c>
      <c r="J305" s="25" t="n">
        <f aca="false">parametros_recargas!$E$87*'Plan mensual'!L309+parametros_recargas!$F$87*'Plan mensual'!L310+parametros_recargas!$G$87*'Plan mensual'!L311+parametros_recargas!$H$87*'Plan mensual'!L312+parametros_recargas!$I$87*'Plan mensual'!L313+parametros_recargas!$J$87*'Plan mensual'!L314+parametros_recargas!$K$87*'Plan mensual'!L315+parametros_recargas!$L$87*'Plan mensual'!L316</f>
        <v>8310.88968635341</v>
      </c>
      <c r="K305" s="25" t="n">
        <f aca="false">parametros_recargas!$E$87*'Plan mensual'!M309+parametros_recargas!$F$87*'Plan mensual'!M310+parametros_recargas!$G$87*'Plan mensual'!M311+parametros_recargas!$H$87*'Plan mensual'!M312+parametros_recargas!$I$87*'Plan mensual'!M313+parametros_recargas!$J$87*'Plan mensual'!M314+parametros_recargas!$K$87*'Plan mensual'!M315+parametros_recargas!$L$87*'Plan mensual'!M316</f>
        <v>8357.81410561157</v>
      </c>
      <c r="L305" s="25" t="n">
        <f aca="false">parametros_recargas!$E$87*'Plan mensual'!N309+parametros_recargas!$F$87*'Plan mensual'!N310+parametros_recargas!$G$87*'Plan mensual'!N311+parametros_recargas!$H$87*'Plan mensual'!N312+parametros_recargas!$I$87*'Plan mensual'!N313+parametros_recargas!$J$87*'Plan mensual'!N314+parametros_recargas!$K$87*'Plan mensual'!N315+parametros_recargas!$L$87*'Plan mensual'!N316</f>
        <v>8405.01033745563</v>
      </c>
      <c r="M305" s="25" t="n">
        <f aca="false">parametros_recargas!$E$87*'Plan mensual'!O309+parametros_recargas!$F$87*'Plan mensual'!O310+parametros_recargas!$G$87*'Plan mensual'!O311+parametros_recargas!$H$87*'Plan mensual'!O312+parametros_recargas!$I$87*'Plan mensual'!O313+parametros_recargas!$J$87*'Plan mensual'!O314+parametros_recargas!$K$87*'Plan mensual'!O315+parametros_recargas!$L$87*'Plan mensual'!O316</f>
        <v>8452.47995637673</v>
      </c>
      <c r="N305" s="7" t="n">
        <f aca="false">SUM(B305:M305)</f>
        <v>98356.1375452558</v>
      </c>
      <c r="O305" s="26" t="n">
        <f aca="false">MAX(B305:M305)</f>
        <v>8452.47995637673</v>
      </c>
      <c r="P305" s="15" t="n">
        <f aca="false">O305/parametros_recargas!$B$6</f>
        <v>56.3498663758448</v>
      </c>
    </row>
    <row r="306" customFormat="false" ht="15" hidden="false" customHeight="false" outlineLevel="0" collapsed="false">
      <c r="A306" s="12" t="str">
        <f aca="false">parametros_recargas!$B$88</f>
        <v>Carga de polvo BC</v>
      </c>
      <c r="B306" s="25" t="n">
        <f aca="false">parametros_recargas!$E$88*'Plan mensual'!D309+parametros_recargas!$F$88*'Plan mensual'!D310+parametros_recargas!$G$88*'Plan mensual'!D311+parametros_recargas!$H$88*'Plan mensual'!D312+parametros_recargas!$I$88*'Plan mensual'!D313+parametros_recargas!$J$88*'Plan mensual'!D314+parametros_recargas!$K$88*'Plan mensual'!D315+parametros_recargas!$L$88*'Plan mensual'!D316</f>
        <v>11.9976788129262</v>
      </c>
      <c r="C306" s="25" t="n">
        <f aca="false">parametros_recargas!$E$88*'Plan mensual'!E309+parametros_recargas!$F$88*'Plan mensual'!E310+parametros_recargas!$G$88*'Plan mensual'!E311+parametros_recargas!$H$88*'Plan mensual'!E312+parametros_recargas!$I$88*'Plan mensual'!E313+parametros_recargas!$J$88*'Plan mensual'!E314+parametros_recargas!$K$88*'Plan mensual'!E315+parametros_recargas!$L$88*'Plan mensual'!E316</f>
        <v>12.0628316845415</v>
      </c>
      <c r="D306" s="25" t="n">
        <f aca="false">parametros_recargas!$E$88*'Plan mensual'!F309+parametros_recargas!$F$88*'Plan mensual'!F310+parametros_recargas!$G$88*'Plan mensual'!F311+parametros_recargas!$H$88*'Plan mensual'!F312+parametros_recargas!$I$88*'Plan mensual'!F313+parametros_recargas!$J$88*'Plan mensual'!F314+parametros_recargas!$K$88*'Plan mensual'!F315+parametros_recargas!$L$88*'Plan mensual'!F316</f>
        <v>12.1283619581746</v>
      </c>
      <c r="E306" s="25" t="n">
        <f aca="false">parametros_recargas!$E$88*'Plan mensual'!G309+parametros_recargas!$F$88*'Plan mensual'!G310+parametros_recargas!$G$88*'Plan mensual'!G311+parametros_recargas!$H$88*'Plan mensual'!G312+parametros_recargas!$I$88*'Plan mensual'!G313+parametros_recargas!$J$88*'Plan mensual'!G314+parametros_recargas!$K$88*'Plan mensual'!G315+parametros_recargas!$L$88*'Plan mensual'!G316</f>
        <v>12.19427181995</v>
      </c>
      <c r="F306" s="25" t="n">
        <f aca="false">parametros_recargas!$E$88*'Plan mensual'!H309+parametros_recargas!$F$88*'Plan mensual'!H310+parametros_recargas!$G$88*'Plan mensual'!H311+parametros_recargas!$H$88*'Plan mensual'!H312+parametros_recargas!$I$88*'Plan mensual'!H313+parametros_recargas!$J$88*'Plan mensual'!H314+parametros_recargas!$K$88*'Plan mensual'!H315+parametros_recargas!$L$88*'Plan mensual'!H316</f>
        <v>12.2605634686552</v>
      </c>
      <c r="G306" s="25" t="n">
        <f aca="false">parametros_recargas!$E$88*'Plan mensual'!I309+parametros_recargas!$F$88*'Plan mensual'!I310+parametros_recargas!$G$88*'Plan mensual'!I311+parametros_recargas!$H$88*'Plan mensual'!I312+parametros_recargas!$I$88*'Plan mensual'!I313+parametros_recargas!$J$88*'Plan mensual'!I314+parametros_recargas!$K$88*'Plan mensual'!I315+parametros_recargas!$L$88*'Plan mensual'!I316</f>
        <v>12.3272391158147</v>
      </c>
      <c r="H306" s="25" t="n">
        <f aca="false">parametros_recargas!$E$88*'Plan mensual'!J309+parametros_recargas!$F$88*'Plan mensual'!J310+parametros_recargas!$G$88*'Plan mensual'!J311+parametros_recargas!$H$88*'Plan mensual'!J312+parametros_recargas!$I$88*'Plan mensual'!J313+parametros_recargas!$J$88*'Plan mensual'!J314+parametros_recargas!$K$88*'Plan mensual'!J315+parametros_recargas!$L$88*'Plan mensual'!J316</f>
        <v>12.394300985763</v>
      </c>
      <c r="I306" s="25" t="n">
        <f aca="false">parametros_recargas!$E$88*'Plan mensual'!K309+parametros_recargas!$F$88*'Plan mensual'!K310+parametros_recargas!$G$88*'Plan mensual'!K311+parametros_recargas!$H$88*'Plan mensual'!K312+parametros_recargas!$I$88*'Plan mensual'!K313+parametros_recargas!$J$88*'Plan mensual'!K314+parametros_recargas!$K$88*'Plan mensual'!K315+parametros_recargas!$L$88*'Plan mensual'!K316</f>
        <v>12.4617513157194</v>
      </c>
      <c r="J306" s="25" t="n">
        <f aca="false">parametros_recargas!$E$88*'Plan mensual'!L309+parametros_recargas!$F$88*'Plan mensual'!L310+parametros_recargas!$G$88*'Plan mensual'!L311+parametros_recargas!$H$88*'Plan mensual'!L312+parametros_recargas!$I$88*'Plan mensual'!L313+parametros_recargas!$J$88*'Plan mensual'!L314+parametros_recargas!$K$88*'Plan mensual'!L315+parametros_recargas!$L$88*'Plan mensual'!L316</f>
        <v>12.5295923558624</v>
      </c>
      <c r="K306" s="25" t="n">
        <f aca="false">parametros_recargas!$E$88*'Plan mensual'!M309+parametros_recargas!$F$88*'Plan mensual'!M310+parametros_recargas!$G$88*'Plan mensual'!M311+parametros_recargas!$H$88*'Plan mensual'!M312+parametros_recargas!$I$88*'Plan mensual'!M313+parametros_recargas!$J$88*'Plan mensual'!M314+parametros_recargas!$K$88*'Plan mensual'!M315+parametros_recargas!$L$88*'Plan mensual'!M316</f>
        <v>12.5978263694048</v>
      </c>
      <c r="L306" s="25" t="n">
        <f aca="false">parametros_recargas!$E$88*'Plan mensual'!N309+parametros_recargas!$F$88*'Plan mensual'!N310+parametros_recargas!$G$88*'Plan mensual'!N311+parametros_recargas!$H$88*'Plan mensual'!N312+parametros_recargas!$I$88*'Plan mensual'!N313+parametros_recargas!$J$88*'Plan mensual'!N314+parametros_recargas!$K$88*'Plan mensual'!N315+parametros_recargas!$L$88*'Plan mensual'!N316</f>
        <v>12.6664556326693</v>
      </c>
      <c r="M306" s="25" t="n">
        <f aca="false">parametros_recargas!$E$88*'Plan mensual'!O309+parametros_recargas!$F$88*'Plan mensual'!O310+parametros_recargas!$G$88*'Plan mensual'!O311+parametros_recargas!$H$88*'Plan mensual'!O312+parametros_recargas!$I$88*'Plan mensual'!O313+parametros_recargas!$J$88*'Plan mensual'!O314+parametros_recargas!$K$88*'Plan mensual'!O315+parametros_recargas!$L$88*'Plan mensual'!O316</f>
        <v>12.7354824351641</v>
      </c>
      <c r="N306" s="7" t="n">
        <f aca="false">SUM(B306:M306)</f>
        <v>148.356355954645</v>
      </c>
      <c r="O306" s="26" t="n">
        <f aca="false">MAX(B306:M306)</f>
        <v>12.7354824351641</v>
      </c>
      <c r="P306" s="15" t="n">
        <f aca="false">O306/parametros_recargas!$B$6</f>
        <v>0.0849032162344274</v>
      </c>
    </row>
    <row r="307" customFormat="false" ht="15" hidden="false" customHeight="false" outlineLevel="0" collapsed="false">
      <c r="A307" s="12" t="str">
        <f aca="false">parametros_recargas!$B$89</f>
        <v>Descarga y carga Clase D</v>
      </c>
      <c r="B307" s="25" t="n">
        <f aca="false">parametros_recargas!$E$89*'Plan mensual'!D309+parametros_recargas!$F$89*'Plan mensual'!D310+parametros_recargas!$G$89*'Plan mensual'!D311+parametros_recargas!$H$89*'Plan mensual'!D312+parametros_recargas!$I$89*'Plan mensual'!D313+parametros_recargas!$J$89*'Plan mensual'!D314+parametros_recargas!$K$89*'Plan mensual'!D315+parametros_recargas!$L$89*'Plan mensual'!D316</f>
        <v>10.8257647939677</v>
      </c>
      <c r="C307" s="25" t="n">
        <f aca="false">parametros_recargas!$E$89*'Plan mensual'!E309+parametros_recargas!$F$89*'Plan mensual'!E310+parametros_recargas!$G$89*'Plan mensual'!E311+parametros_recargas!$H$89*'Plan mensual'!E312+parametros_recargas!$I$89*'Plan mensual'!E313+parametros_recargas!$J$89*'Plan mensual'!E314+parametros_recargas!$K$89*'Plan mensual'!E315+parametros_recargas!$L$89*'Plan mensual'!E316</f>
        <v>10.8846119949791</v>
      </c>
      <c r="D307" s="25" t="n">
        <f aca="false">parametros_recargas!$E$89*'Plan mensual'!F309+parametros_recargas!$F$89*'Plan mensual'!F310+parametros_recargas!$G$89*'Plan mensual'!F311+parametros_recargas!$H$89*'Plan mensual'!F312+parametros_recargas!$I$89*'Plan mensual'!F313+parametros_recargas!$J$89*'Plan mensual'!F314+parametros_recargas!$K$89*'Plan mensual'!F315+parametros_recargas!$L$89*'Plan mensual'!F316</f>
        <v>10.9438000720233</v>
      </c>
      <c r="E307" s="25" t="n">
        <f aca="false">parametros_recargas!$E$89*'Plan mensual'!G309+parametros_recargas!$F$89*'Plan mensual'!G310+parametros_recargas!$G$89*'Plan mensual'!G311+parametros_recargas!$H$89*'Plan mensual'!G312+parametros_recargas!$I$89*'Plan mensual'!G313+parametros_recargas!$J$89*'Plan mensual'!G314+parametros_recargas!$K$89*'Plan mensual'!G315+parametros_recargas!$L$89*'Plan mensual'!G316</f>
        <v>11.0033309996457</v>
      </c>
      <c r="F307" s="25" t="n">
        <f aca="false">parametros_recargas!$E$89*'Plan mensual'!H309+parametros_recargas!$F$89*'Plan mensual'!H310+parametros_recargas!$G$89*'Plan mensual'!H311+parametros_recargas!$H$89*'Plan mensual'!H312+parametros_recargas!$I$89*'Plan mensual'!H313+parametros_recargas!$J$89*'Plan mensual'!H314+parametros_recargas!$K$89*'Plan mensual'!H315+parametros_recargas!$L$89*'Plan mensual'!H316</f>
        <v>11.0632067638295</v>
      </c>
      <c r="G307" s="25" t="n">
        <f aca="false">parametros_recargas!$E$89*'Plan mensual'!I309+parametros_recargas!$F$89*'Plan mensual'!I310+parametros_recargas!$G$89*'Plan mensual'!I311+parametros_recargas!$H$89*'Plan mensual'!I312+parametros_recargas!$I$89*'Plan mensual'!I313+parametros_recargas!$J$89*'Plan mensual'!I314+parametros_recargas!$K$89*'Plan mensual'!I315+parametros_recargas!$L$89*'Plan mensual'!I316</f>
        <v>11.1234293620615</v>
      </c>
      <c r="H307" s="25" t="n">
        <f aca="false">parametros_recargas!$E$89*'Plan mensual'!J309+parametros_recargas!$F$89*'Plan mensual'!J310+parametros_recargas!$G$89*'Plan mensual'!J311+parametros_recargas!$H$89*'Plan mensual'!J312+parametros_recargas!$I$89*'Plan mensual'!J313+parametros_recargas!$J$89*'Plan mensual'!J314+parametros_recargas!$K$89*'Plan mensual'!J315+parametros_recargas!$L$89*'Plan mensual'!J316</f>
        <v>11.1840008033994</v>
      </c>
      <c r="I307" s="25" t="n">
        <f aca="false">parametros_recargas!$E$89*'Plan mensual'!K309+parametros_recargas!$F$89*'Plan mensual'!K310+parametros_recargas!$G$89*'Plan mensual'!K311+parametros_recargas!$H$89*'Plan mensual'!K312+parametros_recargas!$I$89*'Plan mensual'!K313+parametros_recargas!$J$89*'Plan mensual'!K314+parametros_recargas!$K$89*'Plan mensual'!K315+parametros_recargas!$L$89*'Plan mensual'!K316</f>
        <v>11.2449231085384</v>
      </c>
      <c r="J307" s="25" t="n">
        <f aca="false">parametros_recargas!$E$89*'Plan mensual'!L309+parametros_recargas!$F$89*'Plan mensual'!L310+parametros_recargas!$G$89*'Plan mensual'!L311+parametros_recargas!$H$89*'Plan mensual'!L312+parametros_recargas!$I$89*'Plan mensual'!L313+parametros_recargas!$J$89*'Plan mensual'!L314+parametros_recargas!$K$89*'Plan mensual'!L315+parametros_recargas!$L$89*'Plan mensual'!L316</f>
        <v>11.3061983098785</v>
      </c>
      <c r="K307" s="25" t="n">
        <f aca="false">parametros_recargas!$E$89*'Plan mensual'!M309+parametros_recargas!$F$89*'Plan mensual'!M310+parametros_recargas!$G$89*'Plan mensual'!M311+parametros_recargas!$H$89*'Plan mensual'!M312+parametros_recargas!$I$89*'Plan mensual'!M313+parametros_recargas!$J$89*'Plan mensual'!M314+parametros_recargas!$K$89*'Plan mensual'!M315+parametros_recargas!$L$89*'Plan mensual'!M316</f>
        <v>11.3678284515928</v>
      </c>
      <c r="L307" s="25" t="n">
        <f aca="false">parametros_recargas!$E$89*'Plan mensual'!N309+parametros_recargas!$F$89*'Plan mensual'!N310+parametros_recargas!$G$89*'Plan mensual'!N311+parametros_recargas!$H$89*'Plan mensual'!N312+parametros_recargas!$I$89*'Plan mensual'!N313+parametros_recargas!$J$89*'Plan mensual'!N314+parametros_recargas!$K$89*'Plan mensual'!N315+parametros_recargas!$L$89*'Plan mensual'!N316</f>
        <v>11.4298155896952</v>
      </c>
      <c r="M307" s="25" t="n">
        <f aca="false">parametros_recargas!$E$89*'Plan mensual'!O309+parametros_recargas!$F$89*'Plan mensual'!O310+parametros_recargas!$G$89*'Plan mensual'!O311+parametros_recargas!$H$89*'Plan mensual'!O312+parametros_recargas!$I$89*'Plan mensual'!O313+parametros_recargas!$J$89*'Plan mensual'!O314+parametros_recargas!$K$89*'Plan mensual'!O315+parametros_recargas!$L$89*'Plan mensual'!O316</f>
        <v>11.4921617921092</v>
      </c>
      <c r="N307" s="7" t="n">
        <f aca="false">SUM(B307:M307)</f>
        <v>133.86907204172</v>
      </c>
      <c r="O307" s="26" t="n">
        <f aca="false">MAX(B307:M307)</f>
        <v>11.4921617921092</v>
      </c>
      <c r="P307" s="15" t="n">
        <f aca="false">O307/parametros_recargas!$B$6</f>
        <v>0.0766144119473946</v>
      </c>
    </row>
    <row r="308" customFormat="false" ht="15" hidden="false" customHeight="false" outlineLevel="0" collapsed="false">
      <c r="A308" s="12" t="str">
        <f aca="false">parametros_recargas!$B$90</f>
        <v>Carga de agua / AFFF / sales K</v>
      </c>
      <c r="B308" s="25" t="n">
        <f aca="false">parametros_recargas!$E$90*'Plan mensual'!D309+parametros_recargas!$F$90*'Plan mensual'!D310+parametros_recargas!$G$90*'Plan mensual'!D311+parametros_recargas!$H$90*'Plan mensual'!D312+parametros_recargas!$I$90*'Plan mensual'!D313+parametros_recargas!$J$90*'Plan mensual'!D314+parametros_recargas!$K$90*'Plan mensual'!D315+parametros_recargas!$L$90*'Plan mensual'!D316</f>
        <v>407.334144666257</v>
      </c>
      <c r="C308" s="25" t="n">
        <f aca="false">parametros_recargas!$E$90*'Plan mensual'!E309+parametros_recargas!$F$90*'Plan mensual'!E310+parametros_recargas!$G$90*'Plan mensual'!E311+parametros_recargas!$H$90*'Plan mensual'!E312+parametros_recargas!$I$90*'Plan mensual'!E313+parametros_recargas!$J$90*'Plan mensual'!E314+parametros_recargas!$K$90*'Plan mensual'!E315+parametros_recargas!$L$90*'Plan mensual'!E316</f>
        <v>409.588903942259</v>
      </c>
      <c r="D308" s="25" t="n">
        <f aca="false">parametros_recargas!$E$90*'Plan mensual'!F309+parametros_recargas!$F$90*'Plan mensual'!F310+parametros_recargas!$G$90*'Plan mensual'!F311+parametros_recargas!$H$90*'Plan mensual'!F312+parametros_recargas!$I$90*'Plan mensual'!F313+parametros_recargas!$J$90*'Plan mensual'!F314+parametros_recargas!$K$90*'Plan mensual'!F315+parametros_recargas!$L$90*'Plan mensual'!F316</f>
        <v>411.856724050106</v>
      </c>
      <c r="E308" s="25" t="n">
        <f aca="false">parametros_recargas!$E$90*'Plan mensual'!G309+parametros_recargas!$F$90*'Plan mensual'!G310+parametros_recargas!$G$90*'Plan mensual'!G311+parametros_recargas!$H$90*'Plan mensual'!G312+parametros_recargas!$I$90*'Plan mensual'!G313+parametros_recargas!$J$90*'Plan mensual'!G314+parametros_recargas!$K$90*'Plan mensual'!G315+parametros_recargas!$L$90*'Plan mensual'!G316</f>
        <v>414.137680645472</v>
      </c>
      <c r="F308" s="25" t="n">
        <f aca="false">parametros_recargas!$E$90*'Plan mensual'!H309+parametros_recargas!$F$90*'Plan mensual'!H310+parametros_recargas!$G$90*'Plan mensual'!H311+parametros_recargas!$H$90*'Plan mensual'!H312+parametros_recargas!$I$90*'Plan mensual'!H313+parametros_recargas!$J$90*'Plan mensual'!H314+parametros_recargas!$K$90*'Plan mensual'!H315+parametros_recargas!$L$90*'Plan mensual'!H316</f>
        <v>416.431849822268</v>
      </c>
      <c r="G308" s="25" t="n">
        <f aca="false">parametros_recargas!$E$90*'Plan mensual'!I309+parametros_recargas!$F$90*'Plan mensual'!I310+parametros_recargas!$G$90*'Plan mensual'!I311+parametros_recargas!$H$90*'Plan mensual'!I312+parametros_recargas!$I$90*'Plan mensual'!I313+parametros_recargas!$J$90*'Plan mensual'!I314+parametros_recargas!$K$90*'Plan mensual'!I315+parametros_recargas!$L$90*'Plan mensual'!I316</f>
        <v>418.739308115185</v>
      </c>
      <c r="H308" s="25" t="n">
        <f aca="false">parametros_recargas!$E$90*'Plan mensual'!J309+parametros_recargas!$F$90*'Plan mensual'!J310+parametros_recargas!$G$90*'Plan mensual'!J311+parametros_recargas!$H$90*'Plan mensual'!J312+parametros_recargas!$I$90*'Plan mensual'!J313+parametros_recargas!$J$90*'Plan mensual'!J314+parametros_recargas!$K$90*'Plan mensual'!J315+parametros_recargas!$L$90*'Plan mensual'!J316</f>
        <v>421.060132502247</v>
      </c>
      <c r="I308" s="25" t="n">
        <f aca="false">parametros_recargas!$E$90*'Plan mensual'!K309+parametros_recargas!$F$90*'Plan mensual'!K310+parametros_recargas!$G$90*'Plan mensual'!K311+parametros_recargas!$H$90*'Plan mensual'!K312+parametros_recargas!$I$90*'Plan mensual'!K313+parametros_recargas!$J$90*'Plan mensual'!K314+parametros_recargas!$K$90*'Plan mensual'!K315+parametros_recargas!$L$90*'Plan mensual'!K316</f>
        <v>423.394400407375</v>
      </c>
      <c r="J308" s="25" t="n">
        <f aca="false">parametros_recargas!$E$90*'Plan mensual'!L309+parametros_recargas!$F$90*'Plan mensual'!L310+parametros_recargas!$G$90*'Plan mensual'!L311+parametros_recargas!$H$90*'Plan mensual'!L312+parametros_recargas!$I$90*'Plan mensual'!L313+parametros_recargas!$J$90*'Plan mensual'!L314+parametros_recargas!$K$90*'Plan mensual'!L315+parametros_recargas!$L$90*'Plan mensual'!L316</f>
        <v>425.742189702975</v>
      </c>
      <c r="K308" s="25" t="n">
        <f aca="false">parametros_recargas!$E$90*'Plan mensual'!M309+parametros_recargas!$F$90*'Plan mensual'!M310+parametros_recargas!$G$90*'Plan mensual'!M311+parametros_recargas!$H$90*'Plan mensual'!M312+parametros_recargas!$I$90*'Plan mensual'!M313+parametros_recargas!$J$90*'Plan mensual'!M314+parametros_recargas!$K$90*'Plan mensual'!M315+parametros_recargas!$L$90*'Plan mensual'!M316</f>
        <v>428.103578712535</v>
      </c>
      <c r="L308" s="25" t="n">
        <f aca="false">parametros_recargas!$E$90*'Plan mensual'!N309+parametros_recargas!$F$90*'Plan mensual'!N310+parametros_recargas!$G$90*'Plan mensual'!N311+parametros_recargas!$H$90*'Plan mensual'!N312+parametros_recargas!$I$90*'Plan mensual'!N313+parametros_recargas!$J$90*'Plan mensual'!N314+parametros_recargas!$K$90*'Plan mensual'!N315+parametros_recargas!$L$90*'Plan mensual'!N316</f>
        <v>430.478646213233</v>
      </c>
      <c r="M308" s="25" t="n">
        <f aca="false">parametros_recargas!$E$90*'Plan mensual'!O309+parametros_recargas!$F$90*'Plan mensual'!O310+parametros_recargas!$G$90*'Plan mensual'!O311+parametros_recargas!$H$90*'Plan mensual'!O312+parametros_recargas!$I$90*'Plan mensual'!O313+parametros_recargas!$J$90*'Plan mensual'!O314+parametros_recargas!$K$90*'Plan mensual'!O315+parametros_recargas!$L$90*'Plan mensual'!O316</f>
        <v>432.867471438572</v>
      </c>
      <c r="N308" s="7" t="n">
        <f aca="false">SUM(B308:M308)</f>
        <v>5039.73503021848</v>
      </c>
      <c r="O308" s="26" t="n">
        <f aca="false">MAX(B308:M308)</f>
        <v>432.867471438572</v>
      </c>
      <c r="P308" s="15" t="n">
        <f aca="false">O308/parametros_recargas!$B$6</f>
        <v>2.88578314292381</v>
      </c>
    </row>
    <row r="309" customFormat="false" ht="15" hidden="false" customHeight="false" outlineLevel="0" collapsed="false">
      <c r="A309" s="12" t="str">
        <f aca="false">parametros_recargas!$B$91</f>
        <v>Carga de CO₂</v>
      </c>
      <c r="B309" s="25" t="n">
        <f aca="false">parametros_recargas!$E$91*'Plan mensual'!D309+parametros_recargas!$F$91*'Plan mensual'!D310+parametros_recargas!$G$91*'Plan mensual'!D311+parametros_recargas!$H$91*'Plan mensual'!D312+parametros_recargas!$I$91*'Plan mensual'!D313+parametros_recargas!$J$91*'Plan mensual'!D314+parametros_recargas!$K$91*'Plan mensual'!D315+parametros_recargas!$L$91*'Plan mensual'!D316</f>
        <v>222.669419727143</v>
      </c>
      <c r="C309" s="25" t="n">
        <f aca="false">parametros_recargas!$E$91*'Plan mensual'!E309+parametros_recargas!$F$91*'Plan mensual'!E310+parametros_recargas!$G$91*'Plan mensual'!E311+parametros_recargas!$H$91*'Plan mensual'!E312+parametros_recargas!$I$91*'Plan mensual'!E313+parametros_recargas!$J$91*'Plan mensual'!E314+parametros_recargas!$K$91*'Plan mensual'!E315+parametros_recargas!$L$91*'Plan mensual'!E316</f>
        <v>223.902623753218</v>
      </c>
      <c r="D309" s="25" t="n">
        <f aca="false">parametros_recargas!$E$91*'Plan mensual'!F309+parametros_recargas!$F$91*'Plan mensual'!F310+parametros_recargas!$G$91*'Plan mensual'!F311+parametros_recargas!$H$91*'Plan mensual'!F312+parametros_recargas!$I$91*'Plan mensual'!F313+parametros_recargas!$J$91*'Plan mensual'!F314+parametros_recargas!$K$91*'Plan mensual'!F315+parametros_recargas!$L$91*'Plan mensual'!F316</f>
        <v>225.142971189495</v>
      </c>
      <c r="E309" s="25" t="n">
        <f aca="false">parametros_recargas!$E$91*'Plan mensual'!G309+parametros_recargas!$F$91*'Plan mensual'!G310+parametros_recargas!$G$91*'Plan mensual'!G311+parametros_recargas!$H$91*'Plan mensual'!G312+parametros_recargas!$I$91*'Plan mensual'!G313+parametros_recargas!$J$91*'Plan mensual'!G314+parametros_recargas!$K$91*'Plan mensual'!G315+parametros_recargas!$L$91*'Plan mensual'!G316</f>
        <v>226.390503414619</v>
      </c>
      <c r="F309" s="25" t="n">
        <f aca="false">parametros_recargas!$E$91*'Plan mensual'!H309+parametros_recargas!$F$91*'Plan mensual'!H310+parametros_recargas!$G$91*'Plan mensual'!H311+parametros_recargas!$H$91*'Plan mensual'!H312+parametros_recargas!$I$91*'Plan mensual'!H313+parametros_recargas!$J$91*'Plan mensual'!H314+parametros_recargas!$K$91*'Plan mensual'!H315+parametros_recargas!$L$91*'Plan mensual'!H316</f>
        <v>227.645262046919</v>
      </c>
      <c r="G309" s="25" t="n">
        <f aca="false">parametros_recargas!$E$91*'Plan mensual'!I309+parametros_recargas!$F$91*'Plan mensual'!I310+parametros_recargas!$G$91*'Plan mensual'!I311+parametros_recargas!$H$91*'Plan mensual'!I312+parametros_recargas!$I$91*'Plan mensual'!I313+parametros_recargas!$J$91*'Plan mensual'!I314+parametros_recargas!$K$91*'Plan mensual'!I315+parametros_recargas!$L$91*'Plan mensual'!I316</f>
        <v>228.907288945805</v>
      </c>
      <c r="H309" s="25" t="n">
        <f aca="false">parametros_recargas!$E$91*'Plan mensual'!J309+parametros_recargas!$F$91*'Plan mensual'!J310+parametros_recargas!$G$91*'Plan mensual'!J311+parametros_recargas!$H$91*'Plan mensual'!J312+parametros_recargas!$I$91*'Plan mensual'!J313+parametros_recargas!$J$91*'Plan mensual'!J314+parametros_recargas!$K$91*'Plan mensual'!J315+parametros_recargas!$L$91*'Plan mensual'!J316</f>
        <v>230.176626213157</v>
      </c>
      <c r="I309" s="25" t="n">
        <f aca="false">parametros_recargas!$E$91*'Plan mensual'!K309+parametros_recargas!$F$91*'Plan mensual'!K310+parametros_recargas!$G$91*'Plan mensual'!K311+parametros_recargas!$H$91*'Plan mensual'!K312+parametros_recargas!$I$91*'Plan mensual'!K313+parametros_recargas!$J$91*'Plan mensual'!K314+parametros_recargas!$K$91*'Plan mensual'!K315+parametros_recargas!$L$91*'Plan mensual'!K316</f>
        <v>231.453316194735</v>
      </c>
      <c r="J309" s="25" t="n">
        <f aca="false">parametros_recargas!$E$91*'Plan mensual'!L309+parametros_recargas!$F$91*'Plan mensual'!L310+parametros_recargas!$G$91*'Plan mensual'!L311+parametros_recargas!$H$91*'Plan mensual'!L312+parametros_recargas!$I$91*'Plan mensual'!L313+parametros_recargas!$J$91*'Plan mensual'!L314+parametros_recargas!$K$91*'Plan mensual'!L315+parametros_recargas!$L$91*'Plan mensual'!L316</f>
        <v>232.737401481589</v>
      </c>
      <c r="K309" s="25" t="n">
        <f aca="false">parametros_recargas!$E$91*'Plan mensual'!M309+parametros_recargas!$F$91*'Plan mensual'!M310+parametros_recargas!$G$91*'Plan mensual'!M311+parametros_recargas!$H$91*'Plan mensual'!M312+parametros_recargas!$I$91*'Plan mensual'!M313+parametros_recargas!$J$91*'Plan mensual'!M314+parametros_recargas!$K$91*'Plan mensual'!M315+parametros_recargas!$L$91*'Plan mensual'!M316</f>
        <v>234.028924911479</v>
      </c>
      <c r="L309" s="25" t="n">
        <f aca="false">parametros_recargas!$E$91*'Plan mensual'!N309+parametros_recargas!$F$91*'Plan mensual'!N310+parametros_recargas!$G$91*'Plan mensual'!N311+parametros_recargas!$H$91*'Plan mensual'!N312+parametros_recargas!$I$91*'Plan mensual'!N313+parametros_recargas!$J$91*'Plan mensual'!N314+parametros_recargas!$K$91*'Plan mensual'!N315+parametros_recargas!$L$91*'Plan mensual'!N316</f>
        <v>235.327929570307</v>
      </c>
      <c r="M309" s="25" t="n">
        <f aca="false">parametros_recargas!$E$91*'Plan mensual'!O309+parametros_recargas!$F$91*'Plan mensual'!O310+parametros_recargas!$G$91*'Plan mensual'!O311+parametros_recargas!$H$91*'Plan mensual'!O312+parametros_recargas!$I$91*'Plan mensual'!O313+parametros_recargas!$J$91*'Plan mensual'!O314+parametros_recargas!$K$91*'Plan mensual'!O315+parametros_recargas!$L$91*'Plan mensual'!O316</f>
        <v>236.634458793551</v>
      </c>
      <c r="N309" s="7" t="n">
        <f aca="false">SUM(B309:M309)</f>
        <v>2755.01672624202</v>
      </c>
      <c r="O309" s="26" t="n">
        <f aca="false">MAX(B309:M309)</f>
        <v>236.634458793551</v>
      </c>
      <c r="P309" s="15" t="n">
        <f aca="false">O309/parametros_recargas!$B$6</f>
        <v>1.57756305862367</v>
      </c>
    </row>
    <row r="310" customFormat="false" ht="15" hidden="false" customHeight="false" outlineLevel="0" collapsed="false">
      <c r="A310" s="12" t="str">
        <f aca="false">parametros_recargas!$B$92</f>
        <v>Ensamblaje y marbete — recinto</v>
      </c>
      <c r="B310" s="25" t="n">
        <f aca="false">parametros_recargas!$E$92*'Plan mensual'!D309+parametros_recargas!$F$92*'Plan mensual'!D310+parametros_recargas!$G$92*'Plan mensual'!D311+parametros_recargas!$H$92*'Plan mensual'!D312+parametros_recargas!$I$92*'Plan mensual'!D313+parametros_recargas!$J$92*'Plan mensual'!D314+parametros_recargas!$K$92*'Plan mensual'!D315+parametros_recargas!$L$92*'Plan mensual'!D316</f>
        <v>7967.91705844085</v>
      </c>
      <c r="C310" s="25" t="n">
        <f aca="false">parametros_recargas!$E$92*'Plan mensual'!E309+parametros_recargas!$F$92*'Plan mensual'!E310+parametros_recargas!$G$92*'Plan mensual'!E311+parametros_recargas!$H$92*'Plan mensual'!E312+parametros_recargas!$I$92*'Plan mensual'!E313+parametros_recargas!$J$92*'Plan mensual'!E314+parametros_recargas!$K$92*'Plan mensual'!E315+parametros_recargas!$L$92*'Plan mensual'!E316</f>
        <v>8012.84658151922</v>
      </c>
      <c r="D310" s="25" t="n">
        <f aca="false">parametros_recargas!$E$92*'Plan mensual'!F309+parametros_recargas!$F$92*'Plan mensual'!F310+parametros_recargas!$G$92*'Plan mensual'!F311+parametros_recargas!$H$92*'Plan mensual'!F312+parametros_recargas!$I$92*'Plan mensual'!F313+parametros_recargas!$J$92*'Plan mensual'!F314+parametros_recargas!$K$92*'Plan mensual'!F315+parametros_recargas!$L$92*'Plan mensual'!F316</f>
        <v>8058.03636162462</v>
      </c>
      <c r="E310" s="25" t="n">
        <f aca="false">parametros_recargas!$E$92*'Plan mensual'!G309+parametros_recargas!$F$92*'Plan mensual'!G310+parametros_recargas!$G$92*'Plan mensual'!G311+parametros_recargas!$H$92*'Plan mensual'!G312+parametros_recargas!$I$92*'Plan mensual'!G313+parametros_recargas!$J$92*'Plan mensual'!G314+parametros_recargas!$K$92*'Plan mensual'!G315+parametros_recargas!$L$92*'Plan mensual'!G316</f>
        <v>8103.4879063119</v>
      </c>
      <c r="F310" s="25" t="n">
        <f aca="false">parametros_recargas!$E$92*'Plan mensual'!H309+parametros_recargas!$F$92*'Plan mensual'!H310+parametros_recargas!$G$92*'Plan mensual'!H311+parametros_recargas!$H$92*'Plan mensual'!H312+parametros_recargas!$I$92*'Plan mensual'!H313+parametros_recargas!$J$92*'Plan mensual'!H314+parametros_recargas!$K$92*'Plan mensual'!H315+parametros_recargas!$L$92*'Plan mensual'!H316</f>
        <v>8149.2027318685</v>
      </c>
      <c r="G310" s="25" t="n">
        <f aca="false">parametros_recargas!$E$92*'Plan mensual'!I309+parametros_recargas!$F$92*'Plan mensual'!I310+parametros_recargas!$G$92*'Plan mensual'!I311+parametros_recargas!$H$92*'Plan mensual'!I312+parametros_recargas!$I$92*'Plan mensual'!I313+parametros_recargas!$J$92*'Plan mensual'!I314+parametros_recargas!$K$92*'Plan mensual'!I315+parametros_recargas!$L$92*'Plan mensual'!I316</f>
        <v>8195.18236336506</v>
      </c>
      <c r="H310" s="25" t="n">
        <f aca="false">parametros_recargas!$E$92*'Plan mensual'!J309+parametros_recargas!$F$92*'Plan mensual'!J310+parametros_recargas!$G$92*'Plan mensual'!J311+parametros_recargas!$H$92*'Plan mensual'!J312+parametros_recargas!$I$92*'Plan mensual'!J313+parametros_recargas!$J$92*'Plan mensual'!J314+parametros_recargas!$K$92*'Plan mensual'!J315+parametros_recargas!$L$92*'Plan mensual'!J316</f>
        <v>8241.42833470627</v>
      </c>
      <c r="I310" s="25" t="n">
        <f aca="false">parametros_recargas!$E$92*'Plan mensual'!K309+parametros_recargas!$F$92*'Plan mensual'!K310+parametros_recargas!$G$92*'Plan mensual'!K311+parametros_recargas!$H$92*'Plan mensual'!K312+parametros_recargas!$I$92*'Plan mensual'!K313+parametros_recargas!$J$92*'Plan mensual'!K314+parametros_recargas!$K$92*'Plan mensual'!K315+parametros_recargas!$L$92*'Plan mensual'!K316</f>
        <v>8287.94218868209</v>
      </c>
      <c r="J310" s="25" t="n">
        <f aca="false">parametros_recargas!$E$92*'Plan mensual'!L309+parametros_recargas!$F$92*'Plan mensual'!L310+parametros_recargas!$G$92*'Plan mensual'!L311+parametros_recargas!$H$92*'Plan mensual'!L312+parametros_recargas!$I$92*'Plan mensual'!L313+parametros_recargas!$J$92*'Plan mensual'!L314+parametros_recargas!$K$92*'Plan mensual'!L315+parametros_recargas!$L$92*'Plan mensual'!L316</f>
        <v>8334.72547701915</v>
      </c>
      <c r="K310" s="25" t="n">
        <f aca="false">parametros_recargas!$E$92*'Plan mensual'!M309+parametros_recargas!$F$92*'Plan mensual'!M310+parametros_recargas!$G$92*'Plan mensual'!M311+parametros_recargas!$H$92*'Plan mensual'!M312+parametros_recargas!$I$92*'Plan mensual'!M313+parametros_recargas!$J$92*'Plan mensual'!M314+parametros_recargas!$K$92*'Plan mensual'!M315+parametros_recargas!$L$92*'Plan mensual'!M316</f>
        <v>8381.77976043257</v>
      </c>
      <c r="L310" s="25" t="n">
        <f aca="false">parametros_recargas!$E$92*'Plan mensual'!N309+parametros_recargas!$F$92*'Plan mensual'!N310+parametros_recargas!$G$92*'Plan mensual'!N311+parametros_recargas!$H$92*'Plan mensual'!N312+parametros_recargas!$I$92*'Plan mensual'!N313+parametros_recargas!$J$92*'Plan mensual'!N314+parametros_recargas!$K$92*'Plan mensual'!N315+parametros_recargas!$L$92*'Plan mensual'!N316</f>
        <v>8429.106608678</v>
      </c>
      <c r="M310" s="25" t="n">
        <f aca="false">parametros_recargas!$E$92*'Plan mensual'!O309+parametros_recargas!$F$92*'Plan mensual'!O310+parametros_recargas!$G$92*'Plan mensual'!O311+parametros_recargas!$H$92*'Plan mensual'!O312+parametros_recargas!$I$92*'Plan mensual'!O313+parametros_recargas!$J$92*'Plan mensual'!O314+parametros_recargas!$K$92*'Plan mensual'!O315+parametros_recargas!$L$92*'Plan mensual'!O316</f>
        <v>8476.707600604</v>
      </c>
      <c r="N310" s="7" t="n">
        <f aca="false">SUM(B310:M310)</f>
        <v>98638.3629732522</v>
      </c>
      <c r="O310" s="26" t="n">
        <f aca="false">MAX(B310:M310)</f>
        <v>8476.707600604</v>
      </c>
      <c r="P310" s="15" t="n">
        <f aca="false">O310/parametros_recargas!$B$6</f>
        <v>56.5113840040267</v>
      </c>
    </row>
    <row r="311" customFormat="false" ht="15" hidden="false" customHeight="false" outlineLevel="0" collapsed="false">
      <c r="A311" s="12" t="str">
        <f aca="false">parametros_recargas!$B$93</f>
        <v>Presurización — recinto</v>
      </c>
      <c r="B311" s="25" t="n">
        <f aca="false">parametros_recargas!$E$93*'Plan mensual'!D309+parametros_recargas!$F$93*'Plan mensual'!D310+parametros_recargas!$G$93*'Plan mensual'!D311+parametros_recargas!$H$93*'Plan mensual'!D312+parametros_recargas!$I$93*'Plan mensual'!D313+parametros_recargas!$J$93*'Plan mensual'!D314+parametros_recargas!$K$93*'Plan mensual'!D315+parametros_recargas!$L$93*'Plan mensual'!D316</f>
        <v>7967.91705844085</v>
      </c>
      <c r="C311" s="25" t="n">
        <f aca="false">parametros_recargas!$E$93*'Plan mensual'!E309+parametros_recargas!$F$93*'Plan mensual'!E310+parametros_recargas!$G$93*'Plan mensual'!E311+parametros_recargas!$H$93*'Plan mensual'!E312+parametros_recargas!$I$93*'Plan mensual'!E313+parametros_recargas!$J$93*'Plan mensual'!E314+parametros_recargas!$K$93*'Plan mensual'!E315+parametros_recargas!$L$93*'Plan mensual'!E316</f>
        <v>8012.84658151922</v>
      </c>
      <c r="D311" s="25" t="n">
        <f aca="false">parametros_recargas!$E$93*'Plan mensual'!F309+parametros_recargas!$F$93*'Plan mensual'!F310+parametros_recargas!$G$93*'Plan mensual'!F311+parametros_recargas!$H$93*'Plan mensual'!F312+parametros_recargas!$I$93*'Plan mensual'!F313+parametros_recargas!$J$93*'Plan mensual'!F314+parametros_recargas!$K$93*'Plan mensual'!F315+parametros_recargas!$L$93*'Plan mensual'!F316</f>
        <v>8058.03636162462</v>
      </c>
      <c r="E311" s="25" t="n">
        <f aca="false">parametros_recargas!$E$93*'Plan mensual'!G309+parametros_recargas!$F$93*'Plan mensual'!G310+parametros_recargas!$G$93*'Plan mensual'!G311+parametros_recargas!$H$93*'Plan mensual'!G312+parametros_recargas!$I$93*'Plan mensual'!G313+parametros_recargas!$J$93*'Plan mensual'!G314+parametros_recargas!$K$93*'Plan mensual'!G315+parametros_recargas!$L$93*'Plan mensual'!G316</f>
        <v>8103.4879063119</v>
      </c>
      <c r="F311" s="25" t="n">
        <f aca="false">parametros_recargas!$E$93*'Plan mensual'!H309+parametros_recargas!$F$93*'Plan mensual'!H310+parametros_recargas!$G$93*'Plan mensual'!H311+parametros_recargas!$H$93*'Plan mensual'!H312+parametros_recargas!$I$93*'Plan mensual'!H313+parametros_recargas!$J$93*'Plan mensual'!H314+parametros_recargas!$K$93*'Plan mensual'!H315+parametros_recargas!$L$93*'Plan mensual'!H316</f>
        <v>8149.2027318685</v>
      </c>
      <c r="G311" s="25" t="n">
        <f aca="false">parametros_recargas!$E$93*'Plan mensual'!I309+parametros_recargas!$F$93*'Plan mensual'!I310+parametros_recargas!$G$93*'Plan mensual'!I311+parametros_recargas!$H$93*'Plan mensual'!I312+parametros_recargas!$I$93*'Plan mensual'!I313+parametros_recargas!$J$93*'Plan mensual'!I314+parametros_recargas!$K$93*'Plan mensual'!I315+parametros_recargas!$L$93*'Plan mensual'!I316</f>
        <v>8195.18236336506</v>
      </c>
      <c r="H311" s="25" t="n">
        <f aca="false">parametros_recargas!$E$93*'Plan mensual'!J309+parametros_recargas!$F$93*'Plan mensual'!J310+parametros_recargas!$G$93*'Plan mensual'!J311+parametros_recargas!$H$93*'Plan mensual'!J312+parametros_recargas!$I$93*'Plan mensual'!J313+parametros_recargas!$J$93*'Plan mensual'!J314+parametros_recargas!$K$93*'Plan mensual'!J315+parametros_recargas!$L$93*'Plan mensual'!J316</f>
        <v>8241.42833470627</v>
      </c>
      <c r="I311" s="25" t="n">
        <f aca="false">parametros_recargas!$E$93*'Plan mensual'!K309+parametros_recargas!$F$93*'Plan mensual'!K310+parametros_recargas!$G$93*'Plan mensual'!K311+parametros_recargas!$H$93*'Plan mensual'!K312+parametros_recargas!$I$93*'Plan mensual'!K313+parametros_recargas!$J$93*'Plan mensual'!K314+parametros_recargas!$K$93*'Plan mensual'!K315+parametros_recargas!$L$93*'Plan mensual'!K316</f>
        <v>8287.94218868209</v>
      </c>
      <c r="J311" s="25" t="n">
        <f aca="false">parametros_recargas!$E$93*'Plan mensual'!L309+parametros_recargas!$F$93*'Plan mensual'!L310+parametros_recargas!$G$93*'Plan mensual'!L311+parametros_recargas!$H$93*'Plan mensual'!L312+parametros_recargas!$I$93*'Plan mensual'!L313+parametros_recargas!$J$93*'Plan mensual'!L314+parametros_recargas!$K$93*'Plan mensual'!L315+parametros_recargas!$L$93*'Plan mensual'!L316</f>
        <v>8334.72547701915</v>
      </c>
      <c r="K311" s="25" t="n">
        <f aca="false">parametros_recargas!$E$93*'Plan mensual'!M309+parametros_recargas!$F$93*'Plan mensual'!M310+parametros_recargas!$G$93*'Plan mensual'!M311+parametros_recargas!$H$93*'Plan mensual'!M312+parametros_recargas!$I$93*'Plan mensual'!M313+parametros_recargas!$J$93*'Plan mensual'!M314+parametros_recargas!$K$93*'Plan mensual'!M315+parametros_recargas!$L$93*'Plan mensual'!M316</f>
        <v>8381.77976043257</v>
      </c>
      <c r="L311" s="25" t="n">
        <f aca="false">parametros_recargas!$E$93*'Plan mensual'!N309+parametros_recargas!$F$93*'Plan mensual'!N310+parametros_recargas!$G$93*'Plan mensual'!N311+parametros_recargas!$H$93*'Plan mensual'!N312+parametros_recargas!$I$93*'Plan mensual'!N313+parametros_recargas!$J$93*'Plan mensual'!N314+parametros_recargas!$K$93*'Plan mensual'!N315+parametros_recargas!$L$93*'Plan mensual'!N316</f>
        <v>8429.106608678</v>
      </c>
      <c r="M311" s="25" t="n">
        <f aca="false">parametros_recargas!$E$93*'Plan mensual'!O309+parametros_recargas!$F$93*'Plan mensual'!O310+parametros_recargas!$G$93*'Plan mensual'!O311+parametros_recargas!$H$93*'Plan mensual'!O312+parametros_recargas!$I$93*'Plan mensual'!O313+parametros_recargas!$J$93*'Plan mensual'!O314+parametros_recargas!$K$93*'Plan mensual'!O315+parametros_recargas!$L$93*'Plan mensual'!O316</f>
        <v>8476.707600604</v>
      </c>
      <c r="N311" s="7" t="n">
        <f aca="false">SUM(B311:M311)</f>
        <v>98638.3629732522</v>
      </c>
      <c r="O311" s="26" t="n">
        <f aca="false">MAX(B311:M311)</f>
        <v>8476.707600604</v>
      </c>
      <c r="P311" s="15" t="n">
        <f aca="false">O311/parametros_recargas!$B$6</f>
        <v>56.5113840040267</v>
      </c>
    </row>
    <row r="312" customFormat="false" ht="15" hidden="false" customHeight="false" outlineLevel="0" collapsed="false">
      <c r="A312" s="12" t="str">
        <f aca="false">parametros_recargas!$B$94</f>
        <v>Ensamblaje y presurización — zona general</v>
      </c>
      <c r="B312" s="25" t="n">
        <f aca="false">parametros_recargas!$E$94*'Plan mensual'!D309+parametros_recargas!$F$94*'Plan mensual'!D310+parametros_recargas!$G$94*'Plan mensual'!D311+parametros_recargas!$H$94*'Plan mensual'!D312+parametros_recargas!$I$94*'Plan mensual'!D313+parametros_recargas!$J$94*'Plan mensual'!D314+parametros_recargas!$K$94*'Plan mensual'!D315+parametros_recargas!$L$94*'Plan mensual'!D316</f>
        <v>600.643782793167</v>
      </c>
      <c r="C312" s="25" t="n">
        <f aca="false">parametros_recargas!$E$94*'Plan mensual'!E309+parametros_recargas!$F$94*'Plan mensual'!E310+parametros_recargas!$G$94*'Plan mensual'!E311+parametros_recargas!$H$94*'Plan mensual'!E312+parametros_recargas!$I$94*'Plan mensual'!E313+parametros_recargas!$J$94*'Plan mensual'!E314+parametros_recargas!$K$94*'Plan mensual'!E315+parametros_recargas!$L$94*'Plan mensual'!E316</f>
        <v>603.969063269713</v>
      </c>
      <c r="D312" s="25" t="n">
        <f aca="false">parametros_recargas!$E$94*'Plan mensual'!F309+parametros_recargas!$F$94*'Plan mensual'!F310+parametros_recargas!$G$94*'Plan mensual'!F311+parametros_recargas!$H$94*'Plan mensual'!F312+parametros_recargas!$I$94*'Plan mensual'!F313+parametros_recargas!$J$94*'Plan mensual'!F314+parametros_recargas!$K$94*'Plan mensual'!F315+parametros_recargas!$L$94*'Plan mensual'!F316</f>
        <v>607.313605638031</v>
      </c>
      <c r="E312" s="25" t="n">
        <f aca="false">parametros_recargas!$E$94*'Plan mensual'!G309+parametros_recargas!$F$94*'Plan mensual'!G310+parametros_recargas!$G$94*'Plan mensual'!G311+parametros_recargas!$H$94*'Plan mensual'!G312+parametros_recargas!$I$94*'Plan mensual'!G313+parametros_recargas!$J$94*'Plan mensual'!G314+parametros_recargas!$K$94*'Plan mensual'!G315+parametros_recargas!$L$94*'Plan mensual'!G316</f>
        <v>610.677521473813</v>
      </c>
      <c r="F312" s="25" t="n">
        <f aca="false">parametros_recargas!$E$94*'Plan mensual'!H309+parametros_recargas!$F$94*'Plan mensual'!H310+parametros_recargas!$G$94*'Plan mensual'!H311+parametros_recargas!$H$94*'Plan mensual'!H312+parametros_recargas!$I$94*'Plan mensual'!H313+parametros_recargas!$J$94*'Plan mensual'!H314+parametros_recargas!$K$94*'Plan mensual'!H315+parametros_recargas!$L$94*'Plan mensual'!H316</f>
        <v>614.060922999063</v>
      </c>
      <c r="G312" s="25" t="n">
        <f aca="false">parametros_recargas!$E$94*'Plan mensual'!I309+parametros_recargas!$F$94*'Plan mensual'!I310+parametros_recargas!$G$94*'Plan mensual'!I311+parametros_recargas!$H$94*'Plan mensual'!I312+parametros_recargas!$I$94*'Plan mensual'!I313+parametros_recargas!$J$94*'Plan mensual'!I314+parametros_recargas!$K$94*'Plan mensual'!I315+parametros_recargas!$L$94*'Plan mensual'!I316</f>
        <v>617.463923085835</v>
      </c>
      <c r="H312" s="25" t="n">
        <f aca="false">parametros_recargas!$E$94*'Plan mensual'!J309+parametros_recargas!$F$94*'Plan mensual'!J310+parametros_recargas!$G$94*'Plan mensual'!J311+parametros_recargas!$H$94*'Plan mensual'!J312+parametros_recargas!$I$94*'Plan mensual'!J313+parametros_recargas!$J$94*'Plan mensual'!J314+parametros_recargas!$K$94*'Plan mensual'!J315+parametros_recargas!$L$94*'Plan mensual'!J316</f>
        <v>620.886635260002</v>
      </c>
      <c r="I312" s="25" t="n">
        <f aca="false">parametros_recargas!$E$94*'Plan mensual'!K309+parametros_recargas!$F$94*'Plan mensual'!K310+parametros_recargas!$G$94*'Plan mensual'!K311+parametros_recargas!$H$94*'Plan mensual'!K312+parametros_recargas!$I$94*'Plan mensual'!K313+parametros_recargas!$J$94*'Plan mensual'!K314+parametros_recargas!$K$94*'Plan mensual'!K315+parametros_recargas!$L$94*'Plan mensual'!K316</f>
        <v>624.329173705045</v>
      </c>
      <c r="J312" s="25" t="n">
        <f aca="false">parametros_recargas!$E$94*'Plan mensual'!L309+parametros_recargas!$F$94*'Plan mensual'!L310+parametros_recargas!$G$94*'Plan mensual'!L311+parametros_recargas!$H$94*'Plan mensual'!L312+parametros_recargas!$I$94*'Plan mensual'!L313+parametros_recargas!$J$94*'Plan mensual'!L314+parametros_recargas!$K$94*'Plan mensual'!L315+parametros_recargas!$L$94*'Plan mensual'!L316</f>
        <v>627.791653265856</v>
      </c>
      <c r="K312" s="25" t="n">
        <f aca="false">parametros_recargas!$E$94*'Plan mensual'!M309+parametros_recargas!$F$94*'Plan mensual'!M310+parametros_recargas!$G$94*'Plan mensual'!M311+parametros_recargas!$H$94*'Plan mensual'!M312+parametros_recargas!$I$94*'Plan mensual'!M313+parametros_recargas!$J$94*'Plan mensual'!M314+parametros_recargas!$K$94*'Plan mensual'!M315+parametros_recargas!$L$94*'Plan mensual'!M316</f>
        <v>631.274189452577</v>
      </c>
      <c r="L312" s="25" t="n">
        <f aca="false">parametros_recargas!$E$94*'Plan mensual'!N309+parametros_recargas!$F$94*'Plan mensual'!N310+parametros_recargas!$G$94*'Plan mensual'!N311+parametros_recargas!$H$94*'Plan mensual'!N312+parametros_recargas!$I$94*'Plan mensual'!N313+parametros_recargas!$J$94*'Plan mensual'!N314+parametros_recargas!$K$94*'Plan mensual'!N315+parametros_recargas!$L$94*'Plan mensual'!N316</f>
        <v>634.776898444446</v>
      </c>
      <c r="M312" s="25" t="n">
        <f aca="false">parametros_recargas!$E$94*'Plan mensual'!O309+parametros_recargas!$F$94*'Plan mensual'!O310+parametros_recargas!$G$94*'Plan mensual'!O311+parametros_recargas!$H$94*'Plan mensual'!O312+parametros_recargas!$I$94*'Plan mensual'!O313+parametros_recargas!$J$94*'Plan mensual'!O314+parametros_recargas!$K$94*'Plan mensual'!O315+parametros_recargas!$L$94*'Plan mensual'!O316</f>
        <v>638.299897093679</v>
      </c>
      <c r="N312" s="7" t="n">
        <f aca="false">SUM(B312:M312)</f>
        <v>7431.48726648123</v>
      </c>
      <c r="O312" s="26" t="n">
        <f aca="false">MAX(B312:M312)</f>
        <v>638.299897093679</v>
      </c>
      <c r="P312" s="15" t="n">
        <f aca="false">O312/parametros_recargas!$B$6</f>
        <v>4.25533264729119</v>
      </c>
    </row>
    <row r="313" customFormat="false" ht="15" hidden="false" customHeight="false" outlineLevel="0" collapsed="false">
      <c r="A313" s="12" t="str">
        <f aca="false">parametros_recargas!$B$95</f>
        <v>Carga y presurización de halogenado</v>
      </c>
      <c r="B313" s="25" t="n">
        <f aca="false">parametros_recargas!$E$95*'Plan mensual'!D309+parametros_recargas!$F$95*'Plan mensual'!D310+parametros_recargas!$G$95*'Plan mensual'!D311+parametros_recargas!$H$95*'Plan mensual'!D312+parametros_recargas!$I$95*'Plan mensual'!D313+parametros_recargas!$J$95*'Plan mensual'!D314+parametros_recargas!$K$95*'Plan mensual'!D315+parametros_recargas!$L$95*'Plan mensual'!D316</f>
        <v>7.75178835429091</v>
      </c>
      <c r="C313" s="25" t="n">
        <f aca="false">parametros_recargas!$E$95*'Plan mensual'!E309+parametros_recargas!$F$95*'Plan mensual'!E310+parametros_recargas!$G$95*'Plan mensual'!E311+parametros_recargas!$H$95*'Plan mensual'!E312+parametros_recargas!$I$95*'Plan mensual'!E313+parametros_recargas!$J$95*'Plan mensual'!E314+parametros_recargas!$K$95*'Plan mensual'!E315+parametros_recargas!$L$95*'Plan mensual'!E316</f>
        <v>7.79463953310645</v>
      </c>
      <c r="D313" s="25" t="n">
        <f aca="false">parametros_recargas!$E$95*'Plan mensual'!F309+parametros_recargas!$F$95*'Plan mensual'!F310+parametros_recargas!$G$95*'Plan mensual'!F311+parametros_recargas!$H$95*'Plan mensual'!F312+parametros_recargas!$I$95*'Plan mensual'!F313+parametros_recargas!$J$95*'Plan mensual'!F314+parametros_recargas!$K$95*'Plan mensual'!F315+parametros_recargas!$L$95*'Plan mensual'!F316</f>
        <v>7.837738930012</v>
      </c>
      <c r="E313" s="25" t="n">
        <f aca="false">parametros_recargas!$E$95*'Plan mensual'!G309+parametros_recargas!$F$95*'Plan mensual'!G310+parametros_recargas!$G$95*'Plan mensual'!G311+parametros_recargas!$H$95*'Plan mensual'!G312+parametros_recargas!$I$95*'Plan mensual'!G313+parametros_recargas!$J$95*'Plan mensual'!G314+parametros_recargas!$K$95*'Plan mensual'!G315+parametros_recargas!$L$95*'Plan mensual'!G316</f>
        <v>7.88108798282611</v>
      </c>
      <c r="F313" s="25" t="n">
        <f aca="false">parametros_recargas!$E$95*'Plan mensual'!H309+parametros_recargas!$F$95*'Plan mensual'!H310+parametros_recargas!$G$95*'Plan mensual'!H311+parametros_recargas!$H$95*'Plan mensual'!H312+parametros_recargas!$I$95*'Plan mensual'!H313+parametros_recargas!$J$95*'Plan mensual'!H314+parametros_recargas!$K$95*'Plan mensual'!H315+parametros_recargas!$L$95*'Plan mensual'!H316</f>
        <v>7.924688137696</v>
      </c>
      <c r="G313" s="25" t="n">
        <f aca="false">parametros_recargas!$E$95*'Plan mensual'!I309+parametros_recargas!$F$95*'Plan mensual'!I310+parametros_recargas!$G$95*'Plan mensual'!I311+parametros_recargas!$H$95*'Plan mensual'!I312+parametros_recargas!$I$95*'Plan mensual'!I313+parametros_recargas!$J$95*'Plan mensual'!I314+parametros_recargas!$K$95*'Plan mensual'!I315+parametros_recargas!$L$95*'Plan mensual'!I316</f>
        <v>7.96854084914577</v>
      </c>
      <c r="H313" s="25" t="n">
        <f aca="false">parametros_recargas!$E$95*'Plan mensual'!J309+parametros_recargas!$F$95*'Plan mensual'!J310+parametros_recargas!$G$95*'Plan mensual'!J311+parametros_recargas!$H$95*'Plan mensual'!J312+parametros_recargas!$I$95*'Plan mensual'!J313+parametros_recargas!$J$95*'Plan mensual'!J314+parametros_recargas!$K$95*'Plan mensual'!J315+parametros_recargas!$L$95*'Plan mensual'!J316</f>
        <v>8.01264758012496</v>
      </c>
      <c r="I313" s="25" t="n">
        <f aca="false">parametros_recargas!$E$95*'Plan mensual'!K309+parametros_recargas!$F$95*'Plan mensual'!K310+parametros_recargas!$G$95*'Plan mensual'!K311+parametros_recargas!$H$95*'Plan mensual'!K312+parametros_recargas!$I$95*'Plan mensual'!K313+parametros_recargas!$J$95*'Plan mensual'!K314+parametros_recargas!$K$95*'Plan mensual'!K315+parametros_recargas!$L$95*'Plan mensual'!K316</f>
        <v>8.05700980205732</v>
      </c>
      <c r="J313" s="25" t="n">
        <f aca="false">parametros_recargas!$E$95*'Plan mensual'!L309+parametros_recargas!$F$95*'Plan mensual'!L310+parametros_recargas!$G$95*'Plan mensual'!L311+parametros_recargas!$H$95*'Plan mensual'!L312+parametros_recargas!$I$95*'Plan mensual'!L313+parametros_recargas!$J$95*'Plan mensual'!L314+parametros_recargas!$K$95*'Plan mensual'!L315+parametros_recargas!$L$95*'Plan mensual'!L316</f>
        <v>8.10162899488991</v>
      </c>
      <c r="K313" s="25" t="n">
        <f aca="false">parametros_recargas!$E$95*'Plan mensual'!M309+parametros_recargas!$F$95*'Plan mensual'!M310+parametros_recargas!$G$95*'Plan mensual'!M311+parametros_recargas!$H$95*'Plan mensual'!M312+parametros_recargas!$I$95*'Plan mensual'!M313+parametros_recargas!$J$95*'Plan mensual'!M314+parametros_recargas!$K$95*'Plan mensual'!M315+parametros_recargas!$L$95*'Plan mensual'!M316</f>
        <v>8.1465066471425</v>
      </c>
      <c r="L313" s="25" t="n">
        <f aca="false">parametros_recargas!$E$95*'Plan mensual'!N309+parametros_recargas!$F$95*'Plan mensual'!N310+parametros_recargas!$G$95*'Plan mensual'!N311+parametros_recargas!$H$95*'Plan mensual'!N312+parametros_recargas!$I$95*'Plan mensual'!N313+parametros_recargas!$J$95*'Plan mensual'!N314+parametros_recargas!$K$95*'Plan mensual'!N315+parametros_recargas!$L$95*'Plan mensual'!N316</f>
        <v>8.19164425595716</v>
      </c>
      <c r="M313" s="25" t="n">
        <f aca="false">parametros_recargas!$E$95*'Plan mensual'!O309+parametros_recargas!$F$95*'Plan mensual'!O310+parametros_recargas!$G$95*'Plan mensual'!O311+parametros_recargas!$H$95*'Plan mensual'!O312+parametros_recargas!$I$95*'Plan mensual'!O313+parametros_recargas!$J$95*'Plan mensual'!O314+parametros_recargas!$K$95*'Plan mensual'!O315+parametros_recargas!$L$95*'Plan mensual'!O316</f>
        <v>8.23704332714829</v>
      </c>
      <c r="N313" s="7" t="n">
        <f aca="false">SUM(B313:M313)</f>
        <v>95.9049643943974</v>
      </c>
      <c r="O313" s="26" t="n">
        <f aca="false">MAX(B313:M313)</f>
        <v>8.23704332714829</v>
      </c>
      <c r="P313" s="15" t="n">
        <f aca="false">O313/parametros_recargas!$B$6</f>
        <v>0.0549136221809886</v>
      </c>
    </row>
    <row r="314" customFormat="false" ht="15" hidden="false" customHeight="false" outlineLevel="0" collapsed="false">
      <c r="A314" s="12" t="str">
        <f aca="false">parametros_recargas!$B$96</f>
        <v>Control de peso (CO₂ y halogenados sin recarga)</v>
      </c>
      <c r="B314" s="25" t="n">
        <f aca="false">parametros_recargas!$E$96*'Plan mensual'!D309+parametros_recargas!$F$96*'Plan mensual'!D310+parametros_recargas!$G$96*'Plan mensual'!D311+parametros_recargas!$H$96*'Plan mensual'!D312+parametros_recargas!$I$96*'Plan mensual'!D313+parametros_recargas!$J$96*'Plan mensual'!D314+parametros_recargas!$K$96*'Plan mensual'!D315+parametros_recargas!$L$96*'Plan mensual'!D316</f>
        <v>542.817344426206</v>
      </c>
      <c r="C314" s="25" t="n">
        <f aca="false">parametros_recargas!$E$96*'Plan mensual'!E309+parametros_recargas!$F$96*'Plan mensual'!E310+parametros_recargas!$G$96*'Plan mensual'!E311+parametros_recargas!$H$96*'Plan mensual'!E312+parametros_recargas!$I$96*'Plan mensual'!E313+parametros_recargas!$J$96*'Plan mensual'!E314+parametros_recargas!$K$96*'Plan mensual'!E315+parametros_recargas!$L$96*'Plan mensual'!E316</f>
        <v>545.823374023494</v>
      </c>
      <c r="D314" s="25" t="n">
        <f aca="false">parametros_recargas!$E$96*'Plan mensual'!F309+parametros_recargas!$F$96*'Plan mensual'!F310+parametros_recargas!$G$96*'Plan mensual'!F311+parametros_recargas!$H$96*'Plan mensual'!F312+parametros_recargas!$I$96*'Plan mensual'!F313+parametros_recargas!$J$96*'Plan mensual'!F314+parametros_recargas!$K$96*'Plan mensual'!F315+parametros_recargas!$L$96*'Plan mensual'!F316</f>
        <v>548.846816232192</v>
      </c>
      <c r="E314" s="25" t="n">
        <f aca="false">parametros_recargas!$E$96*'Plan mensual'!G309+parametros_recargas!$F$96*'Plan mensual'!G310+parametros_recargas!$G$96*'Plan mensual'!G311+parametros_recargas!$H$96*'Plan mensual'!G312+parametros_recargas!$I$96*'Plan mensual'!G313+parametros_recargas!$J$96*'Plan mensual'!G314+parametros_recargas!$K$96*'Plan mensual'!G315+parametros_recargas!$L$96*'Plan mensual'!G316</f>
        <v>551.887771915922</v>
      </c>
      <c r="F314" s="25" t="n">
        <f aca="false">parametros_recargas!$E$96*'Plan mensual'!H309+parametros_recargas!$F$96*'Plan mensual'!H310+parametros_recargas!$G$96*'Plan mensual'!H311+parametros_recargas!$H$96*'Plan mensual'!H312+parametros_recargas!$I$96*'Plan mensual'!H313+parametros_recargas!$J$96*'Plan mensual'!H314+parametros_recargas!$K$96*'Plan mensual'!H315+parametros_recargas!$L$96*'Plan mensual'!H316</f>
        <v>554.946342522565</v>
      </c>
      <c r="G314" s="25" t="n">
        <f aca="false">parametros_recargas!$E$96*'Plan mensual'!I309+parametros_recargas!$F$96*'Plan mensual'!I310+parametros_recargas!$G$96*'Plan mensual'!I311+parametros_recargas!$H$96*'Plan mensual'!I312+parametros_recargas!$I$96*'Plan mensual'!I313+parametros_recargas!$J$96*'Plan mensual'!I314+parametros_recargas!$K$96*'Plan mensual'!I315+parametros_recargas!$L$96*'Plan mensual'!I316</f>
        <v>558.022630087648</v>
      </c>
      <c r="H314" s="25" t="n">
        <f aca="false">parametros_recargas!$E$96*'Plan mensual'!J309+parametros_recargas!$F$96*'Plan mensual'!J310+parametros_recargas!$G$96*'Plan mensual'!J311+parametros_recargas!$H$96*'Plan mensual'!J312+parametros_recargas!$I$96*'Plan mensual'!J313+parametros_recargas!$J$96*'Plan mensual'!J314+parametros_recargas!$K$96*'Plan mensual'!J315+parametros_recargas!$L$96*'Plan mensual'!J316</f>
        <v>561.116737237741</v>
      </c>
      <c r="I314" s="25" t="n">
        <f aca="false">parametros_recargas!$E$96*'Plan mensual'!K309+parametros_recargas!$F$96*'Plan mensual'!K310+parametros_recargas!$G$96*'Plan mensual'!K311+parametros_recargas!$H$96*'Plan mensual'!K312+parametros_recargas!$I$96*'Plan mensual'!K313+parametros_recargas!$J$96*'Plan mensual'!K314+parametros_recargas!$K$96*'Plan mensual'!K315+parametros_recargas!$L$96*'Plan mensual'!K316</f>
        <v>564.228767193887</v>
      </c>
      <c r="J314" s="25" t="n">
        <f aca="false">parametros_recargas!$E$96*'Plan mensual'!L309+parametros_recargas!$F$96*'Plan mensual'!L310+parametros_recargas!$G$96*'Plan mensual'!L311+parametros_recargas!$H$96*'Plan mensual'!L312+parametros_recargas!$I$96*'Plan mensual'!L313+parametros_recargas!$J$96*'Plan mensual'!L314+parametros_recargas!$K$96*'Plan mensual'!L315+parametros_recargas!$L$96*'Plan mensual'!L316</f>
        <v>567.358823775044</v>
      </c>
      <c r="K314" s="25" t="n">
        <f aca="false">parametros_recargas!$E$96*'Plan mensual'!M309+parametros_recargas!$F$96*'Plan mensual'!M310+parametros_recargas!$G$96*'Plan mensual'!M311+parametros_recargas!$H$96*'Plan mensual'!M312+parametros_recargas!$I$96*'Plan mensual'!M313+parametros_recargas!$J$96*'Plan mensual'!M314+parametros_recargas!$K$96*'Plan mensual'!M315+parametros_recargas!$L$96*'Plan mensual'!M316</f>
        <v>570.507011401545</v>
      </c>
      <c r="L314" s="25" t="n">
        <f aca="false">parametros_recargas!$E$96*'Plan mensual'!N309+parametros_recargas!$F$96*'Plan mensual'!N310+parametros_recargas!$G$96*'Plan mensual'!N311+parametros_recargas!$H$96*'Plan mensual'!N312+parametros_recargas!$I$96*'Plan mensual'!N313+parametros_recargas!$J$96*'Plan mensual'!N314+parametros_recargas!$K$96*'Plan mensual'!N315+parametros_recargas!$L$96*'Plan mensual'!N316</f>
        <v>573.673435098587</v>
      </c>
      <c r="M314" s="25" t="n">
        <f aca="false">parametros_recargas!$E$96*'Plan mensual'!O309+parametros_recargas!$F$96*'Plan mensual'!O310+parametros_recargas!$G$96*'Plan mensual'!O311+parametros_recargas!$H$96*'Plan mensual'!O312+parametros_recargas!$I$96*'Plan mensual'!O313+parametros_recargas!$J$96*'Plan mensual'!O314+parametros_recargas!$K$96*'Plan mensual'!O315+parametros_recargas!$L$96*'Plan mensual'!O316</f>
        <v>576.858200499731</v>
      </c>
      <c r="N314" s="7" t="n">
        <f aca="false">SUM(B314:M314)</f>
        <v>6716.08725441456</v>
      </c>
      <c r="O314" s="26" t="n">
        <f aca="false">MAX(B314:M314)</f>
        <v>576.858200499731</v>
      </c>
      <c r="P314" s="15" t="n">
        <f aca="false">O314/parametros_recargas!$B$6</f>
        <v>3.84572133666487</v>
      </c>
    </row>
    <row r="315" customFormat="false" ht="15" hidden="false" customHeight="false" outlineLevel="0" collapsed="false">
      <c r="A315" s="12" t="str">
        <f aca="false">parametros_recargas!$B$97</f>
        <v>Ensayo de pérdidas</v>
      </c>
      <c r="B315" s="25" t="n">
        <f aca="false">parametros_recargas!$E$97*'Plan mensual'!D309+parametros_recargas!$F$97*'Plan mensual'!D310+parametros_recargas!$G$97*'Plan mensual'!D311+parametros_recargas!$H$97*'Plan mensual'!D312+parametros_recargas!$I$97*'Plan mensual'!D313+parametros_recargas!$J$97*'Plan mensual'!D314+parametros_recargas!$K$97*'Plan mensual'!D315+parametros_recargas!$L$97*'Plan mensual'!D316</f>
        <v>9148.48975561474</v>
      </c>
      <c r="C315" s="25" t="n">
        <f aca="false">parametros_recargas!$E$97*'Plan mensual'!E309+parametros_recargas!$F$97*'Plan mensual'!E310+parametros_recargas!$G$97*'Plan mensual'!E311+parametros_recargas!$H$97*'Plan mensual'!E312+parametros_recargas!$I$97*'Plan mensual'!E313+parametros_recargas!$J$97*'Plan mensual'!E314+parametros_recargas!$K$97*'Plan mensual'!E315+parametros_recargas!$L$97*'Plan mensual'!E316</f>
        <v>9199.95612277129</v>
      </c>
      <c r="D315" s="25" t="n">
        <f aca="false">parametros_recargas!$E$97*'Plan mensual'!F309+parametros_recargas!$F$97*'Plan mensual'!F310+parametros_recargas!$G$97*'Plan mensual'!F311+parametros_recargas!$H$97*'Plan mensual'!F312+parametros_recargas!$I$97*'Plan mensual'!F313+parametros_recargas!$J$97*'Plan mensual'!F314+parametros_recargas!$K$97*'Plan mensual'!F315+parametros_recargas!$L$97*'Plan mensual'!F316</f>
        <v>9251.72061202642</v>
      </c>
      <c r="E315" s="25" t="n">
        <f aca="false">parametros_recargas!$E$97*'Plan mensual'!G309+parametros_recargas!$F$97*'Plan mensual'!G310+parametros_recargas!$G$97*'Plan mensual'!G311+parametros_recargas!$H$97*'Plan mensual'!G312+parametros_recargas!$I$97*'Plan mensual'!G313+parametros_recargas!$J$97*'Plan mensual'!G314+parametros_recargas!$K$97*'Plan mensual'!G315+parametros_recargas!$L$97*'Plan mensual'!G316</f>
        <v>9303.78495027074</v>
      </c>
      <c r="F315" s="25" t="n">
        <f aca="false">parametros_recargas!$E$97*'Plan mensual'!H309+parametros_recargas!$F$97*'Plan mensual'!H310+parametros_recargas!$G$97*'Plan mensual'!H311+parametros_recargas!$H$97*'Plan mensual'!H312+parametros_recargas!$I$97*'Plan mensual'!H313+parametros_recargas!$J$97*'Plan mensual'!H314+parametros_recargas!$K$97*'Plan mensual'!H315+parametros_recargas!$L$97*'Plan mensual'!H316</f>
        <v>9356.15087439794</v>
      </c>
      <c r="G315" s="25" t="n">
        <f aca="false">parametros_recargas!$E$97*'Plan mensual'!I309+parametros_recargas!$F$97*'Plan mensual'!I310+parametros_recargas!$G$97*'Plan mensual'!I311+parametros_recargas!$H$97*'Plan mensual'!I312+parametros_recargas!$I$97*'Plan mensual'!I313+parametros_recargas!$J$97*'Plan mensual'!I314+parametros_recargas!$K$97*'Plan mensual'!I315+parametros_recargas!$L$97*'Plan mensual'!I316</f>
        <v>9408.82013136284</v>
      </c>
      <c r="H315" s="25" t="n">
        <f aca="false">parametros_recargas!$E$97*'Plan mensual'!J309+parametros_recargas!$F$97*'Plan mensual'!J310+parametros_recargas!$G$97*'Plan mensual'!J311+parametros_recargas!$H$97*'Plan mensual'!J312+parametros_recargas!$I$97*'Plan mensual'!J313+parametros_recargas!$J$97*'Plan mensual'!J314+parametros_recargas!$K$97*'Plan mensual'!J315+parametros_recargas!$L$97*'Plan mensual'!J316</f>
        <v>9461.79447823954</v>
      </c>
      <c r="I315" s="25" t="n">
        <f aca="false">parametros_recargas!$E$97*'Plan mensual'!K309+parametros_recargas!$F$97*'Plan mensual'!K310+parametros_recargas!$G$97*'Plan mensual'!K311+parametros_recargas!$H$97*'Plan mensual'!K312+parametros_recargas!$I$97*'Plan mensual'!K313+parametros_recargas!$J$97*'Plan mensual'!K314+parametros_recargas!$K$97*'Plan mensual'!K315+parametros_recargas!$L$97*'Plan mensual'!K316</f>
        <v>9515.07568228014</v>
      </c>
      <c r="J315" s="25" t="n">
        <f aca="false">parametros_recargas!$E$97*'Plan mensual'!L309+parametros_recargas!$F$97*'Plan mensual'!L310+parametros_recargas!$G$97*'Plan mensual'!L311+parametros_recargas!$H$97*'Plan mensual'!L312+parametros_recargas!$I$97*'Plan mensual'!L313+parametros_recargas!$J$97*'Plan mensual'!L314+parametros_recargas!$K$97*'Plan mensual'!L315+parametros_recargas!$L$97*'Plan mensual'!L316</f>
        <v>9568.66552097364</v>
      </c>
      <c r="K315" s="25" t="n">
        <f aca="false">parametros_recargas!$E$97*'Plan mensual'!M309+parametros_recargas!$F$97*'Plan mensual'!M310+parametros_recargas!$G$97*'Plan mensual'!M311+parametros_recargas!$H$97*'Plan mensual'!M312+parametros_recargas!$I$97*'Plan mensual'!M313+parametros_recargas!$J$97*'Plan mensual'!M314+parametros_recargas!$K$97*'Plan mensual'!M315+parametros_recargas!$L$97*'Plan mensual'!M316</f>
        <v>9622.56578210527</v>
      </c>
      <c r="L315" s="25" t="n">
        <f aca="false">parametros_recargas!$E$97*'Plan mensual'!N309+parametros_recargas!$F$97*'Plan mensual'!N310+parametros_recargas!$G$97*'Plan mensual'!N311+parametros_recargas!$H$97*'Plan mensual'!N312+parametros_recargas!$I$97*'Plan mensual'!N313+parametros_recargas!$J$97*'Plan mensual'!N314+parametros_recargas!$K$97*'Plan mensual'!N315+parametros_recargas!$L$97*'Plan mensual'!N316</f>
        <v>9676.77826381608</v>
      </c>
      <c r="M315" s="25" t="n">
        <f aca="false">parametros_recargas!$E$97*'Plan mensual'!O309+parametros_recargas!$F$97*'Plan mensual'!O310+parametros_recargas!$G$97*'Plan mensual'!O311+parametros_recargas!$H$97*'Plan mensual'!O312+parametros_recargas!$I$97*'Plan mensual'!O313+parametros_recargas!$J$97*'Plan mensual'!O314+parametros_recargas!$K$97*'Plan mensual'!O315+parametros_recargas!$L$97*'Plan mensual'!O316</f>
        <v>9731.304774663</v>
      </c>
      <c r="N315" s="7" t="n">
        <f aca="false">SUM(B315:M315)</f>
        <v>113245.106948522</v>
      </c>
      <c r="O315" s="26" t="n">
        <f aca="false">MAX(B315:M315)</f>
        <v>9731.304774663</v>
      </c>
      <c r="P315" s="15" t="n">
        <f aca="false">O315/parametros_recargas!$B$6</f>
        <v>64.87536516442</v>
      </c>
    </row>
    <row r="316" customFormat="false" ht="15" hidden="false" customHeight="false" outlineLevel="0" collapsed="false">
      <c r="A316" s="12" t="str">
        <f aca="false">parametros_recargas!$B$98</f>
        <v>Precinto, etiqueta y despacho</v>
      </c>
      <c r="B316" s="25" t="n">
        <f aca="false">parametros_recargas!$E$98*'Plan mensual'!D309+parametros_recargas!$F$98*'Plan mensual'!D310+parametros_recargas!$G$98*'Plan mensual'!D311+parametros_recargas!$H$98*'Plan mensual'!D312+parametros_recargas!$I$98*'Plan mensual'!D313+parametros_recargas!$J$98*'Plan mensual'!D314+parametros_recargas!$K$98*'Plan mensual'!D315+parametros_recargas!$L$98*'Plan mensual'!D316</f>
        <v>9148.48975561474</v>
      </c>
      <c r="C316" s="25" t="n">
        <f aca="false">parametros_recargas!$E$98*'Plan mensual'!E309+parametros_recargas!$F$98*'Plan mensual'!E310+parametros_recargas!$G$98*'Plan mensual'!E311+parametros_recargas!$H$98*'Plan mensual'!E312+parametros_recargas!$I$98*'Plan mensual'!E313+parametros_recargas!$J$98*'Plan mensual'!E314+parametros_recargas!$K$98*'Plan mensual'!E315+parametros_recargas!$L$98*'Plan mensual'!E316</f>
        <v>9199.95612277129</v>
      </c>
      <c r="D316" s="25" t="n">
        <f aca="false">parametros_recargas!$E$98*'Plan mensual'!F309+parametros_recargas!$F$98*'Plan mensual'!F310+parametros_recargas!$G$98*'Plan mensual'!F311+parametros_recargas!$H$98*'Plan mensual'!F312+parametros_recargas!$I$98*'Plan mensual'!F313+parametros_recargas!$J$98*'Plan mensual'!F314+parametros_recargas!$K$98*'Plan mensual'!F315+parametros_recargas!$L$98*'Plan mensual'!F316</f>
        <v>9251.72061202642</v>
      </c>
      <c r="E316" s="25" t="n">
        <f aca="false">parametros_recargas!$E$98*'Plan mensual'!G309+parametros_recargas!$F$98*'Plan mensual'!G310+parametros_recargas!$G$98*'Plan mensual'!G311+parametros_recargas!$H$98*'Plan mensual'!G312+parametros_recargas!$I$98*'Plan mensual'!G313+parametros_recargas!$J$98*'Plan mensual'!G314+parametros_recargas!$K$98*'Plan mensual'!G315+parametros_recargas!$L$98*'Plan mensual'!G316</f>
        <v>9303.78495027074</v>
      </c>
      <c r="F316" s="25" t="n">
        <f aca="false">parametros_recargas!$E$98*'Plan mensual'!H309+parametros_recargas!$F$98*'Plan mensual'!H310+parametros_recargas!$G$98*'Plan mensual'!H311+parametros_recargas!$H$98*'Plan mensual'!H312+parametros_recargas!$I$98*'Plan mensual'!H313+parametros_recargas!$J$98*'Plan mensual'!H314+parametros_recargas!$K$98*'Plan mensual'!H315+parametros_recargas!$L$98*'Plan mensual'!H316</f>
        <v>9356.15087439794</v>
      </c>
      <c r="G316" s="25" t="n">
        <f aca="false">parametros_recargas!$E$98*'Plan mensual'!I309+parametros_recargas!$F$98*'Plan mensual'!I310+parametros_recargas!$G$98*'Plan mensual'!I311+parametros_recargas!$H$98*'Plan mensual'!I312+parametros_recargas!$I$98*'Plan mensual'!I313+parametros_recargas!$J$98*'Plan mensual'!I314+parametros_recargas!$K$98*'Plan mensual'!I315+parametros_recargas!$L$98*'Plan mensual'!I316</f>
        <v>9408.82013136284</v>
      </c>
      <c r="H316" s="25" t="n">
        <f aca="false">parametros_recargas!$E$98*'Plan mensual'!J309+parametros_recargas!$F$98*'Plan mensual'!J310+parametros_recargas!$G$98*'Plan mensual'!J311+parametros_recargas!$H$98*'Plan mensual'!J312+parametros_recargas!$I$98*'Plan mensual'!J313+parametros_recargas!$J$98*'Plan mensual'!J314+parametros_recargas!$K$98*'Plan mensual'!J315+parametros_recargas!$L$98*'Plan mensual'!J316</f>
        <v>9461.79447823954</v>
      </c>
      <c r="I316" s="25" t="n">
        <f aca="false">parametros_recargas!$E$98*'Plan mensual'!K309+parametros_recargas!$F$98*'Plan mensual'!K310+parametros_recargas!$G$98*'Plan mensual'!K311+parametros_recargas!$H$98*'Plan mensual'!K312+parametros_recargas!$I$98*'Plan mensual'!K313+parametros_recargas!$J$98*'Plan mensual'!K314+parametros_recargas!$K$98*'Plan mensual'!K315+parametros_recargas!$L$98*'Plan mensual'!K316</f>
        <v>9515.07568228014</v>
      </c>
      <c r="J316" s="25" t="n">
        <f aca="false">parametros_recargas!$E$98*'Plan mensual'!L309+parametros_recargas!$F$98*'Plan mensual'!L310+parametros_recargas!$G$98*'Plan mensual'!L311+parametros_recargas!$H$98*'Plan mensual'!L312+parametros_recargas!$I$98*'Plan mensual'!L313+parametros_recargas!$J$98*'Plan mensual'!L314+parametros_recargas!$K$98*'Plan mensual'!L315+parametros_recargas!$L$98*'Plan mensual'!L316</f>
        <v>9568.66552097364</v>
      </c>
      <c r="K316" s="25" t="n">
        <f aca="false">parametros_recargas!$E$98*'Plan mensual'!M309+parametros_recargas!$F$98*'Plan mensual'!M310+parametros_recargas!$G$98*'Plan mensual'!M311+parametros_recargas!$H$98*'Plan mensual'!M312+parametros_recargas!$I$98*'Plan mensual'!M313+parametros_recargas!$J$98*'Plan mensual'!M314+parametros_recargas!$K$98*'Plan mensual'!M315+parametros_recargas!$L$98*'Plan mensual'!M316</f>
        <v>9622.56578210527</v>
      </c>
      <c r="L316" s="25" t="n">
        <f aca="false">parametros_recargas!$E$98*'Plan mensual'!N309+parametros_recargas!$F$98*'Plan mensual'!N310+parametros_recargas!$G$98*'Plan mensual'!N311+parametros_recargas!$H$98*'Plan mensual'!N312+parametros_recargas!$I$98*'Plan mensual'!N313+parametros_recargas!$J$98*'Plan mensual'!N314+parametros_recargas!$K$98*'Plan mensual'!N315+parametros_recargas!$L$98*'Plan mensual'!N316</f>
        <v>9676.77826381608</v>
      </c>
      <c r="M316" s="25" t="n">
        <f aca="false">parametros_recargas!$E$98*'Plan mensual'!O309+parametros_recargas!$F$98*'Plan mensual'!O310+parametros_recargas!$G$98*'Plan mensual'!O311+parametros_recargas!$H$98*'Plan mensual'!O312+parametros_recargas!$I$98*'Plan mensual'!O313+parametros_recargas!$J$98*'Plan mensual'!O314+parametros_recargas!$K$98*'Plan mensual'!O315+parametros_recargas!$L$98*'Plan mensual'!O316</f>
        <v>9731.304774663</v>
      </c>
      <c r="N316" s="7" t="n">
        <f aca="false">SUM(B316:M316)</f>
        <v>113245.106948522</v>
      </c>
      <c r="O316" s="26" t="n">
        <f aca="false">MAX(B316:M316)</f>
        <v>9731.304774663</v>
      </c>
      <c r="P316" s="15" t="n">
        <f aca="false">O316/parametros_recargas!$B$6</f>
        <v>64.87536516442</v>
      </c>
    </row>
    <row r="317" customFormat="false" ht="15" hidden="false" customHeight="false" outlineLevel="0" collapsed="false">
      <c r="A317" s="12" t="str">
        <f aca="false">parametros_recargas!$B$99</f>
        <v>Inutilización y disposición final</v>
      </c>
      <c r="B317" s="25" t="n">
        <f aca="false">parametros_recargas!$E$99*'Plan mensual'!D309+parametros_recargas!$F$99*'Plan mensual'!D310+parametros_recargas!$G$99*'Plan mensual'!D311+parametros_recargas!$H$99*'Plan mensual'!D312+parametros_recargas!$I$99*'Plan mensual'!D313+parametros_recargas!$J$99*'Plan mensual'!D314+parametros_recargas!$K$99*'Plan mensual'!D315+parametros_recargas!$L$99*'Plan mensual'!D316</f>
        <v>719.508657131005</v>
      </c>
      <c r="C317" s="25" t="n">
        <f aca="false">parametros_recargas!$E$99*'Plan mensual'!E309+parametros_recargas!$F$99*'Plan mensual'!E310+parametros_recargas!$G$99*'Plan mensual'!E311+parametros_recargas!$H$99*'Plan mensual'!E312+parametros_recargas!$I$99*'Plan mensual'!E313+parametros_recargas!$J$99*'Plan mensual'!E314+parametros_recargas!$K$99*'Plan mensual'!E315+parametros_recargas!$L$99*'Plan mensual'!E316</f>
        <v>723.557455168747</v>
      </c>
      <c r="D317" s="25" t="n">
        <f aca="false">parametros_recargas!$E$99*'Plan mensual'!F309+parametros_recargas!$F$99*'Plan mensual'!F310+parametros_recargas!$G$99*'Plan mensual'!F311+parametros_recargas!$H$99*'Plan mensual'!F312+parametros_recargas!$I$99*'Plan mensual'!F313+parametros_recargas!$J$99*'Plan mensual'!F314+parametros_recargas!$K$99*'Plan mensual'!F315+parametros_recargas!$L$99*'Plan mensual'!F316</f>
        <v>727.629706118253</v>
      </c>
      <c r="E317" s="25" t="n">
        <f aca="false">parametros_recargas!$E$99*'Plan mensual'!G309+parametros_recargas!$F$99*'Plan mensual'!G310+parametros_recargas!$G$99*'Plan mensual'!G311+parametros_recargas!$H$99*'Plan mensual'!G312+parametros_recargas!$I$99*'Plan mensual'!G313+parametros_recargas!$J$99*'Plan mensual'!G314+parametros_recargas!$K$99*'Plan mensual'!G315+parametros_recargas!$L$99*'Plan mensual'!G316</f>
        <v>731.725545831958</v>
      </c>
      <c r="F317" s="25" t="n">
        <f aca="false">parametros_recargas!$E$99*'Plan mensual'!H309+parametros_recargas!$F$99*'Plan mensual'!H310+parametros_recargas!$G$99*'Plan mensual'!H311+parametros_recargas!$H$99*'Plan mensual'!H312+parametros_recargas!$I$99*'Plan mensual'!H313+parametros_recargas!$J$99*'Plan mensual'!H314+parametros_recargas!$K$99*'Plan mensual'!H315+parametros_recargas!$L$99*'Plan mensual'!H316</f>
        <v>735.845110949229</v>
      </c>
      <c r="G317" s="25" t="n">
        <f aca="false">parametros_recargas!$E$99*'Plan mensual'!I309+parametros_recargas!$F$99*'Plan mensual'!I310+parametros_recargas!$G$99*'Plan mensual'!I311+parametros_recargas!$H$99*'Plan mensual'!I312+parametros_recargas!$I$99*'Plan mensual'!I313+parametros_recargas!$J$99*'Plan mensual'!I314+parametros_recargas!$K$99*'Plan mensual'!I315+parametros_recargas!$L$99*'Plan mensual'!I316</f>
        <v>739.988538900927</v>
      </c>
      <c r="H317" s="25" t="n">
        <f aca="false">parametros_recargas!$E$99*'Plan mensual'!J309+parametros_recargas!$F$99*'Plan mensual'!J310+parametros_recargas!$G$99*'Plan mensual'!J311+parametros_recargas!$H$99*'Plan mensual'!J312+parametros_recargas!$I$99*'Plan mensual'!J313+parametros_recargas!$J$99*'Plan mensual'!J314+parametros_recargas!$K$99*'Plan mensual'!J315+parametros_recargas!$L$99*'Plan mensual'!J316</f>
        <v>744.155967913988</v>
      </c>
      <c r="I317" s="25" t="n">
        <f aca="false">parametros_recargas!$E$99*'Plan mensual'!K309+parametros_recargas!$F$99*'Plan mensual'!K310+parametros_recargas!$G$99*'Plan mensual'!K311+parametros_recargas!$H$99*'Plan mensual'!K312+parametros_recargas!$I$99*'Plan mensual'!K313+parametros_recargas!$J$99*'Plan mensual'!K314+parametros_recargas!$K$99*'Plan mensual'!K315+parametros_recargas!$L$99*'Plan mensual'!K316</f>
        <v>748.347537016037</v>
      </c>
      <c r="J317" s="25" t="n">
        <f aca="false">parametros_recargas!$E$99*'Plan mensual'!L309+parametros_recargas!$F$99*'Plan mensual'!L310+parametros_recargas!$G$99*'Plan mensual'!L311+parametros_recargas!$H$99*'Plan mensual'!L312+parametros_recargas!$I$99*'Plan mensual'!L313+parametros_recargas!$J$99*'Plan mensual'!L314+parametros_recargas!$K$99*'Plan mensual'!L315+parametros_recargas!$L$99*'Plan mensual'!L316</f>
        <v>752.563386040026</v>
      </c>
      <c r="K317" s="25" t="n">
        <f aca="false">parametros_recargas!$E$99*'Plan mensual'!M309+parametros_recargas!$F$99*'Plan mensual'!M310+parametros_recargas!$G$99*'Plan mensual'!M311+parametros_recargas!$H$99*'Plan mensual'!M312+parametros_recargas!$I$99*'Plan mensual'!M313+parametros_recargas!$J$99*'Plan mensual'!M314+parametros_recargas!$K$99*'Plan mensual'!M315+parametros_recargas!$L$99*'Plan mensual'!M316</f>
        <v>756.803655628895</v>
      </c>
      <c r="L317" s="25" t="n">
        <f aca="false">parametros_recargas!$E$99*'Plan mensual'!N309+parametros_recargas!$F$99*'Plan mensual'!N310+parametros_recargas!$G$99*'Plan mensual'!N311+parametros_recargas!$H$99*'Plan mensual'!N312+parametros_recargas!$I$99*'Plan mensual'!N313+parametros_recargas!$J$99*'Plan mensual'!N314+parametros_recargas!$K$99*'Plan mensual'!N315+parametros_recargas!$L$99*'Plan mensual'!N316</f>
        <v>761.068487240269</v>
      </c>
      <c r="M317" s="25" t="n">
        <f aca="false">parametros_recargas!$E$99*'Plan mensual'!O309+parametros_recargas!$F$99*'Plan mensual'!O310+parametros_recargas!$G$99*'Plan mensual'!O311+parametros_recargas!$H$99*'Plan mensual'!O312+parametros_recargas!$I$99*'Plan mensual'!O313+parametros_recargas!$J$99*'Plan mensual'!O314+parametros_recargas!$K$99*'Plan mensual'!O315+parametros_recargas!$L$99*'Plan mensual'!O316</f>
        <v>765.358023151176</v>
      </c>
      <c r="N317" s="7" t="n">
        <f aca="false">SUM(B317:M317)</f>
        <v>8906.55207109051</v>
      </c>
      <c r="O317" s="26" t="n">
        <f aca="false">MAX(B317:M317)</f>
        <v>765.358023151176</v>
      </c>
      <c r="P317" s="15" t="n">
        <f aca="false">O317/parametros_recargas!$B$6</f>
        <v>5.10238682100784</v>
      </c>
    </row>
    <row r="318" customFormat="false" ht="15" hidden="false" customHeight="false" outlineLevel="0" collapsed="false">
      <c r="A318" s="12" t="str">
        <f aca="false">parametros_recargas!$B$100</f>
        <v>PH de mangueras (CO₂ y rodantes)</v>
      </c>
      <c r="B318" s="25" t="n">
        <f aca="false">'Plan mensual'!D317</f>
        <v>337.167540598347</v>
      </c>
      <c r="C318" s="25" t="n">
        <f aca="false">'Plan mensual'!E317</f>
        <v>338.888901862556</v>
      </c>
      <c r="D318" s="25" t="n">
        <f aca="false">'Plan mensual'!F317</f>
        <v>340.620234217808</v>
      </c>
      <c r="E318" s="25" t="n">
        <f aca="false">'Plan mensual'!G317</f>
        <v>342.361595422259</v>
      </c>
      <c r="F318" s="25" t="n">
        <f aca="false">'Plan mensual'!H317</f>
        <v>344.113043568637</v>
      </c>
      <c r="G318" s="25" t="n">
        <f aca="false">'Plan mensual'!I317</f>
        <v>345.874637086172</v>
      </c>
      <c r="H318" s="25" t="n">
        <f aca="false">'Plan mensual'!J317</f>
        <v>347.646434742552</v>
      </c>
      <c r="I318" s="25" t="n">
        <f aca="false">'Plan mensual'!K317</f>
        <v>349.428495645879</v>
      </c>
      <c r="J318" s="25" t="n">
        <f aca="false">'Plan mensual'!L317</f>
        <v>351.220879246642</v>
      </c>
      <c r="K318" s="25" t="n">
        <f aca="false">'Plan mensual'!M317</f>
        <v>353.023645339701</v>
      </c>
      <c r="L318" s="25" t="n">
        <f aca="false">'Plan mensual'!N317</f>
        <v>354.836854066282</v>
      </c>
      <c r="M318" s="25" t="n">
        <f aca="false">'Plan mensual'!O317</f>
        <v>356.660565915982</v>
      </c>
      <c r="N318" s="7" t="n">
        <f aca="false">SUM(B318:M318)</f>
        <v>4161.84282771282</v>
      </c>
      <c r="O318" s="26" t="n">
        <f aca="false">MAX(B318:M318)</f>
        <v>356.660565915982</v>
      </c>
      <c r="P318" s="15" t="n">
        <f aca="false">O318/parametros_recargas!$B$6</f>
        <v>2.37773710610654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5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11" min="2" style="0" width="10"/>
    <col collapsed="false" customWidth="true" hidden="false" outlineLevel="0" max="13" min="12" style="0" width="3"/>
    <col collapsed="false" customWidth="true" hidden="false" outlineLevel="0" max="14" min="14" style="0" width="30"/>
    <col collapsed="false" customWidth="true" hidden="false" outlineLevel="0" max="15" min="15" style="0" width="56"/>
  </cols>
  <sheetData>
    <row r="1" customFormat="false" ht="15" hidden="false" customHeight="false" outlineLevel="0" collapsed="false">
      <c r="A1" s="3" t="s">
        <v>289</v>
      </c>
      <c r="B1" s="3" t="n">
        <v>2026</v>
      </c>
      <c r="C1" s="3" t="n">
        <v>2027</v>
      </c>
      <c r="D1" s="3" t="n">
        <v>2028</v>
      </c>
      <c r="E1" s="3" t="n">
        <v>2029</v>
      </c>
      <c r="F1" s="3" t="n">
        <v>2030</v>
      </c>
      <c r="G1" s="3" t="n">
        <v>2031</v>
      </c>
      <c r="H1" s="3" t="n">
        <v>2032</v>
      </c>
      <c r="I1" s="3" t="n">
        <v>2033</v>
      </c>
      <c r="J1" s="3" t="n">
        <v>2034</v>
      </c>
      <c r="K1" s="3" t="n">
        <v>2035</v>
      </c>
      <c r="N1" s="3" t="s">
        <v>290</v>
      </c>
      <c r="O1" s="3" t="s">
        <v>291</v>
      </c>
    </row>
    <row r="2" customFormat="false" ht="15" hidden="false" customHeight="false" outlineLevel="0" collapsed="false">
      <c r="A2" s="12" t="str">
        <f aca="false">parametros_recargas!$B$72</f>
        <v>Recepción y registro</v>
      </c>
      <c r="B2" s="27" t="n">
        <f aca="false">IF(parametros_recargas!$N$72*B34*B66=0,0,'Demanda por puesto'!$P$2/(parametros_recargas!$N$72*B34*B66))</f>
        <v>0.0423720296303837</v>
      </c>
      <c r="C2" s="27" t="n">
        <f aca="false">IF(parametros_recargas!$N$72*C34*C66=0,0,'Demanda por puesto'!$P$34/(parametros_recargas!$N$72*C34*C66))</f>
        <v>0.142041662899004</v>
      </c>
      <c r="D2" s="27" t="n">
        <f aca="false">IF(parametros_recargas!$N$72*D34*D66=0,0,'Demanda por puesto'!$P$66/(parametros_recargas!$N$72*D34*D66))</f>
        <v>0.276371728652199</v>
      </c>
      <c r="E2" s="27" t="n">
        <f aca="false">IF(parametros_recargas!$N$72*E34*E66=0,0,'Demanda por puesto'!$P$98/(parametros_recargas!$N$72*E34*E66))</f>
        <v>0.46503758241953</v>
      </c>
      <c r="F2" s="27" t="n">
        <f aca="false">IF(parametros_recargas!$N$72*F34*F66=0,0,'Demanda por puesto'!$P$130/(parametros_recargas!$N$72*F34*F66))</f>
        <v>0.661484094912585</v>
      </c>
      <c r="G2" s="27" t="n">
        <f aca="false">IF(parametros_recargas!$N$72*G34*G66=0,0,'Demanda por puesto'!$P$162/(parametros_recargas!$N$72*G34*G66))</f>
        <v>0.864443330175599</v>
      </c>
      <c r="H2" s="27" t="n">
        <f aca="false">IF(parametros_recargas!$N$72*H34*H66=0,0,'Demanda por puesto'!$P$194/(parametros_recargas!$N$72*H34*H66))</f>
        <v>1.03786498793685</v>
      </c>
      <c r="I2" s="27" t="n">
        <f aca="false">IF(parametros_recargas!$N$72*I34*I66=0,0,'Demanda por puesto'!$P$226/(parametros_recargas!$N$72*I34*I66))</f>
        <v>1.16101630799419</v>
      </c>
      <c r="J2" s="27" t="n">
        <f aca="false">IF(parametros_recargas!$N$72*J34*J66=0,0,'Demanda por puesto'!$P$258/(parametros_recargas!$N$72*J34*J66))</f>
        <v>1.2548887918629</v>
      </c>
      <c r="K2" s="27" t="n">
        <f aca="false">IF(parametros_recargas!$N$72*K34*K66=0,0,'Demanda por puesto'!$P$290/(parametros_recargas!$N$72*K34*K66))</f>
        <v>1.35157010759208</v>
      </c>
      <c r="N2" s="28" t="s">
        <v>292</v>
      </c>
      <c r="O2" s="4" t="s">
        <v>293</v>
      </c>
    </row>
    <row r="3" customFormat="false" ht="15" hidden="false" customHeight="false" outlineLevel="0" collapsed="false">
      <c r="A3" s="12" t="str">
        <f aca="false">parametros_recargas!$B$73</f>
        <v>Inspección visual</v>
      </c>
      <c r="B3" s="27" t="n">
        <f aca="false">IF(parametros_recargas!$N$73*B35*B67=0,0,'Demanda por puesto'!$P$3/(parametros_recargas!$N$73*B35*B67))</f>
        <v>0.0508464355564604</v>
      </c>
      <c r="C3" s="27" t="n">
        <f aca="false">IF(parametros_recargas!$N$73*C35*C67=0,0,'Demanda por puesto'!$P$35/(parametros_recargas!$N$73*C35*C67))</f>
        <v>0.170449995478805</v>
      </c>
      <c r="D3" s="27" t="n">
        <f aca="false">IF(parametros_recargas!$N$73*D35*D67=0,0,'Demanda por puesto'!$P$67/(parametros_recargas!$N$73*D35*D67))</f>
        <v>0.331646074382639</v>
      </c>
      <c r="E3" s="27" t="n">
        <f aca="false">IF(parametros_recargas!$N$73*E35*E67=0,0,'Demanda por puesto'!$P$99/(parametros_recargas!$N$73*E35*E67))</f>
        <v>0.558045098903436</v>
      </c>
      <c r="F3" s="27" t="n">
        <f aca="false">IF(parametros_recargas!$N$73*F35*F67=0,0,'Demanda por puesto'!$P$131/(parametros_recargas!$N$73*F35*F67))</f>
        <v>0.793780913895102</v>
      </c>
      <c r="G3" s="27" t="n">
        <f aca="false">IF(parametros_recargas!$N$73*G35*G67=0,0,'Demanda por puesto'!$P$163/(parametros_recargas!$N$73*G35*G67))</f>
        <v>1.03733199621072</v>
      </c>
      <c r="H3" s="27" t="n">
        <f aca="false">IF(parametros_recargas!$N$73*H35*H67=0,0,'Demanda por puesto'!$P$195/(parametros_recargas!$N$73*H35*H67))</f>
        <v>1.24543798552422</v>
      </c>
      <c r="I3" s="27" t="n">
        <f aca="false">IF(parametros_recargas!$N$73*I35*I67=0,0,'Demanda por puesto'!$P$227/(parametros_recargas!$N$73*I35*I67))</f>
        <v>1.39321956959303</v>
      </c>
      <c r="J3" s="27" t="n">
        <f aca="false">IF(parametros_recargas!$N$73*J35*J67=0,0,'Demanda por puesto'!$P$259/(parametros_recargas!$N$73*J35*J67))</f>
        <v>1.50586655023548</v>
      </c>
      <c r="K3" s="27" t="n">
        <f aca="false">IF(parametros_recargas!$N$73*K35*K67=0,0,'Demanda por puesto'!$P$291/(parametros_recargas!$N$73*K35*K67))</f>
        <v>1.6218841291105</v>
      </c>
      <c r="N3" s="28" t="s">
        <v>294</v>
      </c>
      <c r="O3" s="4" t="s">
        <v>295</v>
      </c>
    </row>
    <row r="4" customFormat="false" ht="15" hidden="false" customHeight="false" outlineLevel="0" collapsed="false">
      <c r="A4" s="12" t="str">
        <f aca="false">parametros_recargas!$B$74</f>
        <v>Descarga ABC — ruta recuperable</v>
      </c>
      <c r="B4" s="27" t="n">
        <f aca="false">IF(parametros_recargas!$N$74*B36*B68=0,0,'Demanda por puesto'!$P$4/(parametros_recargas!$N$74*B36*B68))</f>
        <v>0.0355317895775342</v>
      </c>
      <c r="C4" s="27" t="n">
        <f aca="false">IF(parametros_recargas!$N$74*C36*C68=0,0,'Demanda por puesto'!$P$36/(parametros_recargas!$N$74*C36*C68))</f>
        <v>0.119650770621834</v>
      </c>
      <c r="D4" s="27" t="n">
        <f aca="false">IF(parametros_recargas!$N$74*D36*D68=0,0,'Demanda por puesto'!$P$68/(parametros_recargas!$N$74*D36*D68))</f>
        <v>0.229253518168585</v>
      </c>
      <c r="E4" s="27" t="n">
        <f aca="false">IF(parametros_recargas!$N$74*E36*E68=0,0,'Demanda por puesto'!$P$100/(parametros_recargas!$N$74*E36*E68))</f>
        <v>0.385878320623429</v>
      </c>
      <c r="F4" s="27" t="n">
        <f aca="false">IF(parametros_recargas!$N$74*F36*F68=0,0,'Demanda por puesto'!$P$132/(parametros_recargas!$N$74*F36*F68))</f>
        <v>0.550796511744384</v>
      </c>
      <c r="G4" s="27" t="n">
        <f aca="false">IF(parametros_recargas!$N$74*G36*G68=0,0,'Demanda por puesto'!$P$164/(parametros_recargas!$N$74*G36*G68))</f>
        <v>0.722585909548527</v>
      </c>
      <c r="H4" s="27" t="n">
        <f aca="false">IF(parametros_recargas!$N$74*H36*H68=0,0,'Demanda por puesto'!$P$196/(parametros_recargas!$N$74*H36*H68))</f>
        <v>0.869282050688645</v>
      </c>
      <c r="I4" s="27" t="n">
        <f aca="false">IF(parametros_recargas!$N$74*I36*I68=0,0,'Demanda por puesto'!$P$228/(parametros_recargas!$N$74*I36*I68))</f>
        <v>0.974273453966854</v>
      </c>
      <c r="J4" s="27" t="n">
        <f aca="false">IF(parametros_recargas!$N$74*J36*J68=0,0,'Demanda por puesto'!$P$260/(parametros_recargas!$N$74*J36*J68))</f>
        <v>1.05136912090705</v>
      </c>
      <c r="K4" s="27" t="n">
        <f aca="false">IF(parametros_recargas!$N$74*K36*K68=0,0,'Demanda por puesto'!$P$292/(parametros_recargas!$N$74*K36*K68))</f>
        <v>1.13091051268189</v>
      </c>
      <c r="N4" s="28" t="s">
        <v>296</v>
      </c>
      <c r="O4" s="4" t="s">
        <v>297</v>
      </c>
    </row>
    <row r="5" customFormat="false" ht="15" hidden="false" customHeight="false" outlineLevel="0" collapsed="false">
      <c r="A5" s="12" t="str">
        <f aca="false">parametros_recargas!$B$75</f>
        <v>Descarga ABC — ruta descarte</v>
      </c>
      <c r="B5" s="27" t="n">
        <f aca="false">IF(parametros_recargas!$N$75*B37*B69=0,0,'Demanda por puesto'!$P$5/(parametros_recargas!$N$75*B37*B69))</f>
        <v>0.00418021053853344</v>
      </c>
      <c r="C5" s="27" t="n">
        <f aca="false">IF(parametros_recargas!$N$75*C37*C69=0,0,'Demanda por puesto'!$P$37/(parametros_recargas!$N$75*C37*C69))</f>
        <v>0.0140765612496275</v>
      </c>
      <c r="D5" s="27" t="n">
        <f aca="false">IF(parametros_recargas!$N$75*D37*D69=0,0,'Demanda por puesto'!$P$69/(parametros_recargas!$N$75*D37*D69))</f>
        <v>0.0269710021374806</v>
      </c>
      <c r="E5" s="27" t="n">
        <f aca="false">IF(parametros_recargas!$N$75*E37*E69=0,0,'Demanda por puesto'!$P$101/(parametros_recargas!$N$75*E37*E69))</f>
        <v>0.0453974494851093</v>
      </c>
      <c r="F5" s="27" t="n">
        <f aca="false">IF(parametros_recargas!$N$75*F37*F69=0,0,'Demanda por puesto'!$P$133/(parametros_recargas!$N$75*F37*F69))</f>
        <v>0.0647995896169864</v>
      </c>
      <c r="G5" s="27" t="n">
        <f aca="false">IF(parametros_recargas!$N$75*G37*G69=0,0,'Demanda por puesto'!$P$165/(parametros_recargas!$N$75*G37*G69))</f>
        <v>0.0850101070057091</v>
      </c>
      <c r="H5" s="27" t="n">
        <f aca="false">IF(parametros_recargas!$N$75*H37*H69=0,0,'Demanda por puesto'!$P$197/(parametros_recargas!$N$75*H37*H69))</f>
        <v>0.102268476551605</v>
      </c>
      <c r="I5" s="27" t="n">
        <f aca="false">IF(parametros_recargas!$N$75*I37*I69=0,0,'Demanda por puesto'!$P$229/(parametros_recargas!$N$75*I37*I69))</f>
        <v>0.114620406349042</v>
      </c>
      <c r="J5" s="27" t="n">
        <f aca="false">IF(parametros_recargas!$N$75*J37*J69=0,0,'Demanda por puesto'!$P$261/(parametros_recargas!$N$75*J37*J69))</f>
        <v>0.123690484812595</v>
      </c>
      <c r="K5" s="27" t="n">
        <f aca="false">IF(parametros_recargas!$N$75*K37*K69=0,0,'Demanda por puesto'!$P$293/(parametros_recargas!$N$75*K37*K69))</f>
        <v>0.133048295609634</v>
      </c>
      <c r="N5" s="28" t="s">
        <v>298</v>
      </c>
      <c r="O5" s="4" t="s">
        <v>299</v>
      </c>
    </row>
    <row r="6" customFormat="false" ht="15" hidden="false" customHeight="false" outlineLevel="0" collapsed="false">
      <c r="A6" s="12" t="str">
        <f aca="false">parametros_recargas!$B$76</f>
        <v>Descarga BC</v>
      </c>
      <c r="B6" s="27" t="n">
        <f aca="false">IF(parametros_recargas!$N$76*B38*B70=0,0,'Demanda por puesto'!$P$6/(parametros_recargas!$N$76*B38*B70))</f>
        <v>4.68808640892509E-005</v>
      </c>
      <c r="C6" s="27" t="n">
        <f aca="false">IF(parametros_recargas!$N$76*C38*C70=0,0,'Demanda por puesto'!$P$38/(parametros_recargas!$N$76*C38*C70))</f>
        <v>0.000253103524941992</v>
      </c>
      <c r="D6" s="27" t="n">
        <f aca="false">IF(parametros_recargas!$N$76*D38*D70=0,0,'Demanda por puesto'!$P$70/(parametros_recargas!$N$76*D38*D70))</f>
        <v>0.000452250221912232</v>
      </c>
      <c r="E6" s="27" t="n">
        <f aca="false">IF(parametros_recargas!$N$76*E38*E70=0,0,'Demanda por puesto'!$P$102/(parametros_recargas!$N$76*E38*E70))</f>
        <v>0.000728637229255246</v>
      </c>
      <c r="F6" s="27" t="n">
        <f aca="false">IF(parametros_recargas!$N$76*F38*F70=0,0,'Demanda por puesto'!$P$134/(parametros_recargas!$N$76*F38*F70))</f>
        <v>0.000966515147849981</v>
      </c>
      <c r="G6" s="27" t="n">
        <f aca="false">IF(parametros_recargas!$N$76*G38*G70=0,0,'Demanda por puesto'!$P$166/(parametros_recargas!$N$76*G38*G70))</f>
        <v>0.00122950728245693</v>
      </c>
      <c r="H6" s="27" t="n">
        <f aca="false">IF(parametros_recargas!$N$76*H38*H70=0,0,'Demanda por puesto'!$P$198/(parametros_recargas!$N$76*H38*H70))</f>
        <v>0.00150422131659737</v>
      </c>
      <c r="I6" s="27" t="n">
        <f aca="false">IF(parametros_recargas!$N$76*I38*I70=0,0,'Demanda por puesto'!$P$230/(parametros_recargas!$N$76*I38*I70))</f>
        <v>0.0016618347634664</v>
      </c>
      <c r="J6" s="27" t="n">
        <f aca="false">IF(parametros_recargas!$N$76*J38*J70=0,0,'Demanda por puesto'!$P$262/(parametros_recargas!$N$76*J38*J70))</f>
        <v>0.00183132470807426</v>
      </c>
      <c r="K6" s="27" t="n">
        <f aca="false">IF(parametros_recargas!$N$76*K38*K70=0,0,'Demanda por puesto'!$P$294/(parametros_recargas!$N$76*K38*K70))</f>
        <v>0.00200465927220176</v>
      </c>
      <c r="N6" s="28" t="s">
        <v>300</v>
      </c>
      <c r="O6" s="4" t="s">
        <v>301</v>
      </c>
    </row>
    <row r="7" customFormat="false" ht="15" hidden="false" customHeight="false" outlineLevel="0" collapsed="false">
      <c r="A7" s="12" t="str">
        <f aca="false">parametros_recargas!$B$77</f>
        <v>Descarga de agua / AFFF / sales K</v>
      </c>
      <c r="B7" s="27" t="n">
        <f aca="false">IF(parametros_recargas!$N$77*B39*B71=0,0,'Demanda por puesto'!$P$7/(parametros_recargas!$N$77*B39*B71))</f>
        <v>0.0025288090477529</v>
      </c>
      <c r="C7" s="27" t="n">
        <f aca="false">IF(parametros_recargas!$N$77*C39*C71=0,0,'Demanda por puesto'!$P$39/(parametros_recargas!$N$77*C39*C71))</f>
        <v>0.00884985755721792</v>
      </c>
      <c r="D7" s="27" t="n">
        <f aca="false">IF(parametros_recargas!$N$77*D39*D71=0,0,'Demanda por puesto'!$P$71/(parametros_recargas!$N$77*D39*D71))</f>
        <v>0.0186101683987597</v>
      </c>
      <c r="E7" s="27" t="n">
        <f aca="false">IF(parametros_recargas!$N$77*E39*E71=0,0,'Demanda por puesto'!$P$103/(parametros_recargas!$N$77*E39*E71))</f>
        <v>0.0306059906263848</v>
      </c>
      <c r="F7" s="27" t="n">
        <f aca="false">IF(parametros_recargas!$N$77*F39*F71=0,0,'Demanda por puesto'!$P$135/(parametros_recargas!$N$77*F39*F71))</f>
        <v>0.0424553071287509</v>
      </c>
      <c r="G7" s="27" t="n">
        <f aca="false">IF(parametros_recargas!$N$77*G39*G71=0,0,'Demanda por puesto'!$P$167/(parametros_recargas!$N$77*G39*G71))</f>
        <v>0.0539777607077967</v>
      </c>
      <c r="H7" s="27" t="n">
        <f aca="false">IF(parametros_recargas!$N$77*H39*H71=0,0,'Demanda por puesto'!$P$199/(parametros_recargas!$N$77*H39*H71))</f>
        <v>0.0639197417763993</v>
      </c>
      <c r="I7" s="27" t="n">
        <f aca="false">IF(parametros_recargas!$N$77*I39*I71=0,0,'Demanda por puesto'!$P$231/(parametros_recargas!$N$77*I39*I71))</f>
        <v>0.0708076801916613</v>
      </c>
      <c r="J7" s="27" t="n">
        <f aca="false">IF(parametros_recargas!$N$77*J39*J71=0,0,'Demanda por puesto'!$P$263/(parametros_recargas!$N$77*J39*J71))</f>
        <v>0.077422651915082</v>
      </c>
      <c r="K7" s="27" t="n">
        <f aca="false">IF(parametros_recargas!$N$77*K39*K71=0,0,'Demanda por puesto'!$P$295/(parametros_recargas!$N$77*K39*K71))</f>
        <v>0.0841686750019445</v>
      </c>
      <c r="N7" s="28" t="s">
        <v>302</v>
      </c>
      <c r="O7" s="4" t="s">
        <v>303</v>
      </c>
    </row>
    <row r="8" customFormat="false" ht="15" hidden="false" customHeight="false" outlineLevel="0" collapsed="false">
      <c r="A8" s="12" t="str">
        <f aca="false">parametros_recargas!$B$78</f>
        <v>Recuperación de CO₂</v>
      </c>
      <c r="B8" s="27" t="n">
        <f aca="false">IF(parametros_recargas!$N$78*B40*B72=0,0,'Demanda por puesto'!$P$8/(parametros_recargas!$N$78*B40*B72))</f>
        <v>0.00238380010675704</v>
      </c>
      <c r="C8" s="27" t="n">
        <f aca="false">IF(parametros_recargas!$N$78*C40*C72=0,0,'Demanda por puesto'!$P$40/(parametros_recargas!$N$78*C40*C72))</f>
        <v>0.00721121697938933</v>
      </c>
      <c r="D8" s="27" t="n">
        <f aca="false">IF(parametros_recargas!$N$78*D40*D72=0,0,'Demanda por puesto'!$P$72/(parametros_recargas!$N$78*D40*D72))</f>
        <v>0.0159102992567647</v>
      </c>
      <c r="E8" s="27" t="n">
        <f aca="false">IF(parametros_recargas!$N$78*E40*E72=0,0,'Demanda por puesto'!$P$104/(parametros_recargas!$N$78*E40*E72))</f>
        <v>0.027177083676066</v>
      </c>
      <c r="F8" s="27" t="n">
        <f aca="false">IF(parametros_recargas!$N$78*F40*F72=0,0,'Demanda por puesto'!$P$136/(parametros_recargas!$N$78*F40*F72))</f>
        <v>0.0379506478528509</v>
      </c>
      <c r="G8" s="27" t="n">
        <f aca="false">IF(parametros_recargas!$N$78*G40*G72=0,0,'Demanda por puesto'!$P$168/(parametros_recargas!$N$78*G40*G72))</f>
        <v>0.0485003665822722</v>
      </c>
      <c r="H8" s="27" t="n">
        <f aca="false">IF(parametros_recargas!$N$78*H40*H72=0,0,'Demanda por puesto'!$P$200/(parametros_recargas!$N$78*H40*H72))</f>
        <v>0.057375219380802</v>
      </c>
      <c r="I8" s="27" t="n">
        <f aca="false">IF(parametros_recargas!$N$78*I40*I72=0,0,'Demanda por puesto'!$P$232/(parametros_recargas!$N$78*I40*I72))</f>
        <v>0.0632103817032365</v>
      </c>
      <c r="J8" s="27" t="n">
        <f aca="false">IF(parametros_recargas!$N$78*J40*J72=0,0,'Demanda por puesto'!$P$264/(parametros_recargas!$N$78*J40*J72))</f>
        <v>0.068980616645736</v>
      </c>
      <c r="K8" s="27" t="n">
        <f aca="false">IF(parametros_recargas!$N$78*K40*K72=0,0,'Demanda por puesto'!$P$296/(parametros_recargas!$N$78*K40*K72))</f>
        <v>0.0748612099578364</v>
      </c>
    </row>
    <row r="9" customFormat="false" ht="15" hidden="false" customHeight="false" outlineLevel="0" collapsed="false">
      <c r="A9" s="12" t="str">
        <f aca="false">parametros_recargas!$B$79</f>
        <v>Recuperación de halogenado</v>
      </c>
      <c r="B9" s="27" t="n">
        <f aca="false">IF(parametros_recargas!$N$79*B41*B73=0,0,'Demanda por puesto'!$P$9/(parametros_recargas!$N$79*B41*B73))</f>
        <v>0.000170977278422278</v>
      </c>
      <c r="C9" s="27" t="n">
        <f aca="false">IF(parametros_recargas!$N$79*C41*C73=0,0,'Demanda por puesto'!$P$41/(parametros_recargas!$N$79*C41*C73))</f>
        <v>0.000799381705951209</v>
      </c>
      <c r="D9" s="27" t="n">
        <f aca="false">IF(parametros_recargas!$N$79*D41*D73=0,0,'Demanda por puesto'!$P$73/(parametros_recargas!$N$79*D41*D73))</f>
        <v>0.00157769417051545</v>
      </c>
      <c r="E9" s="27" t="n">
        <f aca="false">IF(parametros_recargas!$N$79*E41*E73=0,0,'Demanda por puesto'!$P$105/(parametros_recargas!$N$79*E41*E73))</f>
        <v>0.00247640618535457</v>
      </c>
      <c r="F9" s="27" t="n">
        <f aca="false">IF(parametros_recargas!$N$79*F41*F73=0,0,'Demanda por puesto'!$P$137/(parametros_recargas!$N$79*F41*F73))</f>
        <v>0.00342613099154752</v>
      </c>
      <c r="G9" s="27" t="n">
        <f aca="false">IF(parametros_recargas!$N$79*G41*G73=0,0,'Demanda por puesto'!$P$169/(parametros_recargas!$N$79*G41*G73))</f>
        <v>0.00431753939498543</v>
      </c>
      <c r="H9" s="27" t="n">
        <f aca="false">IF(parametros_recargas!$N$79*H41*H73=0,0,'Demanda por puesto'!$P$201/(parametros_recargas!$N$79*H41*H73))</f>
        <v>0.00521390278492192</v>
      </c>
      <c r="I9" s="27" t="n">
        <f aca="false">IF(parametros_recargas!$N$79*I41*I73=0,0,'Demanda por puesto'!$P$233/(parametros_recargas!$N$79*I41*I73))</f>
        <v>0.00587502895650836</v>
      </c>
      <c r="J9" s="27" t="n">
        <f aca="false">IF(parametros_recargas!$N$79*J41*J73=0,0,'Demanda por puesto'!$P$265/(parametros_recargas!$N$79*J41*J73))</f>
        <v>0.00646832602700037</v>
      </c>
      <c r="K9" s="27" t="n">
        <f aca="false">IF(parametros_recargas!$N$79*K41*K73=0,0,'Demanda por puesto'!$P$297/(parametros_recargas!$N$79*K41*K73))</f>
        <v>0.00709300953171103</v>
      </c>
      <c r="N9" s="6" t="s">
        <v>71</v>
      </c>
      <c r="O9" s="29" t="n">
        <f aca="false">parametros_recargas!B7</f>
        <v>0.9</v>
      </c>
    </row>
    <row r="10" customFormat="false" ht="15" hidden="false" customHeight="false" outlineLevel="0" collapsed="false">
      <c r="A10" s="12" t="str">
        <f aca="false">parametros_recargas!$B$80</f>
        <v>Desarme y limpieza — recinto</v>
      </c>
      <c r="B10" s="27" t="n">
        <f aca="false">IF(parametros_recargas!$N$80*B42*B74=0,0,'Demanda por puesto'!$P$10/(parametros_recargas!$N$80*B42*B74))</f>
        <v>0.0487963628733856</v>
      </c>
      <c r="C10" s="27" t="n">
        <f aca="false">IF(parametros_recargas!$N$80*C42*C74=0,0,'Demanda por puesto'!$P$42/(parametros_recargas!$N$80*C42*C74))</f>
        <v>0.164540119236115</v>
      </c>
      <c r="D10" s="27" t="n">
        <f aca="false">IF(parametros_recargas!$N$80*D42*D74=0,0,'Demanda por puesto'!$P$74/(parametros_recargas!$N$80*D42*D74))</f>
        <v>0.315186325412287</v>
      </c>
      <c r="E10" s="27" t="n">
        <f aca="false">IF(parametros_recargas!$N$80*E42*E74=0,0,'Demanda por puesto'!$P$106/(parametros_recargas!$N$80*E42*E74))</f>
        <v>0.530385421062631</v>
      </c>
      <c r="F10" s="27" t="n">
        <f aca="false">IF(parametros_recargas!$N$80*F42*F74=0,0,'Demanda por puesto'!$P$138/(parametros_recargas!$N$80*F42*F74))</f>
        <v>0.756902434200513</v>
      </c>
      <c r="G10" s="27" t="n">
        <f aca="false">IF(parametros_recargas!$N$80*G42*G74=0,0,'Demanda por puesto'!$P$170/(parametros_recargas!$N$80*G42*G74))</f>
        <v>0.992806493326349</v>
      </c>
      <c r="H10" s="27" t="n">
        <f aca="false">IF(parametros_recargas!$N$80*H42*H74=0,0,'Demanda por puesto'!$P$202/(parametros_recargas!$N$80*H42*H74))</f>
        <v>1.1944422409888</v>
      </c>
      <c r="I10" s="27" t="n">
        <f aca="false">IF(parametros_recargas!$N$80*I42*I74=0,0,'Demanda por puesto'!$P$234/(parametros_recargas!$N$80*I42*I74))</f>
        <v>1.33867279219716</v>
      </c>
      <c r="J10" s="27" t="n">
        <f aca="false">IF(parametros_recargas!$N$80*J42*J74=0,0,'Demanda por puesto'!$P$266/(parametros_recargas!$N$80*J42*J74))</f>
        <v>1.44469583306429</v>
      </c>
      <c r="K10" s="27" t="n">
        <f aca="false">IF(parametros_recargas!$N$80*K42*K74=0,0,'Demanda por puesto'!$P$298/(parametros_recargas!$N$80*K42*K74))</f>
        <v>1.55406306011073</v>
      </c>
      <c r="N10" s="6" t="s">
        <v>73</v>
      </c>
      <c r="O10" s="16" t="n">
        <f aca="false">parametros_recargas!B8</f>
        <v>2</v>
      </c>
    </row>
    <row r="11" customFormat="false" ht="15" hidden="false" customHeight="false" outlineLevel="0" collapsed="false">
      <c r="A11" s="12" t="str">
        <f aca="false">parametros_recargas!$B$81</f>
        <v>Desarme e inspección interior — zona general</v>
      </c>
      <c r="B11" s="27" t="n">
        <f aca="false">IF(parametros_recargas!$N$81*B43*B75=0,0,'Demanda por puesto'!$P$11/(parametros_recargas!$N$81*B43*B75))</f>
        <v>0.00635005922644783</v>
      </c>
      <c r="C11" s="27" t="n">
        <f aca="false">IF(parametros_recargas!$N$81*C43*C75=0,0,'Demanda por puesto'!$P$43/(parametros_recargas!$N$81*C43*C75))</f>
        <v>0.0213277022328196</v>
      </c>
      <c r="D11" s="27" t="n">
        <f aca="false">IF(parametros_recargas!$N$81*D43*D75=0,0,'Demanda por puesto'!$P$75/(parametros_recargas!$N$81*D43*D75))</f>
        <v>0.0454509097876669</v>
      </c>
      <c r="E11" s="27" t="n">
        <f aca="false">IF(parametros_recargas!$N$81*E43*E75=0,0,'Demanda por puesto'!$P$107/(parametros_recargas!$N$81*E43*E75))</f>
        <v>0.0755712970489179</v>
      </c>
      <c r="F11" s="27" t="n">
        <f aca="false">IF(parametros_recargas!$N$81*F43*F75=0,0,'Demanda por puesto'!$P$139/(parametros_recargas!$N$81*F43*F75))</f>
        <v>0.105041973253204</v>
      </c>
      <c r="G11" s="27" t="n">
        <f aca="false">IF(parametros_recargas!$N$81*G43*G75=0,0,'Demanda por puesto'!$P$171/(parametros_recargas!$N$81*G43*G75))</f>
        <v>0.133750512987458</v>
      </c>
      <c r="H11" s="27" t="n">
        <f aca="false">IF(parametros_recargas!$N$81*H43*H75=0,0,'Demanda por puesto'!$P$203/(parametros_recargas!$N$81*H43*H75))</f>
        <v>0.158373821510323</v>
      </c>
      <c r="I11" s="27" t="n">
        <f aca="false">IF(parametros_recargas!$N$81*I43*I75=0,0,'Demanda por puesto'!$P$235/(parametros_recargas!$N$81*I43*I75))</f>
        <v>0.175179251319434</v>
      </c>
      <c r="J11" s="27" t="n">
        <f aca="false">IF(parametros_recargas!$N$81*J43*J75=0,0,'Demanda por puesto'!$P$267/(parametros_recargas!$N$81*J43*J75))</f>
        <v>0.191445721478205</v>
      </c>
      <c r="K11" s="27" t="n">
        <f aca="false">IF(parametros_recargas!$N$81*K43*K75=0,0,'Demanda por puesto'!$P$299/(parametros_recargas!$N$81*K43*K75))</f>
        <v>0.208038484978681</v>
      </c>
    </row>
    <row r="12" customFormat="false" ht="15" hidden="false" customHeight="false" outlineLevel="0" collapsed="false">
      <c r="A12" s="12" t="str">
        <f aca="false">parametros_recargas!$B$82</f>
        <v>Laboratorio — Puffer y mufla</v>
      </c>
      <c r="B12" s="27" t="n">
        <f aca="false">IF(parametros_recargas!$N$82*B44*B76=0,0,'Demanda por puesto'!$P$12/(parametros_recargas!$N$82*B44*B76))</f>
        <v>0.00156564442674314</v>
      </c>
      <c r="C12" s="27" t="n">
        <f aca="false">IF(parametros_recargas!$N$82*C44*C76=0,0,'Demanda por puesto'!$P$44/(parametros_recargas!$N$82*C44*C76))</f>
        <v>0.00527575902291143</v>
      </c>
      <c r="D12" s="27" t="n">
        <f aca="false">IF(parametros_recargas!$N$82*D44*D76=0,0,'Demanda por puesto'!$P$76/(parametros_recargas!$N$82*D44*D76))</f>
        <v>0.0101072473373831</v>
      </c>
      <c r="E12" s="27" t="n">
        <f aca="false">IF(parametros_recargas!$N$82*E44*E76=0,0,'Demanda por puesto'!$P$108/(parametros_recargas!$N$82*E44*E76))</f>
        <v>0.0170112465884177</v>
      </c>
      <c r="F12" s="27" t="n">
        <f aca="false">IF(parametros_recargas!$N$82*F44*F76=0,0,'Demanda por puesto'!$P$140/(parametros_recargas!$N$82*F44*F76))</f>
        <v>0.0242788290351804</v>
      </c>
      <c r="G12" s="27" t="n">
        <f aca="false">IF(parametros_recargas!$N$82*G44*G76=0,0,'Demanda por puesto'!$P$172/(parametros_recargas!$N$82*G44*G76))</f>
        <v>0.0318497792463501</v>
      </c>
      <c r="H12" s="27" t="n">
        <f aca="false">IF(parametros_recargas!$N$82*H44*H76=0,0,'Demanda por puesto'!$P$204/(parametros_recargas!$N$82*H44*H76))</f>
        <v>0.0383167173897392</v>
      </c>
      <c r="I12" s="27" t="n">
        <f aca="false">IF(parametros_recargas!$N$82*I44*I76=0,0,'Demanda por puesto'!$P$236/(parametros_recargas!$N$82*I44*I76))</f>
        <v>0.0429436888993806</v>
      </c>
      <c r="J12" s="27" t="n">
        <f aca="false">IF(parametros_recargas!$N$82*J44*J76=0,0,'Demanda por puesto'!$P$268/(parametros_recargas!$N$82*J44*J76))</f>
        <v>0.0463433062307316</v>
      </c>
      <c r="K12" s="27" t="n">
        <f aca="false">IF(parametros_recargas!$N$82*K44*K76=0,0,'Demanda por puesto'!$P$300/(parametros_recargas!$N$82*K44*K76))</f>
        <v>0.04985071313967</v>
      </c>
      <c r="N12" s="2" t="s">
        <v>304</v>
      </c>
    </row>
    <row r="13" customFormat="false" ht="15" hidden="false" customHeight="false" outlineLevel="0" collapsed="false">
      <c r="A13" s="12" t="str">
        <f aca="false">parametros_recargas!$B$83</f>
        <v>Prueba hidráulica</v>
      </c>
      <c r="B13" s="27" t="n">
        <f aca="false">IF(parametros_recargas!$N$83*B45*B77=0,0,'Demanda por puesto'!$P$13/(parametros_recargas!$N$83*B45*B77))</f>
        <v>0.036305608812111</v>
      </c>
      <c r="C13" s="27" t="n">
        <f aca="false">IF(parametros_recargas!$N$83*C45*C77=0,0,'Demanda por puesto'!$P$45/(parametros_recargas!$N$83*C45*C77))</f>
        <v>0.122027048661178</v>
      </c>
      <c r="D13" s="27" t="n">
        <f aca="false">IF(parametros_recargas!$N$83*D45*D77=0,0,'Demanda por puesto'!$P$77/(parametros_recargas!$N$83*D45*D77))</f>
        <v>0.238629282207215</v>
      </c>
      <c r="E13" s="27" t="n">
        <f aca="false">IF(parametros_recargas!$N$83*E45*E77=0,0,'Demanda por puesto'!$P$109/(parametros_recargas!$N$83*E45*E77))</f>
        <v>0.400918864001389</v>
      </c>
      <c r="F13" s="27" t="n">
        <f aca="false">IF(parametros_recargas!$N$83*F45*F77=0,0,'Demanda por puesto'!$P$141/(parametros_recargas!$N$83*F45*F77))</f>
        <v>0.569348056111172</v>
      </c>
      <c r="G13" s="27" t="n">
        <f aca="false">IF(parametros_recargas!$N$83*G45*G77=0,0,'Demanda por puesto'!$P$173/(parametros_recargas!$N$83*G45*G77))</f>
        <v>0.742740124950238</v>
      </c>
      <c r="H13" s="27" t="n">
        <f aca="false">IF(parametros_recargas!$N$83*H45*H77=0,0,'Demanda por puesto'!$P$205/(parametros_recargas!$N$83*H45*H77))</f>
        <v>0.890980876046492</v>
      </c>
      <c r="I13" s="27" t="n">
        <f aca="false">IF(parametros_recargas!$N$83*I45*I77=0,0,'Demanda por puesto'!$P$237/(parametros_recargas!$N$83*I45*I77))</f>
        <v>0.99610204599384</v>
      </c>
      <c r="J13" s="27" t="n">
        <f aca="false">IF(parametros_recargas!$N$83*J45*J77=0,0,'Demanda por puesto'!$P$269/(parametros_recargas!$N$83*J45*J77))</f>
        <v>1.07740846193746</v>
      </c>
      <c r="K13" s="27" t="n">
        <f aca="false">IF(parametros_recargas!$N$83*K45*K77=0,0,'Demanda por puesto'!$P$301/(parametros_recargas!$N$83*K45*K77))</f>
        <v>1.16109000241107</v>
      </c>
    </row>
    <row r="14" customFormat="false" ht="15" hidden="false" customHeight="false" outlineLevel="0" collapsed="false">
      <c r="A14" s="12" t="str">
        <f aca="false">parametros_recargas!$B$84</f>
        <v>Secado</v>
      </c>
      <c r="B14" s="27" t="n">
        <f aca="false">IF(parametros_recargas!$N$84*B46*B78=0,0,'Demanda por puesto'!$P$14/(parametros_recargas!$N$84*B46*B78))</f>
        <v>0.0203587605753382</v>
      </c>
      <c r="C14" s="27" t="n">
        <f aca="false">IF(parametros_recargas!$N$84*C46*C78=0,0,'Demanda por puesto'!$P$46/(parametros_recargas!$N$84*C46*C78))</f>
        <v>0.0681373998463273</v>
      </c>
      <c r="D14" s="27" t="n">
        <f aca="false">IF(parametros_recargas!$N$84*D46*D78=0,0,'Demanda por puesto'!$P$78/(parametros_recargas!$N$84*D46*D78))</f>
        <v>0.132008461049808</v>
      </c>
      <c r="E14" s="27" t="n">
        <f aca="false">IF(parametros_recargas!$N$84*E46*E78=0,0,'Demanda por puesto'!$P$110/(parametros_recargas!$N$84*E46*E78))</f>
        <v>0.222367928352947</v>
      </c>
      <c r="F14" s="27" t="n">
        <f aca="false">IF(parametros_recargas!$N$84*F46*F78=0,0,'Demanda por puesto'!$P$142/(parametros_recargas!$N$84*F46*F78))</f>
        <v>0.316718122696764</v>
      </c>
      <c r="G14" s="27" t="n">
        <f aca="false">IF(parametros_recargas!$N$84*G46*G78=0,0,'Demanda por puesto'!$P$174/(parametros_recargas!$N$84*G46*G78))</f>
        <v>0.414477164821574</v>
      </c>
      <c r="H14" s="27" t="n">
        <f aca="false">IF(parametros_recargas!$N$84*H46*H78=0,0,'Demanda por puesto'!$P$206/(parametros_recargas!$N$84*H46*H78))</f>
        <v>0.497976985826406</v>
      </c>
      <c r="I14" s="27" t="n">
        <f aca="false">IF(parametros_recargas!$N$84*I46*I78=0,0,'Demanda por puesto'!$P$238/(parametros_recargas!$N$84*I46*I78))</f>
        <v>0.557350414227032</v>
      </c>
      <c r="J14" s="27" t="n">
        <f aca="false">IF(parametros_recargas!$N$84*J46*J78=0,0,'Demanda por puesto'!$P$270/(parametros_recargas!$N$84*J46*J78))</f>
        <v>0.602068907830967</v>
      </c>
      <c r="K14" s="27" t="n">
        <f aca="false">IF(parametros_recargas!$N$84*K46*K78=0,0,'Demanda por puesto'!$P$302/(parametros_recargas!$N$84*K46*K78))</f>
        <v>0.648151512216975</v>
      </c>
    </row>
    <row r="15" customFormat="false" ht="15" hidden="false" customHeight="false" outlineLevel="0" collapsed="false">
      <c r="A15" s="12" t="str">
        <f aca="false">parametros_recargas!$B$85</f>
        <v>Inspección interior con videoscopio</v>
      </c>
      <c r="B15" s="27" t="n">
        <f aca="false">IF(parametros_recargas!$N$85*B47*B79=0,0,'Demanda por puesto'!$P$15/(parametros_recargas!$N$85*B47*B79))</f>
        <v>0.00961385916057639</v>
      </c>
      <c r="C15" s="27" t="n">
        <f aca="false">IF(parametros_recargas!$N$85*C47*C79=0,0,'Demanda por puesto'!$P$47/(parametros_recargas!$N$85*C47*C79))</f>
        <v>0.0321759943718768</v>
      </c>
      <c r="D15" s="27" t="n">
        <f aca="false">IF(parametros_recargas!$N$85*D47*D79=0,0,'Demanda por puesto'!$P$79/(parametros_recargas!$N$85*D47*D79))</f>
        <v>0.0623373288290761</v>
      </c>
      <c r="E15" s="27" t="n">
        <f aca="false">IF(parametros_recargas!$N$85*E47*E79=0,0,'Demanda por puesto'!$P$111/(parametros_recargas!$N$85*E47*E79))</f>
        <v>0.105007077277781</v>
      </c>
      <c r="F15" s="27" t="n">
        <f aca="false">IF(parametros_recargas!$N$85*F47*F79=0,0,'Demanda por puesto'!$P$143/(parametros_recargas!$N$85*F47*F79))</f>
        <v>0.149561335717917</v>
      </c>
      <c r="G15" s="27" t="n">
        <f aca="false">IF(parametros_recargas!$N$85*G47*G79=0,0,'Demanda por puesto'!$P$175/(parametros_recargas!$N$85*G47*G79))</f>
        <v>0.19572532783241</v>
      </c>
      <c r="H15" s="27" t="n">
        <f aca="false">IF(parametros_recargas!$N$85*H47*H79=0,0,'Demanda por puesto'!$P$207/(parametros_recargas!$N$85*H47*H79))</f>
        <v>0.23515579886247</v>
      </c>
      <c r="I15" s="27" t="n">
        <f aca="false">IF(parametros_recargas!$N$85*I47*I79=0,0,'Demanda por puesto'!$P$239/(parametros_recargas!$N$85*I47*I79))</f>
        <v>0.263193251162765</v>
      </c>
      <c r="J15" s="27" t="n">
        <f aca="false">IF(parametros_recargas!$N$85*J47*J79=0,0,'Demanda por puesto'!$P$271/(parametros_recargas!$N$85*J47*J79))</f>
        <v>0.284310317586846</v>
      </c>
      <c r="K15" s="27" t="n">
        <f aca="false">IF(parametros_recargas!$N$85*K47*K79=0,0,'Demanda por puesto'!$P$303/(parametros_recargas!$N$85*K47*K79))</f>
        <v>0.306071547435794</v>
      </c>
    </row>
    <row r="16" customFormat="false" ht="15" hidden="false" customHeight="false" outlineLevel="0" collapsed="false">
      <c r="A16" s="12" t="str">
        <f aca="false">parametros_recargas!$B$86</f>
        <v>Pintura</v>
      </c>
      <c r="B16" s="27" t="n">
        <f aca="false">IF(parametros_recargas!$N$86*B48*B80=0,0,'Demanda por puesto'!$P$16/(parametros_recargas!$N$86*B48*B80))</f>
        <v>0.0423720296303837</v>
      </c>
      <c r="C16" s="27" t="n">
        <f aca="false">IF(parametros_recargas!$N$86*C48*C80=0,0,'Demanda por puesto'!$P$48/(parametros_recargas!$N$86*C48*C80))</f>
        <v>0.142041662899004</v>
      </c>
      <c r="D16" s="27" t="n">
        <f aca="false">IF(parametros_recargas!$N$86*D48*D80=0,0,'Demanda por puesto'!$P$80/(parametros_recargas!$N$86*D48*D80))</f>
        <v>0.276371728652199</v>
      </c>
      <c r="E16" s="27" t="n">
        <f aca="false">IF(parametros_recargas!$N$86*E48*E80=0,0,'Demanda por puesto'!$P$112/(parametros_recargas!$N$86*E48*E80))</f>
        <v>0.46503758241953</v>
      </c>
      <c r="F16" s="27" t="n">
        <f aca="false">IF(parametros_recargas!$N$86*F48*F80=0,0,'Demanda por puesto'!$P$144/(parametros_recargas!$N$86*F48*F80))</f>
        <v>0.661484094912585</v>
      </c>
      <c r="G16" s="27" t="n">
        <f aca="false">IF(parametros_recargas!$N$86*G48*G80=0,0,'Demanda por puesto'!$P$176/(parametros_recargas!$N$86*G48*G80))</f>
        <v>0.864443330175599</v>
      </c>
      <c r="H16" s="27" t="n">
        <f aca="false">IF(parametros_recargas!$N$86*H48*H80=0,0,'Demanda por puesto'!$P$208/(parametros_recargas!$N$86*H48*H80))</f>
        <v>1.03786498793685</v>
      </c>
      <c r="I16" s="27" t="n">
        <f aca="false">IF(parametros_recargas!$N$86*I48*I80=0,0,'Demanda por puesto'!$P$240/(parametros_recargas!$N$86*I48*I80))</f>
        <v>1.16101630799419</v>
      </c>
      <c r="J16" s="27" t="n">
        <f aca="false">IF(parametros_recargas!$N$86*J48*J80=0,0,'Demanda por puesto'!$P$272/(parametros_recargas!$N$86*J48*J80))</f>
        <v>1.2548887918629</v>
      </c>
      <c r="K16" s="27" t="n">
        <f aca="false">IF(parametros_recargas!$N$86*K48*K80=0,0,'Demanda por puesto'!$P$304/(parametros_recargas!$N$86*K48*K80))</f>
        <v>1.35157010759208</v>
      </c>
    </row>
    <row r="17" customFormat="false" ht="15" hidden="false" customHeight="false" outlineLevel="0" collapsed="false">
      <c r="A17" s="12" t="str">
        <f aca="false">parametros_recargas!$B$87</f>
        <v>Carga de polvo ABC</v>
      </c>
      <c r="B17" s="27" t="n">
        <f aca="false">IF(parametros_recargas!$N$87*B49*B81=0,0,'Demanda por puesto'!$P$17/(parametros_recargas!$N$87*B49*B81))</f>
        <v>0.0521296843628876</v>
      </c>
      <c r="C17" s="27" t="n">
        <f aca="false">IF(parametros_recargas!$N$87*C49*C81=0,0,'Demanda por puesto'!$P$49/(parametros_recargas!$N$87*C49*C81))</f>
        <v>0.175542999113002</v>
      </c>
      <c r="D17" s="27" t="n">
        <f aca="false">IF(parametros_recargas!$N$87*D49*D81=0,0,'Demanda por puesto'!$P$81/(parametros_recargas!$N$87*D49*D81))</f>
        <v>0.336344261949758</v>
      </c>
      <c r="E17" s="27" t="n">
        <f aca="false">IF(parametros_recargas!$N$87*E49*E81=0,0,'Demanda por puesto'!$P$113/(parametros_recargas!$N$87*E49*E81))</f>
        <v>0.566132899461362</v>
      </c>
      <c r="F17" s="27" t="n">
        <f aca="false">IF(parametros_recargas!$N$87*F49*F81=0,0,'Demanda por puesto'!$P$145/(parametros_recargas!$N$87*F49*F81))</f>
        <v>0.808088999929477</v>
      </c>
      <c r="G17" s="27" t="n">
        <f aca="false">IF(parametros_recargas!$N$87*G49*G81=0,0,'Demanda por puesto'!$P$177/(parametros_recargas!$N$87*G49*G81))</f>
        <v>1.06012604030649</v>
      </c>
      <c r="H17" s="27" t="n">
        <f aca="false">IF(parametros_recargas!$N$87*H49*H81=0,0,'Demanda por puesto'!$P$209/(parametros_recargas!$N$87*H49*H81))</f>
        <v>1.2753480605259</v>
      </c>
      <c r="I17" s="27" t="n">
        <f aca="false">IF(parametros_recargas!$N$87*I49*I81=0,0,'Demanda por puesto'!$P$241/(parametros_recargas!$N$87*I49*I81))</f>
        <v>1.42938389094099</v>
      </c>
      <c r="J17" s="27" t="n">
        <f aca="false">IF(parametros_recargas!$N$87*J49*J81=0,0,'Demanda por puesto'!$P$273/(parametros_recargas!$N$87*J49*J81))</f>
        <v>1.54249310472177</v>
      </c>
      <c r="K17" s="27" t="n">
        <f aca="false">IF(parametros_recargas!$N$87*K49*K81=0,0,'Demanda por puesto'!$P$305/(parametros_recargas!$N$87*K49*K81))</f>
        <v>1.65919050995543</v>
      </c>
    </row>
    <row r="18" customFormat="false" ht="15" hidden="false" customHeight="false" outlineLevel="0" collapsed="false">
      <c r="A18" s="12" t="str">
        <f aca="false">parametros_recargas!$B$88</f>
        <v>Carga de polvo BC</v>
      </c>
      <c r="B18" s="27" t="n">
        <f aca="false">IF(parametros_recargas!$N$88*B50*B82=0,0,'Demanda por puesto'!$P$18/(parametros_recargas!$N$88*B50*B82))</f>
        <v>7.72155408528838E-005</v>
      </c>
      <c r="C18" s="27" t="n">
        <f aca="false">IF(parametros_recargas!$N$88*C50*C82=0,0,'Demanda por puesto'!$P$50/(parametros_recargas!$N$88*C50*C82))</f>
        <v>0.000416876394022104</v>
      </c>
      <c r="D18" s="27" t="n">
        <f aca="false">IF(parametros_recargas!$N$88*D50*D82=0,0,'Demanda por puesto'!$P$82/(parametros_recargas!$N$88*D50*D82))</f>
        <v>0.000744882718443676</v>
      </c>
      <c r="E18" s="27" t="n">
        <f aca="false">IF(parametros_recargas!$N$88*E50*E82=0,0,'Demanda por puesto'!$P$114/(parametros_recargas!$N$88*E50*E82))</f>
        <v>0.00120010837759688</v>
      </c>
      <c r="F18" s="27" t="n">
        <f aca="false">IF(parametros_recargas!$N$88*F50*F82=0,0,'Demanda por puesto'!$P$146/(parametros_recargas!$N$88*F50*F82))</f>
        <v>0.00159190730234114</v>
      </c>
      <c r="G18" s="27" t="n">
        <f aca="false">IF(parametros_recargas!$N$88*G50*G82=0,0,'Demanda por puesto'!$P$178/(parametros_recargas!$N$88*G50*G82))</f>
        <v>0.00202507081816435</v>
      </c>
      <c r="H18" s="27" t="n">
        <f aca="false">IF(parametros_recargas!$N$88*H50*H82=0,0,'Demanda por puesto'!$P$210/(parametros_recargas!$N$88*H50*H82))</f>
        <v>0.00247754099204272</v>
      </c>
      <c r="I18" s="27" t="n">
        <f aca="false">IF(parametros_recargas!$N$88*I50*I82=0,0,'Demanda por puesto'!$P$242/(parametros_recargas!$N$88*I50*I82))</f>
        <v>0.00273713961041525</v>
      </c>
      <c r="J18" s="27" t="n">
        <f aca="false">IF(parametros_recargas!$N$88*J50*J82=0,0,'Demanda por puesto'!$P$274/(parametros_recargas!$N$88*J50*J82))</f>
        <v>0.00301629951918114</v>
      </c>
      <c r="K18" s="27" t="n">
        <f aca="false">IF(parametros_recargas!$N$88*K50*K82=0,0,'Demanda por puesto'!$P$306/(parametros_recargas!$N$88*K50*K82))</f>
        <v>0.00330179174244995</v>
      </c>
    </row>
    <row r="19" customFormat="false" ht="15" hidden="false" customHeight="false" outlineLevel="0" collapsed="false">
      <c r="A19" s="12" t="str">
        <f aca="false">parametros_recargas!$B$89</f>
        <v>Descarga y carga Clase D</v>
      </c>
      <c r="B19" s="27" t="n">
        <f aca="false">IF(parametros_recargas!$N$89*B51*B83=0,0,'Demanda por puesto'!$P$19/(parametros_recargas!$N$89*B51*B83))</f>
        <v>0.000270254392985093</v>
      </c>
      <c r="C19" s="27" t="n">
        <f aca="false">IF(parametros_recargas!$N$89*C51*C83=0,0,'Demanda por puesto'!$P$51/(parametros_recargas!$N$89*C51*C83))</f>
        <v>0.00145906737907736</v>
      </c>
      <c r="D19" s="27" t="n">
        <f aca="false">IF(parametros_recargas!$N$89*D51*D83=0,0,'Demanda por puesto'!$P$83/(parametros_recargas!$N$89*D51*D83))</f>
        <v>0.00260708951455287</v>
      </c>
      <c r="E19" s="27" t="n">
        <f aca="false">IF(parametros_recargas!$N$89*E51*E83=0,0,'Demanda por puesto'!$P$115/(parametros_recargas!$N$89*E51*E83))</f>
        <v>0.00391014260735564</v>
      </c>
      <c r="F19" s="27" t="n">
        <f aca="false">IF(parametros_recargas!$N$89*F51*F83=0,0,'Demanda por puesto'!$P$147/(parametros_recargas!$N$89*F51*F83))</f>
        <v>0.00520734538669992</v>
      </c>
      <c r="G19" s="27" t="n">
        <f aca="false">IF(parametros_recargas!$N$89*G51*G83=0,0,'Demanda por puesto'!$P$179/(parametros_recargas!$N$89*G51*G83))</f>
        <v>0.00622033752834194</v>
      </c>
      <c r="H19" s="27" t="n">
        <f aca="false">IF(parametros_recargas!$N$89*H51*H83=0,0,'Demanda por puesto'!$P$211/(parametros_recargas!$N$89*H51*H83))</f>
        <v>0.00773756220221405</v>
      </c>
      <c r="I19" s="27" t="n">
        <f aca="false">IF(parametros_recargas!$N$89*I51*I83=0,0,'Demanda por puesto'!$P$243/(parametros_recargas!$N$89*I51*I83))</f>
        <v>0.00864492818964967</v>
      </c>
      <c r="J19" s="27" t="n">
        <f aca="false">IF(parametros_recargas!$N$89*J51*J83=0,0,'Demanda por puesto'!$P$275/(parametros_recargas!$N$89*J51*J83))</f>
        <v>0.00956502708847376</v>
      </c>
      <c r="K19" s="27" t="n">
        <f aca="false">IF(parametros_recargas!$N$89*K51*K83=0,0,'Demanda por puesto'!$P$307/(parametros_recargas!$N$89*K51*K83))</f>
        <v>0.0104280727372843</v>
      </c>
    </row>
    <row r="20" customFormat="false" ht="15" hidden="false" customHeight="false" outlineLevel="0" collapsed="false">
      <c r="A20" s="12" t="str">
        <f aca="false">parametros_recargas!$B$90</f>
        <v>Carga de agua / AFFF / sales K</v>
      </c>
      <c r="B20" s="27" t="n">
        <f aca="false">IF(parametros_recargas!$N$90*B52*B84=0,0,'Demanda por puesto'!$P$20/(parametros_recargas!$N$90*B52*B84))</f>
        <v>0.00240838956928848</v>
      </c>
      <c r="C20" s="27" t="n">
        <f aca="false">IF(parametros_recargas!$N$90*C52*C84=0,0,'Demanda por puesto'!$P$52/(parametros_recargas!$N$90*C52*C84))</f>
        <v>0.00842843576877897</v>
      </c>
      <c r="D20" s="27" t="n">
        <f aca="false">IF(parametros_recargas!$N$90*D52*D84=0,0,'Demanda por puesto'!$P$84/(parametros_recargas!$N$90*D52*D84))</f>
        <v>0.0177239699035806</v>
      </c>
      <c r="E20" s="27" t="n">
        <f aca="false">IF(parametros_recargas!$N$90*E52*E84=0,0,'Demanda por puesto'!$P$116/(parametros_recargas!$N$90*E52*E84))</f>
        <v>0.0291485625013188</v>
      </c>
      <c r="F20" s="27" t="n">
        <f aca="false">IF(parametros_recargas!$N$90*F52*F84=0,0,'Demanda por puesto'!$P$148/(parametros_recargas!$N$90*F52*F84))</f>
        <v>0.0404336258369056</v>
      </c>
      <c r="G20" s="27" t="n">
        <f aca="false">IF(parametros_recargas!$N$90*G52*G84=0,0,'Demanda por puesto'!$P$180/(parametros_recargas!$N$90*G52*G84))</f>
        <v>0.0514073911502826</v>
      </c>
      <c r="H20" s="27" t="n">
        <f aca="false">IF(parametros_recargas!$N$90*H52*H84=0,0,'Demanda por puesto'!$P$212/(parametros_recargas!$N$90*H52*H84))</f>
        <v>0.0608759445489517</v>
      </c>
      <c r="I20" s="27" t="n">
        <f aca="false">IF(parametros_recargas!$N$90*I52*I84=0,0,'Demanda por puesto'!$P$244/(parametros_recargas!$N$90*I52*I84))</f>
        <v>0.0674358858968203</v>
      </c>
      <c r="J20" s="27" t="n">
        <f aca="false">IF(parametros_recargas!$N$90*J52*J84=0,0,'Demanda por puesto'!$P$276/(parametros_recargas!$N$90*J52*J84))</f>
        <v>0.0737358589667447</v>
      </c>
      <c r="K20" s="27" t="n">
        <f aca="false">IF(parametros_recargas!$N$90*K52*K84=0,0,'Demanda por puesto'!$P$308/(parametros_recargas!$N$90*K52*K84))</f>
        <v>0.0801606428589947</v>
      </c>
    </row>
    <row r="21" customFormat="false" ht="15" hidden="false" customHeight="false" outlineLevel="0" collapsed="false">
      <c r="A21" s="12" t="str">
        <f aca="false">parametros_recargas!$B$91</f>
        <v>Carga de CO₂</v>
      </c>
      <c r="B21" s="27" t="n">
        <f aca="false">IF(parametros_recargas!$N$91*B53*B85=0,0,'Demanda por puesto'!$P$21/(parametros_recargas!$N$91*B53*B85))</f>
        <v>0.00334894844266355</v>
      </c>
      <c r="C21" s="27" t="n">
        <f aca="false">IF(parametros_recargas!$N$91*C53*C85=0,0,'Demanda por puesto'!$P$53/(parametros_recargas!$N$91*C53*C85))</f>
        <v>0.0101308804393372</v>
      </c>
      <c r="D21" s="27" t="n">
        <f aca="false">IF(parametros_recargas!$N$91*D53*D85=0,0,'Demanda por puesto'!$P$85/(parametros_recargas!$N$91*D53*D85))</f>
        <v>0.0223520301753572</v>
      </c>
      <c r="E21" s="27" t="n">
        <f aca="false">IF(parametros_recargas!$N$91*E53*E85=0,0,'Demanda por puesto'!$P$117/(parametros_recargas!$N$91*E53*E85))</f>
        <v>0.0381804882863757</v>
      </c>
      <c r="F21" s="27" t="n">
        <f aca="false">IF(parametros_recargas!$N$91*F53*F85=0,0,'Demanda por puesto'!$P$149/(parametros_recargas!$N$91*F53*F85))</f>
        <v>0.0533160321054686</v>
      </c>
      <c r="G21" s="27" t="n">
        <f aca="false">IF(parametros_recargas!$N$91*G53*G85=0,0,'Demanda por puesto'!$P$181/(parametros_recargas!$N$91*G53*G85))</f>
        <v>0.0681371003692409</v>
      </c>
      <c r="H21" s="27" t="n">
        <f aca="false">IF(parametros_recargas!$N$91*H53*H85=0,0,'Demanda por puesto'!$P$213/(parametros_recargas!$N$91*H53*H85))</f>
        <v>0.0806051862520535</v>
      </c>
      <c r="I21" s="27" t="n">
        <f aca="false">IF(parametros_recargas!$N$91*I53*I85=0,0,'Demanda por puesto'!$P$245/(parametros_recargas!$N$91*I53*I85))</f>
        <v>0.0888028777099128</v>
      </c>
      <c r="J21" s="27" t="n">
        <f aca="false">IF(parametros_recargas!$N$91*J53*J85=0,0,'Demanda por puesto'!$P$277/(parametros_recargas!$N$91*J53*J85))</f>
        <v>0.0969093541169365</v>
      </c>
      <c r="K21" s="27" t="n">
        <f aca="false">IF(parametros_recargas!$N$91*K53*K85=0,0,'Demanda por puesto'!$P$309/(parametros_recargas!$N$91*K53*K85))</f>
        <v>0.105170870574912</v>
      </c>
    </row>
    <row r="22" customFormat="false" ht="15" hidden="false" customHeight="false" outlineLevel="0" collapsed="false">
      <c r="A22" s="12" t="str">
        <f aca="false">parametros_recargas!$B$92</f>
        <v>Ensamblaje y marbete — recinto</v>
      </c>
      <c r="B22" s="27" t="n">
        <f aca="false">IF(parametros_recargas!$N$92*B54*B86=0,0,'Demanda por puesto'!$P$22/(parametros_recargas!$N$92*B54*B86))</f>
        <v>0.0591471065131947</v>
      </c>
      <c r="C22" s="27" t="n">
        <f aca="false">IF(parametros_recargas!$N$92*C54*C86=0,0,'Demanda por puesto'!$P$54/(parametros_recargas!$N$92*C54*C86))</f>
        <v>0.199442568771048</v>
      </c>
      <c r="D22" s="27" t="n">
        <f aca="false">IF(parametros_recargas!$N$92*D54*D86=0,0,'Demanda por puesto'!$P$86/(parametros_recargas!$N$92*D54*D86))</f>
        <v>0.382044030802772</v>
      </c>
      <c r="E22" s="27" t="n">
        <f aca="false">IF(parametros_recargas!$N$92*E54*E86=0,0,'Demanda por puesto'!$P$118/(parametros_recargas!$N$92*E54*E86))</f>
        <v>0.642891419469855</v>
      </c>
      <c r="F22" s="27" t="n">
        <f aca="false">IF(parametros_recargas!$N$92*F54*F86=0,0,'Demanda por puesto'!$P$150/(parametros_recargas!$N$92*F54*F86))</f>
        <v>0.917457496000622</v>
      </c>
      <c r="G22" s="27" t="n">
        <f aca="false">IF(parametros_recargas!$N$92*G54*G86=0,0,'Demanda por puesto'!$P$182/(parametros_recargas!$N$92*G54*G86))</f>
        <v>1.20340181009254</v>
      </c>
      <c r="H22" s="27" t="n">
        <f aca="false">IF(parametros_recargas!$N$92*H54*H86=0,0,'Demanda por puesto'!$P$214/(parametros_recargas!$N$92*H54*H86))</f>
        <v>1.44780877695612</v>
      </c>
      <c r="I22" s="27" t="n">
        <f aca="false">IF(parametros_recargas!$N$92*I54*I86=0,0,'Demanda por puesto'!$P$246/(parametros_recargas!$N$92*I54*I86))</f>
        <v>1.62263368751171</v>
      </c>
      <c r="J22" s="27" t="n">
        <f aca="false">IF(parametros_recargas!$N$92*J54*J86=0,0,'Demanda por puesto'!$P$278/(parametros_recargas!$N$92*J54*J86))</f>
        <v>1.75114646432036</v>
      </c>
      <c r="K22" s="27" t="n">
        <f aca="false">IF(parametros_recargas!$N$92*K54*K86=0,0,'Demanda por puesto'!$P$310/(parametros_recargas!$N$92*K54*K86))</f>
        <v>1.88371280013422</v>
      </c>
    </row>
    <row r="23" customFormat="false" ht="15" hidden="false" customHeight="false" outlineLevel="0" collapsed="false">
      <c r="A23" s="12" t="str">
        <f aca="false">parametros_recargas!$B$93</f>
        <v>Presurización — recinto</v>
      </c>
      <c r="B23" s="27" t="n">
        <f aca="false">IF(parametros_recargas!$N$93*B55*B87=0,0,'Demanda por puesto'!$P$23/(parametros_recargas!$N$93*B55*B87))</f>
        <v>0.0359811564621934</v>
      </c>
      <c r="C23" s="27" t="n">
        <f aca="false">IF(parametros_recargas!$N$93*C55*C87=0,0,'Demanda por puesto'!$P$55/(parametros_recargas!$N$93*C55*C87))</f>
        <v>0.121327562669054</v>
      </c>
      <c r="D23" s="27" t="n">
        <f aca="false">IF(parametros_recargas!$N$93*D55*D87=0,0,'Demanda por puesto'!$P$87/(parametros_recargas!$N$93*D55*D87))</f>
        <v>0.232410118738353</v>
      </c>
      <c r="E23" s="27" t="n">
        <f aca="false">IF(parametros_recargas!$N$93*E55*E87=0,0,'Demanda por puesto'!$P$119/(parametros_recargas!$N$93*E55*E87))</f>
        <v>0.391092280177495</v>
      </c>
      <c r="F23" s="27" t="n">
        <f aca="false">IF(parametros_recargas!$N$93*F55*F87=0,0,'Demanda por puesto'!$P$151/(parametros_recargas!$N$93*F55*F87))</f>
        <v>0.558119976733712</v>
      </c>
      <c r="G23" s="27" t="n">
        <f aca="false">IF(parametros_recargas!$N$93*G55*G87=0,0,'Demanda por puesto'!$P$183/(parametros_recargas!$N$93*G55*G87))</f>
        <v>0.732069434472965</v>
      </c>
      <c r="H23" s="27" t="n">
        <f aca="false">IF(parametros_recargas!$N$93*H55*H87=0,0,'Demanda por puesto'!$P$215/(parametros_recargas!$N$93*H55*H87))</f>
        <v>0.880750339314973</v>
      </c>
      <c r="I23" s="27" t="n">
        <f aca="false">IF(parametros_recargas!$N$93*I55*I87=0,0,'Demanda por puesto'!$P$247/(parametros_recargas!$N$93*I55*I87))</f>
        <v>0.987102159902957</v>
      </c>
      <c r="J23" s="27" t="n">
        <f aca="false">IF(parametros_recargas!$N$93*J55*J87=0,0,'Demanda por puesto'!$P$279/(parametros_recargas!$N$93*J55*J87))</f>
        <v>1.06528076579488</v>
      </c>
      <c r="K23" s="27" t="n">
        <f aca="false">IF(parametros_recargas!$N$93*K55*K87=0,0,'Demanda por puesto'!$P$311/(parametros_recargas!$N$93*K55*K87))</f>
        <v>1.14592528674832</v>
      </c>
    </row>
    <row r="24" customFormat="false" ht="15" hidden="false" customHeight="false" outlineLevel="0" collapsed="false">
      <c r="A24" s="12" t="str">
        <f aca="false">parametros_recargas!$B$94</f>
        <v>Ensamblaje y presurización — zona general</v>
      </c>
      <c r="B24" s="27" t="n">
        <f aca="false">IF(parametros_recargas!$N$94*B56*B88=0,0,'Demanda por puesto'!$P$24/(parametros_recargas!$N$94*B56*B88))</f>
        <v>0.0061335799346371</v>
      </c>
      <c r="C24" s="27" t="n">
        <f aca="false">IF(parametros_recargas!$N$94*C56*C88=0,0,'Demanda por puesto'!$P$56/(parametros_recargas!$N$94*C56*C88))</f>
        <v>0.0206006214748826</v>
      </c>
      <c r="D24" s="27" t="n">
        <f aca="false">IF(parametros_recargas!$N$94*D56*D88=0,0,'Demanda por puesto'!$P$88/(parametros_recargas!$N$94*D56*D88))</f>
        <v>0.0439014469539964</v>
      </c>
      <c r="E24" s="27" t="n">
        <f aca="false">IF(parametros_recargas!$N$94*E56*E88=0,0,'Demanda por puesto'!$P$120/(parametros_recargas!$N$94*E56*E88))</f>
        <v>0.0729950028313412</v>
      </c>
      <c r="F24" s="27" t="n">
        <f aca="false">IF(parametros_recargas!$N$94*F56*F88=0,0,'Demanda por puesto'!$P$152/(parametros_recargas!$N$94*F56*F88))</f>
        <v>0.101460996892299</v>
      </c>
      <c r="G24" s="27" t="n">
        <f aca="false">IF(parametros_recargas!$N$94*G56*G88=0,0,'Demanda por puesto'!$P$184/(parametros_recargas!$N$94*G56*G88))</f>
        <v>0.12919083640834</v>
      </c>
      <c r="H24" s="27" t="n">
        <f aca="false">IF(parametros_recargas!$N$94*H56*H88=0,0,'Demanda por puesto'!$P$216/(parametros_recargas!$N$94*H56*H88))</f>
        <v>0.152974713958835</v>
      </c>
      <c r="I24" s="27" t="n">
        <f aca="false">IF(parametros_recargas!$N$94*I56*I88=0,0,'Demanda por puesto'!$P$248/(parametros_recargas!$N$94*I56*I88))</f>
        <v>0.16920723138809</v>
      </c>
      <c r="J24" s="27" t="n">
        <f aca="false">IF(parametros_recargas!$N$94*J56*J88=0,0,'Demanda por puesto'!$P$280/(parametros_recargas!$N$94*J56*J88))</f>
        <v>0.184919162791448</v>
      </c>
      <c r="K24" s="27" t="n">
        <f aca="false">IF(parametros_recargas!$N$94*K56*K88=0,0,'Demanda por puesto'!$P$312/(parametros_recargas!$N$94*K56*K88))</f>
        <v>0.200946263899862</v>
      </c>
    </row>
    <row r="25" customFormat="false" ht="15" hidden="false" customHeight="false" outlineLevel="0" collapsed="false">
      <c r="A25" s="12" t="str">
        <f aca="false">parametros_recargas!$B$95</f>
        <v>Carga y presurización de halogenado</v>
      </c>
      <c r="B25" s="27" t="n">
        <f aca="false">IF(parametros_recargas!$N$95*B57*B89=0,0,'Demanda por puesto'!$P$25/(parametros_recargas!$N$95*B57*B89))</f>
        <v>0.000158108020906622</v>
      </c>
      <c r="C25" s="27" t="n">
        <f aca="false">IF(parametros_recargas!$N$95*C57*C89=0,0,'Demanda por puesto'!$P$57/(parametros_recargas!$N$95*C57*C89))</f>
        <v>0.000739213190449505</v>
      </c>
      <c r="D25" s="27" t="n">
        <f aca="false">IF(parametros_recargas!$N$95*D57*D89=0,0,'Demanda por puesto'!$P$89/(parametros_recargas!$N$95*D57*D89))</f>
        <v>0.00145894299639063</v>
      </c>
      <c r="E25" s="27" t="n">
        <f aca="false">IF(parametros_recargas!$N$95*E57*E89=0,0,'Demanda por puesto'!$P$121/(parametros_recargas!$N$95*E57*E89))</f>
        <v>0.00229001002086552</v>
      </c>
      <c r="F25" s="27" t="n">
        <f aca="false">IF(parametros_recargas!$N$95*F57*F89=0,0,'Demanda por puesto'!$P$153/(parametros_recargas!$N$95*F57*F89))</f>
        <v>0.00316825016422674</v>
      </c>
      <c r="G25" s="27" t="n">
        <f aca="false">IF(parametros_recargas!$N$95*G57*G89=0,0,'Demanda por puesto'!$P$185/(parametros_recargas!$N$95*G57*G89))</f>
        <v>0.0039925633114919</v>
      </c>
      <c r="H25" s="27" t="n">
        <f aca="false">IF(parametros_recargas!$N$95*H57*H89=0,0,'Demanda por puesto'!$P$217/(parametros_recargas!$N$95*H57*H89))</f>
        <v>0.00482145848928264</v>
      </c>
      <c r="I25" s="27" t="n">
        <f aca="false">IF(parametros_recargas!$N$95*I57*I89=0,0,'Demanda por puesto'!$P$249/(parametros_recargas!$N$95*I57*I89))</f>
        <v>0.00543282247591095</v>
      </c>
      <c r="J25" s="27" t="n">
        <f aca="false">IF(parametros_recargas!$N$95*J57*J89=0,0,'Demanda por puesto'!$P$281/(parametros_recargas!$N$95*J57*J89))</f>
        <v>0.00598146277765625</v>
      </c>
      <c r="K25" s="27" t="n">
        <f aca="false">IF(parametros_recargas!$N$95*K57*K89=0,0,'Demanda por puesto'!$P$313/(parametros_recargas!$N$95*K57*K89))</f>
        <v>0.00655912709384031</v>
      </c>
    </row>
    <row r="26" customFormat="false" ht="15" hidden="false" customHeight="false" outlineLevel="0" collapsed="false">
      <c r="A26" s="12" t="str">
        <f aca="false">parametros_recargas!$B$96</f>
        <v>Control de peso (CO₂ y halogenados sin recarga)</v>
      </c>
      <c r="B26" s="27" t="n">
        <f aca="false">IF(parametros_recargas!$N$96*B58*B90=0,0,'Demanda por puesto'!$P$26/(parametros_recargas!$N$96*B58*B90))</f>
        <v>0.00134649200743871</v>
      </c>
      <c r="C26" s="27" t="n">
        <f aca="false">IF(parametros_recargas!$N$96*C58*C90=0,0,'Demanda por puesto'!$P$58/(parametros_recargas!$N$96*C58*C90))</f>
        <v>0.00414607889066872</v>
      </c>
      <c r="D26" s="27" t="n">
        <f aca="false">IF(parametros_recargas!$N$96*D58*D90=0,0,'Demanda por puesto'!$P$90/(parametros_recargas!$N$96*D58*D90))</f>
        <v>0.00909960306201923</v>
      </c>
      <c r="E26" s="27" t="n">
        <f aca="false">IF(parametros_recargas!$N$96*E58*E90=0,0,'Demanda por puesto'!$P$122/(parametros_recargas!$N$96*E58*E90))</f>
        <v>0.0154870402308863</v>
      </c>
      <c r="F26" s="27" t="n">
        <f aca="false">IF(parametros_recargas!$N$96*F58*F90=0,0,'Demanda por puesto'!$P$154/(parametros_recargas!$N$96*F58*F90))</f>
        <v>0.0216181753219884</v>
      </c>
      <c r="G26" s="27" t="n">
        <f aca="false">IF(parametros_recargas!$N$96*G58*G90=0,0,'Demanda por puesto'!$P$186/(parametros_recargas!$N$96*G58*G90))</f>
        <v>0.0276119649695398</v>
      </c>
      <c r="H26" s="27" t="n">
        <f aca="false">IF(parametros_recargas!$N$96*H58*H90=0,0,'Demanda por puesto'!$P$218/(parametros_recargas!$N$96*H58*H90))</f>
        <v>0.0326919846195777</v>
      </c>
      <c r="I26" s="27" t="n">
        <f aca="false">IF(parametros_recargas!$N$96*I58*I90=0,0,'Demanda por puesto'!$P$250/(parametros_recargas!$N$96*I58*I90))</f>
        <v>0.0360505889476492</v>
      </c>
      <c r="J26" s="27" t="n">
        <f aca="false">IF(parametros_recargas!$N$96*J58*J90=0,0,'Demanda por puesto'!$P$282/(parametros_recargas!$N$96*J58*J90))</f>
        <v>0.039356216471798</v>
      </c>
      <c r="K26" s="27" t="n">
        <f aca="false">IF(parametros_recargas!$N$96*K58*K90=0,0,'Demanda por puesto'!$P$314/(parametros_recargas!$N$96*K58*K90))</f>
        <v>0.0427302370740541</v>
      </c>
    </row>
    <row r="27" customFormat="false" ht="15" hidden="false" customHeight="false" outlineLevel="0" collapsed="false">
      <c r="A27" s="12" t="str">
        <f aca="false">parametros_recargas!$B$97</f>
        <v>Ensayo de pérdidas</v>
      </c>
      <c r="B27" s="27" t="n">
        <f aca="false">IF(parametros_recargas!$N$97*B59*B91=0,0,'Demanda por puesto'!$P$27/(parametros_recargas!$N$97*B59*B91))</f>
        <v>0.0451968316057426</v>
      </c>
      <c r="C27" s="27" t="n">
        <f aca="false">IF(parametros_recargas!$N$97*C59*C91=0,0,'Demanda por puesto'!$P$59/(parametros_recargas!$N$97*C59*C91))</f>
        <v>0.151511107092271</v>
      </c>
      <c r="D27" s="27" t="n">
        <f aca="false">IF(parametros_recargas!$N$97*D59*D91=0,0,'Demanda por puesto'!$P$91/(parametros_recargas!$N$97*D59*D91))</f>
        <v>0.294796510562346</v>
      </c>
      <c r="E27" s="27" t="n">
        <f aca="false">IF(parametros_recargas!$N$97*E59*E91=0,0,'Demanda por puesto'!$P$123/(parametros_recargas!$N$97*E59*E91))</f>
        <v>0.496040087914165</v>
      </c>
      <c r="F27" s="27" t="n">
        <f aca="false">IF(parametros_recargas!$N$97*F59*F91=0,0,'Demanda por puesto'!$P$155/(parametros_recargas!$N$97*F59*F91))</f>
        <v>0.705583034573424</v>
      </c>
      <c r="G27" s="27" t="n">
        <f aca="false">IF(parametros_recargas!$N$97*G59*G91=0,0,'Demanda por puesto'!$P$187/(parametros_recargas!$N$97*G59*G91))</f>
        <v>0.922072885520639</v>
      </c>
      <c r="H27" s="27" t="n">
        <f aca="false">IF(parametros_recargas!$N$97*H59*H91=0,0,'Demanda por puesto'!$P$219/(parametros_recargas!$N$97*H59*H91))</f>
        <v>1.10705598713264</v>
      </c>
      <c r="I27" s="27" t="n">
        <f aca="false">IF(parametros_recargas!$N$97*I59*I91=0,0,'Demanda por puesto'!$P$251/(parametros_recargas!$N$97*I59*I91))</f>
        <v>1.2384173951938</v>
      </c>
      <c r="J27" s="27" t="n">
        <f aca="false">IF(parametros_recargas!$N$97*J59*J91=0,0,'Demanda por puesto'!$P$283/(parametros_recargas!$N$97*J59*J91))</f>
        <v>1.33854804465376</v>
      </c>
      <c r="K27" s="27" t="n">
        <f aca="false">IF(parametros_recargas!$N$97*K59*K91=0,0,'Demanda por puesto'!$P$315/(parametros_recargas!$N$97*K59*K91))</f>
        <v>1.44167478143156</v>
      </c>
    </row>
    <row r="28" customFormat="false" ht="15" hidden="false" customHeight="false" outlineLevel="0" collapsed="false">
      <c r="A28" s="12" t="str">
        <f aca="false">parametros_recargas!$B$98</f>
        <v>Precinto, etiqueta y despacho</v>
      </c>
      <c r="B28" s="27" t="n">
        <f aca="false">IF(parametros_recargas!$N$98*B60*B92=0,0,'Demanda por puesto'!$P$28/(parametros_recargas!$N$98*B60*B92))</f>
        <v>0.0485865939761733</v>
      </c>
      <c r="C28" s="27" t="n">
        <f aca="false">IF(parametros_recargas!$N$98*C60*C92=0,0,'Demanda por puesto'!$P$60/(parametros_recargas!$N$98*C60*C92))</f>
        <v>0.162874440124191</v>
      </c>
      <c r="D28" s="27" t="n">
        <f aca="false">IF(parametros_recargas!$N$98*D60*D92=0,0,'Demanda por puesto'!$P$92/(parametros_recargas!$N$98*D60*D92))</f>
        <v>0.316906248854522</v>
      </c>
      <c r="E28" s="27" t="n">
        <f aca="false">IF(parametros_recargas!$N$98*E60*E92=0,0,'Demanda por puesto'!$P$124/(parametros_recargas!$N$98*E60*E92))</f>
        <v>0.533243094507727</v>
      </c>
      <c r="F28" s="27" t="n">
        <f aca="false">IF(parametros_recargas!$N$98*F60*F92=0,0,'Demanda por puesto'!$P$156/(parametros_recargas!$N$98*F60*F92))</f>
        <v>0.758501762166431</v>
      </c>
      <c r="G28" s="27" t="n">
        <f aca="false">IF(parametros_recargas!$N$98*G60*G92=0,0,'Demanda por puesto'!$P$188/(parametros_recargas!$N$98*G60*G92))</f>
        <v>0.991228351934687</v>
      </c>
      <c r="H28" s="27" t="n">
        <f aca="false">IF(parametros_recargas!$N$98*H60*H92=0,0,'Demanda por puesto'!$P$220/(parametros_recargas!$N$98*H60*H92))</f>
        <v>1.19008518616759</v>
      </c>
      <c r="I28" s="27" t="n">
        <f aca="false">IF(parametros_recargas!$N$98*I60*I92=0,0,'Demanda por puesto'!$P$252/(parametros_recargas!$N$98*I60*I92))</f>
        <v>1.33129869983334</v>
      </c>
      <c r="J28" s="27" t="n">
        <f aca="false">IF(parametros_recargas!$N$98*J60*J92=0,0,'Demanda por puesto'!$P$284/(parametros_recargas!$N$98*J60*J92))</f>
        <v>1.43893914800279</v>
      </c>
      <c r="K28" s="27" t="n">
        <f aca="false">IF(parametros_recargas!$N$98*K60*K92=0,0,'Demanda por puesto'!$P$316/(parametros_recargas!$N$98*K60*K92))</f>
        <v>1.54980039003892</v>
      </c>
    </row>
    <row r="29" customFormat="false" ht="15" hidden="false" customHeight="false" outlineLevel="0" collapsed="false">
      <c r="A29" s="12" t="str">
        <f aca="false">parametros_recargas!$B$99</f>
        <v>Inutilización y disposición final</v>
      </c>
      <c r="B29" s="27" t="n">
        <f aca="false">IF(parametros_recargas!$N$99*B61*B93=0,0,'Demanda por puesto'!$P$29/(parametros_recargas!$N$99*B61*B93))</f>
        <v>0.0173244287029436</v>
      </c>
      <c r="C29" s="27" t="n">
        <f aca="false">IF(parametros_recargas!$N$99*C61*C93=0,0,'Demanda por puesto'!$P$61/(parametros_recargas!$N$99*C61*C93))</f>
        <v>0.05817473839299</v>
      </c>
      <c r="D29" s="27" t="n">
        <f aca="false">IF(parametros_recargas!$N$99*D61*D93=0,0,'Demanda por puesto'!$P$93/(parametros_recargas!$N$99*D61*D93))</f>
        <v>0.112952747506262</v>
      </c>
      <c r="E29" s="27" t="n">
        <f aca="false">IF(parametros_recargas!$N$99*E61*E93=0,0,'Demanda por puesto'!$P$125/(parametros_recargas!$N$99*E61*E93))</f>
        <v>0.19000878464956</v>
      </c>
      <c r="F29" s="27" t="n">
        <f aca="false">IF(parametros_recargas!$N$99*F61*F93=0,0,'Demanda por puesto'!$P$157/(parametros_recargas!$N$99*F61*F93))</f>
        <v>0.270364130585225</v>
      </c>
      <c r="G29" s="27" t="n">
        <f aca="false">IF(parametros_recargas!$N$99*G61*G93=0,0,'Demanda por puesto'!$P$189/(parametros_recargas!$N$99*G61*G93))</f>
        <v>0.353457159347493</v>
      </c>
      <c r="H29" s="27" t="n">
        <f aca="false">IF(parametros_recargas!$N$99*H61*H93=0,0,'Demanda por puesto'!$P$221/(parametros_recargas!$N$99*H61*H93))</f>
        <v>0.42447497788953</v>
      </c>
      <c r="I29" s="27" t="n">
        <f aca="false">IF(parametros_recargas!$N$99*I61*I93=0,0,'Demanda por puesto'!$P$253/(parametros_recargas!$N$99*I61*I93))</f>
        <v>0.47496585766566</v>
      </c>
      <c r="J29" s="27" t="n">
        <f aca="false">IF(parametros_recargas!$N$99*J61*J93=0,0,'Demanda por puesto'!$P$285/(parametros_recargas!$N$99*J61*J93))</f>
        <v>0.513284976279408</v>
      </c>
      <c r="K29" s="27" t="n">
        <f aca="false">IF(parametros_recargas!$N$99*K61*K93=0,0,'Demanda por puesto'!$P$317/(parametros_recargas!$N$99*K61*K93))</f>
        <v>0.55275857227585</v>
      </c>
    </row>
    <row r="30" customFormat="false" ht="15" hidden="false" customHeight="false" outlineLevel="0" collapsed="false">
      <c r="A30" s="12" t="str">
        <f aca="false">parametros_recargas!$B$100</f>
        <v>PH de mangueras (CO₂ y rodantes)</v>
      </c>
      <c r="B30" s="27" t="n">
        <f aca="false">IF(parametros_recargas!$N$100*B62*B94=0,0,'Demanda por puesto'!$P$30/(parametros_recargas!$N$100*B62*B94))</f>
        <v>0.00505247039391323</v>
      </c>
      <c r="C30" s="27" t="n">
        <f aca="false">IF(parametros_recargas!$N$100*C62*C94=0,0,'Demanda por puesto'!$P$62/(parametros_recargas!$N$100*C62*C94))</f>
        <v>0.0196290127737321</v>
      </c>
      <c r="D30" s="27" t="n">
        <f aca="false">IF(parametros_recargas!$N$100*D62*D94=0,0,'Demanda por puesto'!$P$94/(parametros_recargas!$N$100*D62*D94))</f>
        <v>0.040478206231327</v>
      </c>
      <c r="E30" s="27" t="n">
        <f aca="false">IF(parametros_recargas!$N$100*E62*E94=0,0,'Demanda por puesto'!$P$126/(parametros_recargas!$N$100*E62*E94))</f>
        <v>0.0657144346217662</v>
      </c>
      <c r="F30" s="27" t="n">
        <f aca="false">IF(parametros_recargas!$N$100*F62*F94=0,0,'Demanda por puesto'!$P$158/(parametros_recargas!$N$100*F62*F94))</f>
        <v>0.091515151038422</v>
      </c>
      <c r="G30" s="27" t="n">
        <f aca="false">IF(parametros_recargas!$N$100*G62*G94=0,0,'Demanda por puesto'!$P$190/(parametros_recargas!$N$100*G62*G94))</f>
        <v>0.116821894155773</v>
      </c>
      <c r="H30" s="27" t="n">
        <f aca="false">IF(parametros_recargas!$N$100*H62*H94=0,0,'Demanda por puesto'!$P$222/(parametros_recargas!$N$100*H62*H94))</f>
        <v>0.14045387573268</v>
      </c>
      <c r="I30" s="27" t="n">
        <f aca="false">IF(parametros_recargas!$N$100*I62*I94=0,0,'Demanda por puesto'!$P$254/(parametros_recargas!$N$100*I62*I94))</f>
        <v>0.161548448794248</v>
      </c>
      <c r="J30" s="27" t="n">
        <f aca="false">IF(parametros_recargas!$N$100*J62*J94=0,0,'Demanda por puesto'!$P$286/(parametros_recargas!$N$100*J62*J94))</f>
        <v>0.180516375812222</v>
      </c>
      <c r="K30" s="27" t="n">
        <f aca="false">IF(parametros_recargas!$N$100*K62*K94=0,0,'Demanda por puesto'!$P$318/(parametros_recargas!$N$100*K62*K94))</f>
        <v>0.19946572390116</v>
      </c>
    </row>
    <row r="31" customFormat="false" ht="15" hidden="false" customHeight="false" outlineLevel="0" collapsed="false">
      <c r="A31" s="6" t="s">
        <v>305</v>
      </c>
      <c r="B31" s="29" t="n">
        <f aca="false">MAX(B2:B30)</f>
        <v>0.0591471065131947</v>
      </c>
      <c r="C31" s="29" t="n">
        <f aca="false">MAX(C2:C30)</f>
        <v>0.199442568771048</v>
      </c>
      <c r="D31" s="29" t="n">
        <f aca="false">MAX(D2:D30)</f>
        <v>0.382044030802772</v>
      </c>
      <c r="E31" s="29" t="n">
        <f aca="false">MAX(E2:E30)</f>
        <v>0.642891419469855</v>
      </c>
      <c r="F31" s="29" t="n">
        <f aca="false">MAX(F2:F30)</f>
        <v>0.917457496000622</v>
      </c>
      <c r="G31" s="29" t="n">
        <f aca="false">MAX(G2:G30)</f>
        <v>1.20340181009254</v>
      </c>
      <c r="H31" s="29" t="n">
        <f aca="false">MAX(H2:H30)</f>
        <v>1.44780877695612</v>
      </c>
      <c r="I31" s="29" t="n">
        <f aca="false">MAX(I2:I30)</f>
        <v>1.62263368751171</v>
      </c>
      <c r="J31" s="29" t="n">
        <f aca="false">MAX(J2:J30)</f>
        <v>1.75114646432036</v>
      </c>
      <c r="K31" s="29" t="n">
        <f aca="false">MAX(K2:K30)</f>
        <v>1.88371280013422</v>
      </c>
    </row>
    <row r="33" customFormat="false" ht="15" hidden="false" customHeight="false" outlineLevel="0" collapsed="false">
      <c r="A33" s="3" t="s">
        <v>306</v>
      </c>
      <c r="B33" s="3" t="n">
        <v>2026</v>
      </c>
      <c r="C33" s="3" t="n">
        <v>2027</v>
      </c>
      <c r="D33" s="3" t="n">
        <v>2028</v>
      </c>
      <c r="E33" s="3" t="n">
        <v>2029</v>
      </c>
      <c r="F33" s="3" t="n">
        <v>2030</v>
      </c>
      <c r="G33" s="3" t="n">
        <v>2031</v>
      </c>
      <c r="H33" s="3" t="n">
        <v>2032</v>
      </c>
      <c r="I33" s="3" t="n">
        <v>2033</v>
      </c>
      <c r="J33" s="3" t="n">
        <v>2034</v>
      </c>
      <c r="K33" s="3" t="n">
        <v>2035</v>
      </c>
    </row>
    <row r="34" customFormat="false" ht="15" hidden="false" customHeight="false" outlineLevel="0" collapsed="false">
      <c r="A34" s="12" t="str">
        <f aca="false">parametros_recargas!$B$72</f>
        <v>Recepción y registro</v>
      </c>
      <c r="B34" s="14" t="n">
        <v>1</v>
      </c>
      <c r="C34" s="14" t="n">
        <v>1</v>
      </c>
      <c r="D34" s="14" t="n">
        <v>1</v>
      </c>
      <c r="E34" s="14" t="n">
        <v>1</v>
      </c>
      <c r="F34" s="14" t="n">
        <v>1</v>
      </c>
      <c r="G34" s="14" t="n">
        <v>1</v>
      </c>
      <c r="H34" s="14" t="n">
        <v>1</v>
      </c>
      <c r="I34" s="14" t="n">
        <v>1</v>
      </c>
      <c r="J34" s="14" t="n">
        <v>1</v>
      </c>
      <c r="K34" s="14" t="n">
        <v>1</v>
      </c>
    </row>
    <row r="35" customFormat="false" ht="15" hidden="false" customHeight="false" outlineLevel="0" collapsed="false">
      <c r="A35" s="12" t="str">
        <f aca="false">parametros_recargas!$B$73</f>
        <v>Inspección visual</v>
      </c>
      <c r="B35" s="14" t="n">
        <v>1</v>
      </c>
      <c r="C35" s="14" t="n">
        <v>1</v>
      </c>
      <c r="D35" s="14" t="n">
        <v>1</v>
      </c>
      <c r="E35" s="14" t="n">
        <v>1</v>
      </c>
      <c r="F35" s="14" t="n">
        <v>1</v>
      </c>
      <c r="G35" s="14" t="n">
        <v>1</v>
      </c>
      <c r="H35" s="14" t="n">
        <v>1</v>
      </c>
      <c r="I35" s="14" t="n">
        <v>1</v>
      </c>
      <c r="J35" s="14" t="n">
        <v>1</v>
      </c>
      <c r="K35" s="14" t="n">
        <v>1</v>
      </c>
    </row>
    <row r="36" customFormat="false" ht="15" hidden="false" customHeight="false" outlineLevel="0" collapsed="false">
      <c r="A36" s="12" t="str">
        <f aca="false">parametros_recargas!$B$74</f>
        <v>Descarga ABC — ruta recuperable</v>
      </c>
      <c r="B36" s="14" t="n">
        <v>1</v>
      </c>
      <c r="C36" s="14" t="n">
        <v>1</v>
      </c>
      <c r="D36" s="14" t="n">
        <v>1</v>
      </c>
      <c r="E36" s="14" t="n">
        <v>1</v>
      </c>
      <c r="F36" s="14" t="n">
        <v>1</v>
      </c>
      <c r="G36" s="14" t="n">
        <v>1</v>
      </c>
      <c r="H36" s="14" t="n">
        <v>1</v>
      </c>
      <c r="I36" s="14" t="n">
        <v>1</v>
      </c>
      <c r="J36" s="14" t="n">
        <v>1</v>
      </c>
      <c r="K36" s="14" t="n">
        <v>1</v>
      </c>
    </row>
    <row r="37" customFormat="false" ht="15" hidden="false" customHeight="false" outlineLevel="0" collapsed="false">
      <c r="A37" s="12" t="str">
        <f aca="false">parametros_recargas!$B$75</f>
        <v>Descarga ABC — ruta descarte</v>
      </c>
      <c r="B37" s="14" t="n">
        <v>1</v>
      </c>
      <c r="C37" s="14" t="n">
        <v>1</v>
      </c>
      <c r="D37" s="14" t="n">
        <v>1</v>
      </c>
      <c r="E37" s="14" t="n">
        <v>1</v>
      </c>
      <c r="F37" s="14" t="n">
        <v>1</v>
      </c>
      <c r="G37" s="14" t="n">
        <v>1</v>
      </c>
      <c r="H37" s="14" t="n">
        <v>1</v>
      </c>
      <c r="I37" s="14" t="n">
        <v>1</v>
      </c>
      <c r="J37" s="14" t="n">
        <v>1</v>
      </c>
      <c r="K37" s="14" t="n">
        <v>1</v>
      </c>
    </row>
    <row r="38" customFormat="false" ht="15" hidden="false" customHeight="false" outlineLevel="0" collapsed="false">
      <c r="A38" s="12" t="str">
        <f aca="false">parametros_recargas!$B$76</f>
        <v>Descarga BC</v>
      </c>
      <c r="B38" s="14" t="n">
        <v>1</v>
      </c>
      <c r="C38" s="14" t="n">
        <v>1</v>
      </c>
      <c r="D38" s="14" t="n">
        <v>1</v>
      </c>
      <c r="E38" s="14" t="n">
        <v>1</v>
      </c>
      <c r="F38" s="14" t="n">
        <v>1</v>
      </c>
      <c r="G38" s="14" t="n">
        <v>1</v>
      </c>
      <c r="H38" s="14" t="n">
        <v>1</v>
      </c>
      <c r="I38" s="14" t="n">
        <v>1</v>
      </c>
      <c r="J38" s="14" t="n">
        <v>1</v>
      </c>
      <c r="K38" s="14" t="n">
        <v>1</v>
      </c>
    </row>
    <row r="39" customFormat="false" ht="15" hidden="false" customHeight="false" outlineLevel="0" collapsed="false">
      <c r="A39" s="12" t="str">
        <f aca="false">parametros_recargas!$B$77</f>
        <v>Descarga de agua / AFFF / sales K</v>
      </c>
      <c r="B39" s="14" t="n">
        <v>1</v>
      </c>
      <c r="C39" s="14" t="n">
        <v>1</v>
      </c>
      <c r="D39" s="14" t="n">
        <v>1</v>
      </c>
      <c r="E39" s="14" t="n">
        <v>1</v>
      </c>
      <c r="F39" s="14" t="n">
        <v>1</v>
      </c>
      <c r="G39" s="14" t="n">
        <v>1</v>
      </c>
      <c r="H39" s="14" t="n">
        <v>1</v>
      </c>
      <c r="I39" s="14" t="n">
        <v>1</v>
      </c>
      <c r="J39" s="14" t="n">
        <v>1</v>
      </c>
      <c r="K39" s="14" t="n">
        <v>1</v>
      </c>
    </row>
    <row r="40" customFormat="false" ht="15" hidden="false" customHeight="false" outlineLevel="0" collapsed="false">
      <c r="A40" s="12" t="str">
        <f aca="false">parametros_recargas!$B$78</f>
        <v>Recuperación de CO₂</v>
      </c>
      <c r="B40" s="14" t="n">
        <v>1</v>
      </c>
      <c r="C40" s="14" t="n">
        <v>1</v>
      </c>
      <c r="D40" s="14" t="n">
        <v>1</v>
      </c>
      <c r="E40" s="14" t="n">
        <v>1</v>
      </c>
      <c r="F40" s="14" t="n">
        <v>1</v>
      </c>
      <c r="G40" s="14" t="n">
        <v>1</v>
      </c>
      <c r="H40" s="14" t="n">
        <v>1</v>
      </c>
      <c r="I40" s="14" t="n">
        <v>1</v>
      </c>
      <c r="J40" s="14" t="n">
        <v>1</v>
      </c>
      <c r="K40" s="14" t="n">
        <v>1</v>
      </c>
    </row>
    <row r="41" customFormat="false" ht="15" hidden="false" customHeight="false" outlineLevel="0" collapsed="false">
      <c r="A41" s="12" t="str">
        <f aca="false">parametros_recargas!$B$79</f>
        <v>Recuperación de halogenado</v>
      </c>
      <c r="B41" s="14" t="n">
        <v>1</v>
      </c>
      <c r="C41" s="14" t="n">
        <v>1</v>
      </c>
      <c r="D41" s="14" t="n">
        <v>1</v>
      </c>
      <c r="E41" s="14" t="n">
        <v>1</v>
      </c>
      <c r="F41" s="14" t="n">
        <v>1</v>
      </c>
      <c r="G41" s="14" t="n">
        <v>1</v>
      </c>
      <c r="H41" s="14" t="n">
        <v>1</v>
      </c>
      <c r="I41" s="14" t="n">
        <v>1</v>
      </c>
      <c r="J41" s="14" t="n">
        <v>1</v>
      </c>
      <c r="K41" s="14" t="n">
        <v>1</v>
      </c>
    </row>
    <row r="42" customFormat="false" ht="15" hidden="false" customHeight="false" outlineLevel="0" collapsed="false">
      <c r="A42" s="12" t="str">
        <f aca="false">parametros_recargas!$B$80</f>
        <v>Desarme y limpieza — recinto</v>
      </c>
      <c r="B42" s="14" t="n">
        <v>1</v>
      </c>
      <c r="C42" s="14" t="n">
        <v>1</v>
      </c>
      <c r="D42" s="14" t="n">
        <v>1</v>
      </c>
      <c r="E42" s="14" t="n">
        <v>1</v>
      </c>
      <c r="F42" s="14" t="n">
        <v>1</v>
      </c>
      <c r="G42" s="14" t="n">
        <v>1</v>
      </c>
      <c r="H42" s="14" t="n">
        <v>1</v>
      </c>
      <c r="I42" s="14" t="n">
        <v>1</v>
      </c>
      <c r="J42" s="14" t="n">
        <v>1</v>
      </c>
      <c r="K42" s="14" t="n">
        <v>1</v>
      </c>
    </row>
    <row r="43" customFormat="false" ht="15" hidden="false" customHeight="false" outlineLevel="0" collapsed="false">
      <c r="A43" s="12" t="str">
        <f aca="false">parametros_recargas!$B$81</f>
        <v>Desarme e inspección interior — zona general</v>
      </c>
      <c r="B43" s="14" t="n">
        <v>1</v>
      </c>
      <c r="C43" s="14" t="n">
        <v>1</v>
      </c>
      <c r="D43" s="14" t="n">
        <v>1</v>
      </c>
      <c r="E43" s="14" t="n">
        <v>1</v>
      </c>
      <c r="F43" s="14" t="n">
        <v>1</v>
      </c>
      <c r="G43" s="14" t="n">
        <v>1</v>
      </c>
      <c r="H43" s="14" t="n">
        <v>1</v>
      </c>
      <c r="I43" s="14" t="n">
        <v>1</v>
      </c>
      <c r="J43" s="14" t="n">
        <v>1</v>
      </c>
      <c r="K43" s="14" t="n">
        <v>1</v>
      </c>
    </row>
    <row r="44" customFormat="false" ht="15" hidden="false" customHeight="false" outlineLevel="0" collapsed="false">
      <c r="A44" s="12" t="str">
        <f aca="false">parametros_recargas!$B$82</f>
        <v>Laboratorio — Puffer y mufla</v>
      </c>
      <c r="B44" s="14" t="n">
        <v>1</v>
      </c>
      <c r="C44" s="14" t="n">
        <v>1</v>
      </c>
      <c r="D44" s="14" t="n">
        <v>1</v>
      </c>
      <c r="E44" s="14" t="n">
        <v>1</v>
      </c>
      <c r="F44" s="14" t="n">
        <v>1</v>
      </c>
      <c r="G44" s="14" t="n">
        <v>1</v>
      </c>
      <c r="H44" s="14" t="n">
        <v>1</v>
      </c>
      <c r="I44" s="14" t="n">
        <v>1</v>
      </c>
      <c r="J44" s="14" t="n">
        <v>1</v>
      </c>
      <c r="K44" s="14" t="n">
        <v>1</v>
      </c>
    </row>
    <row r="45" customFormat="false" ht="15" hidden="false" customHeight="false" outlineLevel="0" collapsed="false">
      <c r="A45" s="12" t="str">
        <f aca="false">parametros_recargas!$B$83</f>
        <v>Prueba hidráulica</v>
      </c>
      <c r="B45" s="14" t="n">
        <v>1</v>
      </c>
      <c r="C45" s="14" t="n">
        <v>1</v>
      </c>
      <c r="D45" s="14" t="n">
        <v>1</v>
      </c>
      <c r="E45" s="14" t="n">
        <v>1</v>
      </c>
      <c r="F45" s="14" t="n">
        <v>1</v>
      </c>
      <c r="G45" s="14" t="n">
        <v>1</v>
      </c>
      <c r="H45" s="14" t="n">
        <v>1</v>
      </c>
      <c r="I45" s="14" t="n">
        <v>1</v>
      </c>
      <c r="J45" s="14" t="n">
        <v>1</v>
      </c>
      <c r="K45" s="14" t="n">
        <v>1</v>
      </c>
    </row>
    <row r="46" customFormat="false" ht="15" hidden="false" customHeight="false" outlineLevel="0" collapsed="false">
      <c r="A46" s="12" t="str">
        <f aca="false">parametros_recargas!$B$84</f>
        <v>Secado</v>
      </c>
      <c r="B46" s="14" t="n">
        <v>1</v>
      </c>
      <c r="C46" s="14" t="n">
        <v>1</v>
      </c>
      <c r="D46" s="14" t="n">
        <v>1</v>
      </c>
      <c r="E46" s="14" t="n">
        <v>1</v>
      </c>
      <c r="F46" s="14" t="n">
        <v>1</v>
      </c>
      <c r="G46" s="14" t="n">
        <v>1</v>
      </c>
      <c r="H46" s="14" t="n">
        <v>1</v>
      </c>
      <c r="I46" s="14" t="n">
        <v>1</v>
      </c>
      <c r="J46" s="14" t="n">
        <v>1</v>
      </c>
      <c r="K46" s="14" t="n">
        <v>1</v>
      </c>
    </row>
    <row r="47" customFormat="false" ht="15" hidden="false" customHeight="false" outlineLevel="0" collapsed="false">
      <c r="A47" s="12" t="str">
        <f aca="false">parametros_recargas!$B$85</f>
        <v>Inspección interior con videoscopio</v>
      </c>
      <c r="B47" s="14" t="n">
        <v>1</v>
      </c>
      <c r="C47" s="14" t="n">
        <v>1</v>
      </c>
      <c r="D47" s="14" t="n">
        <v>1</v>
      </c>
      <c r="E47" s="14" t="n">
        <v>1</v>
      </c>
      <c r="F47" s="14" t="n">
        <v>1</v>
      </c>
      <c r="G47" s="14" t="n">
        <v>1</v>
      </c>
      <c r="H47" s="14" t="n">
        <v>1</v>
      </c>
      <c r="I47" s="14" t="n">
        <v>1</v>
      </c>
      <c r="J47" s="14" t="n">
        <v>1</v>
      </c>
      <c r="K47" s="14" t="n">
        <v>1</v>
      </c>
    </row>
    <row r="48" customFormat="false" ht="15" hidden="false" customHeight="false" outlineLevel="0" collapsed="false">
      <c r="A48" s="12" t="str">
        <f aca="false">parametros_recargas!$B$86</f>
        <v>Pintura</v>
      </c>
      <c r="B48" s="14" t="n">
        <v>1</v>
      </c>
      <c r="C48" s="14" t="n">
        <v>1</v>
      </c>
      <c r="D48" s="14" t="n">
        <v>1</v>
      </c>
      <c r="E48" s="14" t="n">
        <v>1</v>
      </c>
      <c r="F48" s="14" t="n">
        <v>1</v>
      </c>
      <c r="G48" s="14" t="n">
        <v>1</v>
      </c>
      <c r="H48" s="14" t="n">
        <v>1</v>
      </c>
      <c r="I48" s="14" t="n">
        <v>1</v>
      </c>
      <c r="J48" s="14" t="n">
        <v>1</v>
      </c>
      <c r="K48" s="14" t="n">
        <v>1</v>
      </c>
    </row>
    <row r="49" customFormat="false" ht="15" hidden="false" customHeight="false" outlineLevel="0" collapsed="false">
      <c r="A49" s="12" t="str">
        <f aca="false">parametros_recargas!$B$87</f>
        <v>Carga de polvo ABC</v>
      </c>
      <c r="B49" s="14" t="n">
        <v>1</v>
      </c>
      <c r="C49" s="14" t="n">
        <v>1</v>
      </c>
      <c r="D49" s="14" t="n">
        <v>1</v>
      </c>
      <c r="E49" s="14" t="n">
        <v>1</v>
      </c>
      <c r="F49" s="14" t="n">
        <v>1</v>
      </c>
      <c r="G49" s="14" t="n">
        <v>1</v>
      </c>
      <c r="H49" s="14" t="n">
        <v>1</v>
      </c>
      <c r="I49" s="14" t="n">
        <v>1</v>
      </c>
      <c r="J49" s="14" t="n">
        <v>1</v>
      </c>
      <c r="K49" s="14" t="n">
        <v>1</v>
      </c>
    </row>
    <row r="50" customFormat="false" ht="15" hidden="false" customHeight="false" outlineLevel="0" collapsed="false">
      <c r="A50" s="12" t="str">
        <f aca="false">parametros_recargas!$B$88</f>
        <v>Carga de polvo BC</v>
      </c>
      <c r="B50" s="14" t="n">
        <v>1</v>
      </c>
      <c r="C50" s="14" t="n">
        <v>1</v>
      </c>
      <c r="D50" s="14" t="n">
        <v>1</v>
      </c>
      <c r="E50" s="14" t="n">
        <v>1</v>
      </c>
      <c r="F50" s="14" t="n">
        <v>1</v>
      </c>
      <c r="G50" s="14" t="n">
        <v>1</v>
      </c>
      <c r="H50" s="14" t="n">
        <v>1</v>
      </c>
      <c r="I50" s="14" t="n">
        <v>1</v>
      </c>
      <c r="J50" s="14" t="n">
        <v>1</v>
      </c>
      <c r="K50" s="14" t="n">
        <v>1</v>
      </c>
    </row>
    <row r="51" customFormat="false" ht="15" hidden="false" customHeight="false" outlineLevel="0" collapsed="false">
      <c r="A51" s="12" t="str">
        <f aca="false">parametros_recargas!$B$89</f>
        <v>Descarga y carga Clase D</v>
      </c>
      <c r="B51" s="14" t="n">
        <v>1</v>
      </c>
      <c r="C51" s="14" t="n">
        <v>1</v>
      </c>
      <c r="D51" s="14" t="n">
        <v>1</v>
      </c>
      <c r="E51" s="14" t="n">
        <v>1</v>
      </c>
      <c r="F51" s="14" t="n">
        <v>1</v>
      </c>
      <c r="G51" s="14" t="n">
        <v>1</v>
      </c>
      <c r="H51" s="14" t="n">
        <v>1</v>
      </c>
      <c r="I51" s="14" t="n">
        <v>1</v>
      </c>
      <c r="J51" s="14" t="n">
        <v>1</v>
      </c>
      <c r="K51" s="14" t="n">
        <v>1</v>
      </c>
    </row>
    <row r="52" customFormat="false" ht="15" hidden="false" customHeight="false" outlineLevel="0" collapsed="false">
      <c r="A52" s="12" t="str">
        <f aca="false">parametros_recargas!$B$90</f>
        <v>Carga de agua / AFFF / sales K</v>
      </c>
      <c r="B52" s="14" t="n">
        <v>1</v>
      </c>
      <c r="C52" s="14" t="n">
        <v>1</v>
      </c>
      <c r="D52" s="14" t="n">
        <v>1</v>
      </c>
      <c r="E52" s="14" t="n">
        <v>1</v>
      </c>
      <c r="F52" s="14" t="n">
        <v>1</v>
      </c>
      <c r="G52" s="14" t="n">
        <v>1</v>
      </c>
      <c r="H52" s="14" t="n">
        <v>1</v>
      </c>
      <c r="I52" s="14" t="n">
        <v>1</v>
      </c>
      <c r="J52" s="14" t="n">
        <v>1</v>
      </c>
      <c r="K52" s="14" t="n">
        <v>1</v>
      </c>
    </row>
    <row r="53" customFormat="false" ht="15" hidden="false" customHeight="false" outlineLevel="0" collapsed="false">
      <c r="A53" s="12" t="str">
        <f aca="false">parametros_recargas!$B$91</f>
        <v>Carga de CO₂</v>
      </c>
      <c r="B53" s="14" t="n">
        <v>1</v>
      </c>
      <c r="C53" s="14" t="n">
        <v>1</v>
      </c>
      <c r="D53" s="14" t="n">
        <v>1</v>
      </c>
      <c r="E53" s="14" t="n">
        <v>1</v>
      </c>
      <c r="F53" s="14" t="n">
        <v>1</v>
      </c>
      <c r="G53" s="14" t="n">
        <v>1</v>
      </c>
      <c r="H53" s="14" t="n">
        <v>1</v>
      </c>
      <c r="I53" s="14" t="n">
        <v>1</v>
      </c>
      <c r="J53" s="14" t="n">
        <v>1</v>
      </c>
      <c r="K53" s="14" t="n">
        <v>1</v>
      </c>
    </row>
    <row r="54" customFormat="false" ht="15" hidden="false" customHeight="false" outlineLevel="0" collapsed="false">
      <c r="A54" s="12" t="str">
        <f aca="false">parametros_recargas!$B$92</f>
        <v>Ensamblaje y marbete — recinto</v>
      </c>
      <c r="B54" s="14" t="n">
        <v>1</v>
      </c>
      <c r="C54" s="14" t="n">
        <v>1</v>
      </c>
      <c r="D54" s="14" t="n">
        <v>1</v>
      </c>
      <c r="E54" s="14" t="n">
        <v>1</v>
      </c>
      <c r="F54" s="14" t="n">
        <v>1</v>
      </c>
      <c r="G54" s="14" t="n">
        <v>1</v>
      </c>
      <c r="H54" s="14" t="n">
        <v>1</v>
      </c>
      <c r="I54" s="14" t="n">
        <v>1</v>
      </c>
      <c r="J54" s="14" t="n">
        <v>1</v>
      </c>
      <c r="K54" s="14" t="n">
        <v>1</v>
      </c>
    </row>
    <row r="55" customFormat="false" ht="15" hidden="false" customHeight="false" outlineLevel="0" collapsed="false">
      <c r="A55" s="12" t="str">
        <f aca="false">parametros_recargas!$B$93</f>
        <v>Presurización — recinto</v>
      </c>
      <c r="B55" s="14" t="n">
        <v>1</v>
      </c>
      <c r="C55" s="14" t="n">
        <v>1</v>
      </c>
      <c r="D55" s="14" t="n">
        <v>1</v>
      </c>
      <c r="E55" s="14" t="n">
        <v>1</v>
      </c>
      <c r="F55" s="14" t="n">
        <v>1</v>
      </c>
      <c r="G55" s="14" t="n">
        <v>1</v>
      </c>
      <c r="H55" s="14" t="n">
        <v>1</v>
      </c>
      <c r="I55" s="14" t="n">
        <v>1</v>
      </c>
      <c r="J55" s="14" t="n">
        <v>1</v>
      </c>
      <c r="K55" s="14" t="n">
        <v>1</v>
      </c>
    </row>
    <row r="56" customFormat="false" ht="15" hidden="false" customHeight="false" outlineLevel="0" collapsed="false">
      <c r="A56" s="12" t="str">
        <f aca="false">parametros_recargas!$B$94</f>
        <v>Ensamblaje y presurización — zona general</v>
      </c>
      <c r="B56" s="14" t="n">
        <v>1</v>
      </c>
      <c r="C56" s="14" t="n">
        <v>1</v>
      </c>
      <c r="D56" s="14" t="n">
        <v>1</v>
      </c>
      <c r="E56" s="14" t="n">
        <v>1</v>
      </c>
      <c r="F56" s="14" t="n">
        <v>1</v>
      </c>
      <c r="G56" s="14" t="n">
        <v>1</v>
      </c>
      <c r="H56" s="14" t="n">
        <v>1</v>
      </c>
      <c r="I56" s="14" t="n">
        <v>1</v>
      </c>
      <c r="J56" s="14" t="n">
        <v>1</v>
      </c>
      <c r="K56" s="14" t="n">
        <v>1</v>
      </c>
    </row>
    <row r="57" customFormat="false" ht="15" hidden="false" customHeight="false" outlineLevel="0" collapsed="false">
      <c r="A57" s="12" t="str">
        <f aca="false">parametros_recargas!$B$95</f>
        <v>Carga y presurización de halogenado</v>
      </c>
      <c r="B57" s="14" t="n">
        <v>1</v>
      </c>
      <c r="C57" s="14" t="n">
        <v>1</v>
      </c>
      <c r="D57" s="14" t="n">
        <v>1</v>
      </c>
      <c r="E57" s="14" t="n">
        <v>1</v>
      </c>
      <c r="F57" s="14" t="n">
        <v>1</v>
      </c>
      <c r="G57" s="14" t="n">
        <v>1</v>
      </c>
      <c r="H57" s="14" t="n">
        <v>1</v>
      </c>
      <c r="I57" s="14" t="n">
        <v>1</v>
      </c>
      <c r="J57" s="14" t="n">
        <v>1</v>
      </c>
      <c r="K57" s="14" t="n">
        <v>1</v>
      </c>
    </row>
    <row r="58" customFormat="false" ht="15" hidden="false" customHeight="false" outlineLevel="0" collapsed="false">
      <c r="A58" s="12" t="str">
        <f aca="false">parametros_recargas!$B$96</f>
        <v>Control de peso (CO₂ y halogenados sin recarga)</v>
      </c>
      <c r="B58" s="14" t="n">
        <v>1</v>
      </c>
      <c r="C58" s="14" t="n">
        <v>1</v>
      </c>
      <c r="D58" s="14" t="n">
        <v>1</v>
      </c>
      <c r="E58" s="14" t="n">
        <v>1</v>
      </c>
      <c r="F58" s="14" t="n">
        <v>1</v>
      </c>
      <c r="G58" s="14" t="n">
        <v>1</v>
      </c>
      <c r="H58" s="14" t="n">
        <v>1</v>
      </c>
      <c r="I58" s="14" t="n">
        <v>1</v>
      </c>
      <c r="J58" s="14" t="n">
        <v>1</v>
      </c>
      <c r="K58" s="14" t="n">
        <v>1</v>
      </c>
    </row>
    <row r="59" customFormat="false" ht="15" hidden="false" customHeight="false" outlineLevel="0" collapsed="false">
      <c r="A59" s="12" t="str">
        <f aca="false">parametros_recargas!$B$97</f>
        <v>Ensayo de pérdidas</v>
      </c>
      <c r="B59" s="14" t="n">
        <v>1</v>
      </c>
      <c r="C59" s="14" t="n">
        <v>1</v>
      </c>
      <c r="D59" s="14" t="n">
        <v>1</v>
      </c>
      <c r="E59" s="14" t="n">
        <v>1</v>
      </c>
      <c r="F59" s="14" t="n">
        <v>1</v>
      </c>
      <c r="G59" s="14" t="n">
        <v>1</v>
      </c>
      <c r="H59" s="14" t="n">
        <v>1</v>
      </c>
      <c r="I59" s="14" t="n">
        <v>1</v>
      </c>
      <c r="J59" s="14" t="n">
        <v>1</v>
      </c>
      <c r="K59" s="14" t="n">
        <v>1</v>
      </c>
    </row>
    <row r="60" customFormat="false" ht="15" hidden="false" customHeight="false" outlineLevel="0" collapsed="false">
      <c r="A60" s="12" t="str">
        <f aca="false">parametros_recargas!$B$98</f>
        <v>Precinto, etiqueta y despacho</v>
      </c>
      <c r="B60" s="14" t="n">
        <v>1</v>
      </c>
      <c r="C60" s="14" t="n">
        <v>1</v>
      </c>
      <c r="D60" s="14" t="n">
        <v>1</v>
      </c>
      <c r="E60" s="14" t="n">
        <v>1</v>
      </c>
      <c r="F60" s="14" t="n">
        <v>1</v>
      </c>
      <c r="G60" s="14" t="n">
        <v>1</v>
      </c>
      <c r="H60" s="14" t="n">
        <v>1</v>
      </c>
      <c r="I60" s="14" t="n">
        <v>1</v>
      </c>
      <c r="J60" s="14" t="n">
        <v>1</v>
      </c>
      <c r="K60" s="14" t="n">
        <v>1</v>
      </c>
    </row>
    <row r="61" customFormat="false" ht="15" hidden="false" customHeight="false" outlineLevel="0" collapsed="false">
      <c r="A61" s="12" t="str">
        <f aca="false">parametros_recargas!$B$99</f>
        <v>Inutilización y disposición final</v>
      </c>
      <c r="B61" s="14" t="n">
        <v>1</v>
      </c>
      <c r="C61" s="14" t="n">
        <v>1</v>
      </c>
      <c r="D61" s="14" t="n">
        <v>1</v>
      </c>
      <c r="E61" s="14" t="n">
        <v>1</v>
      </c>
      <c r="F61" s="14" t="n">
        <v>1</v>
      </c>
      <c r="G61" s="14" t="n">
        <v>1</v>
      </c>
      <c r="H61" s="14" t="n">
        <v>1</v>
      </c>
      <c r="I61" s="14" t="n">
        <v>1</v>
      </c>
      <c r="J61" s="14" t="n">
        <v>1</v>
      </c>
      <c r="K61" s="14" t="n">
        <v>1</v>
      </c>
    </row>
    <row r="62" customFormat="false" ht="15" hidden="false" customHeight="false" outlineLevel="0" collapsed="false">
      <c r="A62" s="12" t="str">
        <f aca="false">parametros_recargas!$B$100</f>
        <v>PH de mangueras (CO₂ y rodantes)</v>
      </c>
      <c r="B62" s="14" t="n">
        <v>1</v>
      </c>
      <c r="C62" s="14" t="n">
        <v>1</v>
      </c>
      <c r="D62" s="14" t="n">
        <v>1</v>
      </c>
      <c r="E62" s="14" t="n">
        <v>1</v>
      </c>
      <c r="F62" s="14" t="n">
        <v>1</v>
      </c>
      <c r="G62" s="14" t="n">
        <v>1</v>
      </c>
      <c r="H62" s="14" t="n">
        <v>1</v>
      </c>
      <c r="I62" s="14" t="n">
        <v>1</v>
      </c>
      <c r="J62" s="14" t="n">
        <v>1</v>
      </c>
      <c r="K62" s="14" t="n">
        <v>1</v>
      </c>
    </row>
    <row r="63" customFormat="false" ht="15" hidden="false" customHeight="false" outlineLevel="0" collapsed="false">
      <c r="A63" s="6" t="s">
        <v>307</v>
      </c>
      <c r="B63" s="16" t="n">
        <f aca="false">SUM(B34:B62)</f>
        <v>29</v>
      </c>
      <c r="C63" s="16" t="n">
        <f aca="false">SUM(C34:C62)</f>
        <v>29</v>
      </c>
      <c r="D63" s="16" t="n">
        <f aca="false">SUM(D34:D62)</f>
        <v>29</v>
      </c>
      <c r="E63" s="16" t="n">
        <f aca="false">SUM(E34:E62)</f>
        <v>29</v>
      </c>
      <c r="F63" s="16" t="n">
        <f aca="false">SUM(F34:F62)</f>
        <v>29</v>
      </c>
      <c r="G63" s="16" t="n">
        <f aca="false">SUM(G34:G62)</f>
        <v>29</v>
      </c>
      <c r="H63" s="16" t="n">
        <f aca="false">SUM(H34:H62)</f>
        <v>29</v>
      </c>
      <c r="I63" s="16" t="n">
        <f aca="false">SUM(I34:I62)</f>
        <v>29</v>
      </c>
      <c r="J63" s="16" t="n">
        <f aca="false">SUM(J34:J62)</f>
        <v>29</v>
      </c>
      <c r="K63" s="16" t="n">
        <f aca="false">SUM(K34:K62)</f>
        <v>29</v>
      </c>
    </row>
    <row r="65" customFormat="false" ht="15" hidden="false" customHeight="false" outlineLevel="0" collapsed="false">
      <c r="A65" s="3" t="s">
        <v>308</v>
      </c>
      <c r="B65" s="3" t="n">
        <v>2026</v>
      </c>
      <c r="C65" s="3" t="n">
        <v>2027</v>
      </c>
      <c r="D65" s="3" t="n">
        <v>2028</v>
      </c>
      <c r="E65" s="3" t="n">
        <v>2029</v>
      </c>
      <c r="F65" s="3" t="n">
        <v>2030</v>
      </c>
      <c r="G65" s="3" t="n">
        <v>2031</v>
      </c>
      <c r="H65" s="3" t="n">
        <v>2032</v>
      </c>
      <c r="I65" s="3" t="n">
        <v>2033</v>
      </c>
      <c r="J65" s="3" t="n">
        <v>2034</v>
      </c>
      <c r="K65" s="3" t="n">
        <v>2035</v>
      </c>
    </row>
    <row r="66" customFormat="false" ht="15" hidden="false" customHeight="false" outlineLevel="0" collapsed="false">
      <c r="A66" s="12" t="str">
        <f aca="false">parametros_recargas!$B$72</f>
        <v>Recepción y registro</v>
      </c>
      <c r="B66" s="14" t="n">
        <v>1</v>
      </c>
      <c r="C66" s="14" t="n">
        <v>1</v>
      </c>
      <c r="D66" s="14" t="n">
        <v>1</v>
      </c>
      <c r="E66" s="14" t="n">
        <v>1</v>
      </c>
      <c r="F66" s="14" t="n">
        <v>1</v>
      </c>
      <c r="G66" s="14" t="n">
        <v>1</v>
      </c>
      <c r="H66" s="14" t="n">
        <v>1</v>
      </c>
      <c r="I66" s="14" t="n">
        <v>1</v>
      </c>
      <c r="J66" s="14" t="n">
        <v>1</v>
      </c>
      <c r="K66" s="14" t="n">
        <v>1</v>
      </c>
    </row>
    <row r="67" customFormat="false" ht="15" hidden="false" customHeight="false" outlineLevel="0" collapsed="false">
      <c r="A67" s="12" t="str">
        <f aca="false">parametros_recargas!$B$73</f>
        <v>Inspección visual</v>
      </c>
      <c r="B67" s="14" t="n">
        <v>1</v>
      </c>
      <c r="C67" s="14" t="n">
        <v>1</v>
      </c>
      <c r="D67" s="14" t="n">
        <v>1</v>
      </c>
      <c r="E67" s="14" t="n">
        <v>1</v>
      </c>
      <c r="F67" s="14" t="n">
        <v>1</v>
      </c>
      <c r="G67" s="14" t="n">
        <v>1</v>
      </c>
      <c r="H67" s="14" t="n">
        <v>1</v>
      </c>
      <c r="I67" s="14" t="n">
        <v>1</v>
      </c>
      <c r="J67" s="14" t="n">
        <v>1</v>
      </c>
      <c r="K67" s="14" t="n">
        <v>1</v>
      </c>
    </row>
    <row r="68" customFormat="false" ht="15" hidden="false" customHeight="false" outlineLevel="0" collapsed="false">
      <c r="A68" s="12" t="str">
        <f aca="false">parametros_recargas!$B$74</f>
        <v>Descarga ABC — ruta recuperable</v>
      </c>
      <c r="B68" s="14" t="n">
        <v>1</v>
      </c>
      <c r="C68" s="14" t="n">
        <v>1</v>
      </c>
      <c r="D68" s="14" t="n">
        <v>1</v>
      </c>
      <c r="E68" s="14" t="n">
        <v>1</v>
      </c>
      <c r="F68" s="14" t="n">
        <v>1</v>
      </c>
      <c r="G68" s="14" t="n">
        <v>1</v>
      </c>
      <c r="H68" s="14" t="n">
        <v>1</v>
      </c>
      <c r="I68" s="14" t="n">
        <v>1</v>
      </c>
      <c r="J68" s="14" t="n">
        <v>1</v>
      </c>
      <c r="K68" s="14" t="n">
        <v>1</v>
      </c>
    </row>
    <row r="69" customFormat="false" ht="15" hidden="false" customHeight="false" outlineLevel="0" collapsed="false">
      <c r="A69" s="12" t="str">
        <f aca="false">parametros_recargas!$B$75</f>
        <v>Descarga ABC — ruta descarte</v>
      </c>
      <c r="B69" s="14" t="n">
        <v>1</v>
      </c>
      <c r="C69" s="14" t="n">
        <v>1</v>
      </c>
      <c r="D69" s="14" t="n">
        <v>1</v>
      </c>
      <c r="E69" s="14" t="n">
        <v>1</v>
      </c>
      <c r="F69" s="14" t="n">
        <v>1</v>
      </c>
      <c r="G69" s="14" t="n">
        <v>1</v>
      </c>
      <c r="H69" s="14" t="n">
        <v>1</v>
      </c>
      <c r="I69" s="14" t="n">
        <v>1</v>
      </c>
      <c r="J69" s="14" t="n">
        <v>1</v>
      </c>
      <c r="K69" s="14" t="n">
        <v>1</v>
      </c>
    </row>
    <row r="70" customFormat="false" ht="15" hidden="false" customHeight="false" outlineLevel="0" collapsed="false">
      <c r="A70" s="12" t="str">
        <f aca="false">parametros_recargas!$B$76</f>
        <v>Descarga BC</v>
      </c>
      <c r="B70" s="14" t="n">
        <v>1</v>
      </c>
      <c r="C70" s="14" t="n">
        <v>1</v>
      </c>
      <c r="D70" s="14" t="n">
        <v>1</v>
      </c>
      <c r="E70" s="14" t="n">
        <v>1</v>
      </c>
      <c r="F70" s="14" t="n">
        <v>1</v>
      </c>
      <c r="G70" s="14" t="n">
        <v>1</v>
      </c>
      <c r="H70" s="14" t="n">
        <v>1</v>
      </c>
      <c r="I70" s="14" t="n">
        <v>1</v>
      </c>
      <c r="J70" s="14" t="n">
        <v>1</v>
      </c>
      <c r="K70" s="14" t="n">
        <v>1</v>
      </c>
    </row>
    <row r="71" customFormat="false" ht="15" hidden="false" customHeight="false" outlineLevel="0" collapsed="false">
      <c r="A71" s="12" t="str">
        <f aca="false">parametros_recargas!$B$77</f>
        <v>Descarga de agua / AFFF / sales K</v>
      </c>
      <c r="B71" s="14" t="n">
        <v>1</v>
      </c>
      <c r="C71" s="14" t="n">
        <v>1</v>
      </c>
      <c r="D71" s="14" t="n">
        <v>1</v>
      </c>
      <c r="E71" s="14" t="n">
        <v>1</v>
      </c>
      <c r="F71" s="14" t="n">
        <v>1</v>
      </c>
      <c r="G71" s="14" t="n">
        <v>1</v>
      </c>
      <c r="H71" s="14" t="n">
        <v>1</v>
      </c>
      <c r="I71" s="14" t="n">
        <v>1</v>
      </c>
      <c r="J71" s="14" t="n">
        <v>1</v>
      </c>
      <c r="K71" s="14" t="n">
        <v>1</v>
      </c>
    </row>
    <row r="72" customFormat="false" ht="15" hidden="false" customHeight="false" outlineLevel="0" collapsed="false">
      <c r="A72" s="12" t="str">
        <f aca="false">parametros_recargas!$B$78</f>
        <v>Recuperación de CO₂</v>
      </c>
      <c r="B72" s="14" t="n">
        <v>1</v>
      </c>
      <c r="C72" s="14" t="n">
        <v>1</v>
      </c>
      <c r="D72" s="14" t="n">
        <v>1</v>
      </c>
      <c r="E72" s="14" t="n">
        <v>1</v>
      </c>
      <c r="F72" s="14" t="n">
        <v>1</v>
      </c>
      <c r="G72" s="14" t="n">
        <v>1</v>
      </c>
      <c r="H72" s="14" t="n">
        <v>1</v>
      </c>
      <c r="I72" s="14" t="n">
        <v>1</v>
      </c>
      <c r="J72" s="14" t="n">
        <v>1</v>
      </c>
      <c r="K72" s="14" t="n">
        <v>1</v>
      </c>
    </row>
    <row r="73" customFormat="false" ht="15" hidden="false" customHeight="false" outlineLevel="0" collapsed="false">
      <c r="A73" s="12" t="str">
        <f aca="false">parametros_recargas!$B$79</f>
        <v>Recuperación de halogenado</v>
      </c>
      <c r="B73" s="14" t="n">
        <v>1</v>
      </c>
      <c r="C73" s="14" t="n">
        <v>1</v>
      </c>
      <c r="D73" s="14" t="n">
        <v>1</v>
      </c>
      <c r="E73" s="14" t="n">
        <v>1</v>
      </c>
      <c r="F73" s="14" t="n">
        <v>1</v>
      </c>
      <c r="G73" s="14" t="n">
        <v>1</v>
      </c>
      <c r="H73" s="14" t="n">
        <v>1</v>
      </c>
      <c r="I73" s="14" t="n">
        <v>1</v>
      </c>
      <c r="J73" s="14" t="n">
        <v>1</v>
      </c>
      <c r="K73" s="14" t="n">
        <v>1</v>
      </c>
    </row>
    <row r="74" customFormat="false" ht="15" hidden="false" customHeight="false" outlineLevel="0" collapsed="false">
      <c r="A74" s="12" t="str">
        <f aca="false">parametros_recargas!$B$80</f>
        <v>Desarme y limpieza — recinto</v>
      </c>
      <c r="B74" s="14" t="n">
        <v>1</v>
      </c>
      <c r="C74" s="14" t="n">
        <v>1</v>
      </c>
      <c r="D74" s="14" t="n">
        <v>1</v>
      </c>
      <c r="E74" s="14" t="n">
        <v>1</v>
      </c>
      <c r="F74" s="14" t="n">
        <v>1</v>
      </c>
      <c r="G74" s="14" t="n">
        <v>1</v>
      </c>
      <c r="H74" s="14" t="n">
        <v>1</v>
      </c>
      <c r="I74" s="14" t="n">
        <v>1</v>
      </c>
      <c r="J74" s="14" t="n">
        <v>1</v>
      </c>
      <c r="K74" s="14" t="n">
        <v>1</v>
      </c>
    </row>
    <row r="75" customFormat="false" ht="15" hidden="false" customHeight="false" outlineLevel="0" collapsed="false">
      <c r="A75" s="12" t="str">
        <f aca="false">parametros_recargas!$B$81</f>
        <v>Desarme e inspección interior — zona general</v>
      </c>
      <c r="B75" s="14" t="n">
        <v>1</v>
      </c>
      <c r="C75" s="14" t="n">
        <v>1</v>
      </c>
      <c r="D75" s="14" t="n">
        <v>1</v>
      </c>
      <c r="E75" s="14" t="n">
        <v>1</v>
      </c>
      <c r="F75" s="14" t="n">
        <v>1</v>
      </c>
      <c r="G75" s="14" t="n">
        <v>1</v>
      </c>
      <c r="H75" s="14" t="n">
        <v>1</v>
      </c>
      <c r="I75" s="14" t="n">
        <v>1</v>
      </c>
      <c r="J75" s="14" t="n">
        <v>1</v>
      </c>
      <c r="K75" s="14" t="n">
        <v>1</v>
      </c>
    </row>
    <row r="76" customFormat="false" ht="15" hidden="false" customHeight="false" outlineLevel="0" collapsed="false">
      <c r="A76" s="12" t="str">
        <f aca="false">parametros_recargas!$B$82</f>
        <v>Laboratorio — Puffer y mufla</v>
      </c>
      <c r="B76" s="14" t="n">
        <v>1</v>
      </c>
      <c r="C76" s="14" t="n">
        <v>1</v>
      </c>
      <c r="D76" s="14" t="n">
        <v>1</v>
      </c>
      <c r="E76" s="14" t="n">
        <v>1</v>
      </c>
      <c r="F76" s="14" t="n">
        <v>1</v>
      </c>
      <c r="G76" s="14" t="n">
        <v>1</v>
      </c>
      <c r="H76" s="14" t="n">
        <v>1</v>
      </c>
      <c r="I76" s="14" t="n">
        <v>1</v>
      </c>
      <c r="J76" s="14" t="n">
        <v>1</v>
      </c>
      <c r="K76" s="14" t="n">
        <v>1</v>
      </c>
    </row>
    <row r="77" customFormat="false" ht="15" hidden="false" customHeight="false" outlineLevel="0" collapsed="false">
      <c r="A77" s="12" t="str">
        <f aca="false">parametros_recargas!$B$83</f>
        <v>Prueba hidráulica</v>
      </c>
      <c r="B77" s="14" t="n">
        <v>1</v>
      </c>
      <c r="C77" s="14" t="n">
        <v>1</v>
      </c>
      <c r="D77" s="14" t="n">
        <v>1</v>
      </c>
      <c r="E77" s="14" t="n">
        <v>1</v>
      </c>
      <c r="F77" s="14" t="n">
        <v>1</v>
      </c>
      <c r="G77" s="14" t="n">
        <v>1</v>
      </c>
      <c r="H77" s="14" t="n">
        <v>1</v>
      </c>
      <c r="I77" s="14" t="n">
        <v>1</v>
      </c>
      <c r="J77" s="14" t="n">
        <v>1</v>
      </c>
      <c r="K77" s="14" t="n">
        <v>1</v>
      </c>
    </row>
    <row r="78" customFormat="false" ht="15" hidden="false" customHeight="false" outlineLevel="0" collapsed="false">
      <c r="A78" s="12" t="str">
        <f aca="false">parametros_recargas!$B$84</f>
        <v>Secado</v>
      </c>
      <c r="B78" s="14" t="n">
        <v>1</v>
      </c>
      <c r="C78" s="14" t="n">
        <v>1</v>
      </c>
      <c r="D78" s="14" t="n">
        <v>1</v>
      </c>
      <c r="E78" s="14" t="n">
        <v>1</v>
      </c>
      <c r="F78" s="14" t="n">
        <v>1</v>
      </c>
      <c r="G78" s="14" t="n">
        <v>1</v>
      </c>
      <c r="H78" s="14" t="n">
        <v>1</v>
      </c>
      <c r="I78" s="14" t="n">
        <v>1</v>
      </c>
      <c r="J78" s="14" t="n">
        <v>1</v>
      </c>
      <c r="K78" s="14" t="n">
        <v>1</v>
      </c>
    </row>
    <row r="79" customFormat="false" ht="15" hidden="false" customHeight="false" outlineLevel="0" collapsed="false">
      <c r="A79" s="12" t="str">
        <f aca="false">parametros_recargas!$B$85</f>
        <v>Inspección interior con videoscopio</v>
      </c>
      <c r="B79" s="14" t="n">
        <v>1</v>
      </c>
      <c r="C79" s="14" t="n">
        <v>1</v>
      </c>
      <c r="D79" s="14" t="n">
        <v>1</v>
      </c>
      <c r="E79" s="14" t="n">
        <v>1</v>
      </c>
      <c r="F79" s="14" t="n">
        <v>1</v>
      </c>
      <c r="G79" s="14" t="n">
        <v>1</v>
      </c>
      <c r="H79" s="14" t="n">
        <v>1</v>
      </c>
      <c r="I79" s="14" t="n">
        <v>1</v>
      </c>
      <c r="J79" s="14" t="n">
        <v>1</v>
      </c>
      <c r="K79" s="14" t="n">
        <v>1</v>
      </c>
    </row>
    <row r="80" customFormat="false" ht="15" hidden="false" customHeight="false" outlineLevel="0" collapsed="false">
      <c r="A80" s="12" t="str">
        <f aca="false">parametros_recargas!$B$86</f>
        <v>Pintura</v>
      </c>
      <c r="B80" s="14" t="n">
        <v>1</v>
      </c>
      <c r="C80" s="14" t="n">
        <v>1</v>
      </c>
      <c r="D80" s="14" t="n">
        <v>1</v>
      </c>
      <c r="E80" s="14" t="n">
        <v>1</v>
      </c>
      <c r="F80" s="14" t="n">
        <v>1</v>
      </c>
      <c r="G80" s="14" t="n">
        <v>1</v>
      </c>
      <c r="H80" s="14" t="n">
        <v>1</v>
      </c>
      <c r="I80" s="14" t="n">
        <v>1</v>
      </c>
      <c r="J80" s="14" t="n">
        <v>1</v>
      </c>
      <c r="K80" s="14" t="n">
        <v>1</v>
      </c>
    </row>
    <row r="81" customFormat="false" ht="15" hidden="false" customHeight="false" outlineLevel="0" collapsed="false">
      <c r="A81" s="12" t="str">
        <f aca="false">parametros_recargas!$B$87</f>
        <v>Carga de polvo ABC</v>
      </c>
      <c r="B81" s="14" t="n">
        <v>1</v>
      </c>
      <c r="C81" s="14" t="n">
        <v>1</v>
      </c>
      <c r="D81" s="14" t="n">
        <v>1</v>
      </c>
      <c r="E81" s="14" t="n">
        <v>1</v>
      </c>
      <c r="F81" s="14" t="n">
        <v>1</v>
      </c>
      <c r="G81" s="14" t="n">
        <v>1</v>
      </c>
      <c r="H81" s="14" t="n">
        <v>1</v>
      </c>
      <c r="I81" s="14" t="n">
        <v>1</v>
      </c>
      <c r="J81" s="14" t="n">
        <v>1</v>
      </c>
      <c r="K81" s="14" t="n">
        <v>1</v>
      </c>
    </row>
    <row r="82" customFormat="false" ht="15" hidden="false" customHeight="false" outlineLevel="0" collapsed="false">
      <c r="A82" s="12" t="str">
        <f aca="false">parametros_recargas!$B$88</f>
        <v>Carga de polvo BC</v>
      </c>
      <c r="B82" s="14" t="n">
        <v>1</v>
      </c>
      <c r="C82" s="14" t="n">
        <v>1</v>
      </c>
      <c r="D82" s="14" t="n">
        <v>1</v>
      </c>
      <c r="E82" s="14" t="n">
        <v>1</v>
      </c>
      <c r="F82" s="14" t="n">
        <v>1</v>
      </c>
      <c r="G82" s="14" t="n">
        <v>1</v>
      </c>
      <c r="H82" s="14" t="n">
        <v>1</v>
      </c>
      <c r="I82" s="14" t="n">
        <v>1</v>
      </c>
      <c r="J82" s="14" t="n">
        <v>1</v>
      </c>
      <c r="K82" s="14" t="n">
        <v>1</v>
      </c>
    </row>
    <row r="83" customFormat="false" ht="15" hidden="false" customHeight="false" outlineLevel="0" collapsed="false">
      <c r="A83" s="12" t="str">
        <f aca="false">parametros_recargas!$B$89</f>
        <v>Descarga y carga Clase D</v>
      </c>
      <c r="B83" s="14" t="n">
        <v>1</v>
      </c>
      <c r="C83" s="14" t="n">
        <v>1</v>
      </c>
      <c r="D83" s="14" t="n">
        <v>1</v>
      </c>
      <c r="E83" s="14" t="n">
        <v>1</v>
      </c>
      <c r="F83" s="14" t="n">
        <v>1</v>
      </c>
      <c r="G83" s="14" t="n">
        <v>1</v>
      </c>
      <c r="H83" s="14" t="n">
        <v>1</v>
      </c>
      <c r="I83" s="14" t="n">
        <v>1</v>
      </c>
      <c r="J83" s="14" t="n">
        <v>1</v>
      </c>
      <c r="K83" s="14" t="n">
        <v>1</v>
      </c>
    </row>
    <row r="84" customFormat="false" ht="15" hidden="false" customHeight="false" outlineLevel="0" collapsed="false">
      <c r="A84" s="12" t="str">
        <f aca="false">parametros_recargas!$B$90</f>
        <v>Carga de agua / AFFF / sales K</v>
      </c>
      <c r="B84" s="14" t="n">
        <v>1</v>
      </c>
      <c r="C84" s="14" t="n">
        <v>1</v>
      </c>
      <c r="D84" s="14" t="n">
        <v>1</v>
      </c>
      <c r="E84" s="14" t="n">
        <v>1</v>
      </c>
      <c r="F84" s="14" t="n">
        <v>1</v>
      </c>
      <c r="G84" s="14" t="n">
        <v>1</v>
      </c>
      <c r="H84" s="14" t="n">
        <v>1</v>
      </c>
      <c r="I84" s="14" t="n">
        <v>1</v>
      </c>
      <c r="J84" s="14" t="n">
        <v>1</v>
      </c>
      <c r="K84" s="14" t="n">
        <v>1</v>
      </c>
    </row>
    <row r="85" customFormat="false" ht="15" hidden="false" customHeight="false" outlineLevel="0" collapsed="false">
      <c r="A85" s="12" t="str">
        <f aca="false">parametros_recargas!$B$91</f>
        <v>Carga de CO₂</v>
      </c>
      <c r="B85" s="14" t="n">
        <v>1</v>
      </c>
      <c r="C85" s="14" t="n">
        <v>1</v>
      </c>
      <c r="D85" s="14" t="n">
        <v>1</v>
      </c>
      <c r="E85" s="14" t="n">
        <v>1</v>
      </c>
      <c r="F85" s="14" t="n">
        <v>1</v>
      </c>
      <c r="G85" s="14" t="n">
        <v>1</v>
      </c>
      <c r="H85" s="14" t="n">
        <v>1</v>
      </c>
      <c r="I85" s="14" t="n">
        <v>1</v>
      </c>
      <c r="J85" s="14" t="n">
        <v>1</v>
      </c>
      <c r="K85" s="14" t="n">
        <v>1</v>
      </c>
    </row>
    <row r="86" customFormat="false" ht="15" hidden="false" customHeight="false" outlineLevel="0" collapsed="false">
      <c r="A86" s="12" t="str">
        <f aca="false">parametros_recargas!$B$92</f>
        <v>Ensamblaje y marbete — recinto</v>
      </c>
      <c r="B86" s="14" t="n">
        <v>1</v>
      </c>
      <c r="C86" s="14" t="n">
        <v>1</v>
      </c>
      <c r="D86" s="14" t="n">
        <v>1</v>
      </c>
      <c r="E86" s="14" t="n">
        <v>1</v>
      </c>
      <c r="F86" s="14" t="n">
        <v>1</v>
      </c>
      <c r="G86" s="14" t="n">
        <v>1</v>
      </c>
      <c r="H86" s="14" t="n">
        <v>1</v>
      </c>
      <c r="I86" s="14" t="n">
        <v>1</v>
      </c>
      <c r="J86" s="14" t="n">
        <v>1</v>
      </c>
      <c r="K86" s="14" t="n">
        <v>1</v>
      </c>
    </row>
    <row r="87" customFormat="false" ht="15" hidden="false" customHeight="false" outlineLevel="0" collapsed="false">
      <c r="A87" s="12" t="str">
        <f aca="false">parametros_recargas!$B$93</f>
        <v>Presurización — recinto</v>
      </c>
      <c r="B87" s="14" t="n">
        <v>1</v>
      </c>
      <c r="C87" s="14" t="n">
        <v>1</v>
      </c>
      <c r="D87" s="14" t="n">
        <v>1</v>
      </c>
      <c r="E87" s="14" t="n">
        <v>1</v>
      </c>
      <c r="F87" s="14" t="n">
        <v>1</v>
      </c>
      <c r="G87" s="14" t="n">
        <v>1</v>
      </c>
      <c r="H87" s="14" t="n">
        <v>1</v>
      </c>
      <c r="I87" s="14" t="n">
        <v>1</v>
      </c>
      <c r="J87" s="14" t="n">
        <v>1</v>
      </c>
      <c r="K87" s="14" t="n">
        <v>1</v>
      </c>
    </row>
    <row r="88" customFormat="false" ht="15" hidden="false" customHeight="false" outlineLevel="0" collapsed="false">
      <c r="A88" s="12" t="str">
        <f aca="false">parametros_recargas!$B$94</f>
        <v>Ensamblaje y presurización — zona general</v>
      </c>
      <c r="B88" s="14" t="n">
        <v>1</v>
      </c>
      <c r="C88" s="14" t="n">
        <v>1</v>
      </c>
      <c r="D88" s="14" t="n">
        <v>1</v>
      </c>
      <c r="E88" s="14" t="n">
        <v>1</v>
      </c>
      <c r="F88" s="14" t="n">
        <v>1</v>
      </c>
      <c r="G88" s="14" t="n">
        <v>1</v>
      </c>
      <c r="H88" s="14" t="n">
        <v>1</v>
      </c>
      <c r="I88" s="14" t="n">
        <v>1</v>
      </c>
      <c r="J88" s="14" t="n">
        <v>1</v>
      </c>
      <c r="K88" s="14" t="n">
        <v>1</v>
      </c>
    </row>
    <row r="89" customFormat="false" ht="15" hidden="false" customHeight="false" outlineLevel="0" collapsed="false">
      <c r="A89" s="12" t="str">
        <f aca="false">parametros_recargas!$B$95</f>
        <v>Carga y presurización de halogenado</v>
      </c>
      <c r="B89" s="14" t="n">
        <v>1</v>
      </c>
      <c r="C89" s="14" t="n">
        <v>1</v>
      </c>
      <c r="D89" s="14" t="n">
        <v>1</v>
      </c>
      <c r="E89" s="14" t="n">
        <v>1</v>
      </c>
      <c r="F89" s="14" t="n">
        <v>1</v>
      </c>
      <c r="G89" s="14" t="n">
        <v>1</v>
      </c>
      <c r="H89" s="14" t="n">
        <v>1</v>
      </c>
      <c r="I89" s="14" t="n">
        <v>1</v>
      </c>
      <c r="J89" s="14" t="n">
        <v>1</v>
      </c>
      <c r="K89" s="14" t="n">
        <v>1</v>
      </c>
    </row>
    <row r="90" customFormat="false" ht="15" hidden="false" customHeight="false" outlineLevel="0" collapsed="false">
      <c r="A90" s="12" t="str">
        <f aca="false">parametros_recargas!$B$96</f>
        <v>Control de peso (CO₂ y halogenados sin recarga)</v>
      </c>
      <c r="B90" s="14" t="n">
        <v>1</v>
      </c>
      <c r="C90" s="14" t="n">
        <v>1</v>
      </c>
      <c r="D90" s="14" t="n">
        <v>1</v>
      </c>
      <c r="E90" s="14" t="n">
        <v>1</v>
      </c>
      <c r="F90" s="14" t="n">
        <v>1</v>
      </c>
      <c r="G90" s="14" t="n">
        <v>1</v>
      </c>
      <c r="H90" s="14" t="n">
        <v>1</v>
      </c>
      <c r="I90" s="14" t="n">
        <v>1</v>
      </c>
      <c r="J90" s="14" t="n">
        <v>1</v>
      </c>
      <c r="K90" s="14" t="n">
        <v>1</v>
      </c>
    </row>
    <row r="91" customFormat="false" ht="15" hidden="false" customHeight="false" outlineLevel="0" collapsed="false">
      <c r="A91" s="12" t="str">
        <f aca="false">parametros_recargas!$B$97</f>
        <v>Ensayo de pérdidas</v>
      </c>
      <c r="B91" s="14" t="n">
        <v>1</v>
      </c>
      <c r="C91" s="14" t="n">
        <v>1</v>
      </c>
      <c r="D91" s="14" t="n">
        <v>1</v>
      </c>
      <c r="E91" s="14" t="n">
        <v>1</v>
      </c>
      <c r="F91" s="14" t="n">
        <v>1</v>
      </c>
      <c r="G91" s="14" t="n">
        <v>1</v>
      </c>
      <c r="H91" s="14" t="n">
        <v>1</v>
      </c>
      <c r="I91" s="14" t="n">
        <v>1</v>
      </c>
      <c r="J91" s="14" t="n">
        <v>1</v>
      </c>
      <c r="K91" s="14" t="n">
        <v>1</v>
      </c>
    </row>
    <row r="92" customFormat="false" ht="15" hidden="false" customHeight="false" outlineLevel="0" collapsed="false">
      <c r="A92" s="12" t="str">
        <f aca="false">parametros_recargas!$B$98</f>
        <v>Precinto, etiqueta y despacho</v>
      </c>
      <c r="B92" s="14" t="n">
        <v>1</v>
      </c>
      <c r="C92" s="14" t="n">
        <v>1</v>
      </c>
      <c r="D92" s="14" t="n">
        <v>1</v>
      </c>
      <c r="E92" s="14" t="n">
        <v>1</v>
      </c>
      <c r="F92" s="14" t="n">
        <v>1</v>
      </c>
      <c r="G92" s="14" t="n">
        <v>1</v>
      </c>
      <c r="H92" s="14" t="n">
        <v>1</v>
      </c>
      <c r="I92" s="14" t="n">
        <v>1</v>
      </c>
      <c r="J92" s="14" t="n">
        <v>1</v>
      </c>
      <c r="K92" s="14" t="n">
        <v>1</v>
      </c>
    </row>
    <row r="93" customFormat="false" ht="15" hidden="false" customHeight="false" outlineLevel="0" collapsed="false">
      <c r="A93" s="12" t="str">
        <f aca="false">parametros_recargas!$B$99</f>
        <v>Inutilización y disposición final</v>
      </c>
      <c r="B93" s="14" t="n">
        <v>1</v>
      </c>
      <c r="C93" s="14" t="n">
        <v>1</v>
      </c>
      <c r="D93" s="14" t="n">
        <v>1</v>
      </c>
      <c r="E93" s="14" t="n">
        <v>1</v>
      </c>
      <c r="F93" s="14" t="n">
        <v>1</v>
      </c>
      <c r="G93" s="14" t="n">
        <v>1</v>
      </c>
      <c r="H93" s="14" t="n">
        <v>1</v>
      </c>
      <c r="I93" s="14" t="n">
        <v>1</v>
      </c>
      <c r="J93" s="14" t="n">
        <v>1</v>
      </c>
      <c r="K93" s="14" t="n">
        <v>1</v>
      </c>
    </row>
    <row r="94" customFormat="false" ht="15" hidden="false" customHeight="false" outlineLevel="0" collapsed="false">
      <c r="A94" s="12" t="str">
        <f aca="false">parametros_recargas!$B$100</f>
        <v>PH de mangueras (CO₂ y rodantes)</v>
      </c>
      <c r="B94" s="14" t="n">
        <v>1</v>
      </c>
      <c r="C94" s="14" t="n">
        <v>1</v>
      </c>
      <c r="D94" s="14" t="n">
        <v>1</v>
      </c>
      <c r="E94" s="14" t="n">
        <v>1</v>
      </c>
      <c r="F94" s="14" t="n">
        <v>1</v>
      </c>
      <c r="G94" s="14" t="n">
        <v>1</v>
      </c>
      <c r="H94" s="14" t="n">
        <v>1</v>
      </c>
      <c r="I94" s="14" t="n">
        <v>1</v>
      </c>
      <c r="J94" s="14" t="n">
        <v>1</v>
      </c>
      <c r="K94" s="14" t="n">
        <v>1</v>
      </c>
    </row>
    <row r="95" customFormat="false" ht="15" hidden="false" customHeight="false" outlineLevel="0" collapsed="false">
      <c r="A95" s="6" t="s">
        <v>309</v>
      </c>
      <c r="B95" s="16" t="n">
        <f aca="false">MAX(B66:B94)</f>
        <v>1</v>
      </c>
      <c r="C95" s="16" t="n">
        <f aca="false">MAX(C66:C94)</f>
        <v>1</v>
      </c>
      <c r="D95" s="16" t="n">
        <f aca="false">MAX(D66:D94)</f>
        <v>1</v>
      </c>
      <c r="E95" s="16" t="n">
        <f aca="false">MAX(E66:E94)</f>
        <v>1</v>
      </c>
      <c r="F95" s="16" t="n">
        <f aca="false">MAX(F66:F94)</f>
        <v>1</v>
      </c>
      <c r="G95" s="16" t="n">
        <f aca="false">MAX(G66:G94)</f>
        <v>1</v>
      </c>
      <c r="H95" s="16" t="n">
        <f aca="false">MAX(H66:H94)</f>
        <v>1</v>
      </c>
      <c r="I95" s="16" t="n">
        <f aca="false">MAX(I66:I94)</f>
        <v>1</v>
      </c>
      <c r="J95" s="16" t="n">
        <f aca="false">MAX(J66:J94)</f>
        <v>1</v>
      </c>
      <c r="K95" s="16" t="n">
        <f aca="false">MAX(K66:K94)</f>
        <v>1</v>
      </c>
    </row>
    <row r="97" customFormat="false" ht="15" hidden="false" customHeight="false" outlineLevel="0" collapsed="false">
      <c r="A97" s="3" t="s">
        <v>310</v>
      </c>
      <c r="B97" s="3" t="n">
        <v>2026</v>
      </c>
      <c r="C97" s="3" t="n">
        <v>2027</v>
      </c>
      <c r="D97" s="3" t="n">
        <v>2028</v>
      </c>
      <c r="E97" s="3" t="n">
        <v>2029</v>
      </c>
      <c r="F97" s="3" t="n">
        <v>2030</v>
      </c>
      <c r="G97" s="3" t="n">
        <v>2031</v>
      </c>
      <c r="H97" s="3" t="n">
        <v>2032</v>
      </c>
      <c r="I97" s="3" t="n">
        <v>2033</v>
      </c>
      <c r="J97" s="3" t="n">
        <v>2034</v>
      </c>
      <c r="K97" s="3" t="n">
        <v>2035</v>
      </c>
    </row>
    <row r="98" customFormat="false" ht="15" hidden="false" customHeight="false" outlineLevel="0" collapsed="false">
      <c r="A98" s="12" t="str">
        <f aca="false">parametros_recargas!$B$72</f>
        <v>Recepción y registro</v>
      </c>
      <c r="B98" s="24" t="n">
        <f aca="false">IF(parametros_recargas!$N$72=0,0,ROUNDUP('Demanda por puesto'!$P$2/(parametros_recargas!$N$72*$O$9),0))</f>
        <v>1</v>
      </c>
      <c r="C98" s="24" t="n">
        <f aca="false">IF(parametros_recargas!$N$72=0,0,ROUNDUP('Demanda por puesto'!$P$34/(parametros_recargas!$N$72*$O$9),0))</f>
        <v>1</v>
      </c>
      <c r="D98" s="24" t="n">
        <f aca="false">IF(parametros_recargas!$N$72=0,0,ROUNDUP('Demanda por puesto'!$P$66/(parametros_recargas!$N$72*$O$9),0))</f>
        <v>1</v>
      </c>
      <c r="E98" s="24" t="n">
        <f aca="false">IF(parametros_recargas!$N$72=0,0,ROUNDUP('Demanda por puesto'!$P$98/(parametros_recargas!$N$72*$O$9),0))</f>
        <v>1</v>
      </c>
      <c r="F98" s="24" t="n">
        <f aca="false">IF(parametros_recargas!$N$72=0,0,ROUNDUP('Demanda por puesto'!$P$130/(parametros_recargas!$N$72*$O$9),0))</f>
        <v>1</v>
      </c>
      <c r="G98" s="24" t="n">
        <f aca="false">IF(parametros_recargas!$N$72=0,0,ROUNDUP('Demanda por puesto'!$P$162/(parametros_recargas!$N$72*$O$9),0))</f>
        <v>1</v>
      </c>
      <c r="H98" s="24" t="n">
        <f aca="false">IF(parametros_recargas!$N$72=0,0,ROUNDUP('Demanda por puesto'!$P$194/(parametros_recargas!$N$72*$O$9),0))</f>
        <v>2</v>
      </c>
      <c r="I98" s="24" t="n">
        <f aca="false">IF(parametros_recargas!$N$72=0,0,ROUNDUP('Demanda por puesto'!$P$226/(parametros_recargas!$N$72*$O$9),0))</f>
        <v>2</v>
      </c>
      <c r="J98" s="24" t="n">
        <f aca="false">IF(parametros_recargas!$N$72=0,0,ROUNDUP('Demanda por puesto'!$P$258/(parametros_recargas!$N$72*$O$9),0))</f>
        <v>2</v>
      </c>
      <c r="K98" s="24" t="n">
        <f aca="false">IF(parametros_recargas!$N$72=0,0,ROUNDUP('Demanda por puesto'!$P$290/(parametros_recargas!$N$72*$O$9),0))</f>
        <v>2</v>
      </c>
    </row>
    <row r="99" customFormat="false" ht="15" hidden="false" customHeight="false" outlineLevel="0" collapsed="false">
      <c r="A99" s="12" t="str">
        <f aca="false">parametros_recargas!$B$73</f>
        <v>Inspección visual</v>
      </c>
      <c r="B99" s="24" t="n">
        <f aca="false">IF(parametros_recargas!$N$73=0,0,ROUNDUP('Demanda por puesto'!$P$3/(parametros_recargas!$N$73*$O$9),0))</f>
        <v>1</v>
      </c>
      <c r="C99" s="24" t="n">
        <f aca="false">IF(parametros_recargas!$N$73=0,0,ROUNDUP('Demanda por puesto'!$P$35/(parametros_recargas!$N$73*$O$9),0))</f>
        <v>1</v>
      </c>
      <c r="D99" s="24" t="n">
        <f aca="false">IF(parametros_recargas!$N$73=0,0,ROUNDUP('Demanda por puesto'!$P$67/(parametros_recargas!$N$73*$O$9),0))</f>
        <v>1</v>
      </c>
      <c r="E99" s="24" t="n">
        <f aca="false">IF(parametros_recargas!$N$73=0,0,ROUNDUP('Demanda por puesto'!$P$99/(parametros_recargas!$N$73*$O$9),0))</f>
        <v>1</v>
      </c>
      <c r="F99" s="24" t="n">
        <f aca="false">IF(parametros_recargas!$N$73=0,0,ROUNDUP('Demanda por puesto'!$P$131/(parametros_recargas!$N$73*$O$9),0))</f>
        <v>1</v>
      </c>
      <c r="G99" s="24" t="n">
        <f aca="false">IF(parametros_recargas!$N$73=0,0,ROUNDUP('Demanda por puesto'!$P$163/(parametros_recargas!$N$73*$O$9),0))</f>
        <v>2</v>
      </c>
      <c r="H99" s="24" t="n">
        <f aca="false">IF(parametros_recargas!$N$73=0,0,ROUNDUP('Demanda por puesto'!$P$195/(parametros_recargas!$N$73*$O$9),0))</f>
        <v>2</v>
      </c>
      <c r="I99" s="24" t="n">
        <f aca="false">IF(parametros_recargas!$N$73=0,0,ROUNDUP('Demanda por puesto'!$P$227/(parametros_recargas!$N$73*$O$9),0))</f>
        <v>2</v>
      </c>
      <c r="J99" s="24" t="n">
        <f aca="false">IF(parametros_recargas!$N$73=0,0,ROUNDUP('Demanda por puesto'!$P$259/(parametros_recargas!$N$73*$O$9),0))</f>
        <v>2</v>
      </c>
      <c r="K99" s="24" t="n">
        <f aca="false">IF(parametros_recargas!$N$73=0,0,ROUNDUP('Demanda por puesto'!$P$291/(parametros_recargas!$N$73*$O$9),0))</f>
        <v>2</v>
      </c>
    </row>
    <row r="100" customFormat="false" ht="15" hidden="false" customHeight="false" outlineLevel="0" collapsed="false">
      <c r="A100" s="12" t="str">
        <f aca="false">parametros_recargas!$B$74</f>
        <v>Descarga ABC — ruta recuperable</v>
      </c>
      <c r="B100" s="24" t="n">
        <f aca="false">IF(parametros_recargas!$N$74=0,0,ROUNDUP('Demanda por puesto'!$P$4/(parametros_recargas!$N$74*$O$9),0))</f>
        <v>1</v>
      </c>
      <c r="C100" s="24" t="n">
        <f aca="false">IF(parametros_recargas!$N$74=0,0,ROUNDUP('Demanda por puesto'!$P$36/(parametros_recargas!$N$74*$O$9),0))</f>
        <v>1</v>
      </c>
      <c r="D100" s="24" t="n">
        <f aca="false">IF(parametros_recargas!$N$74=0,0,ROUNDUP('Demanda por puesto'!$P$68/(parametros_recargas!$N$74*$O$9),0))</f>
        <v>1</v>
      </c>
      <c r="E100" s="24" t="n">
        <f aca="false">IF(parametros_recargas!$N$74=0,0,ROUNDUP('Demanda por puesto'!$P$100/(parametros_recargas!$N$74*$O$9),0))</f>
        <v>1</v>
      </c>
      <c r="F100" s="24" t="n">
        <f aca="false">IF(parametros_recargas!$N$74=0,0,ROUNDUP('Demanda por puesto'!$P$132/(parametros_recargas!$N$74*$O$9),0))</f>
        <v>1</v>
      </c>
      <c r="G100" s="24" t="n">
        <f aca="false">IF(parametros_recargas!$N$74=0,0,ROUNDUP('Demanda por puesto'!$P$164/(parametros_recargas!$N$74*$O$9),0))</f>
        <v>1</v>
      </c>
      <c r="H100" s="24" t="n">
        <f aca="false">IF(parametros_recargas!$N$74=0,0,ROUNDUP('Demanda por puesto'!$P$196/(parametros_recargas!$N$74*$O$9),0))</f>
        <v>1</v>
      </c>
      <c r="I100" s="24" t="n">
        <f aca="false">IF(parametros_recargas!$N$74=0,0,ROUNDUP('Demanda por puesto'!$P$228/(parametros_recargas!$N$74*$O$9),0))</f>
        <v>2</v>
      </c>
      <c r="J100" s="24" t="n">
        <f aca="false">IF(parametros_recargas!$N$74=0,0,ROUNDUP('Demanda por puesto'!$P$260/(parametros_recargas!$N$74*$O$9),0))</f>
        <v>2</v>
      </c>
      <c r="K100" s="24" t="n">
        <f aca="false">IF(parametros_recargas!$N$74=0,0,ROUNDUP('Demanda por puesto'!$P$292/(parametros_recargas!$N$74*$O$9),0))</f>
        <v>2</v>
      </c>
    </row>
    <row r="101" customFormat="false" ht="15" hidden="false" customHeight="false" outlineLevel="0" collapsed="false">
      <c r="A101" s="12" t="str">
        <f aca="false">parametros_recargas!$B$75</f>
        <v>Descarga ABC — ruta descarte</v>
      </c>
      <c r="B101" s="24" t="n">
        <f aca="false">IF(parametros_recargas!$N$75=0,0,ROUNDUP('Demanda por puesto'!$P$5/(parametros_recargas!$N$75*$O$9),0))</f>
        <v>1</v>
      </c>
      <c r="C101" s="24" t="n">
        <f aca="false">IF(parametros_recargas!$N$75=0,0,ROUNDUP('Demanda por puesto'!$P$37/(parametros_recargas!$N$75*$O$9),0))</f>
        <v>1</v>
      </c>
      <c r="D101" s="24" t="n">
        <f aca="false">IF(parametros_recargas!$N$75=0,0,ROUNDUP('Demanda por puesto'!$P$69/(parametros_recargas!$N$75*$O$9),0))</f>
        <v>1</v>
      </c>
      <c r="E101" s="24" t="n">
        <f aca="false">IF(parametros_recargas!$N$75=0,0,ROUNDUP('Demanda por puesto'!$P$101/(parametros_recargas!$N$75*$O$9),0))</f>
        <v>1</v>
      </c>
      <c r="F101" s="24" t="n">
        <f aca="false">IF(parametros_recargas!$N$75=0,0,ROUNDUP('Demanda por puesto'!$P$133/(parametros_recargas!$N$75*$O$9),0))</f>
        <v>1</v>
      </c>
      <c r="G101" s="24" t="n">
        <f aca="false">IF(parametros_recargas!$N$75=0,0,ROUNDUP('Demanda por puesto'!$P$165/(parametros_recargas!$N$75*$O$9),0))</f>
        <v>1</v>
      </c>
      <c r="H101" s="24" t="n">
        <f aca="false">IF(parametros_recargas!$N$75=0,0,ROUNDUP('Demanda por puesto'!$P$197/(parametros_recargas!$N$75*$O$9),0))</f>
        <v>1</v>
      </c>
      <c r="I101" s="24" t="n">
        <f aca="false">IF(parametros_recargas!$N$75=0,0,ROUNDUP('Demanda por puesto'!$P$229/(parametros_recargas!$N$75*$O$9),0))</f>
        <v>1</v>
      </c>
      <c r="J101" s="24" t="n">
        <f aca="false">IF(parametros_recargas!$N$75=0,0,ROUNDUP('Demanda por puesto'!$P$261/(parametros_recargas!$N$75*$O$9),0))</f>
        <v>1</v>
      </c>
      <c r="K101" s="24" t="n">
        <f aca="false">IF(parametros_recargas!$N$75=0,0,ROUNDUP('Demanda por puesto'!$P$293/(parametros_recargas!$N$75*$O$9),0))</f>
        <v>1</v>
      </c>
    </row>
    <row r="102" customFormat="false" ht="15" hidden="false" customHeight="false" outlineLevel="0" collapsed="false">
      <c r="A102" s="12" t="str">
        <f aca="false">parametros_recargas!$B$76</f>
        <v>Descarga BC</v>
      </c>
      <c r="B102" s="24" t="n">
        <f aca="false">IF(parametros_recargas!$N$76=0,0,ROUNDUP('Demanda por puesto'!$P$6/(parametros_recargas!$N$76*$O$9),0))</f>
        <v>1</v>
      </c>
      <c r="C102" s="24" t="n">
        <f aca="false">IF(parametros_recargas!$N$76=0,0,ROUNDUP('Demanda por puesto'!$P$38/(parametros_recargas!$N$76*$O$9),0))</f>
        <v>1</v>
      </c>
      <c r="D102" s="24" t="n">
        <f aca="false">IF(parametros_recargas!$N$76=0,0,ROUNDUP('Demanda por puesto'!$P$70/(parametros_recargas!$N$76*$O$9),0))</f>
        <v>1</v>
      </c>
      <c r="E102" s="24" t="n">
        <f aca="false">IF(parametros_recargas!$N$76=0,0,ROUNDUP('Demanda por puesto'!$P$102/(parametros_recargas!$N$76*$O$9),0))</f>
        <v>1</v>
      </c>
      <c r="F102" s="24" t="n">
        <f aca="false">IF(parametros_recargas!$N$76=0,0,ROUNDUP('Demanda por puesto'!$P$134/(parametros_recargas!$N$76*$O$9),0))</f>
        <v>1</v>
      </c>
      <c r="G102" s="24" t="n">
        <f aca="false">IF(parametros_recargas!$N$76=0,0,ROUNDUP('Demanda por puesto'!$P$166/(parametros_recargas!$N$76*$O$9),0))</f>
        <v>1</v>
      </c>
      <c r="H102" s="24" t="n">
        <f aca="false">IF(parametros_recargas!$N$76=0,0,ROUNDUP('Demanda por puesto'!$P$198/(parametros_recargas!$N$76*$O$9),0))</f>
        <v>1</v>
      </c>
      <c r="I102" s="24" t="n">
        <f aca="false">IF(parametros_recargas!$N$76=0,0,ROUNDUP('Demanda por puesto'!$P$230/(parametros_recargas!$N$76*$O$9),0))</f>
        <v>1</v>
      </c>
      <c r="J102" s="24" t="n">
        <f aca="false">IF(parametros_recargas!$N$76=0,0,ROUNDUP('Demanda por puesto'!$P$262/(parametros_recargas!$N$76*$O$9),0))</f>
        <v>1</v>
      </c>
      <c r="K102" s="24" t="n">
        <f aca="false">IF(parametros_recargas!$N$76=0,0,ROUNDUP('Demanda por puesto'!$P$294/(parametros_recargas!$N$76*$O$9),0))</f>
        <v>1</v>
      </c>
    </row>
    <row r="103" customFormat="false" ht="15" hidden="false" customHeight="false" outlineLevel="0" collapsed="false">
      <c r="A103" s="12" t="str">
        <f aca="false">parametros_recargas!$B$77</f>
        <v>Descarga de agua / AFFF / sales K</v>
      </c>
      <c r="B103" s="24" t="n">
        <f aca="false">IF(parametros_recargas!$N$77=0,0,ROUNDUP('Demanda por puesto'!$P$7/(parametros_recargas!$N$77*$O$9),0))</f>
        <v>1</v>
      </c>
      <c r="C103" s="24" t="n">
        <f aca="false">IF(parametros_recargas!$N$77=0,0,ROUNDUP('Demanda por puesto'!$P$39/(parametros_recargas!$N$77*$O$9),0))</f>
        <v>1</v>
      </c>
      <c r="D103" s="24" t="n">
        <f aca="false">IF(parametros_recargas!$N$77=0,0,ROUNDUP('Demanda por puesto'!$P$71/(parametros_recargas!$N$77*$O$9),0))</f>
        <v>1</v>
      </c>
      <c r="E103" s="24" t="n">
        <f aca="false">IF(parametros_recargas!$N$77=0,0,ROUNDUP('Demanda por puesto'!$P$103/(parametros_recargas!$N$77*$O$9),0))</f>
        <v>1</v>
      </c>
      <c r="F103" s="24" t="n">
        <f aca="false">IF(parametros_recargas!$N$77=0,0,ROUNDUP('Demanda por puesto'!$P$135/(parametros_recargas!$N$77*$O$9),0))</f>
        <v>1</v>
      </c>
      <c r="G103" s="24" t="n">
        <f aca="false">IF(parametros_recargas!$N$77=0,0,ROUNDUP('Demanda por puesto'!$P$167/(parametros_recargas!$N$77*$O$9),0))</f>
        <v>1</v>
      </c>
      <c r="H103" s="24" t="n">
        <f aca="false">IF(parametros_recargas!$N$77=0,0,ROUNDUP('Demanda por puesto'!$P$199/(parametros_recargas!$N$77*$O$9),0))</f>
        <v>1</v>
      </c>
      <c r="I103" s="24" t="n">
        <f aca="false">IF(parametros_recargas!$N$77=0,0,ROUNDUP('Demanda por puesto'!$P$231/(parametros_recargas!$N$77*$O$9),0))</f>
        <v>1</v>
      </c>
      <c r="J103" s="24" t="n">
        <f aca="false">IF(parametros_recargas!$N$77=0,0,ROUNDUP('Demanda por puesto'!$P$263/(parametros_recargas!$N$77*$O$9),0))</f>
        <v>1</v>
      </c>
      <c r="K103" s="24" t="n">
        <f aca="false">IF(parametros_recargas!$N$77=0,0,ROUNDUP('Demanda por puesto'!$P$295/(parametros_recargas!$N$77*$O$9),0))</f>
        <v>1</v>
      </c>
    </row>
    <row r="104" customFormat="false" ht="15" hidden="false" customHeight="false" outlineLevel="0" collapsed="false">
      <c r="A104" s="12" t="str">
        <f aca="false">parametros_recargas!$B$78</f>
        <v>Recuperación de CO₂</v>
      </c>
      <c r="B104" s="24" t="n">
        <f aca="false">IF(parametros_recargas!$N$78=0,0,ROUNDUP('Demanda por puesto'!$P$8/(parametros_recargas!$N$78*$O$9),0))</f>
        <v>1</v>
      </c>
      <c r="C104" s="24" t="n">
        <f aca="false">IF(parametros_recargas!$N$78=0,0,ROUNDUP('Demanda por puesto'!$P$40/(parametros_recargas!$N$78*$O$9),0))</f>
        <v>1</v>
      </c>
      <c r="D104" s="24" t="n">
        <f aca="false">IF(parametros_recargas!$N$78=0,0,ROUNDUP('Demanda por puesto'!$P$72/(parametros_recargas!$N$78*$O$9),0))</f>
        <v>1</v>
      </c>
      <c r="E104" s="24" t="n">
        <f aca="false">IF(parametros_recargas!$N$78=0,0,ROUNDUP('Demanda por puesto'!$P$104/(parametros_recargas!$N$78*$O$9),0))</f>
        <v>1</v>
      </c>
      <c r="F104" s="24" t="n">
        <f aca="false">IF(parametros_recargas!$N$78=0,0,ROUNDUP('Demanda por puesto'!$P$136/(parametros_recargas!$N$78*$O$9),0))</f>
        <v>1</v>
      </c>
      <c r="G104" s="24" t="n">
        <f aca="false">IF(parametros_recargas!$N$78=0,0,ROUNDUP('Demanda por puesto'!$P$168/(parametros_recargas!$N$78*$O$9),0))</f>
        <v>1</v>
      </c>
      <c r="H104" s="24" t="n">
        <f aca="false">IF(parametros_recargas!$N$78=0,0,ROUNDUP('Demanda por puesto'!$P$200/(parametros_recargas!$N$78*$O$9),0))</f>
        <v>1</v>
      </c>
      <c r="I104" s="24" t="n">
        <f aca="false">IF(parametros_recargas!$N$78=0,0,ROUNDUP('Demanda por puesto'!$P$232/(parametros_recargas!$N$78*$O$9),0))</f>
        <v>1</v>
      </c>
      <c r="J104" s="24" t="n">
        <f aca="false">IF(parametros_recargas!$N$78=0,0,ROUNDUP('Demanda por puesto'!$P$264/(parametros_recargas!$N$78*$O$9),0))</f>
        <v>1</v>
      </c>
      <c r="K104" s="24" t="n">
        <f aca="false">IF(parametros_recargas!$N$78=0,0,ROUNDUP('Demanda por puesto'!$P$296/(parametros_recargas!$N$78*$O$9),0))</f>
        <v>1</v>
      </c>
    </row>
    <row r="105" customFormat="false" ht="15" hidden="false" customHeight="false" outlineLevel="0" collapsed="false">
      <c r="A105" s="12" t="str">
        <f aca="false">parametros_recargas!$B$79</f>
        <v>Recuperación de halogenado</v>
      </c>
      <c r="B105" s="24" t="n">
        <f aca="false">IF(parametros_recargas!$N$79=0,0,ROUNDUP('Demanda por puesto'!$P$9/(parametros_recargas!$N$79*$O$9),0))</f>
        <v>1</v>
      </c>
      <c r="C105" s="24" t="n">
        <f aca="false">IF(parametros_recargas!$N$79=0,0,ROUNDUP('Demanda por puesto'!$P$41/(parametros_recargas!$N$79*$O$9),0))</f>
        <v>1</v>
      </c>
      <c r="D105" s="24" t="n">
        <f aca="false">IF(parametros_recargas!$N$79=0,0,ROUNDUP('Demanda por puesto'!$P$73/(parametros_recargas!$N$79*$O$9),0))</f>
        <v>1</v>
      </c>
      <c r="E105" s="24" t="n">
        <f aca="false">IF(parametros_recargas!$N$79=0,0,ROUNDUP('Demanda por puesto'!$P$105/(parametros_recargas!$N$79*$O$9),0))</f>
        <v>1</v>
      </c>
      <c r="F105" s="24" t="n">
        <f aca="false">IF(parametros_recargas!$N$79=0,0,ROUNDUP('Demanda por puesto'!$P$137/(parametros_recargas!$N$79*$O$9),0))</f>
        <v>1</v>
      </c>
      <c r="G105" s="24" t="n">
        <f aca="false">IF(parametros_recargas!$N$79=0,0,ROUNDUP('Demanda por puesto'!$P$169/(parametros_recargas!$N$79*$O$9),0))</f>
        <v>1</v>
      </c>
      <c r="H105" s="24" t="n">
        <f aca="false">IF(parametros_recargas!$N$79=0,0,ROUNDUP('Demanda por puesto'!$P$201/(parametros_recargas!$N$79*$O$9),0))</f>
        <v>1</v>
      </c>
      <c r="I105" s="24" t="n">
        <f aca="false">IF(parametros_recargas!$N$79=0,0,ROUNDUP('Demanda por puesto'!$P$233/(parametros_recargas!$N$79*$O$9),0))</f>
        <v>1</v>
      </c>
      <c r="J105" s="24" t="n">
        <f aca="false">IF(parametros_recargas!$N$79=0,0,ROUNDUP('Demanda por puesto'!$P$265/(parametros_recargas!$N$79*$O$9),0))</f>
        <v>1</v>
      </c>
      <c r="K105" s="24" t="n">
        <f aca="false">IF(parametros_recargas!$N$79=0,0,ROUNDUP('Demanda por puesto'!$P$297/(parametros_recargas!$N$79*$O$9),0))</f>
        <v>1</v>
      </c>
    </row>
    <row r="106" customFormat="false" ht="15" hidden="false" customHeight="false" outlineLevel="0" collapsed="false">
      <c r="A106" s="12" t="str">
        <f aca="false">parametros_recargas!$B$80</f>
        <v>Desarme y limpieza — recinto</v>
      </c>
      <c r="B106" s="24" t="n">
        <f aca="false">IF(parametros_recargas!$N$80=0,0,ROUNDUP('Demanda por puesto'!$P$10/(parametros_recargas!$N$80*$O$9),0))</f>
        <v>1</v>
      </c>
      <c r="C106" s="24" t="n">
        <f aca="false">IF(parametros_recargas!$N$80=0,0,ROUNDUP('Demanda por puesto'!$P$42/(parametros_recargas!$N$80*$O$9),0))</f>
        <v>1</v>
      </c>
      <c r="D106" s="24" t="n">
        <f aca="false">IF(parametros_recargas!$N$80=0,0,ROUNDUP('Demanda por puesto'!$P$74/(parametros_recargas!$N$80*$O$9),0))</f>
        <v>1</v>
      </c>
      <c r="E106" s="24" t="n">
        <f aca="false">IF(parametros_recargas!$N$80=0,0,ROUNDUP('Demanda por puesto'!$P$106/(parametros_recargas!$N$80*$O$9),0))</f>
        <v>1</v>
      </c>
      <c r="F106" s="24" t="n">
        <f aca="false">IF(parametros_recargas!$N$80=0,0,ROUNDUP('Demanda por puesto'!$P$138/(parametros_recargas!$N$80*$O$9),0))</f>
        <v>1</v>
      </c>
      <c r="G106" s="24" t="n">
        <f aca="false">IF(parametros_recargas!$N$80=0,0,ROUNDUP('Demanda por puesto'!$P$170/(parametros_recargas!$N$80*$O$9),0))</f>
        <v>2</v>
      </c>
      <c r="H106" s="24" t="n">
        <f aca="false">IF(parametros_recargas!$N$80=0,0,ROUNDUP('Demanda por puesto'!$P$202/(parametros_recargas!$N$80*$O$9),0))</f>
        <v>2</v>
      </c>
      <c r="I106" s="24" t="n">
        <f aca="false">IF(parametros_recargas!$N$80=0,0,ROUNDUP('Demanda por puesto'!$P$234/(parametros_recargas!$N$80*$O$9),0))</f>
        <v>2</v>
      </c>
      <c r="J106" s="24" t="n">
        <f aca="false">IF(parametros_recargas!$N$80=0,0,ROUNDUP('Demanda por puesto'!$P$266/(parametros_recargas!$N$80*$O$9),0))</f>
        <v>2</v>
      </c>
      <c r="K106" s="24" t="n">
        <f aca="false">IF(parametros_recargas!$N$80=0,0,ROUNDUP('Demanda por puesto'!$P$298/(parametros_recargas!$N$80*$O$9),0))</f>
        <v>2</v>
      </c>
    </row>
    <row r="107" customFormat="false" ht="15" hidden="false" customHeight="false" outlineLevel="0" collapsed="false">
      <c r="A107" s="12" t="str">
        <f aca="false">parametros_recargas!$B$81</f>
        <v>Desarme e inspección interior — zona general</v>
      </c>
      <c r="B107" s="24" t="n">
        <f aca="false">IF(parametros_recargas!$N$81=0,0,ROUNDUP('Demanda por puesto'!$P$11/(parametros_recargas!$N$81*$O$9),0))</f>
        <v>1</v>
      </c>
      <c r="C107" s="24" t="n">
        <f aca="false">IF(parametros_recargas!$N$81=0,0,ROUNDUP('Demanda por puesto'!$P$43/(parametros_recargas!$N$81*$O$9),0))</f>
        <v>1</v>
      </c>
      <c r="D107" s="24" t="n">
        <f aca="false">IF(parametros_recargas!$N$81=0,0,ROUNDUP('Demanda por puesto'!$P$75/(parametros_recargas!$N$81*$O$9),0))</f>
        <v>1</v>
      </c>
      <c r="E107" s="24" t="n">
        <f aca="false">IF(parametros_recargas!$N$81=0,0,ROUNDUP('Demanda por puesto'!$P$107/(parametros_recargas!$N$81*$O$9),0))</f>
        <v>1</v>
      </c>
      <c r="F107" s="24" t="n">
        <f aca="false">IF(parametros_recargas!$N$81=0,0,ROUNDUP('Demanda por puesto'!$P$139/(parametros_recargas!$N$81*$O$9),0))</f>
        <v>1</v>
      </c>
      <c r="G107" s="24" t="n">
        <f aca="false">IF(parametros_recargas!$N$81=0,0,ROUNDUP('Demanda por puesto'!$P$171/(parametros_recargas!$N$81*$O$9),0))</f>
        <v>1</v>
      </c>
      <c r="H107" s="24" t="n">
        <f aca="false">IF(parametros_recargas!$N$81=0,0,ROUNDUP('Demanda por puesto'!$P$203/(parametros_recargas!$N$81*$O$9),0))</f>
        <v>1</v>
      </c>
      <c r="I107" s="24" t="n">
        <f aca="false">IF(parametros_recargas!$N$81=0,0,ROUNDUP('Demanda por puesto'!$P$235/(parametros_recargas!$N$81*$O$9),0))</f>
        <v>1</v>
      </c>
      <c r="J107" s="24" t="n">
        <f aca="false">IF(parametros_recargas!$N$81=0,0,ROUNDUP('Demanda por puesto'!$P$267/(parametros_recargas!$N$81*$O$9),0))</f>
        <v>1</v>
      </c>
      <c r="K107" s="24" t="n">
        <f aca="false">IF(parametros_recargas!$N$81=0,0,ROUNDUP('Demanda por puesto'!$P$299/(parametros_recargas!$N$81*$O$9),0))</f>
        <v>1</v>
      </c>
    </row>
    <row r="108" customFormat="false" ht="15" hidden="false" customHeight="false" outlineLevel="0" collapsed="false">
      <c r="A108" s="12" t="str">
        <f aca="false">parametros_recargas!$B$82</f>
        <v>Laboratorio — Puffer y mufla</v>
      </c>
      <c r="B108" s="24" t="n">
        <f aca="false">IF(parametros_recargas!$N$82=0,0,ROUNDUP('Demanda por puesto'!$P$12/(parametros_recargas!$N$82*$O$9),0))</f>
        <v>1</v>
      </c>
      <c r="C108" s="24" t="n">
        <f aca="false">IF(parametros_recargas!$N$82=0,0,ROUNDUP('Demanda por puesto'!$P$44/(parametros_recargas!$N$82*$O$9),0))</f>
        <v>1</v>
      </c>
      <c r="D108" s="24" t="n">
        <f aca="false">IF(parametros_recargas!$N$82=0,0,ROUNDUP('Demanda por puesto'!$P$76/(parametros_recargas!$N$82*$O$9),0))</f>
        <v>1</v>
      </c>
      <c r="E108" s="24" t="n">
        <f aca="false">IF(parametros_recargas!$N$82=0,0,ROUNDUP('Demanda por puesto'!$P$108/(parametros_recargas!$N$82*$O$9),0))</f>
        <v>1</v>
      </c>
      <c r="F108" s="24" t="n">
        <f aca="false">IF(parametros_recargas!$N$82=0,0,ROUNDUP('Demanda por puesto'!$P$140/(parametros_recargas!$N$82*$O$9),0))</f>
        <v>1</v>
      </c>
      <c r="G108" s="24" t="n">
        <f aca="false">IF(parametros_recargas!$N$82=0,0,ROUNDUP('Demanda por puesto'!$P$172/(parametros_recargas!$N$82*$O$9),0))</f>
        <v>1</v>
      </c>
      <c r="H108" s="24" t="n">
        <f aca="false">IF(parametros_recargas!$N$82=0,0,ROUNDUP('Demanda por puesto'!$P$204/(parametros_recargas!$N$82*$O$9),0))</f>
        <v>1</v>
      </c>
      <c r="I108" s="24" t="n">
        <f aca="false">IF(parametros_recargas!$N$82=0,0,ROUNDUP('Demanda por puesto'!$P$236/(parametros_recargas!$N$82*$O$9),0))</f>
        <v>1</v>
      </c>
      <c r="J108" s="24" t="n">
        <f aca="false">IF(parametros_recargas!$N$82=0,0,ROUNDUP('Demanda por puesto'!$P$268/(parametros_recargas!$N$82*$O$9),0))</f>
        <v>1</v>
      </c>
      <c r="K108" s="24" t="n">
        <f aca="false">IF(parametros_recargas!$N$82=0,0,ROUNDUP('Demanda por puesto'!$P$300/(parametros_recargas!$N$82*$O$9),0))</f>
        <v>1</v>
      </c>
    </row>
    <row r="109" customFormat="false" ht="15" hidden="false" customHeight="false" outlineLevel="0" collapsed="false">
      <c r="A109" s="12" t="str">
        <f aca="false">parametros_recargas!$B$83</f>
        <v>Prueba hidráulica</v>
      </c>
      <c r="B109" s="24" t="n">
        <f aca="false">IF(parametros_recargas!$N$83=0,0,ROUNDUP('Demanda por puesto'!$P$13/(parametros_recargas!$N$83*$O$9),0))</f>
        <v>1</v>
      </c>
      <c r="C109" s="24" t="n">
        <f aca="false">IF(parametros_recargas!$N$83=0,0,ROUNDUP('Demanda por puesto'!$P$45/(parametros_recargas!$N$83*$O$9),0))</f>
        <v>1</v>
      </c>
      <c r="D109" s="24" t="n">
        <f aca="false">IF(parametros_recargas!$N$83=0,0,ROUNDUP('Demanda por puesto'!$P$77/(parametros_recargas!$N$83*$O$9),0))</f>
        <v>1</v>
      </c>
      <c r="E109" s="24" t="n">
        <f aca="false">IF(parametros_recargas!$N$83=0,0,ROUNDUP('Demanda por puesto'!$P$109/(parametros_recargas!$N$83*$O$9),0))</f>
        <v>1</v>
      </c>
      <c r="F109" s="24" t="n">
        <f aca="false">IF(parametros_recargas!$N$83=0,0,ROUNDUP('Demanda por puesto'!$P$141/(parametros_recargas!$N$83*$O$9),0))</f>
        <v>1</v>
      </c>
      <c r="G109" s="24" t="n">
        <f aca="false">IF(parametros_recargas!$N$83=0,0,ROUNDUP('Demanda por puesto'!$P$173/(parametros_recargas!$N$83*$O$9),0))</f>
        <v>1</v>
      </c>
      <c r="H109" s="24" t="n">
        <f aca="false">IF(parametros_recargas!$N$83=0,0,ROUNDUP('Demanda por puesto'!$P$205/(parametros_recargas!$N$83*$O$9),0))</f>
        <v>1</v>
      </c>
      <c r="I109" s="24" t="n">
        <f aca="false">IF(parametros_recargas!$N$83=0,0,ROUNDUP('Demanda por puesto'!$P$237/(parametros_recargas!$N$83*$O$9),0))</f>
        <v>2</v>
      </c>
      <c r="J109" s="24" t="n">
        <f aca="false">IF(parametros_recargas!$N$83=0,0,ROUNDUP('Demanda por puesto'!$P$269/(parametros_recargas!$N$83*$O$9),0))</f>
        <v>2</v>
      </c>
      <c r="K109" s="24" t="n">
        <f aca="false">IF(parametros_recargas!$N$83=0,0,ROUNDUP('Demanda por puesto'!$P$301/(parametros_recargas!$N$83*$O$9),0))</f>
        <v>2</v>
      </c>
    </row>
    <row r="110" customFormat="false" ht="15" hidden="false" customHeight="false" outlineLevel="0" collapsed="false">
      <c r="A110" s="12" t="str">
        <f aca="false">parametros_recargas!$B$84</f>
        <v>Secado</v>
      </c>
      <c r="B110" s="24" t="n">
        <f aca="false">IF(parametros_recargas!$N$84=0,0,ROUNDUP('Demanda por puesto'!$P$14/(parametros_recargas!$N$84*$O$9),0))</f>
        <v>1</v>
      </c>
      <c r="C110" s="24" t="n">
        <f aca="false">IF(parametros_recargas!$N$84=0,0,ROUNDUP('Demanda por puesto'!$P$46/(parametros_recargas!$N$84*$O$9),0))</f>
        <v>1</v>
      </c>
      <c r="D110" s="24" t="n">
        <f aca="false">IF(parametros_recargas!$N$84=0,0,ROUNDUP('Demanda por puesto'!$P$78/(parametros_recargas!$N$84*$O$9),0))</f>
        <v>1</v>
      </c>
      <c r="E110" s="24" t="n">
        <f aca="false">IF(parametros_recargas!$N$84=0,0,ROUNDUP('Demanda por puesto'!$P$110/(parametros_recargas!$N$84*$O$9),0))</f>
        <v>1</v>
      </c>
      <c r="F110" s="24" t="n">
        <f aca="false">IF(parametros_recargas!$N$84=0,0,ROUNDUP('Demanda por puesto'!$P$142/(parametros_recargas!$N$84*$O$9),0))</f>
        <v>1</v>
      </c>
      <c r="G110" s="24" t="n">
        <f aca="false">IF(parametros_recargas!$N$84=0,0,ROUNDUP('Demanda por puesto'!$P$174/(parametros_recargas!$N$84*$O$9),0))</f>
        <v>1</v>
      </c>
      <c r="H110" s="24" t="n">
        <f aca="false">IF(parametros_recargas!$N$84=0,0,ROUNDUP('Demanda por puesto'!$P$206/(parametros_recargas!$N$84*$O$9),0))</f>
        <v>1</v>
      </c>
      <c r="I110" s="24" t="n">
        <f aca="false">IF(parametros_recargas!$N$84=0,0,ROUNDUP('Demanda por puesto'!$P$238/(parametros_recargas!$N$84*$O$9),0))</f>
        <v>1</v>
      </c>
      <c r="J110" s="24" t="n">
        <f aca="false">IF(parametros_recargas!$N$84=0,0,ROUNDUP('Demanda por puesto'!$P$270/(parametros_recargas!$N$84*$O$9),0))</f>
        <v>1</v>
      </c>
      <c r="K110" s="24" t="n">
        <f aca="false">IF(parametros_recargas!$N$84=0,0,ROUNDUP('Demanda por puesto'!$P$302/(parametros_recargas!$N$84*$O$9),0))</f>
        <v>1</v>
      </c>
    </row>
    <row r="111" customFormat="false" ht="15" hidden="false" customHeight="false" outlineLevel="0" collapsed="false">
      <c r="A111" s="12" t="str">
        <f aca="false">parametros_recargas!$B$85</f>
        <v>Inspección interior con videoscopio</v>
      </c>
      <c r="B111" s="24" t="n">
        <f aca="false">IF(parametros_recargas!$N$85=0,0,ROUNDUP('Demanda por puesto'!$P$15/(parametros_recargas!$N$85*$O$9),0))</f>
        <v>1</v>
      </c>
      <c r="C111" s="24" t="n">
        <f aca="false">IF(parametros_recargas!$N$85=0,0,ROUNDUP('Demanda por puesto'!$P$47/(parametros_recargas!$N$85*$O$9),0))</f>
        <v>1</v>
      </c>
      <c r="D111" s="24" t="n">
        <f aca="false">IF(parametros_recargas!$N$85=0,0,ROUNDUP('Demanda por puesto'!$P$79/(parametros_recargas!$N$85*$O$9),0))</f>
        <v>1</v>
      </c>
      <c r="E111" s="24" t="n">
        <f aca="false">IF(parametros_recargas!$N$85=0,0,ROUNDUP('Demanda por puesto'!$P$111/(parametros_recargas!$N$85*$O$9),0))</f>
        <v>1</v>
      </c>
      <c r="F111" s="24" t="n">
        <f aca="false">IF(parametros_recargas!$N$85=0,0,ROUNDUP('Demanda por puesto'!$P$143/(parametros_recargas!$N$85*$O$9),0))</f>
        <v>1</v>
      </c>
      <c r="G111" s="24" t="n">
        <f aca="false">IF(parametros_recargas!$N$85=0,0,ROUNDUP('Demanda por puesto'!$P$175/(parametros_recargas!$N$85*$O$9),0))</f>
        <v>1</v>
      </c>
      <c r="H111" s="24" t="n">
        <f aca="false">IF(parametros_recargas!$N$85=0,0,ROUNDUP('Demanda por puesto'!$P$207/(parametros_recargas!$N$85*$O$9),0))</f>
        <v>1</v>
      </c>
      <c r="I111" s="24" t="n">
        <f aca="false">IF(parametros_recargas!$N$85=0,0,ROUNDUP('Demanda por puesto'!$P$239/(parametros_recargas!$N$85*$O$9),0))</f>
        <v>1</v>
      </c>
      <c r="J111" s="24" t="n">
        <f aca="false">IF(parametros_recargas!$N$85=0,0,ROUNDUP('Demanda por puesto'!$P$271/(parametros_recargas!$N$85*$O$9),0))</f>
        <v>1</v>
      </c>
      <c r="K111" s="24" t="n">
        <f aca="false">IF(parametros_recargas!$N$85=0,0,ROUNDUP('Demanda por puesto'!$P$303/(parametros_recargas!$N$85*$O$9),0))</f>
        <v>1</v>
      </c>
    </row>
    <row r="112" customFormat="false" ht="15" hidden="false" customHeight="false" outlineLevel="0" collapsed="false">
      <c r="A112" s="12" t="str">
        <f aca="false">parametros_recargas!$B$86</f>
        <v>Pintura</v>
      </c>
      <c r="B112" s="24" t="n">
        <f aca="false">IF(parametros_recargas!$N$86=0,0,ROUNDUP('Demanda por puesto'!$P$16/(parametros_recargas!$N$86*$O$9),0))</f>
        <v>1</v>
      </c>
      <c r="C112" s="24" t="n">
        <f aca="false">IF(parametros_recargas!$N$86=0,0,ROUNDUP('Demanda por puesto'!$P$48/(parametros_recargas!$N$86*$O$9),0))</f>
        <v>1</v>
      </c>
      <c r="D112" s="24" t="n">
        <f aca="false">IF(parametros_recargas!$N$86=0,0,ROUNDUP('Demanda por puesto'!$P$80/(parametros_recargas!$N$86*$O$9),0))</f>
        <v>1</v>
      </c>
      <c r="E112" s="24" t="n">
        <f aca="false">IF(parametros_recargas!$N$86=0,0,ROUNDUP('Demanda por puesto'!$P$112/(parametros_recargas!$N$86*$O$9),0))</f>
        <v>1</v>
      </c>
      <c r="F112" s="24" t="n">
        <f aca="false">IF(parametros_recargas!$N$86=0,0,ROUNDUP('Demanda por puesto'!$P$144/(parametros_recargas!$N$86*$O$9),0))</f>
        <v>1</v>
      </c>
      <c r="G112" s="24" t="n">
        <f aca="false">IF(parametros_recargas!$N$86=0,0,ROUNDUP('Demanda por puesto'!$P$176/(parametros_recargas!$N$86*$O$9),0))</f>
        <v>1</v>
      </c>
      <c r="H112" s="24" t="n">
        <f aca="false">IF(parametros_recargas!$N$86=0,0,ROUNDUP('Demanda por puesto'!$P$208/(parametros_recargas!$N$86*$O$9),0))</f>
        <v>2</v>
      </c>
      <c r="I112" s="24" t="n">
        <f aca="false">IF(parametros_recargas!$N$86=0,0,ROUNDUP('Demanda por puesto'!$P$240/(parametros_recargas!$N$86*$O$9),0))</f>
        <v>2</v>
      </c>
      <c r="J112" s="24" t="n">
        <f aca="false">IF(parametros_recargas!$N$86=0,0,ROUNDUP('Demanda por puesto'!$P$272/(parametros_recargas!$N$86*$O$9),0))</f>
        <v>2</v>
      </c>
      <c r="K112" s="24" t="n">
        <f aca="false">IF(parametros_recargas!$N$86=0,0,ROUNDUP('Demanda por puesto'!$P$304/(parametros_recargas!$N$86*$O$9),0))</f>
        <v>2</v>
      </c>
    </row>
    <row r="113" customFormat="false" ht="15" hidden="false" customHeight="false" outlineLevel="0" collapsed="false">
      <c r="A113" s="12" t="str">
        <f aca="false">parametros_recargas!$B$87</f>
        <v>Carga de polvo ABC</v>
      </c>
      <c r="B113" s="24" t="n">
        <f aca="false">IF(parametros_recargas!$N$87=0,0,ROUNDUP('Demanda por puesto'!$P$17/(parametros_recargas!$N$87*$O$9),0))</f>
        <v>1</v>
      </c>
      <c r="C113" s="24" t="n">
        <f aca="false">IF(parametros_recargas!$N$87=0,0,ROUNDUP('Demanda por puesto'!$P$49/(parametros_recargas!$N$87*$O$9),0))</f>
        <v>1</v>
      </c>
      <c r="D113" s="24" t="n">
        <f aca="false">IF(parametros_recargas!$N$87=0,0,ROUNDUP('Demanda por puesto'!$P$81/(parametros_recargas!$N$87*$O$9),0))</f>
        <v>1</v>
      </c>
      <c r="E113" s="24" t="n">
        <f aca="false">IF(parametros_recargas!$N$87=0,0,ROUNDUP('Demanda por puesto'!$P$113/(parametros_recargas!$N$87*$O$9),0))</f>
        <v>1</v>
      </c>
      <c r="F113" s="24" t="n">
        <f aca="false">IF(parametros_recargas!$N$87=0,0,ROUNDUP('Demanda por puesto'!$P$145/(parametros_recargas!$N$87*$O$9),0))</f>
        <v>1</v>
      </c>
      <c r="G113" s="24" t="n">
        <f aca="false">IF(parametros_recargas!$N$87=0,0,ROUNDUP('Demanda por puesto'!$P$177/(parametros_recargas!$N$87*$O$9),0))</f>
        <v>2</v>
      </c>
      <c r="H113" s="24" t="n">
        <f aca="false">IF(parametros_recargas!$N$87=0,0,ROUNDUP('Demanda por puesto'!$P$209/(parametros_recargas!$N$87*$O$9),0))</f>
        <v>2</v>
      </c>
      <c r="I113" s="24" t="n">
        <f aca="false">IF(parametros_recargas!$N$87=0,0,ROUNDUP('Demanda por puesto'!$P$241/(parametros_recargas!$N$87*$O$9),0))</f>
        <v>2</v>
      </c>
      <c r="J113" s="24" t="n">
        <f aca="false">IF(parametros_recargas!$N$87=0,0,ROUNDUP('Demanda por puesto'!$P$273/(parametros_recargas!$N$87*$O$9),0))</f>
        <v>2</v>
      </c>
      <c r="K113" s="24" t="n">
        <f aca="false">IF(parametros_recargas!$N$87=0,0,ROUNDUP('Demanda por puesto'!$P$305/(parametros_recargas!$N$87*$O$9),0))</f>
        <v>2</v>
      </c>
    </row>
    <row r="114" customFormat="false" ht="15" hidden="false" customHeight="false" outlineLevel="0" collapsed="false">
      <c r="A114" s="12" t="str">
        <f aca="false">parametros_recargas!$B$88</f>
        <v>Carga de polvo BC</v>
      </c>
      <c r="B114" s="24" t="n">
        <f aca="false">IF(parametros_recargas!$N$88=0,0,ROUNDUP('Demanda por puesto'!$P$18/(parametros_recargas!$N$88*$O$9),0))</f>
        <v>1</v>
      </c>
      <c r="C114" s="24" t="n">
        <f aca="false">IF(parametros_recargas!$N$88=0,0,ROUNDUP('Demanda por puesto'!$P$50/(parametros_recargas!$N$88*$O$9),0))</f>
        <v>1</v>
      </c>
      <c r="D114" s="24" t="n">
        <f aca="false">IF(parametros_recargas!$N$88=0,0,ROUNDUP('Demanda por puesto'!$P$82/(parametros_recargas!$N$88*$O$9),0))</f>
        <v>1</v>
      </c>
      <c r="E114" s="24" t="n">
        <f aca="false">IF(parametros_recargas!$N$88=0,0,ROUNDUP('Demanda por puesto'!$P$114/(parametros_recargas!$N$88*$O$9),0))</f>
        <v>1</v>
      </c>
      <c r="F114" s="24" t="n">
        <f aca="false">IF(parametros_recargas!$N$88=0,0,ROUNDUP('Demanda por puesto'!$P$146/(parametros_recargas!$N$88*$O$9),0))</f>
        <v>1</v>
      </c>
      <c r="G114" s="24" t="n">
        <f aca="false">IF(parametros_recargas!$N$88=0,0,ROUNDUP('Demanda por puesto'!$P$178/(parametros_recargas!$N$88*$O$9),0))</f>
        <v>1</v>
      </c>
      <c r="H114" s="24" t="n">
        <f aca="false">IF(parametros_recargas!$N$88=0,0,ROUNDUP('Demanda por puesto'!$P$210/(parametros_recargas!$N$88*$O$9),0))</f>
        <v>1</v>
      </c>
      <c r="I114" s="24" t="n">
        <f aca="false">IF(parametros_recargas!$N$88=0,0,ROUNDUP('Demanda por puesto'!$P$242/(parametros_recargas!$N$88*$O$9),0))</f>
        <v>1</v>
      </c>
      <c r="J114" s="24" t="n">
        <f aca="false">IF(parametros_recargas!$N$88=0,0,ROUNDUP('Demanda por puesto'!$P$274/(parametros_recargas!$N$88*$O$9),0))</f>
        <v>1</v>
      </c>
      <c r="K114" s="24" t="n">
        <f aca="false">IF(parametros_recargas!$N$88=0,0,ROUNDUP('Demanda por puesto'!$P$306/(parametros_recargas!$N$88*$O$9),0))</f>
        <v>1</v>
      </c>
    </row>
    <row r="115" customFormat="false" ht="15" hidden="false" customHeight="false" outlineLevel="0" collapsed="false">
      <c r="A115" s="12" t="str">
        <f aca="false">parametros_recargas!$B$89</f>
        <v>Descarga y carga Clase D</v>
      </c>
      <c r="B115" s="24" t="n">
        <f aca="false">IF(parametros_recargas!$N$89=0,0,ROUNDUP('Demanda por puesto'!$P$19/(parametros_recargas!$N$89*$O$9),0))</f>
        <v>1</v>
      </c>
      <c r="C115" s="24" t="n">
        <f aca="false">IF(parametros_recargas!$N$89=0,0,ROUNDUP('Demanda por puesto'!$P$51/(parametros_recargas!$N$89*$O$9),0))</f>
        <v>1</v>
      </c>
      <c r="D115" s="24" t="n">
        <f aca="false">IF(parametros_recargas!$N$89=0,0,ROUNDUP('Demanda por puesto'!$P$83/(parametros_recargas!$N$89*$O$9),0))</f>
        <v>1</v>
      </c>
      <c r="E115" s="24" t="n">
        <f aca="false">IF(parametros_recargas!$N$89=0,0,ROUNDUP('Demanda por puesto'!$P$115/(parametros_recargas!$N$89*$O$9),0))</f>
        <v>1</v>
      </c>
      <c r="F115" s="24" t="n">
        <f aca="false">IF(parametros_recargas!$N$89=0,0,ROUNDUP('Demanda por puesto'!$P$147/(parametros_recargas!$N$89*$O$9),0))</f>
        <v>1</v>
      </c>
      <c r="G115" s="24" t="n">
        <f aca="false">IF(parametros_recargas!$N$89=0,0,ROUNDUP('Demanda por puesto'!$P$179/(parametros_recargas!$N$89*$O$9),0))</f>
        <v>1</v>
      </c>
      <c r="H115" s="24" t="n">
        <f aca="false">IF(parametros_recargas!$N$89=0,0,ROUNDUP('Demanda por puesto'!$P$211/(parametros_recargas!$N$89*$O$9),0))</f>
        <v>1</v>
      </c>
      <c r="I115" s="24" t="n">
        <f aca="false">IF(parametros_recargas!$N$89=0,0,ROUNDUP('Demanda por puesto'!$P$243/(parametros_recargas!$N$89*$O$9),0))</f>
        <v>1</v>
      </c>
      <c r="J115" s="24" t="n">
        <f aca="false">IF(parametros_recargas!$N$89=0,0,ROUNDUP('Demanda por puesto'!$P$275/(parametros_recargas!$N$89*$O$9),0))</f>
        <v>1</v>
      </c>
      <c r="K115" s="24" t="n">
        <f aca="false">IF(parametros_recargas!$N$89=0,0,ROUNDUP('Demanda por puesto'!$P$307/(parametros_recargas!$N$89*$O$9),0))</f>
        <v>1</v>
      </c>
    </row>
    <row r="116" customFormat="false" ht="15" hidden="false" customHeight="false" outlineLevel="0" collapsed="false">
      <c r="A116" s="12" t="str">
        <f aca="false">parametros_recargas!$B$90</f>
        <v>Carga de agua / AFFF / sales K</v>
      </c>
      <c r="B116" s="24" t="n">
        <f aca="false">IF(parametros_recargas!$N$90=0,0,ROUNDUP('Demanda por puesto'!$P$20/(parametros_recargas!$N$90*$O$9),0))</f>
        <v>1</v>
      </c>
      <c r="C116" s="24" t="n">
        <f aca="false">IF(parametros_recargas!$N$90=0,0,ROUNDUP('Demanda por puesto'!$P$52/(parametros_recargas!$N$90*$O$9),0))</f>
        <v>1</v>
      </c>
      <c r="D116" s="24" t="n">
        <f aca="false">IF(parametros_recargas!$N$90=0,0,ROUNDUP('Demanda por puesto'!$P$84/(parametros_recargas!$N$90*$O$9),0))</f>
        <v>1</v>
      </c>
      <c r="E116" s="24" t="n">
        <f aca="false">IF(parametros_recargas!$N$90=0,0,ROUNDUP('Demanda por puesto'!$P$116/(parametros_recargas!$N$90*$O$9),0))</f>
        <v>1</v>
      </c>
      <c r="F116" s="24" t="n">
        <f aca="false">IF(parametros_recargas!$N$90=0,0,ROUNDUP('Demanda por puesto'!$P$148/(parametros_recargas!$N$90*$O$9),0))</f>
        <v>1</v>
      </c>
      <c r="G116" s="24" t="n">
        <f aca="false">IF(parametros_recargas!$N$90=0,0,ROUNDUP('Demanda por puesto'!$P$180/(parametros_recargas!$N$90*$O$9),0))</f>
        <v>1</v>
      </c>
      <c r="H116" s="24" t="n">
        <f aca="false">IF(parametros_recargas!$N$90=0,0,ROUNDUP('Demanda por puesto'!$P$212/(parametros_recargas!$N$90*$O$9),0))</f>
        <v>1</v>
      </c>
      <c r="I116" s="24" t="n">
        <f aca="false">IF(parametros_recargas!$N$90=0,0,ROUNDUP('Demanda por puesto'!$P$244/(parametros_recargas!$N$90*$O$9),0))</f>
        <v>1</v>
      </c>
      <c r="J116" s="24" t="n">
        <f aca="false">IF(parametros_recargas!$N$90=0,0,ROUNDUP('Demanda por puesto'!$P$276/(parametros_recargas!$N$90*$O$9),0))</f>
        <v>1</v>
      </c>
      <c r="K116" s="24" t="n">
        <f aca="false">IF(parametros_recargas!$N$90=0,0,ROUNDUP('Demanda por puesto'!$P$308/(parametros_recargas!$N$90*$O$9),0))</f>
        <v>1</v>
      </c>
    </row>
    <row r="117" customFormat="false" ht="15" hidden="false" customHeight="false" outlineLevel="0" collapsed="false">
      <c r="A117" s="12" t="str">
        <f aca="false">parametros_recargas!$B$91</f>
        <v>Carga de CO₂</v>
      </c>
      <c r="B117" s="24" t="n">
        <f aca="false">IF(parametros_recargas!$N$91=0,0,ROUNDUP('Demanda por puesto'!$P$21/(parametros_recargas!$N$91*$O$9),0))</f>
        <v>1</v>
      </c>
      <c r="C117" s="24" t="n">
        <f aca="false">IF(parametros_recargas!$N$91=0,0,ROUNDUP('Demanda por puesto'!$P$53/(parametros_recargas!$N$91*$O$9),0))</f>
        <v>1</v>
      </c>
      <c r="D117" s="24" t="n">
        <f aca="false">IF(parametros_recargas!$N$91=0,0,ROUNDUP('Demanda por puesto'!$P$85/(parametros_recargas!$N$91*$O$9),0))</f>
        <v>1</v>
      </c>
      <c r="E117" s="24" t="n">
        <f aca="false">IF(parametros_recargas!$N$91=0,0,ROUNDUP('Demanda por puesto'!$P$117/(parametros_recargas!$N$91*$O$9),0))</f>
        <v>1</v>
      </c>
      <c r="F117" s="24" t="n">
        <f aca="false">IF(parametros_recargas!$N$91=0,0,ROUNDUP('Demanda por puesto'!$P$149/(parametros_recargas!$N$91*$O$9),0))</f>
        <v>1</v>
      </c>
      <c r="G117" s="24" t="n">
        <f aca="false">IF(parametros_recargas!$N$91=0,0,ROUNDUP('Demanda por puesto'!$P$181/(parametros_recargas!$N$91*$O$9),0))</f>
        <v>1</v>
      </c>
      <c r="H117" s="24" t="n">
        <f aca="false">IF(parametros_recargas!$N$91=0,0,ROUNDUP('Demanda por puesto'!$P$213/(parametros_recargas!$N$91*$O$9),0))</f>
        <v>1</v>
      </c>
      <c r="I117" s="24" t="n">
        <f aca="false">IF(parametros_recargas!$N$91=0,0,ROUNDUP('Demanda por puesto'!$P$245/(parametros_recargas!$N$91*$O$9),0))</f>
        <v>1</v>
      </c>
      <c r="J117" s="24" t="n">
        <f aca="false">IF(parametros_recargas!$N$91=0,0,ROUNDUP('Demanda por puesto'!$P$277/(parametros_recargas!$N$91*$O$9),0))</f>
        <v>1</v>
      </c>
      <c r="K117" s="24" t="n">
        <f aca="false">IF(parametros_recargas!$N$91=0,0,ROUNDUP('Demanda por puesto'!$P$309/(parametros_recargas!$N$91*$O$9),0))</f>
        <v>1</v>
      </c>
    </row>
    <row r="118" customFormat="false" ht="15" hidden="false" customHeight="false" outlineLevel="0" collapsed="false">
      <c r="A118" s="12" t="str">
        <f aca="false">parametros_recargas!$B$92</f>
        <v>Ensamblaje y marbete — recinto</v>
      </c>
      <c r="B118" s="24" t="n">
        <f aca="false">IF(parametros_recargas!$N$92=0,0,ROUNDUP('Demanda por puesto'!$P$22/(parametros_recargas!$N$92*$O$9),0))</f>
        <v>1</v>
      </c>
      <c r="C118" s="24" t="n">
        <f aca="false">IF(parametros_recargas!$N$92=0,0,ROUNDUP('Demanda por puesto'!$P$54/(parametros_recargas!$N$92*$O$9),0))</f>
        <v>1</v>
      </c>
      <c r="D118" s="24" t="n">
        <f aca="false">IF(parametros_recargas!$N$92=0,0,ROUNDUP('Demanda por puesto'!$P$86/(parametros_recargas!$N$92*$O$9),0))</f>
        <v>1</v>
      </c>
      <c r="E118" s="24" t="n">
        <f aca="false">IF(parametros_recargas!$N$92=0,0,ROUNDUP('Demanda por puesto'!$P$118/(parametros_recargas!$N$92*$O$9),0))</f>
        <v>1</v>
      </c>
      <c r="F118" s="24" t="n">
        <f aca="false">IF(parametros_recargas!$N$92=0,0,ROUNDUP('Demanda por puesto'!$P$150/(parametros_recargas!$N$92*$O$9),0))</f>
        <v>2</v>
      </c>
      <c r="G118" s="24" t="n">
        <f aca="false">IF(parametros_recargas!$N$92=0,0,ROUNDUP('Demanda por puesto'!$P$182/(parametros_recargas!$N$92*$O$9),0))</f>
        <v>2</v>
      </c>
      <c r="H118" s="24" t="n">
        <f aca="false">IF(parametros_recargas!$N$92=0,0,ROUNDUP('Demanda por puesto'!$P$214/(parametros_recargas!$N$92*$O$9),0))</f>
        <v>2</v>
      </c>
      <c r="I118" s="24" t="n">
        <f aca="false">IF(parametros_recargas!$N$92=0,0,ROUNDUP('Demanda por puesto'!$P$246/(parametros_recargas!$N$92*$O$9),0))</f>
        <v>2</v>
      </c>
      <c r="J118" s="24" t="n">
        <f aca="false">IF(parametros_recargas!$N$92=0,0,ROUNDUP('Demanda por puesto'!$P$278/(parametros_recargas!$N$92*$O$9),0))</f>
        <v>2</v>
      </c>
      <c r="K118" s="24" t="n">
        <f aca="false">IF(parametros_recargas!$N$92=0,0,ROUNDUP('Demanda por puesto'!$P$310/(parametros_recargas!$N$92*$O$9),0))</f>
        <v>3</v>
      </c>
    </row>
    <row r="119" customFormat="false" ht="15" hidden="false" customHeight="false" outlineLevel="0" collapsed="false">
      <c r="A119" s="12" t="str">
        <f aca="false">parametros_recargas!$B$93</f>
        <v>Presurización — recinto</v>
      </c>
      <c r="B119" s="24" t="n">
        <f aca="false">IF(parametros_recargas!$N$93=0,0,ROUNDUP('Demanda por puesto'!$P$23/(parametros_recargas!$N$93*$O$9),0))</f>
        <v>1</v>
      </c>
      <c r="C119" s="24" t="n">
        <f aca="false">IF(parametros_recargas!$N$93=0,0,ROUNDUP('Demanda por puesto'!$P$55/(parametros_recargas!$N$93*$O$9),0))</f>
        <v>1</v>
      </c>
      <c r="D119" s="24" t="n">
        <f aca="false">IF(parametros_recargas!$N$93=0,0,ROUNDUP('Demanda por puesto'!$P$87/(parametros_recargas!$N$93*$O$9),0))</f>
        <v>1</v>
      </c>
      <c r="E119" s="24" t="n">
        <f aca="false">IF(parametros_recargas!$N$93=0,0,ROUNDUP('Demanda por puesto'!$P$119/(parametros_recargas!$N$93*$O$9),0))</f>
        <v>1</v>
      </c>
      <c r="F119" s="24" t="n">
        <f aca="false">IF(parametros_recargas!$N$93=0,0,ROUNDUP('Demanda por puesto'!$P$151/(parametros_recargas!$N$93*$O$9),0))</f>
        <v>1</v>
      </c>
      <c r="G119" s="24" t="n">
        <f aca="false">IF(parametros_recargas!$N$93=0,0,ROUNDUP('Demanda por puesto'!$P$183/(parametros_recargas!$N$93*$O$9),0))</f>
        <v>1</v>
      </c>
      <c r="H119" s="24" t="n">
        <f aca="false">IF(parametros_recargas!$N$93=0,0,ROUNDUP('Demanda por puesto'!$P$215/(parametros_recargas!$N$93*$O$9),0))</f>
        <v>1</v>
      </c>
      <c r="I119" s="24" t="n">
        <f aca="false">IF(parametros_recargas!$N$93=0,0,ROUNDUP('Demanda por puesto'!$P$247/(parametros_recargas!$N$93*$O$9),0))</f>
        <v>2</v>
      </c>
      <c r="J119" s="24" t="n">
        <f aca="false">IF(parametros_recargas!$N$93=0,0,ROUNDUP('Demanda por puesto'!$P$279/(parametros_recargas!$N$93*$O$9),0))</f>
        <v>2</v>
      </c>
      <c r="K119" s="24" t="n">
        <f aca="false">IF(parametros_recargas!$N$93=0,0,ROUNDUP('Demanda por puesto'!$P$311/(parametros_recargas!$N$93*$O$9),0))</f>
        <v>2</v>
      </c>
    </row>
    <row r="120" customFormat="false" ht="15" hidden="false" customHeight="false" outlineLevel="0" collapsed="false">
      <c r="A120" s="12" t="str">
        <f aca="false">parametros_recargas!$B$94</f>
        <v>Ensamblaje y presurización — zona general</v>
      </c>
      <c r="B120" s="24" t="n">
        <f aca="false">IF(parametros_recargas!$N$94=0,0,ROUNDUP('Demanda por puesto'!$P$24/(parametros_recargas!$N$94*$O$9),0))</f>
        <v>1</v>
      </c>
      <c r="C120" s="24" t="n">
        <f aca="false">IF(parametros_recargas!$N$94=0,0,ROUNDUP('Demanda por puesto'!$P$56/(parametros_recargas!$N$94*$O$9),0))</f>
        <v>1</v>
      </c>
      <c r="D120" s="24" t="n">
        <f aca="false">IF(parametros_recargas!$N$94=0,0,ROUNDUP('Demanda por puesto'!$P$88/(parametros_recargas!$N$94*$O$9),0))</f>
        <v>1</v>
      </c>
      <c r="E120" s="24" t="n">
        <f aca="false">IF(parametros_recargas!$N$94=0,0,ROUNDUP('Demanda por puesto'!$P$120/(parametros_recargas!$N$94*$O$9),0))</f>
        <v>1</v>
      </c>
      <c r="F120" s="24" t="n">
        <f aca="false">IF(parametros_recargas!$N$94=0,0,ROUNDUP('Demanda por puesto'!$P$152/(parametros_recargas!$N$94*$O$9),0))</f>
        <v>1</v>
      </c>
      <c r="G120" s="24" t="n">
        <f aca="false">IF(parametros_recargas!$N$94=0,0,ROUNDUP('Demanda por puesto'!$P$184/(parametros_recargas!$N$94*$O$9),0))</f>
        <v>1</v>
      </c>
      <c r="H120" s="24" t="n">
        <f aca="false">IF(parametros_recargas!$N$94=0,0,ROUNDUP('Demanda por puesto'!$P$216/(parametros_recargas!$N$94*$O$9),0))</f>
        <v>1</v>
      </c>
      <c r="I120" s="24" t="n">
        <f aca="false">IF(parametros_recargas!$N$94=0,0,ROUNDUP('Demanda por puesto'!$P$248/(parametros_recargas!$N$94*$O$9),0))</f>
        <v>1</v>
      </c>
      <c r="J120" s="24" t="n">
        <f aca="false">IF(parametros_recargas!$N$94=0,0,ROUNDUP('Demanda por puesto'!$P$280/(parametros_recargas!$N$94*$O$9),0))</f>
        <v>1</v>
      </c>
      <c r="K120" s="24" t="n">
        <f aca="false">IF(parametros_recargas!$N$94=0,0,ROUNDUP('Demanda por puesto'!$P$312/(parametros_recargas!$N$94*$O$9),0))</f>
        <v>1</v>
      </c>
    </row>
    <row r="121" customFormat="false" ht="15" hidden="false" customHeight="false" outlineLevel="0" collapsed="false">
      <c r="A121" s="12" t="str">
        <f aca="false">parametros_recargas!$B$95</f>
        <v>Carga y presurización de halogenado</v>
      </c>
      <c r="B121" s="24" t="n">
        <f aca="false">IF(parametros_recargas!$N$95=0,0,ROUNDUP('Demanda por puesto'!$P$25/(parametros_recargas!$N$95*$O$9),0))</f>
        <v>1</v>
      </c>
      <c r="C121" s="24" t="n">
        <f aca="false">IF(parametros_recargas!$N$95=0,0,ROUNDUP('Demanda por puesto'!$P$57/(parametros_recargas!$N$95*$O$9),0))</f>
        <v>1</v>
      </c>
      <c r="D121" s="24" t="n">
        <f aca="false">IF(parametros_recargas!$N$95=0,0,ROUNDUP('Demanda por puesto'!$P$89/(parametros_recargas!$N$95*$O$9),0))</f>
        <v>1</v>
      </c>
      <c r="E121" s="24" t="n">
        <f aca="false">IF(parametros_recargas!$N$95=0,0,ROUNDUP('Demanda por puesto'!$P$121/(parametros_recargas!$N$95*$O$9),0))</f>
        <v>1</v>
      </c>
      <c r="F121" s="24" t="n">
        <f aca="false">IF(parametros_recargas!$N$95=0,0,ROUNDUP('Demanda por puesto'!$P$153/(parametros_recargas!$N$95*$O$9),0))</f>
        <v>1</v>
      </c>
      <c r="G121" s="24" t="n">
        <f aca="false">IF(parametros_recargas!$N$95=0,0,ROUNDUP('Demanda por puesto'!$P$185/(parametros_recargas!$N$95*$O$9),0))</f>
        <v>1</v>
      </c>
      <c r="H121" s="24" t="n">
        <f aca="false">IF(parametros_recargas!$N$95=0,0,ROUNDUP('Demanda por puesto'!$P$217/(parametros_recargas!$N$95*$O$9),0))</f>
        <v>1</v>
      </c>
      <c r="I121" s="24" t="n">
        <f aca="false">IF(parametros_recargas!$N$95=0,0,ROUNDUP('Demanda por puesto'!$P$249/(parametros_recargas!$N$95*$O$9),0))</f>
        <v>1</v>
      </c>
      <c r="J121" s="24" t="n">
        <f aca="false">IF(parametros_recargas!$N$95=0,0,ROUNDUP('Demanda por puesto'!$P$281/(parametros_recargas!$N$95*$O$9),0))</f>
        <v>1</v>
      </c>
      <c r="K121" s="24" t="n">
        <f aca="false">IF(parametros_recargas!$N$95=0,0,ROUNDUP('Demanda por puesto'!$P$313/(parametros_recargas!$N$95*$O$9),0))</f>
        <v>1</v>
      </c>
    </row>
    <row r="122" customFormat="false" ht="15" hidden="false" customHeight="false" outlineLevel="0" collapsed="false">
      <c r="A122" s="12" t="str">
        <f aca="false">parametros_recargas!$B$96</f>
        <v>Control de peso (CO₂ y halogenados sin recarga)</v>
      </c>
      <c r="B122" s="24" t="n">
        <f aca="false">IF(parametros_recargas!$N$96=0,0,ROUNDUP('Demanda por puesto'!$P$26/(parametros_recargas!$N$96*$O$9),0))</f>
        <v>1</v>
      </c>
      <c r="C122" s="24" t="n">
        <f aca="false">IF(parametros_recargas!$N$96=0,0,ROUNDUP('Demanda por puesto'!$P$58/(parametros_recargas!$N$96*$O$9),0))</f>
        <v>1</v>
      </c>
      <c r="D122" s="24" t="n">
        <f aca="false">IF(parametros_recargas!$N$96=0,0,ROUNDUP('Demanda por puesto'!$P$90/(parametros_recargas!$N$96*$O$9),0))</f>
        <v>1</v>
      </c>
      <c r="E122" s="24" t="n">
        <f aca="false">IF(parametros_recargas!$N$96=0,0,ROUNDUP('Demanda por puesto'!$P$122/(parametros_recargas!$N$96*$O$9),0))</f>
        <v>1</v>
      </c>
      <c r="F122" s="24" t="n">
        <f aca="false">IF(parametros_recargas!$N$96=0,0,ROUNDUP('Demanda por puesto'!$P$154/(parametros_recargas!$N$96*$O$9),0))</f>
        <v>1</v>
      </c>
      <c r="G122" s="24" t="n">
        <f aca="false">IF(parametros_recargas!$N$96=0,0,ROUNDUP('Demanda por puesto'!$P$186/(parametros_recargas!$N$96*$O$9),0))</f>
        <v>1</v>
      </c>
      <c r="H122" s="24" t="n">
        <f aca="false">IF(parametros_recargas!$N$96=0,0,ROUNDUP('Demanda por puesto'!$P$218/(parametros_recargas!$N$96*$O$9),0))</f>
        <v>1</v>
      </c>
      <c r="I122" s="24" t="n">
        <f aca="false">IF(parametros_recargas!$N$96=0,0,ROUNDUP('Demanda por puesto'!$P$250/(parametros_recargas!$N$96*$O$9),0))</f>
        <v>1</v>
      </c>
      <c r="J122" s="24" t="n">
        <f aca="false">IF(parametros_recargas!$N$96=0,0,ROUNDUP('Demanda por puesto'!$P$282/(parametros_recargas!$N$96*$O$9),0))</f>
        <v>1</v>
      </c>
      <c r="K122" s="24" t="n">
        <f aca="false">IF(parametros_recargas!$N$96=0,0,ROUNDUP('Demanda por puesto'!$P$314/(parametros_recargas!$N$96*$O$9),0))</f>
        <v>1</v>
      </c>
    </row>
    <row r="123" customFormat="false" ht="15" hidden="false" customHeight="false" outlineLevel="0" collapsed="false">
      <c r="A123" s="12" t="str">
        <f aca="false">parametros_recargas!$B$97</f>
        <v>Ensayo de pérdidas</v>
      </c>
      <c r="B123" s="24" t="n">
        <f aca="false">IF(parametros_recargas!$N$97=0,0,ROUNDUP('Demanda por puesto'!$P$27/(parametros_recargas!$N$97*$O$9),0))</f>
        <v>1</v>
      </c>
      <c r="C123" s="24" t="n">
        <f aca="false">IF(parametros_recargas!$N$97=0,0,ROUNDUP('Demanda por puesto'!$P$59/(parametros_recargas!$N$97*$O$9),0))</f>
        <v>1</v>
      </c>
      <c r="D123" s="24" t="n">
        <f aca="false">IF(parametros_recargas!$N$97=0,0,ROUNDUP('Demanda por puesto'!$P$91/(parametros_recargas!$N$97*$O$9),0))</f>
        <v>1</v>
      </c>
      <c r="E123" s="24" t="n">
        <f aca="false">IF(parametros_recargas!$N$97=0,0,ROUNDUP('Demanda por puesto'!$P$123/(parametros_recargas!$N$97*$O$9),0))</f>
        <v>1</v>
      </c>
      <c r="F123" s="24" t="n">
        <f aca="false">IF(parametros_recargas!$N$97=0,0,ROUNDUP('Demanda por puesto'!$P$155/(parametros_recargas!$N$97*$O$9),0))</f>
        <v>1</v>
      </c>
      <c r="G123" s="24" t="n">
        <f aca="false">IF(parametros_recargas!$N$97=0,0,ROUNDUP('Demanda por puesto'!$P$187/(parametros_recargas!$N$97*$O$9),0))</f>
        <v>2</v>
      </c>
      <c r="H123" s="24" t="n">
        <f aca="false">IF(parametros_recargas!$N$97=0,0,ROUNDUP('Demanda por puesto'!$P$219/(parametros_recargas!$N$97*$O$9),0))</f>
        <v>2</v>
      </c>
      <c r="I123" s="24" t="n">
        <f aca="false">IF(parametros_recargas!$N$97=0,0,ROUNDUP('Demanda por puesto'!$P$251/(parametros_recargas!$N$97*$O$9),0))</f>
        <v>2</v>
      </c>
      <c r="J123" s="24" t="n">
        <f aca="false">IF(parametros_recargas!$N$97=0,0,ROUNDUP('Demanda por puesto'!$P$283/(parametros_recargas!$N$97*$O$9),0))</f>
        <v>2</v>
      </c>
      <c r="K123" s="24" t="n">
        <f aca="false">IF(parametros_recargas!$N$97=0,0,ROUNDUP('Demanda por puesto'!$P$315/(parametros_recargas!$N$97*$O$9),0))</f>
        <v>2</v>
      </c>
    </row>
    <row r="124" customFormat="false" ht="15" hidden="false" customHeight="false" outlineLevel="0" collapsed="false">
      <c r="A124" s="12" t="str">
        <f aca="false">parametros_recargas!$B$98</f>
        <v>Precinto, etiqueta y despacho</v>
      </c>
      <c r="B124" s="24" t="n">
        <f aca="false">IF(parametros_recargas!$N$98=0,0,ROUNDUP('Demanda por puesto'!$P$28/(parametros_recargas!$N$98*$O$9),0))</f>
        <v>1</v>
      </c>
      <c r="C124" s="24" t="n">
        <f aca="false">IF(parametros_recargas!$N$98=0,0,ROUNDUP('Demanda por puesto'!$P$60/(parametros_recargas!$N$98*$O$9),0))</f>
        <v>1</v>
      </c>
      <c r="D124" s="24" t="n">
        <f aca="false">IF(parametros_recargas!$N$98=0,0,ROUNDUP('Demanda por puesto'!$P$92/(parametros_recargas!$N$98*$O$9),0))</f>
        <v>1</v>
      </c>
      <c r="E124" s="24" t="n">
        <f aca="false">IF(parametros_recargas!$N$98=0,0,ROUNDUP('Demanda por puesto'!$P$124/(parametros_recargas!$N$98*$O$9),0))</f>
        <v>1</v>
      </c>
      <c r="F124" s="24" t="n">
        <f aca="false">IF(parametros_recargas!$N$98=0,0,ROUNDUP('Demanda por puesto'!$P$156/(parametros_recargas!$N$98*$O$9),0))</f>
        <v>1</v>
      </c>
      <c r="G124" s="24" t="n">
        <f aca="false">IF(parametros_recargas!$N$98=0,0,ROUNDUP('Demanda por puesto'!$P$188/(parametros_recargas!$N$98*$O$9),0))</f>
        <v>2</v>
      </c>
      <c r="H124" s="24" t="n">
        <f aca="false">IF(parametros_recargas!$N$98=0,0,ROUNDUP('Demanda por puesto'!$P$220/(parametros_recargas!$N$98*$O$9),0))</f>
        <v>2</v>
      </c>
      <c r="I124" s="24" t="n">
        <f aca="false">IF(parametros_recargas!$N$98=0,0,ROUNDUP('Demanda por puesto'!$P$252/(parametros_recargas!$N$98*$O$9),0))</f>
        <v>2</v>
      </c>
      <c r="J124" s="24" t="n">
        <f aca="false">IF(parametros_recargas!$N$98=0,0,ROUNDUP('Demanda por puesto'!$P$284/(parametros_recargas!$N$98*$O$9),0))</f>
        <v>2</v>
      </c>
      <c r="K124" s="24" t="n">
        <f aca="false">IF(parametros_recargas!$N$98=0,0,ROUNDUP('Demanda por puesto'!$P$316/(parametros_recargas!$N$98*$O$9),0))</f>
        <v>2</v>
      </c>
    </row>
    <row r="125" customFormat="false" ht="15" hidden="false" customHeight="false" outlineLevel="0" collapsed="false">
      <c r="A125" s="12" t="str">
        <f aca="false">parametros_recargas!$B$99</f>
        <v>Inutilización y disposición final</v>
      </c>
      <c r="B125" s="24" t="n">
        <f aca="false">IF(parametros_recargas!$N$99=0,0,ROUNDUP('Demanda por puesto'!$P$29/(parametros_recargas!$N$99*$O$9),0))</f>
        <v>1</v>
      </c>
      <c r="C125" s="24" t="n">
        <f aca="false">IF(parametros_recargas!$N$99=0,0,ROUNDUP('Demanda por puesto'!$P$61/(parametros_recargas!$N$99*$O$9),0))</f>
        <v>1</v>
      </c>
      <c r="D125" s="24" t="n">
        <f aca="false">IF(parametros_recargas!$N$99=0,0,ROUNDUP('Demanda por puesto'!$P$93/(parametros_recargas!$N$99*$O$9),0))</f>
        <v>1</v>
      </c>
      <c r="E125" s="24" t="n">
        <f aca="false">IF(parametros_recargas!$N$99=0,0,ROUNDUP('Demanda por puesto'!$P$125/(parametros_recargas!$N$99*$O$9),0))</f>
        <v>1</v>
      </c>
      <c r="F125" s="24" t="n">
        <f aca="false">IF(parametros_recargas!$N$99=0,0,ROUNDUP('Demanda por puesto'!$P$157/(parametros_recargas!$N$99*$O$9),0))</f>
        <v>1</v>
      </c>
      <c r="G125" s="24" t="n">
        <f aca="false">IF(parametros_recargas!$N$99=0,0,ROUNDUP('Demanda por puesto'!$P$189/(parametros_recargas!$N$99*$O$9),0))</f>
        <v>1</v>
      </c>
      <c r="H125" s="24" t="n">
        <f aca="false">IF(parametros_recargas!$N$99=0,0,ROUNDUP('Demanda por puesto'!$P$221/(parametros_recargas!$N$99*$O$9),0))</f>
        <v>1</v>
      </c>
      <c r="I125" s="24" t="n">
        <f aca="false">IF(parametros_recargas!$N$99=0,0,ROUNDUP('Demanda por puesto'!$P$253/(parametros_recargas!$N$99*$O$9),0))</f>
        <v>1</v>
      </c>
      <c r="J125" s="24" t="n">
        <f aca="false">IF(parametros_recargas!$N$99=0,0,ROUNDUP('Demanda por puesto'!$P$285/(parametros_recargas!$N$99*$O$9),0))</f>
        <v>1</v>
      </c>
      <c r="K125" s="24" t="n">
        <f aca="false">IF(parametros_recargas!$N$99=0,0,ROUNDUP('Demanda por puesto'!$P$317/(parametros_recargas!$N$99*$O$9),0))</f>
        <v>1</v>
      </c>
    </row>
    <row r="126" customFormat="false" ht="15" hidden="false" customHeight="false" outlineLevel="0" collapsed="false">
      <c r="A126" s="12" t="str">
        <f aca="false">parametros_recargas!$B$100</f>
        <v>PH de mangueras (CO₂ y rodantes)</v>
      </c>
      <c r="B126" s="24" t="n">
        <f aca="false">IF(parametros_recargas!$N$100=0,0,ROUNDUP('Demanda por puesto'!$P$30/(parametros_recargas!$N$100*$O$9),0))</f>
        <v>1</v>
      </c>
      <c r="C126" s="24" t="n">
        <f aca="false">IF(parametros_recargas!$N$100=0,0,ROUNDUP('Demanda por puesto'!$P$62/(parametros_recargas!$N$100*$O$9),0))</f>
        <v>1</v>
      </c>
      <c r="D126" s="24" t="n">
        <f aca="false">IF(parametros_recargas!$N$100=0,0,ROUNDUP('Demanda por puesto'!$P$94/(parametros_recargas!$N$100*$O$9),0))</f>
        <v>1</v>
      </c>
      <c r="E126" s="24" t="n">
        <f aca="false">IF(parametros_recargas!$N$100=0,0,ROUNDUP('Demanda por puesto'!$P$126/(parametros_recargas!$N$100*$O$9),0))</f>
        <v>1</v>
      </c>
      <c r="F126" s="24" t="n">
        <f aca="false">IF(parametros_recargas!$N$100=0,0,ROUNDUP('Demanda por puesto'!$P$158/(parametros_recargas!$N$100*$O$9),0))</f>
        <v>1</v>
      </c>
      <c r="G126" s="24" t="n">
        <f aca="false">IF(parametros_recargas!$N$100=0,0,ROUNDUP('Demanda por puesto'!$P$190/(parametros_recargas!$N$100*$O$9),0))</f>
        <v>1</v>
      </c>
      <c r="H126" s="24" t="n">
        <f aca="false">IF(parametros_recargas!$N$100=0,0,ROUNDUP('Demanda por puesto'!$P$222/(parametros_recargas!$N$100*$O$9),0))</f>
        <v>1</v>
      </c>
      <c r="I126" s="24" t="n">
        <f aca="false">IF(parametros_recargas!$N$100=0,0,ROUNDUP('Demanda por puesto'!$P$254/(parametros_recargas!$N$100*$O$9),0))</f>
        <v>1</v>
      </c>
      <c r="J126" s="24" t="n">
        <f aca="false">IF(parametros_recargas!$N$100=0,0,ROUNDUP('Demanda por puesto'!$P$286/(parametros_recargas!$N$100*$O$9),0))</f>
        <v>1</v>
      </c>
      <c r="K126" s="24" t="n">
        <f aca="false">IF(parametros_recargas!$N$100=0,0,ROUNDUP('Demanda por puesto'!$P$318/(parametros_recargas!$N$100*$O$9),0))</f>
        <v>1</v>
      </c>
    </row>
    <row r="127" customFormat="false" ht="15" hidden="false" customHeight="false" outlineLevel="0" collapsed="false">
      <c r="A127" s="6" t="s">
        <v>311</v>
      </c>
      <c r="B127" s="16" t="n">
        <f aca="false">SUM(B98:B126)</f>
        <v>29</v>
      </c>
      <c r="C127" s="16" t="n">
        <f aca="false">SUM(C98:C126)</f>
        <v>29</v>
      </c>
      <c r="D127" s="16" t="n">
        <f aca="false">SUM(D98:D126)</f>
        <v>29</v>
      </c>
      <c r="E127" s="16" t="n">
        <f aca="false">SUM(E98:E126)</f>
        <v>29</v>
      </c>
      <c r="F127" s="16" t="n">
        <f aca="false">SUM(F98:F126)</f>
        <v>30</v>
      </c>
      <c r="G127" s="16" t="n">
        <f aca="false">SUM(G98:G126)</f>
        <v>35</v>
      </c>
      <c r="H127" s="16" t="n">
        <f aca="false">SUM(H98:H126)</f>
        <v>37</v>
      </c>
      <c r="I127" s="16" t="n">
        <f aca="false">SUM(I98:I126)</f>
        <v>40</v>
      </c>
      <c r="J127" s="16" t="n">
        <f aca="false">SUM(J98:J126)</f>
        <v>40</v>
      </c>
      <c r="K127" s="16" t="n">
        <f aca="false">SUM(K98:K126)</f>
        <v>41</v>
      </c>
    </row>
    <row r="129" customFormat="false" ht="15" hidden="false" customHeight="false" outlineLevel="0" collapsed="false">
      <c r="A129" s="3" t="s">
        <v>312</v>
      </c>
      <c r="B129" s="3" t="n">
        <v>2026</v>
      </c>
      <c r="C129" s="3" t="n">
        <v>2027</v>
      </c>
      <c r="D129" s="3" t="n">
        <v>2028</v>
      </c>
      <c r="E129" s="3" t="n">
        <v>2029</v>
      </c>
      <c r="F129" s="3" t="n">
        <v>2030</v>
      </c>
      <c r="G129" s="3" t="n">
        <v>2031</v>
      </c>
      <c r="H129" s="3" t="n">
        <v>2032</v>
      </c>
      <c r="I129" s="3" t="n">
        <v>2033</v>
      </c>
      <c r="J129" s="3" t="n">
        <v>2034</v>
      </c>
      <c r="K129" s="3" t="n">
        <v>2035</v>
      </c>
    </row>
    <row r="130" customFormat="false" ht="15" hidden="false" customHeight="false" outlineLevel="0" collapsed="false">
      <c r="A130" s="12" t="str">
        <f aca="false">parametros_recargas!$B$72</f>
        <v>Recepción y registro</v>
      </c>
      <c r="B130" s="12" t="str">
        <f aca="false">IF('Demanda por puesto'!$P$2=0,"—",IF(parametros_recargas!$N$72=0,$N$7,IF(B2&lt;=$O$9,$N$2,IF(parametros_recargas!$D$72="Tercerizado",$N$6,IF(B66&lt;$O$10,$N$3,IF(parametros_recargas!$D$72="Manual",$N$5,$N$4))))))</f>
        <v>OK</v>
      </c>
      <c r="C130" s="12" t="str">
        <f aca="false">IF('Demanda por puesto'!$P$34=0,"—",IF(parametros_recargas!$N$72=0,$N$7,IF(C2&lt;=$O$9,$N$2,IF(parametros_recargas!$D$72="Tercerizado",$N$6,IF(C66&lt;$O$10,$N$3,IF(parametros_recargas!$D$72="Manual",$N$5,$N$4))))))</f>
        <v>OK</v>
      </c>
      <c r="D130" s="12" t="str">
        <f aca="false">IF('Demanda por puesto'!$P$66=0,"—",IF(parametros_recargas!$N$72=0,$N$7,IF(D2&lt;=$O$9,$N$2,IF(parametros_recargas!$D$72="Tercerizado",$N$6,IF(D66&lt;$O$10,$N$3,IF(parametros_recargas!$D$72="Manual",$N$5,$N$4))))))</f>
        <v>OK</v>
      </c>
      <c r="E130" s="12" t="str">
        <f aca="false">IF('Demanda por puesto'!$P$98=0,"—",IF(parametros_recargas!$N$72=0,$N$7,IF(E2&lt;=$O$9,$N$2,IF(parametros_recargas!$D$72="Tercerizado",$N$6,IF(E66&lt;$O$10,$N$3,IF(parametros_recargas!$D$72="Manual",$N$5,$N$4))))))</f>
        <v>OK</v>
      </c>
      <c r="F130" s="12" t="str">
        <f aca="false">IF('Demanda por puesto'!$P$130=0,"—",IF(parametros_recargas!$N$72=0,$N$7,IF(F2&lt;=$O$9,$N$2,IF(parametros_recargas!$D$72="Tercerizado",$N$6,IF(F66&lt;$O$10,$N$3,IF(parametros_recargas!$D$72="Manual",$N$5,$N$4))))))</f>
        <v>OK</v>
      </c>
      <c r="G130" s="12" t="str">
        <f aca="false">IF('Demanda por puesto'!$P$162=0,"—",IF(parametros_recargas!$N$72=0,$N$7,IF(G2&lt;=$O$9,$N$2,IF(parametros_recargas!$D$72="Tercerizado",$N$6,IF(G66&lt;$O$10,$N$3,IF(parametros_recargas!$D$72="Manual",$N$5,$N$4))))))</f>
        <v>OK</v>
      </c>
      <c r="H130" s="12" t="str">
        <f aca="false">IF('Demanda por puesto'!$P$194=0,"—",IF(parametros_recargas!$N$72=0,$N$7,IF(H2&lt;=$O$9,$N$2,IF(parametros_recargas!$D$72="Tercerizado",$N$6,IF(H66&lt;$O$10,$N$3,IF(parametros_recargas!$D$72="Manual",$N$5,$N$4))))))</f>
        <v>Agrega turno</v>
      </c>
      <c r="I130" s="12" t="str">
        <f aca="false">IF('Demanda por puesto'!$P$226=0,"—",IF(parametros_recargas!$N$72=0,$N$7,IF(I2&lt;=$O$9,$N$2,IF(parametros_recargas!$D$72="Tercerizado",$N$6,IF(I66&lt;$O$10,$N$3,IF(parametros_recargas!$D$72="Manual",$N$5,$N$4))))))</f>
        <v>Agrega turno</v>
      </c>
      <c r="J130" s="12" t="str">
        <f aca="false">IF('Demanda por puesto'!$P$258=0,"—",IF(parametros_recargas!$N$72=0,$N$7,IF(J2&lt;=$O$9,$N$2,IF(parametros_recargas!$D$72="Tercerizado",$N$6,IF(J66&lt;$O$10,$N$3,IF(parametros_recargas!$D$72="Manual",$N$5,$N$4))))))</f>
        <v>Agrega turno</v>
      </c>
      <c r="K130" s="12" t="str">
        <f aca="false">IF('Demanda por puesto'!$P$290=0,"—",IF(parametros_recargas!$N$72=0,$N$7,IF(K2&lt;=$O$9,$N$2,IF(parametros_recargas!$D$72="Tercerizado",$N$6,IF(K66&lt;$O$10,$N$3,IF(parametros_recargas!$D$72="Manual",$N$5,$N$4))))))</f>
        <v>Agrega turno</v>
      </c>
    </row>
    <row r="131" customFormat="false" ht="15" hidden="false" customHeight="false" outlineLevel="0" collapsed="false">
      <c r="A131" s="12" t="str">
        <f aca="false">parametros_recargas!$B$73</f>
        <v>Inspección visual</v>
      </c>
      <c r="B131" s="12" t="str">
        <f aca="false">IF('Demanda por puesto'!$P$3=0,"—",IF(parametros_recargas!$N$73=0,$N$7,IF(B3&lt;=$O$9,$N$2,IF(parametros_recargas!$D$73="Tercerizado",$N$6,IF(B67&lt;$O$10,$N$3,IF(parametros_recargas!$D$73="Manual",$N$5,$N$4))))))</f>
        <v>OK</v>
      </c>
      <c r="C131" s="12" t="str">
        <f aca="false">IF('Demanda por puesto'!$P$35=0,"—",IF(parametros_recargas!$N$73=0,$N$7,IF(C3&lt;=$O$9,$N$2,IF(parametros_recargas!$D$73="Tercerizado",$N$6,IF(C67&lt;$O$10,$N$3,IF(parametros_recargas!$D$73="Manual",$N$5,$N$4))))))</f>
        <v>OK</v>
      </c>
      <c r="D131" s="12" t="str">
        <f aca="false">IF('Demanda por puesto'!$P$67=0,"—",IF(parametros_recargas!$N$73=0,$N$7,IF(D3&lt;=$O$9,$N$2,IF(parametros_recargas!$D$73="Tercerizado",$N$6,IF(D67&lt;$O$10,$N$3,IF(parametros_recargas!$D$73="Manual",$N$5,$N$4))))))</f>
        <v>OK</v>
      </c>
      <c r="E131" s="12" t="str">
        <f aca="false">IF('Demanda por puesto'!$P$99=0,"—",IF(parametros_recargas!$N$73=0,$N$7,IF(E3&lt;=$O$9,$N$2,IF(parametros_recargas!$D$73="Tercerizado",$N$6,IF(E67&lt;$O$10,$N$3,IF(parametros_recargas!$D$73="Manual",$N$5,$N$4))))))</f>
        <v>OK</v>
      </c>
      <c r="F131" s="12" t="str">
        <f aca="false">IF('Demanda por puesto'!$P$131=0,"—",IF(parametros_recargas!$N$73=0,$N$7,IF(F3&lt;=$O$9,$N$2,IF(parametros_recargas!$D$73="Tercerizado",$N$6,IF(F67&lt;$O$10,$N$3,IF(parametros_recargas!$D$73="Manual",$N$5,$N$4))))))</f>
        <v>OK</v>
      </c>
      <c r="G131" s="12" t="str">
        <f aca="false">IF('Demanda por puesto'!$P$163=0,"—",IF(parametros_recargas!$N$73=0,$N$7,IF(G3&lt;=$O$9,$N$2,IF(parametros_recargas!$D$73="Tercerizado",$N$6,IF(G67&lt;$O$10,$N$3,IF(parametros_recargas!$D$73="Manual",$N$5,$N$4))))))</f>
        <v>Agrega turno</v>
      </c>
      <c r="H131" s="12" t="str">
        <f aca="false">IF('Demanda por puesto'!$P$195=0,"—",IF(parametros_recargas!$N$73=0,$N$7,IF(H3&lt;=$O$9,$N$2,IF(parametros_recargas!$D$73="Tercerizado",$N$6,IF(H67&lt;$O$10,$N$3,IF(parametros_recargas!$D$73="Manual",$N$5,$N$4))))))</f>
        <v>Agrega turno</v>
      </c>
      <c r="I131" s="12" t="str">
        <f aca="false">IF('Demanda por puesto'!$P$227=0,"—",IF(parametros_recargas!$N$73=0,$N$7,IF(I3&lt;=$O$9,$N$2,IF(parametros_recargas!$D$73="Tercerizado",$N$6,IF(I67&lt;$O$10,$N$3,IF(parametros_recargas!$D$73="Manual",$N$5,$N$4))))))</f>
        <v>Agrega turno</v>
      </c>
      <c r="J131" s="12" t="str">
        <f aca="false">IF('Demanda por puesto'!$P$259=0,"—",IF(parametros_recargas!$N$73=0,$N$7,IF(J3&lt;=$O$9,$N$2,IF(parametros_recargas!$D$73="Tercerizado",$N$6,IF(J67&lt;$O$10,$N$3,IF(parametros_recargas!$D$73="Manual",$N$5,$N$4))))))</f>
        <v>Agrega turno</v>
      </c>
      <c r="K131" s="12" t="str">
        <f aca="false">IF('Demanda por puesto'!$P$291=0,"—",IF(parametros_recargas!$N$73=0,$N$7,IF(K3&lt;=$O$9,$N$2,IF(parametros_recargas!$D$73="Tercerizado",$N$6,IF(K67&lt;$O$10,$N$3,IF(parametros_recargas!$D$73="Manual",$N$5,$N$4))))))</f>
        <v>Agrega turno</v>
      </c>
    </row>
    <row r="132" customFormat="false" ht="15" hidden="false" customHeight="false" outlineLevel="0" collapsed="false">
      <c r="A132" s="12" t="str">
        <f aca="false">parametros_recargas!$B$74</f>
        <v>Descarga ABC — ruta recuperable</v>
      </c>
      <c r="B132" s="12" t="str">
        <f aca="false">IF('Demanda por puesto'!$P$4=0,"—",IF(parametros_recargas!$N$74=0,$N$7,IF(B4&lt;=$O$9,$N$2,IF(parametros_recargas!$D$74="Tercerizado",$N$6,IF(B68&lt;$O$10,$N$3,IF(parametros_recargas!$D$74="Manual",$N$5,$N$4))))))</f>
        <v>OK</v>
      </c>
      <c r="C132" s="12" t="str">
        <f aca="false">IF('Demanda por puesto'!$P$36=0,"—",IF(parametros_recargas!$N$74=0,$N$7,IF(C4&lt;=$O$9,$N$2,IF(parametros_recargas!$D$74="Tercerizado",$N$6,IF(C68&lt;$O$10,$N$3,IF(parametros_recargas!$D$74="Manual",$N$5,$N$4))))))</f>
        <v>OK</v>
      </c>
      <c r="D132" s="12" t="str">
        <f aca="false">IF('Demanda por puesto'!$P$68=0,"—",IF(parametros_recargas!$N$74=0,$N$7,IF(D4&lt;=$O$9,$N$2,IF(parametros_recargas!$D$74="Tercerizado",$N$6,IF(D68&lt;$O$10,$N$3,IF(parametros_recargas!$D$74="Manual",$N$5,$N$4))))))</f>
        <v>OK</v>
      </c>
      <c r="E132" s="12" t="str">
        <f aca="false">IF('Demanda por puesto'!$P$100=0,"—",IF(parametros_recargas!$N$74=0,$N$7,IF(E4&lt;=$O$9,$N$2,IF(parametros_recargas!$D$74="Tercerizado",$N$6,IF(E68&lt;$O$10,$N$3,IF(parametros_recargas!$D$74="Manual",$N$5,$N$4))))))</f>
        <v>OK</v>
      </c>
      <c r="F132" s="12" t="str">
        <f aca="false">IF('Demanda por puesto'!$P$132=0,"—",IF(parametros_recargas!$N$74=0,$N$7,IF(F4&lt;=$O$9,$N$2,IF(parametros_recargas!$D$74="Tercerizado",$N$6,IF(F68&lt;$O$10,$N$3,IF(parametros_recargas!$D$74="Manual",$N$5,$N$4))))))</f>
        <v>OK</v>
      </c>
      <c r="G132" s="12" t="str">
        <f aca="false">IF('Demanda por puesto'!$P$164=0,"—",IF(parametros_recargas!$N$74=0,$N$7,IF(G4&lt;=$O$9,$N$2,IF(parametros_recargas!$D$74="Tercerizado",$N$6,IF(G68&lt;$O$10,$N$3,IF(parametros_recargas!$D$74="Manual",$N$5,$N$4))))))</f>
        <v>OK</v>
      </c>
      <c r="H132" s="12" t="str">
        <f aca="false">IF('Demanda por puesto'!$P$196=0,"—",IF(parametros_recargas!$N$74=0,$N$7,IF(H4&lt;=$O$9,$N$2,IF(parametros_recargas!$D$74="Tercerizado",$N$6,IF(H68&lt;$O$10,$N$3,IF(parametros_recargas!$D$74="Manual",$N$5,$N$4))))))</f>
        <v>OK</v>
      </c>
      <c r="I132" s="12" t="str">
        <f aca="false">IF('Demanda por puesto'!$P$228=0,"—",IF(parametros_recargas!$N$74=0,$N$7,IF(I4&lt;=$O$9,$N$2,IF(parametros_recargas!$D$74="Tercerizado",$N$6,IF(I68&lt;$O$10,$N$3,IF(parametros_recargas!$D$74="Manual",$N$5,$N$4))))))</f>
        <v>Agrega turno</v>
      </c>
      <c r="J132" s="12" t="str">
        <f aca="false">IF('Demanda por puesto'!$P$260=0,"—",IF(parametros_recargas!$N$74=0,$N$7,IF(J4&lt;=$O$9,$N$2,IF(parametros_recargas!$D$74="Tercerizado",$N$6,IF(J68&lt;$O$10,$N$3,IF(parametros_recargas!$D$74="Manual",$N$5,$N$4))))))</f>
        <v>Agrega turno</v>
      </c>
      <c r="K132" s="12" t="str">
        <f aca="false">IF('Demanda por puesto'!$P$292=0,"—",IF(parametros_recargas!$N$74=0,$N$7,IF(K4&lt;=$O$9,$N$2,IF(parametros_recargas!$D$74="Tercerizado",$N$6,IF(K68&lt;$O$10,$N$3,IF(parametros_recargas!$D$74="Manual",$N$5,$N$4))))))</f>
        <v>Agrega turno</v>
      </c>
    </row>
    <row r="133" customFormat="false" ht="15" hidden="false" customHeight="false" outlineLevel="0" collapsed="false">
      <c r="A133" s="12" t="str">
        <f aca="false">parametros_recargas!$B$75</f>
        <v>Descarga ABC — ruta descarte</v>
      </c>
      <c r="B133" s="12" t="str">
        <f aca="false">IF('Demanda por puesto'!$P$5=0,"—",IF(parametros_recargas!$N$75=0,$N$7,IF(B5&lt;=$O$9,$N$2,IF(parametros_recargas!$D$75="Tercerizado",$N$6,IF(B69&lt;$O$10,$N$3,IF(parametros_recargas!$D$75="Manual",$N$5,$N$4))))))</f>
        <v>OK</v>
      </c>
      <c r="C133" s="12" t="str">
        <f aca="false">IF('Demanda por puesto'!$P$37=0,"—",IF(parametros_recargas!$N$75=0,$N$7,IF(C5&lt;=$O$9,$N$2,IF(parametros_recargas!$D$75="Tercerizado",$N$6,IF(C69&lt;$O$10,$N$3,IF(parametros_recargas!$D$75="Manual",$N$5,$N$4))))))</f>
        <v>OK</v>
      </c>
      <c r="D133" s="12" t="str">
        <f aca="false">IF('Demanda por puesto'!$P$69=0,"—",IF(parametros_recargas!$N$75=0,$N$7,IF(D5&lt;=$O$9,$N$2,IF(parametros_recargas!$D$75="Tercerizado",$N$6,IF(D69&lt;$O$10,$N$3,IF(parametros_recargas!$D$75="Manual",$N$5,$N$4))))))</f>
        <v>OK</v>
      </c>
      <c r="E133" s="12" t="str">
        <f aca="false">IF('Demanda por puesto'!$P$101=0,"—",IF(parametros_recargas!$N$75=0,$N$7,IF(E5&lt;=$O$9,$N$2,IF(parametros_recargas!$D$75="Tercerizado",$N$6,IF(E69&lt;$O$10,$N$3,IF(parametros_recargas!$D$75="Manual",$N$5,$N$4))))))</f>
        <v>OK</v>
      </c>
      <c r="F133" s="12" t="str">
        <f aca="false">IF('Demanda por puesto'!$P$133=0,"—",IF(parametros_recargas!$N$75=0,$N$7,IF(F5&lt;=$O$9,$N$2,IF(parametros_recargas!$D$75="Tercerizado",$N$6,IF(F69&lt;$O$10,$N$3,IF(parametros_recargas!$D$75="Manual",$N$5,$N$4))))))</f>
        <v>OK</v>
      </c>
      <c r="G133" s="12" t="str">
        <f aca="false">IF('Demanda por puesto'!$P$165=0,"—",IF(parametros_recargas!$N$75=0,$N$7,IF(G5&lt;=$O$9,$N$2,IF(parametros_recargas!$D$75="Tercerizado",$N$6,IF(G69&lt;$O$10,$N$3,IF(parametros_recargas!$D$75="Manual",$N$5,$N$4))))))</f>
        <v>OK</v>
      </c>
      <c r="H133" s="12" t="str">
        <f aca="false">IF('Demanda por puesto'!$P$197=0,"—",IF(parametros_recargas!$N$75=0,$N$7,IF(H5&lt;=$O$9,$N$2,IF(parametros_recargas!$D$75="Tercerizado",$N$6,IF(H69&lt;$O$10,$N$3,IF(parametros_recargas!$D$75="Manual",$N$5,$N$4))))))</f>
        <v>OK</v>
      </c>
      <c r="I133" s="12" t="str">
        <f aca="false">IF('Demanda por puesto'!$P$229=0,"—",IF(parametros_recargas!$N$75=0,$N$7,IF(I5&lt;=$O$9,$N$2,IF(parametros_recargas!$D$75="Tercerizado",$N$6,IF(I69&lt;$O$10,$N$3,IF(parametros_recargas!$D$75="Manual",$N$5,$N$4))))))</f>
        <v>OK</v>
      </c>
      <c r="J133" s="12" t="str">
        <f aca="false">IF('Demanda por puesto'!$P$261=0,"—",IF(parametros_recargas!$N$75=0,$N$7,IF(J5&lt;=$O$9,$N$2,IF(parametros_recargas!$D$75="Tercerizado",$N$6,IF(J69&lt;$O$10,$N$3,IF(parametros_recargas!$D$75="Manual",$N$5,$N$4))))))</f>
        <v>OK</v>
      </c>
      <c r="K133" s="12" t="str">
        <f aca="false">IF('Demanda por puesto'!$P$293=0,"—",IF(parametros_recargas!$N$75=0,$N$7,IF(K5&lt;=$O$9,$N$2,IF(parametros_recargas!$D$75="Tercerizado",$N$6,IF(K69&lt;$O$10,$N$3,IF(parametros_recargas!$D$75="Manual",$N$5,$N$4))))))</f>
        <v>OK</v>
      </c>
    </row>
    <row r="134" customFormat="false" ht="15" hidden="false" customHeight="false" outlineLevel="0" collapsed="false">
      <c r="A134" s="12" t="str">
        <f aca="false">parametros_recargas!$B$76</f>
        <v>Descarga BC</v>
      </c>
      <c r="B134" s="12" t="str">
        <f aca="false">IF('Demanda por puesto'!$P$6=0,"—",IF(parametros_recargas!$N$76=0,$N$7,IF(B6&lt;=$O$9,$N$2,IF(parametros_recargas!$D$76="Tercerizado",$N$6,IF(B70&lt;$O$10,$N$3,IF(parametros_recargas!$D$76="Manual",$N$5,$N$4))))))</f>
        <v>OK</v>
      </c>
      <c r="C134" s="12" t="str">
        <f aca="false">IF('Demanda por puesto'!$P$38=0,"—",IF(parametros_recargas!$N$76=0,$N$7,IF(C6&lt;=$O$9,$N$2,IF(parametros_recargas!$D$76="Tercerizado",$N$6,IF(C70&lt;$O$10,$N$3,IF(parametros_recargas!$D$76="Manual",$N$5,$N$4))))))</f>
        <v>OK</v>
      </c>
      <c r="D134" s="12" t="str">
        <f aca="false">IF('Demanda por puesto'!$P$70=0,"—",IF(parametros_recargas!$N$76=0,$N$7,IF(D6&lt;=$O$9,$N$2,IF(parametros_recargas!$D$76="Tercerizado",$N$6,IF(D70&lt;$O$10,$N$3,IF(parametros_recargas!$D$76="Manual",$N$5,$N$4))))))</f>
        <v>OK</v>
      </c>
      <c r="E134" s="12" t="str">
        <f aca="false">IF('Demanda por puesto'!$P$102=0,"—",IF(parametros_recargas!$N$76=0,$N$7,IF(E6&lt;=$O$9,$N$2,IF(parametros_recargas!$D$76="Tercerizado",$N$6,IF(E70&lt;$O$10,$N$3,IF(parametros_recargas!$D$76="Manual",$N$5,$N$4))))))</f>
        <v>OK</v>
      </c>
      <c r="F134" s="12" t="str">
        <f aca="false">IF('Demanda por puesto'!$P$134=0,"—",IF(parametros_recargas!$N$76=0,$N$7,IF(F6&lt;=$O$9,$N$2,IF(parametros_recargas!$D$76="Tercerizado",$N$6,IF(F70&lt;$O$10,$N$3,IF(parametros_recargas!$D$76="Manual",$N$5,$N$4))))))</f>
        <v>OK</v>
      </c>
      <c r="G134" s="12" t="str">
        <f aca="false">IF('Demanda por puesto'!$P$166=0,"—",IF(parametros_recargas!$N$76=0,$N$7,IF(G6&lt;=$O$9,$N$2,IF(parametros_recargas!$D$76="Tercerizado",$N$6,IF(G70&lt;$O$10,$N$3,IF(parametros_recargas!$D$76="Manual",$N$5,$N$4))))))</f>
        <v>OK</v>
      </c>
      <c r="H134" s="12" t="str">
        <f aca="false">IF('Demanda por puesto'!$P$198=0,"—",IF(parametros_recargas!$N$76=0,$N$7,IF(H6&lt;=$O$9,$N$2,IF(parametros_recargas!$D$76="Tercerizado",$N$6,IF(H70&lt;$O$10,$N$3,IF(parametros_recargas!$D$76="Manual",$N$5,$N$4))))))</f>
        <v>OK</v>
      </c>
      <c r="I134" s="12" t="str">
        <f aca="false">IF('Demanda por puesto'!$P$230=0,"—",IF(parametros_recargas!$N$76=0,$N$7,IF(I6&lt;=$O$9,$N$2,IF(parametros_recargas!$D$76="Tercerizado",$N$6,IF(I70&lt;$O$10,$N$3,IF(parametros_recargas!$D$76="Manual",$N$5,$N$4))))))</f>
        <v>OK</v>
      </c>
      <c r="J134" s="12" t="str">
        <f aca="false">IF('Demanda por puesto'!$P$262=0,"—",IF(parametros_recargas!$N$76=0,$N$7,IF(J6&lt;=$O$9,$N$2,IF(parametros_recargas!$D$76="Tercerizado",$N$6,IF(J70&lt;$O$10,$N$3,IF(parametros_recargas!$D$76="Manual",$N$5,$N$4))))))</f>
        <v>OK</v>
      </c>
      <c r="K134" s="12" t="str">
        <f aca="false">IF('Demanda por puesto'!$P$294=0,"—",IF(parametros_recargas!$N$76=0,$N$7,IF(K6&lt;=$O$9,$N$2,IF(parametros_recargas!$D$76="Tercerizado",$N$6,IF(K70&lt;$O$10,$N$3,IF(parametros_recargas!$D$76="Manual",$N$5,$N$4))))))</f>
        <v>OK</v>
      </c>
    </row>
    <row r="135" customFormat="false" ht="15" hidden="false" customHeight="false" outlineLevel="0" collapsed="false">
      <c r="A135" s="12" t="str">
        <f aca="false">parametros_recargas!$B$77</f>
        <v>Descarga de agua / AFFF / sales K</v>
      </c>
      <c r="B135" s="12" t="str">
        <f aca="false">IF('Demanda por puesto'!$P$7=0,"—",IF(parametros_recargas!$N$77=0,$N$7,IF(B7&lt;=$O$9,$N$2,IF(parametros_recargas!$D$77="Tercerizado",$N$6,IF(B71&lt;$O$10,$N$3,IF(parametros_recargas!$D$77="Manual",$N$5,$N$4))))))</f>
        <v>OK</v>
      </c>
      <c r="C135" s="12" t="str">
        <f aca="false">IF('Demanda por puesto'!$P$39=0,"—",IF(parametros_recargas!$N$77=0,$N$7,IF(C7&lt;=$O$9,$N$2,IF(parametros_recargas!$D$77="Tercerizado",$N$6,IF(C71&lt;$O$10,$N$3,IF(parametros_recargas!$D$77="Manual",$N$5,$N$4))))))</f>
        <v>OK</v>
      </c>
      <c r="D135" s="12" t="str">
        <f aca="false">IF('Demanda por puesto'!$P$71=0,"—",IF(parametros_recargas!$N$77=0,$N$7,IF(D7&lt;=$O$9,$N$2,IF(parametros_recargas!$D$77="Tercerizado",$N$6,IF(D71&lt;$O$10,$N$3,IF(parametros_recargas!$D$77="Manual",$N$5,$N$4))))))</f>
        <v>OK</v>
      </c>
      <c r="E135" s="12" t="str">
        <f aca="false">IF('Demanda por puesto'!$P$103=0,"—",IF(parametros_recargas!$N$77=0,$N$7,IF(E7&lt;=$O$9,$N$2,IF(parametros_recargas!$D$77="Tercerizado",$N$6,IF(E71&lt;$O$10,$N$3,IF(parametros_recargas!$D$77="Manual",$N$5,$N$4))))))</f>
        <v>OK</v>
      </c>
      <c r="F135" s="12" t="str">
        <f aca="false">IF('Demanda por puesto'!$P$135=0,"—",IF(parametros_recargas!$N$77=0,$N$7,IF(F7&lt;=$O$9,$N$2,IF(parametros_recargas!$D$77="Tercerizado",$N$6,IF(F71&lt;$O$10,$N$3,IF(parametros_recargas!$D$77="Manual",$N$5,$N$4))))))</f>
        <v>OK</v>
      </c>
      <c r="G135" s="12" t="str">
        <f aca="false">IF('Demanda por puesto'!$P$167=0,"—",IF(parametros_recargas!$N$77=0,$N$7,IF(G7&lt;=$O$9,$N$2,IF(parametros_recargas!$D$77="Tercerizado",$N$6,IF(G71&lt;$O$10,$N$3,IF(parametros_recargas!$D$77="Manual",$N$5,$N$4))))))</f>
        <v>OK</v>
      </c>
      <c r="H135" s="12" t="str">
        <f aca="false">IF('Demanda por puesto'!$P$199=0,"—",IF(parametros_recargas!$N$77=0,$N$7,IF(H7&lt;=$O$9,$N$2,IF(parametros_recargas!$D$77="Tercerizado",$N$6,IF(H71&lt;$O$10,$N$3,IF(parametros_recargas!$D$77="Manual",$N$5,$N$4))))))</f>
        <v>OK</v>
      </c>
      <c r="I135" s="12" t="str">
        <f aca="false">IF('Demanda por puesto'!$P$231=0,"—",IF(parametros_recargas!$N$77=0,$N$7,IF(I7&lt;=$O$9,$N$2,IF(parametros_recargas!$D$77="Tercerizado",$N$6,IF(I71&lt;$O$10,$N$3,IF(parametros_recargas!$D$77="Manual",$N$5,$N$4))))))</f>
        <v>OK</v>
      </c>
      <c r="J135" s="12" t="str">
        <f aca="false">IF('Demanda por puesto'!$P$263=0,"—",IF(parametros_recargas!$N$77=0,$N$7,IF(J7&lt;=$O$9,$N$2,IF(parametros_recargas!$D$77="Tercerizado",$N$6,IF(J71&lt;$O$10,$N$3,IF(parametros_recargas!$D$77="Manual",$N$5,$N$4))))))</f>
        <v>OK</v>
      </c>
      <c r="K135" s="12" t="str">
        <f aca="false">IF('Demanda por puesto'!$P$295=0,"—",IF(parametros_recargas!$N$77=0,$N$7,IF(K7&lt;=$O$9,$N$2,IF(parametros_recargas!$D$77="Tercerizado",$N$6,IF(K71&lt;$O$10,$N$3,IF(parametros_recargas!$D$77="Manual",$N$5,$N$4))))))</f>
        <v>OK</v>
      </c>
    </row>
    <row r="136" customFormat="false" ht="15" hidden="false" customHeight="false" outlineLevel="0" collapsed="false">
      <c r="A136" s="12" t="str">
        <f aca="false">parametros_recargas!$B$78</f>
        <v>Recuperación de CO₂</v>
      </c>
      <c r="B136" s="12" t="str">
        <f aca="false">IF('Demanda por puesto'!$P$8=0,"—",IF(parametros_recargas!$N$78=0,$N$7,IF(B8&lt;=$O$9,$N$2,IF(parametros_recargas!$D$78="Tercerizado",$N$6,IF(B72&lt;$O$10,$N$3,IF(parametros_recargas!$D$78="Manual",$N$5,$N$4))))))</f>
        <v>OK</v>
      </c>
      <c r="C136" s="12" t="str">
        <f aca="false">IF('Demanda por puesto'!$P$40=0,"—",IF(parametros_recargas!$N$78=0,$N$7,IF(C8&lt;=$O$9,$N$2,IF(parametros_recargas!$D$78="Tercerizado",$N$6,IF(C72&lt;$O$10,$N$3,IF(parametros_recargas!$D$78="Manual",$N$5,$N$4))))))</f>
        <v>OK</v>
      </c>
      <c r="D136" s="12" t="str">
        <f aca="false">IF('Demanda por puesto'!$P$72=0,"—",IF(parametros_recargas!$N$78=0,$N$7,IF(D8&lt;=$O$9,$N$2,IF(parametros_recargas!$D$78="Tercerizado",$N$6,IF(D72&lt;$O$10,$N$3,IF(parametros_recargas!$D$78="Manual",$N$5,$N$4))))))</f>
        <v>OK</v>
      </c>
      <c r="E136" s="12" t="str">
        <f aca="false">IF('Demanda por puesto'!$P$104=0,"—",IF(parametros_recargas!$N$78=0,$N$7,IF(E8&lt;=$O$9,$N$2,IF(parametros_recargas!$D$78="Tercerizado",$N$6,IF(E72&lt;$O$10,$N$3,IF(parametros_recargas!$D$78="Manual",$N$5,$N$4))))))</f>
        <v>OK</v>
      </c>
      <c r="F136" s="12" t="str">
        <f aca="false">IF('Demanda por puesto'!$P$136=0,"—",IF(parametros_recargas!$N$78=0,$N$7,IF(F8&lt;=$O$9,$N$2,IF(parametros_recargas!$D$78="Tercerizado",$N$6,IF(F72&lt;$O$10,$N$3,IF(parametros_recargas!$D$78="Manual",$N$5,$N$4))))))</f>
        <v>OK</v>
      </c>
      <c r="G136" s="12" t="str">
        <f aca="false">IF('Demanda por puesto'!$P$168=0,"—",IF(parametros_recargas!$N$78=0,$N$7,IF(G8&lt;=$O$9,$N$2,IF(parametros_recargas!$D$78="Tercerizado",$N$6,IF(G72&lt;$O$10,$N$3,IF(parametros_recargas!$D$78="Manual",$N$5,$N$4))))))</f>
        <v>OK</v>
      </c>
      <c r="H136" s="12" t="str">
        <f aca="false">IF('Demanda por puesto'!$P$200=0,"—",IF(parametros_recargas!$N$78=0,$N$7,IF(H8&lt;=$O$9,$N$2,IF(parametros_recargas!$D$78="Tercerizado",$N$6,IF(H72&lt;$O$10,$N$3,IF(parametros_recargas!$D$78="Manual",$N$5,$N$4))))))</f>
        <v>OK</v>
      </c>
      <c r="I136" s="12" t="str">
        <f aca="false">IF('Demanda por puesto'!$P$232=0,"—",IF(parametros_recargas!$N$78=0,$N$7,IF(I8&lt;=$O$9,$N$2,IF(parametros_recargas!$D$78="Tercerizado",$N$6,IF(I72&lt;$O$10,$N$3,IF(parametros_recargas!$D$78="Manual",$N$5,$N$4))))))</f>
        <v>OK</v>
      </c>
      <c r="J136" s="12" t="str">
        <f aca="false">IF('Demanda por puesto'!$P$264=0,"—",IF(parametros_recargas!$N$78=0,$N$7,IF(J8&lt;=$O$9,$N$2,IF(parametros_recargas!$D$78="Tercerizado",$N$6,IF(J72&lt;$O$10,$N$3,IF(parametros_recargas!$D$78="Manual",$N$5,$N$4))))))</f>
        <v>OK</v>
      </c>
      <c r="K136" s="12" t="str">
        <f aca="false">IF('Demanda por puesto'!$P$296=0,"—",IF(parametros_recargas!$N$78=0,$N$7,IF(K8&lt;=$O$9,$N$2,IF(parametros_recargas!$D$78="Tercerizado",$N$6,IF(K72&lt;$O$10,$N$3,IF(parametros_recargas!$D$78="Manual",$N$5,$N$4))))))</f>
        <v>OK</v>
      </c>
    </row>
    <row r="137" customFormat="false" ht="15" hidden="false" customHeight="false" outlineLevel="0" collapsed="false">
      <c r="A137" s="12" t="str">
        <f aca="false">parametros_recargas!$B$79</f>
        <v>Recuperación de halogenado</v>
      </c>
      <c r="B137" s="12" t="str">
        <f aca="false">IF('Demanda por puesto'!$P$9=0,"—",IF(parametros_recargas!$N$79=0,$N$7,IF(B9&lt;=$O$9,$N$2,IF(parametros_recargas!$D$79="Tercerizado",$N$6,IF(B73&lt;$O$10,$N$3,IF(parametros_recargas!$D$79="Manual",$N$5,$N$4))))))</f>
        <v>OK</v>
      </c>
      <c r="C137" s="12" t="str">
        <f aca="false">IF('Demanda por puesto'!$P$41=0,"—",IF(parametros_recargas!$N$79=0,$N$7,IF(C9&lt;=$O$9,$N$2,IF(parametros_recargas!$D$79="Tercerizado",$N$6,IF(C73&lt;$O$10,$N$3,IF(parametros_recargas!$D$79="Manual",$N$5,$N$4))))))</f>
        <v>OK</v>
      </c>
      <c r="D137" s="12" t="str">
        <f aca="false">IF('Demanda por puesto'!$P$73=0,"—",IF(parametros_recargas!$N$79=0,$N$7,IF(D9&lt;=$O$9,$N$2,IF(parametros_recargas!$D$79="Tercerizado",$N$6,IF(D73&lt;$O$10,$N$3,IF(parametros_recargas!$D$79="Manual",$N$5,$N$4))))))</f>
        <v>OK</v>
      </c>
      <c r="E137" s="12" t="str">
        <f aca="false">IF('Demanda por puesto'!$P$105=0,"—",IF(parametros_recargas!$N$79=0,$N$7,IF(E9&lt;=$O$9,$N$2,IF(parametros_recargas!$D$79="Tercerizado",$N$6,IF(E73&lt;$O$10,$N$3,IF(parametros_recargas!$D$79="Manual",$N$5,$N$4))))))</f>
        <v>OK</v>
      </c>
      <c r="F137" s="12" t="str">
        <f aca="false">IF('Demanda por puesto'!$P$137=0,"—",IF(parametros_recargas!$N$79=0,$N$7,IF(F9&lt;=$O$9,$N$2,IF(parametros_recargas!$D$79="Tercerizado",$N$6,IF(F73&lt;$O$10,$N$3,IF(parametros_recargas!$D$79="Manual",$N$5,$N$4))))))</f>
        <v>OK</v>
      </c>
      <c r="G137" s="12" t="str">
        <f aca="false">IF('Demanda por puesto'!$P$169=0,"—",IF(parametros_recargas!$N$79=0,$N$7,IF(G9&lt;=$O$9,$N$2,IF(parametros_recargas!$D$79="Tercerizado",$N$6,IF(G73&lt;$O$10,$N$3,IF(parametros_recargas!$D$79="Manual",$N$5,$N$4))))))</f>
        <v>OK</v>
      </c>
      <c r="H137" s="12" t="str">
        <f aca="false">IF('Demanda por puesto'!$P$201=0,"—",IF(parametros_recargas!$N$79=0,$N$7,IF(H9&lt;=$O$9,$N$2,IF(parametros_recargas!$D$79="Tercerizado",$N$6,IF(H73&lt;$O$10,$N$3,IF(parametros_recargas!$D$79="Manual",$N$5,$N$4))))))</f>
        <v>OK</v>
      </c>
      <c r="I137" s="12" t="str">
        <f aca="false">IF('Demanda por puesto'!$P$233=0,"—",IF(parametros_recargas!$N$79=0,$N$7,IF(I9&lt;=$O$9,$N$2,IF(parametros_recargas!$D$79="Tercerizado",$N$6,IF(I73&lt;$O$10,$N$3,IF(parametros_recargas!$D$79="Manual",$N$5,$N$4))))))</f>
        <v>OK</v>
      </c>
      <c r="J137" s="12" t="str">
        <f aca="false">IF('Demanda por puesto'!$P$265=0,"—",IF(parametros_recargas!$N$79=0,$N$7,IF(J9&lt;=$O$9,$N$2,IF(parametros_recargas!$D$79="Tercerizado",$N$6,IF(J73&lt;$O$10,$N$3,IF(parametros_recargas!$D$79="Manual",$N$5,$N$4))))))</f>
        <v>OK</v>
      </c>
      <c r="K137" s="12" t="str">
        <f aca="false">IF('Demanda por puesto'!$P$297=0,"—",IF(parametros_recargas!$N$79=0,$N$7,IF(K9&lt;=$O$9,$N$2,IF(parametros_recargas!$D$79="Tercerizado",$N$6,IF(K73&lt;$O$10,$N$3,IF(parametros_recargas!$D$79="Manual",$N$5,$N$4))))))</f>
        <v>OK</v>
      </c>
    </row>
    <row r="138" customFormat="false" ht="15" hidden="false" customHeight="false" outlineLevel="0" collapsed="false">
      <c r="A138" s="12" t="str">
        <f aca="false">parametros_recargas!$B$80</f>
        <v>Desarme y limpieza — recinto</v>
      </c>
      <c r="B138" s="12" t="str">
        <f aca="false">IF('Demanda por puesto'!$P$10=0,"—",IF(parametros_recargas!$N$80=0,$N$7,IF(B10&lt;=$O$9,$N$2,IF(parametros_recargas!$D$80="Tercerizado",$N$6,IF(B74&lt;$O$10,$N$3,IF(parametros_recargas!$D$80="Manual",$N$5,$N$4))))))</f>
        <v>OK</v>
      </c>
      <c r="C138" s="12" t="str">
        <f aca="false">IF('Demanda por puesto'!$P$42=0,"—",IF(parametros_recargas!$N$80=0,$N$7,IF(C10&lt;=$O$9,$N$2,IF(parametros_recargas!$D$80="Tercerizado",$N$6,IF(C74&lt;$O$10,$N$3,IF(parametros_recargas!$D$80="Manual",$N$5,$N$4))))))</f>
        <v>OK</v>
      </c>
      <c r="D138" s="12" t="str">
        <f aca="false">IF('Demanda por puesto'!$P$74=0,"—",IF(parametros_recargas!$N$80=0,$N$7,IF(D10&lt;=$O$9,$N$2,IF(parametros_recargas!$D$80="Tercerizado",$N$6,IF(D74&lt;$O$10,$N$3,IF(parametros_recargas!$D$80="Manual",$N$5,$N$4))))))</f>
        <v>OK</v>
      </c>
      <c r="E138" s="12" t="str">
        <f aca="false">IF('Demanda por puesto'!$P$106=0,"—",IF(parametros_recargas!$N$80=0,$N$7,IF(E10&lt;=$O$9,$N$2,IF(parametros_recargas!$D$80="Tercerizado",$N$6,IF(E74&lt;$O$10,$N$3,IF(parametros_recargas!$D$80="Manual",$N$5,$N$4))))))</f>
        <v>OK</v>
      </c>
      <c r="F138" s="12" t="str">
        <f aca="false">IF('Demanda por puesto'!$P$138=0,"—",IF(parametros_recargas!$N$80=0,$N$7,IF(F10&lt;=$O$9,$N$2,IF(parametros_recargas!$D$80="Tercerizado",$N$6,IF(F74&lt;$O$10,$N$3,IF(parametros_recargas!$D$80="Manual",$N$5,$N$4))))))</f>
        <v>OK</v>
      </c>
      <c r="G138" s="12" t="str">
        <f aca="false">IF('Demanda por puesto'!$P$170=0,"—",IF(parametros_recargas!$N$80=0,$N$7,IF(G10&lt;=$O$9,$N$2,IF(parametros_recargas!$D$80="Tercerizado",$N$6,IF(G74&lt;$O$10,$N$3,IF(parametros_recargas!$D$80="Manual",$N$5,$N$4))))))</f>
        <v>Agrega turno</v>
      </c>
      <c r="H138" s="12" t="str">
        <f aca="false">IF('Demanda por puesto'!$P$202=0,"—",IF(parametros_recargas!$N$80=0,$N$7,IF(H10&lt;=$O$9,$N$2,IF(parametros_recargas!$D$80="Tercerizado",$N$6,IF(H74&lt;$O$10,$N$3,IF(parametros_recargas!$D$80="Manual",$N$5,$N$4))))))</f>
        <v>Agrega turno</v>
      </c>
      <c r="I138" s="12" t="str">
        <f aca="false">IF('Demanda por puesto'!$P$234=0,"—",IF(parametros_recargas!$N$80=0,$N$7,IF(I10&lt;=$O$9,$N$2,IF(parametros_recargas!$D$80="Tercerizado",$N$6,IF(I74&lt;$O$10,$N$3,IF(parametros_recargas!$D$80="Manual",$N$5,$N$4))))))</f>
        <v>Agrega turno</v>
      </c>
      <c r="J138" s="12" t="str">
        <f aca="false">IF('Demanda por puesto'!$P$266=0,"—",IF(parametros_recargas!$N$80=0,$N$7,IF(J10&lt;=$O$9,$N$2,IF(parametros_recargas!$D$80="Tercerizado",$N$6,IF(J74&lt;$O$10,$N$3,IF(parametros_recargas!$D$80="Manual",$N$5,$N$4))))))</f>
        <v>Agrega turno</v>
      </c>
      <c r="K138" s="12" t="str">
        <f aca="false">IF('Demanda por puesto'!$P$298=0,"—",IF(parametros_recargas!$N$80=0,$N$7,IF(K10&lt;=$O$9,$N$2,IF(parametros_recargas!$D$80="Tercerizado",$N$6,IF(K74&lt;$O$10,$N$3,IF(parametros_recargas!$D$80="Manual",$N$5,$N$4))))))</f>
        <v>Agrega turno</v>
      </c>
    </row>
    <row r="139" customFormat="false" ht="15" hidden="false" customHeight="false" outlineLevel="0" collapsed="false">
      <c r="A139" s="12" t="str">
        <f aca="false">parametros_recargas!$B$81</f>
        <v>Desarme e inspección interior — zona general</v>
      </c>
      <c r="B139" s="12" t="str">
        <f aca="false">IF('Demanda por puesto'!$P$11=0,"—",IF(parametros_recargas!$N$81=0,$N$7,IF(B11&lt;=$O$9,$N$2,IF(parametros_recargas!$D$81="Tercerizado",$N$6,IF(B75&lt;$O$10,$N$3,IF(parametros_recargas!$D$81="Manual",$N$5,$N$4))))))</f>
        <v>OK</v>
      </c>
      <c r="C139" s="12" t="str">
        <f aca="false">IF('Demanda por puesto'!$P$43=0,"—",IF(parametros_recargas!$N$81=0,$N$7,IF(C11&lt;=$O$9,$N$2,IF(parametros_recargas!$D$81="Tercerizado",$N$6,IF(C75&lt;$O$10,$N$3,IF(parametros_recargas!$D$81="Manual",$N$5,$N$4))))))</f>
        <v>OK</v>
      </c>
      <c r="D139" s="12" t="str">
        <f aca="false">IF('Demanda por puesto'!$P$75=0,"—",IF(parametros_recargas!$N$81=0,$N$7,IF(D11&lt;=$O$9,$N$2,IF(parametros_recargas!$D$81="Tercerizado",$N$6,IF(D75&lt;$O$10,$N$3,IF(parametros_recargas!$D$81="Manual",$N$5,$N$4))))))</f>
        <v>OK</v>
      </c>
      <c r="E139" s="12" t="str">
        <f aca="false">IF('Demanda por puesto'!$P$107=0,"—",IF(parametros_recargas!$N$81=0,$N$7,IF(E11&lt;=$O$9,$N$2,IF(parametros_recargas!$D$81="Tercerizado",$N$6,IF(E75&lt;$O$10,$N$3,IF(parametros_recargas!$D$81="Manual",$N$5,$N$4))))))</f>
        <v>OK</v>
      </c>
      <c r="F139" s="12" t="str">
        <f aca="false">IF('Demanda por puesto'!$P$139=0,"—",IF(parametros_recargas!$N$81=0,$N$7,IF(F11&lt;=$O$9,$N$2,IF(parametros_recargas!$D$81="Tercerizado",$N$6,IF(F75&lt;$O$10,$N$3,IF(parametros_recargas!$D$81="Manual",$N$5,$N$4))))))</f>
        <v>OK</v>
      </c>
      <c r="G139" s="12" t="str">
        <f aca="false">IF('Demanda por puesto'!$P$171=0,"—",IF(parametros_recargas!$N$81=0,$N$7,IF(G11&lt;=$O$9,$N$2,IF(parametros_recargas!$D$81="Tercerizado",$N$6,IF(G75&lt;$O$10,$N$3,IF(parametros_recargas!$D$81="Manual",$N$5,$N$4))))))</f>
        <v>OK</v>
      </c>
      <c r="H139" s="12" t="str">
        <f aca="false">IF('Demanda por puesto'!$P$203=0,"—",IF(parametros_recargas!$N$81=0,$N$7,IF(H11&lt;=$O$9,$N$2,IF(parametros_recargas!$D$81="Tercerizado",$N$6,IF(H75&lt;$O$10,$N$3,IF(parametros_recargas!$D$81="Manual",$N$5,$N$4))))))</f>
        <v>OK</v>
      </c>
      <c r="I139" s="12" t="str">
        <f aca="false">IF('Demanda por puesto'!$P$235=0,"—",IF(parametros_recargas!$N$81=0,$N$7,IF(I11&lt;=$O$9,$N$2,IF(parametros_recargas!$D$81="Tercerizado",$N$6,IF(I75&lt;$O$10,$N$3,IF(parametros_recargas!$D$81="Manual",$N$5,$N$4))))))</f>
        <v>OK</v>
      </c>
      <c r="J139" s="12" t="str">
        <f aca="false">IF('Demanda por puesto'!$P$267=0,"—",IF(parametros_recargas!$N$81=0,$N$7,IF(J11&lt;=$O$9,$N$2,IF(parametros_recargas!$D$81="Tercerizado",$N$6,IF(J75&lt;$O$10,$N$3,IF(parametros_recargas!$D$81="Manual",$N$5,$N$4))))))</f>
        <v>OK</v>
      </c>
      <c r="K139" s="12" t="str">
        <f aca="false">IF('Demanda por puesto'!$P$299=0,"—",IF(parametros_recargas!$N$81=0,$N$7,IF(K11&lt;=$O$9,$N$2,IF(parametros_recargas!$D$81="Tercerizado",$N$6,IF(K75&lt;$O$10,$N$3,IF(parametros_recargas!$D$81="Manual",$N$5,$N$4))))))</f>
        <v>OK</v>
      </c>
    </row>
    <row r="140" customFormat="false" ht="15" hidden="false" customHeight="false" outlineLevel="0" collapsed="false">
      <c r="A140" s="12" t="str">
        <f aca="false">parametros_recargas!$B$82</f>
        <v>Laboratorio — Puffer y mufla</v>
      </c>
      <c r="B140" s="12" t="str">
        <f aca="false">IF('Demanda por puesto'!$P$12=0,"—",IF(parametros_recargas!$N$82=0,$N$7,IF(B12&lt;=$O$9,$N$2,IF(parametros_recargas!$D$82="Tercerizado",$N$6,IF(B76&lt;$O$10,$N$3,IF(parametros_recargas!$D$82="Manual",$N$5,$N$4))))))</f>
        <v>OK</v>
      </c>
      <c r="C140" s="12" t="str">
        <f aca="false">IF('Demanda por puesto'!$P$44=0,"—",IF(parametros_recargas!$N$82=0,$N$7,IF(C12&lt;=$O$9,$N$2,IF(parametros_recargas!$D$82="Tercerizado",$N$6,IF(C76&lt;$O$10,$N$3,IF(parametros_recargas!$D$82="Manual",$N$5,$N$4))))))</f>
        <v>OK</v>
      </c>
      <c r="D140" s="12" t="str">
        <f aca="false">IF('Demanda por puesto'!$P$76=0,"—",IF(parametros_recargas!$N$82=0,$N$7,IF(D12&lt;=$O$9,$N$2,IF(parametros_recargas!$D$82="Tercerizado",$N$6,IF(D76&lt;$O$10,$N$3,IF(parametros_recargas!$D$82="Manual",$N$5,$N$4))))))</f>
        <v>OK</v>
      </c>
      <c r="E140" s="12" t="str">
        <f aca="false">IF('Demanda por puesto'!$P$108=0,"—",IF(parametros_recargas!$N$82=0,$N$7,IF(E12&lt;=$O$9,$N$2,IF(parametros_recargas!$D$82="Tercerizado",$N$6,IF(E76&lt;$O$10,$N$3,IF(parametros_recargas!$D$82="Manual",$N$5,$N$4))))))</f>
        <v>OK</v>
      </c>
      <c r="F140" s="12" t="str">
        <f aca="false">IF('Demanda por puesto'!$P$140=0,"—",IF(parametros_recargas!$N$82=0,$N$7,IF(F12&lt;=$O$9,$N$2,IF(parametros_recargas!$D$82="Tercerizado",$N$6,IF(F76&lt;$O$10,$N$3,IF(parametros_recargas!$D$82="Manual",$N$5,$N$4))))))</f>
        <v>OK</v>
      </c>
      <c r="G140" s="12" t="str">
        <f aca="false">IF('Demanda por puesto'!$P$172=0,"—",IF(parametros_recargas!$N$82=0,$N$7,IF(G12&lt;=$O$9,$N$2,IF(parametros_recargas!$D$82="Tercerizado",$N$6,IF(G76&lt;$O$10,$N$3,IF(parametros_recargas!$D$82="Manual",$N$5,$N$4))))))</f>
        <v>OK</v>
      </c>
      <c r="H140" s="12" t="str">
        <f aca="false">IF('Demanda por puesto'!$P$204=0,"—",IF(parametros_recargas!$N$82=0,$N$7,IF(H12&lt;=$O$9,$N$2,IF(parametros_recargas!$D$82="Tercerizado",$N$6,IF(H76&lt;$O$10,$N$3,IF(parametros_recargas!$D$82="Manual",$N$5,$N$4))))))</f>
        <v>OK</v>
      </c>
      <c r="I140" s="12" t="str">
        <f aca="false">IF('Demanda por puesto'!$P$236=0,"—",IF(parametros_recargas!$N$82=0,$N$7,IF(I12&lt;=$O$9,$N$2,IF(parametros_recargas!$D$82="Tercerizado",$N$6,IF(I76&lt;$O$10,$N$3,IF(parametros_recargas!$D$82="Manual",$N$5,$N$4))))))</f>
        <v>OK</v>
      </c>
      <c r="J140" s="12" t="str">
        <f aca="false">IF('Demanda por puesto'!$P$268=0,"—",IF(parametros_recargas!$N$82=0,$N$7,IF(J12&lt;=$O$9,$N$2,IF(parametros_recargas!$D$82="Tercerizado",$N$6,IF(J76&lt;$O$10,$N$3,IF(parametros_recargas!$D$82="Manual",$N$5,$N$4))))))</f>
        <v>OK</v>
      </c>
      <c r="K140" s="12" t="str">
        <f aca="false">IF('Demanda por puesto'!$P$300=0,"—",IF(parametros_recargas!$N$82=0,$N$7,IF(K12&lt;=$O$9,$N$2,IF(parametros_recargas!$D$82="Tercerizado",$N$6,IF(K76&lt;$O$10,$N$3,IF(parametros_recargas!$D$82="Manual",$N$5,$N$4))))))</f>
        <v>OK</v>
      </c>
    </row>
    <row r="141" customFormat="false" ht="15" hidden="false" customHeight="false" outlineLevel="0" collapsed="false">
      <c r="A141" s="12" t="str">
        <f aca="false">parametros_recargas!$B$83</f>
        <v>Prueba hidráulica</v>
      </c>
      <c r="B141" s="12" t="str">
        <f aca="false">IF('Demanda por puesto'!$P$13=0,"—",IF(parametros_recargas!$N$83=0,$N$7,IF(B13&lt;=$O$9,$N$2,IF(parametros_recargas!$D$83="Tercerizado",$N$6,IF(B77&lt;$O$10,$N$3,IF(parametros_recargas!$D$83="Manual",$N$5,$N$4))))))</f>
        <v>OK</v>
      </c>
      <c r="C141" s="12" t="str">
        <f aca="false">IF('Demanda por puesto'!$P$45=0,"—",IF(parametros_recargas!$N$83=0,$N$7,IF(C13&lt;=$O$9,$N$2,IF(parametros_recargas!$D$83="Tercerizado",$N$6,IF(C77&lt;$O$10,$N$3,IF(parametros_recargas!$D$83="Manual",$N$5,$N$4))))))</f>
        <v>OK</v>
      </c>
      <c r="D141" s="12" t="str">
        <f aca="false">IF('Demanda por puesto'!$P$77=0,"—",IF(parametros_recargas!$N$83=0,$N$7,IF(D13&lt;=$O$9,$N$2,IF(parametros_recargas!$D$83="Tercerizado",$N$6,IF(D77&lt;$O$10,$N$3,IF(parametros_recargas!$D$83="Manual",$N$5,$N$4))))))</f>
        <v>OK</v>
      </c>
      <c r="E141" s="12" t="str">
        <f aca="false">IF('Demanda por puesto'!$P$109=0,"—",IF(parametros_recargas!$N$83=0,$N$7,IF(E13&lt;=$O$9,$N$2,IF(parametros_recargas!$D$83="Tercerizado",$N$6,IF(E77&lt;$O$10,$N$3,IF(parametros_recargas!$D$83="Manual",$N$5,$N$4))))))</f>
        <v>OK</v>
      </c>
      <c r="F141" s="12" t="str">
        <f aca="false">IF('Demanda por puesto'!$P$141=0,"—",IF(parametros_recargas!$N$83=0,$N$7,IF(F13&lt;=$O$9,$N$2,IF(parametros_recargas!$D$83="Tercerizado",$N$6,IF(F77&lt;$O$10,$N$3,IF(parametros_recargas!$D$83="Manual",$N$5,$N$4))))))</f>
        <v>OK</v>
      </c>
      <c r="G141" s="12" t="str">
        <f aca="false">IF('Demanda por puesto'!$P$173=0,"—",IF(parametros_recargas!$N$83=0,$N$7,IF(G13&lt;=$O$9,$N$2,IF(parametros_recargas!$D$83="Tercerizado",$N$6,IF(G77&lt;$O$10,$N$3,IF(parametros_recargas!$D$83="Manual",$N$5,$N$4))))))</f>
        <v>OK</v>
      </c>
      <c r="H141" s="12" t="str">
        <f aca="false">IF('Demanda por puesto'!$P$205=0,"—",IF(parametros_recargas!$N$83=0,$N$7,IF(H13&lt;=$O$9,$N$2,IF(parametros_recargas!$D$83="Tercerizado",$N$6,IF(H77&lt;$O$10,$N$3,IF(parametros_recargas!$D$83="Manual",$N$5,$N$4))))))</f>
        <v>OK</v>
      </c>
      <c r="I141" s="12" t="str">
        <f aca="false">IF('Demanda por puesto'!$P$237=0,"—",IF(parametros_recargas!$N$83=0,$N$7,IF(I13&lt;=$O$9,$N$2,IF(parametros_recargas!$D$83="Tercerizado",$N$6,IF(I77&lt;$O$10,$N$3,IF(parametros_recargas!$D$83="Manual",$N$5,$N$4))))))</f>
        <v>Agrega turno</v>
      </c>
      <c r="J141" s="12" t="str">
        <f aca="false">IF('Demanda por puesto'!$P$269=0,"—",IF(parametros_recargas!$N$83=0,$N$7,IF(J13&lt;=$O$9,$N$2,IF(parametros_recargas!$D$83="Tercerizado",$N$6,IF(J77&lt;$O$10,$N$3,IF(parametros_recargas!$D$83="Manual",$N$5,$N$4))))))</f>
        <v>Agrega turno</v>
      </c>
      <c r="K141" s="12" t="str">
        <f aca="false">IF('Demanda por puesto'!$P$301=0,"—",IF(parametros_recargas!$N$83=0,$N$7,IF(K13&lt;=$O$9,$N$2,IF(parametros_recargas!$D$83="Tercerizado",$N$6,IF(K77&lt;$O$10,$N$3,IF(parametros_recargas!$D$83="Manual",$N$5,$N$4))))))</f>
        <v>Agrega turno</v>
      </c>
    </row>
    <row r="142" customFormat="false" ht="15" hidden="false" customHeight="false" outlineLevel="0" collapsed="false">
      <c r="A142" s="12" t="str">
        <f aca="false">parametros_recargas!$B$84</f>
        <v>Secado</v>
      </c>
      <c r="B142" s="12" t="str">
        <f aca="false">IF('Demanda por puesto'!$P$14=0,"—",IF(parametros_recargas!$N$84=0,$N$7,IF(B14&lt;=$O$9,$N$2,IF(parametros_recargas!$D$84="Tercerizado",$N$6,IF(B78&lt;$O$10,$N$3,IF(parametros_recargas!$D$84="Manual",$N$5,$N$4))))))</f>
        <v>OK</v>
      </c>
      <c r="C142" s="12" t="str">
        <f aca="false">IF('Demanda por puesto'!$P$46=0,"—",IF(parametros_recargas!$N$84=0,$N$7,IF(C14&lt;=$O$9,$N$2,IF(parametros_recargas!$D$84="Tercerizado",$N$6,IF(C78&lt;$O$10,$N$3,IF(parametros_recargas!$D$84="Manual",$N$5,$N$4))))))</f>
        <v>OK</v>
      </c>
      <c r="D142" s="12" t="str">
        <f aca="false">IF('Demanda por puesto'!$P$78=0,"—",IF(parametros_recargas!$N$84=0,$N$7,IF(D14&lt;=$O$9,$N$2,IF(parametros_recargas!$D$84="Tercerizado",$N$6,IF(D78&lt;$O$10,$N$3,IF(parametros_recargas!$D$84="Manual",$N$5,$N$4))))))</f>
        <v>OK</v>
      </c>
      <c r="E142" s="12" t="str">
        <f aca="false">IF('Demanda por puesto'!$P$110=0,"—",IF(parametros_recargas!$N$84=0,$N$7,IF(E14&lt;=$O$9,$N$2,IF(parametros_recargas!$D$84="Tercerizado",$N$6,IF(E78&lt;$O$10,$N$3,IF(parametros_recargas!$D$84="Manual",$N$5,$N$4))))))</f>
        <v>OK</v>
      </c>
      <c r="F142" s="12" t="str">
        <f aca="false">IF('Demanda por puesto'!$P$142=0,"—",IF(parametros_recargas!$N$84=0,$N$7,IF(F14&lt;=$O$9,$N$2,IF(parametros_recargas!$D$84="Tercerizado",$N$6,IF(F78&lt;$O$10,$N$3,IF(parametros_recargas!$D$84="Manual",$N$5,$N$4))))))</f>
        <v>OK</v>
      </c>
      <c r="G142" s="12" t="str">
        <f aca="false">IF('Demanda por puesto'!$P$174=0,"—",IF(parametros_recargas!$N$84=0,$N$7,IF(G14&lt;=$O$9,$N$2,IF(parametros_recargas!$D$84="Tercerizado",$N$6,IF(G78&lt;$O$10,$N$3,IF(parametros_recargas!$D$84="Manual",$N$5,$N$4))))))</f>
        <v>OK</v>
      </c>
      <c r="H142" s="12" t="str">
        <f aca="false">IF('Demanda por puesto'!$P$206=0,"—",IF(parametros_recargas!$N$84=0,$N$7,IF(H14&lt;=$O$9,$N$2,IF(parametros_recargas!$D$84="Tercerizado",$N$6,IF(H78&lt;$O$10,$N$3,IF(parametros_recargas!$D$84="Manual",$N$5,$N$4))))))</f>
        <v>OK</v>
      </c>
      <c r="I142" s="12" t="str">
        <f aca="false">IF('Demanda por puesto'!$P$238=0,"—",IF(parametros_recargas!$N$84=0,$N$7,IF(I14&lt;=$O$9,$N$2,IF(parametros_recargas!$D$84="Tercerizado",$N$6,IF(I78&lt;$O$10,$N$3,IF(parametros_recargas!$D$84="Manual",$N$5,$N$4))))))</f>
        <v>OK</v>
      </c>
      <c r="J142" s="12" t="str">
        <f aca="false">IF('Demanda por puesto'!$P$270=0,"—",IF(parametros_recargas!$N$84=0,$N$7,IF(J14&lt;=$O$9,$N$2,IF(parametros_recargas!$D$84="Tercerizado",$N$6,IF(J78&lt;$O$10,$N$3,IF(parametros_recargas!$D$84="Manual",$N$5,$N$4))))))</f>
        <v>OK</v>
      </c>
      <c r="K142" s="12" t="str">
        <f aca="false">IF('Demanda por puesto'!$P$302=0,"—",IF(parametros_recargas!$N$84=0,$N$7,IF(K14&lt;=$O$9,$N$2,IF(parametros_recargas!$D$84="Tercerizado",$N$6,IF(K78&lt;$O$10,$N$3,IF(parametros_recargas!$D$84="Manual",$N$5,$N$4))))))</f>
        <v>OK</v>
      </c>
    </row>
    <row r="143" customFormat="false" ht="15" hidden="false" customHeight="false" outlineLevel="0" collapsed="false">
      <c r="A143" s="12" t="str">
        <f aca="false">parametros_recargas!$B$85</f>
        <v>Inspección interior con videoscopio</v>
      </c>
      <c r="B143" s="12" t="str">
        <f aca="false">IF('Demanda por puesto'!$P$15=0,"—",IF(parametros_recargas!$N$85=0,$N$7,IF(B15&lt;=$O$9,$N$2,IF(parametros_recargas!$D$85="Tercerizado",$N$6,IF(B79&lt;$O$10,$N$3,IF(parametros_recargas!$D$85="Manual",$N$5,$N$4))))))</f>
        <v>OK</v>
      </c>
      <c r="C143" s="12" t="str">
        <f aca="false">IF('Demanda por puesto'!$P$47=0,"—",IF(parametros_recargas!$N$85=0,$N$7,IF(C15&lt;=$O$9,$N$2,IF(parametros_recargas!$D$85="Tercerizado",$N$6,IF(C79&lt;$O$10,$N$3,IF(parametros_recargas!$D$85="Manual",$N$5,$N$4))))))</f>
        <v>OK</v>
      </c>
      <c r="D143" s="12" t="str">
        <f aca="false">IF('Demanda por puesto'!$P$79=0,"—",IF(parametros_recargas!$N$85=0,$N$7,IF(D15&lt;=$O$9,$N$2,IF(parametros_recargas!$D$85="Tercerizado",$N$6,IF(D79&lt;$O$10,$N$3,IF(parametros_recargas!$D$85="Manual",$N$5,$N$4))))))</f>
        <v>OK</v>
      </c>
      <c r="E143" s="12" t="str">
        <f aca="false">IF('Demanda por puesto'!$P$111=0,"—",IF(parametros_recargas!$N$85=0,$N$7,IF(E15&lt;=$O$9,$N$2,IF(parametros_recargas!$D$85="Tercerizado",$N$6,IF(E79&lt;$O$10,$N$3,IF(parametros_recargas!$D$85="Manual",$N$5,$N$4))))))</f>
        <v>OK</v>
      </c>
      <c r="F143" s="12" t="str">
        <f aca="false">IF('Demanda por puesto'!$P$143=0,"—",IF(parametros_recargas!$N$85=0,$N$7,IF(F15&lt;=$O$9,$N$2,IF(parametros_recargas!$D$85="Tercerizado",$N$6,IF(F79&lt;$O$10,$N$3,IF(parametros_recargas!$D$85="Manual",$N$5,$N$4))))))</f>
        <v>OK</v>
      </c>
      <c r="G143" s="12" t="str">
        <f aca="false">IF('Demanda por puesto'!$P$175=0,"—",IF(parametros_recargas!$N$85=0,$N$7,IF(G15&lt;=$O$9,$N$2,IF(parametros_recargas!$D$85="Tercerizado",$N$6,IF(G79&lt;$O$10,$N$3,IF(parametros_recargas!$D$85="Manual",$N$5,$N$4))))))</f>
        <v>OK</v>
      </c>
      <c r="H143" s="12" t="str">
        <f aca="false">IF('Demanda por puesto'!$P$207=0,"—",IF(parametros_recargas!$N$85=0,$N$7,IF(H15&lt;=$O$9,$N$2,IF(parametros_recargas!$D$85="Tercerizado",$N$6,IF(H79&lt;$O$10,$N$3,IF(parametros_recargas!$D$85="Manual",$N$5,$N$4))))))</f>
        <v>OK</v>
      </c>
      <c r="I143" s="12" t="str">
        <f aca="false">IF('Demanda por puesto'!$P$239=0,"—",IF(parametros_recargas!$N$85=0,$N$7,IF(I15&lt;=$O$9,$N$2,IF(parametros_recargas!$D$85="Tercerizado",$N$6,IF(I79&lt;$O$10,$N$3,IF(parametros_recargas!$D$85="Manual",$N$5,$N$4))))))</f>
        <v>OK</v>
      </c>
      <c r="J143" s="12" t="str">
        <f aca="false">IF('Demanda por puesto'!$P$271=0,"—",IF(parametros_recargas!$N$85=0,$N$7,IF(J15&lt;=$O$9,$N$2,IF(parametros_recargas!$D$85="Tercerizado",$N$6,IF(J79&lt;$O$10,$N$3,IF(parametros_recargas!$D$85="Manual",$N$5,$N$4))))))</f>
        <v>OK</v>
      </c>
      <c r="K143" s="12" t="str">
        <f aca="false">IF('Demanda por puesto'!$P$303=0,"—",IF(parametros_recargas!$N$85=0,$N$7,IF(K15&lt;=$O$9,$N$2,IF(parametros_recargas!$D$85="Tercerizado",$N$6,IF(K79&lt;$O$10,$N$3,IF(parametros_recargas!$D$85="Manual",$N$5,$N$4))))))</f>
        <v>OK</v>
      </c>
    </row>
    <row r="144" customFormat="false" ht="15" hidden="false" customHeight="false" outlineLevel="0" collapsed="false">
      <c r="A144" s="12" t="str">
        <f aca="false">parametros_recargas!$B$86</f>
        <v>Pintura</v>
      </c>
      <c r="B144" s="12" t="str">
        <f aca="false">IF('Demanda por puesto'!$P$16=0,"—",IF(parametros_recargas!$N$86=0,$N$7,IF(B16&lt;=$O$9,$N$2,IF(parametros_recargas!$D$86="Tercerizado",$N$6,IF(B80&lt;$O$10,$N$3,IF(parametros_recargas!$D$86="Manual",$N$5,$N$4))))))</f>
        <v>OK</v>
      </c>
      <c r="C144" s="12" t="str">
        <f aca="false">IF('Demanda por puesto'!$P$48=0,"—",IF(parametros_recargas!$N$86=0,$N$7,IF(C16&lt;=$O$9,$N$2,IF(parametros_recargas!$D$86="Tercerizado",$N$6,IF(C80&lt;$O$10,$N$3,IF(parametros_recargas!$D$86="Manual",$N$5,$N$4))))))</f>
        <v>OK</v>
      </c>
      <c r="D144" s="12" t="str">
        <f aca="false">IF('Demanda por puesto'!$P$80=0,"—",IF(parametros_recargas!$N$86=0,$N$7,IF(D16&lt;=$O$9,$N$2,IF(parametros_recargas!$D$86="Tercerizado",$N$6,IF(D80&lt;$O$10,$N$3,IF(parametros_recargas!$D$86="Manual",$N$5,$N$4))))))</f>
        <v>OK</v>
      </c>
      <c r="E144" s="12" t="str">
        <f aca="false">IF('Demanda por puesto'!$P$112=0,"—",IF(parametros_recargas!$N$86=0,$N$7,IF(E16&lt;=$O$9,$N$2,IF(parametros_recargas!$D$86="Tercerizado",$N$6,IF(E80&lt;$O$10,$N$3,IF(parametros_recargas!$D$86="Manual",$N$5,$N$4))))))</f>
        <v>OK</v>
      </c>
      <c r="F144" s="12" t="str">
        <f aca="false">IF('Demanda por puesto'!$P$144=0,"—",IF(parametros_recargas!$N$86=0,$N$7,IF(F16&lt;=$O$9,$N$2,IF(parametros_recargas!$D$86="Tercerizado",$N$6,IF(F80&lt;$O$10,$N$3,IF(parametros_recargas!$D$86="Manual",$N$5,$N$4))))))</f>
        <v>OK</v>
      </c>
      <c r="G144" s="12" t="str">
        <f aca="false">IF('Demanda por puesto'!$P$176=0,"—",IF(parametros_recargas!$N$86=0,$N$7,IF(G16&lt;=$O$9,$N$2,IF(parametros_recargas!$D$86="Tercerizado",$N$6,IF(G80&lt;$O$10,$N$3,IF(parametros_recargas!$D$86="Manual",$N$5,$N$4))))))</f>
        <v>OK</v>
      </c>
      <c r="H144" s="12" t="str">
        <f aca="false">IF('Demanda por puesto'!$P$208=0,"—",IF(parametros_recargas!$N$86=0,$N$7,IF(H16&lt;=$O$9,$N$2,IF(parametros_recargas!$D$86="Tercerizado",$N$6,IF(H80&lt;$O$10,$N$3,IF(parametros_recargas!$D$86="Manual",$N$5,$N$4))))))</f>
        <v>Agrega turno</v>
      </c>
      <c r="I144" s="12" t="str">
        <f aca="false">IF('Demanda por puesto'!$P$240=0,"—",IF(parametros_recargas!$N$86=0,$N$7,IF(I16&lt;=$O$9,$N$2,IF(parametros_recargas!$D$86="Tercerizado",$N$6,IF(I80&lt;$O$10,$N$3,IF(parametros_recargas!$D$86="Manual",$N$5,$N$4))))))</f>
        <v>Agrega turno</v>
      </c>
      <c r="J144" s="12" t="str">
        <f aca="false">IF('Demanda por puesto'!$P$272=0,"—",IF(parametros_recargas!$N$86=0,$N$7,IF(J16&lt;=$O$9,$N$2,IF(parametros_recargas!$D$86="Tercerizado",$N$6,IF(J80&lt;$O$10,$N$3,IF(parametros_recargas!$D$86="Manual",$N$5,$N$4))))))</f>
        <v>Agrega turno</v>
      </c>
      <c r="K144" s="12" t="str">
        <f aca="false">IF('Demanda por puesto'!$P$304=0,"—",IF(parametros_recargas!$N$86=0,$N$7,IF(K16&lt;=$O$9,$N$2,IF(parametros_recargas!$D$86="Tercerizado",$N$6,IF(K80&lt;$O$10,$N$3,IF(parametros_recargas!$D$86="Manual",$N$5,$N$4))))))</f>
        <v>Agrega turno</v>
      </c>
    </row>
    <row r="145" customFormat="false" ht="15" hidden="false" customHeight="false" outlineLevel="0" collapsed="false">
      <c r="A145" s="12" t="str">
        <f aca="false">parametros_recargas!$B$87</f>
        <v>Carga de polvo ABC</v>
      </c>
      <c r="B145" s="12" t="str">
        <f aca="false">IF('Demanda por puesto'!$P$17=0,"—",IF(parametros_recargas!$N$87=0,$N$7,IF(B17&lt;=$O$9,$N$2,IF(parametros_recargas!$D$87="Tercerizado",$N$6,IF(B81&lt;$O$10,$N$3,IF(parametros_recargas!$D$87="Manual",$N$5,$N$4))))))</f>
        <v>OK</v>
      </c>
      <c r="C145" s="12" t="str">
        <f aca="false">IF('Demanda por puesto'!$P$49=0,"—",IF(parametros_recargas!$N$87=0,$N$7,IF(C17&lt;=$O$9,$N$2,IF(parametros_recargas!$D$87="Tercerizado",$N$6,IF(C81&lt;$O$10,$N$3,IF(parametros_recargas!$D$87="Manual",$N$5,$N$4))))))</f>
        <v>OK</v>
      </c>
      <c r="D145" s="12" t="str">
        <f aca="false">IF('Demanda por puesto'!$P$81=0,"—",IF(parametros_recargas!$N$87=0,$N$7,IF(D17&lt;=$O$9,$N$2,IF(parametros_recargas!$D$87="Tercerizado",$N$6,IF(D81&lt;$O$10,$N$3,IF(parametros_recargas!$D$87="Manual",$N$5,$N$4))))))</f>
        <v>OK</v>
      </c>
      <c r="E145" s="12" t="str">
        <f aca="false">IF('Demanda por puesto'!$P$113=0,"—",IF(parametros_recargas!$N$87=0,$N$7,IF(E17&lt;=$O$9,$N$2,IF(parametros_recargas!$D$87="Tercerizado",$N$6,IF(E81&lt;$O$10,$N$3,IF(parametros_recargas!$D$87="Manual",$N$5,$N$4))))))</f>
        <v>OK</v>
      </c>
      <c r="F145" s="12" t="str">
        <f aca="false">IF('Demanda por puesto'!$P$145=0,"—",IF(parametros_recargas!$N$87=0,$N$7,IF(F17&lt;=$O$9,$N$2,IF(parametros_recargas!$D$87="Tercerizado",$N$6,IF(F81&lt;$O$10,$N$3,IF(parametros_recargas!$D$87="Manual",$N$5,$N$4))))))</f>
        <v>OK</v>
      </c>
      <c r="G145" s="12" t="str">
        <f aca="false">IF('Demanda por puesto'!$P$177=0,"—",IF(parametros_recargas!$N$87=0,$N$7,IF(G17&lt;=$O$9,$N$2,IF(parametros_recargas!$D$87="Tercerizado",$N$6,IF(G81&lt;$O$10,$N$3,IF(parametros_recargas!$D$87="Manual",$N$5,$N$4))))))</f>
        <v>Agrega turno</v>
      </c>
      <c r="H145" s="12" t="str">
        <f aca="false">IF('Demanda por puesto'!$P$209=0,"—",IF(parametros_recargas!$N$87=0,$N$7,IF(H17&lt;=$O$9,$N$2,IF(parametros_recargas!$D$87="Tercerizado",$N$6,IF(H81&lt;$O$10,$N$3,IF(parametros_recargas!$D$87="Manual",$N$5,$N$4))))))</f>
        <v>Agrega turno</v>
      </c>
      <c r="I145" s="12" t="str">
        <f aca="false">IF('Demanda por puesto'!$P$241=0,"—",IF(parametros_recargas!$N$87=0,$N$7,IF(I17&lt;=$O$9,$N$2,IF(parametros_recargas!$D$87="Tercerizado",$N$6,IF(I81&lt;$O$10,$N$3,IF(parametros_recargas!$D$87="Manual",$N$5,$N$4))))))</f>
        <v>Agrega turno</v>
      </c>
      <c r="J145" s="12" t="str">
        <f aca="false">IF('Demanda por puesto'!$P$273=0,"—",IF(parametros_recargas!$N$87=0,$N$7,IF(J17&lt;=$O$9,$N$2,IF(parametros_recargas!$D$87="Tercerizado",$N$6,IF(J81&lt;$O$10,$N$3,IF(parametros_recargas!$D$87="Manual",$N$5,$N$4))))))</f>
        <v>Agrega turno</v>
      </c>
      <c r="K145" s="12" t="str">
        <f aca="false">IF('Demanda por puesto'!$P$305=0,"—",IF(parametros_recargas!$N$87=0,$N$7,IF(K17&lt;=$O$9,$N$2,IF(parametros_recargas!$D$87="Tercerizado",$N$6,IF(K81&lt;$O$10,$N$3,IF(parametros_recargas!$D$87="Manual",$N$5,$N$4))))))</f>
        <v>Agrega turno</v>
      </c>
    </row>
    <row r="146" customFormat="false" ht="15" hidden="false" customHeight="false" outlineLevel="0" collapsed="false">
      <c r="A146" s="12" t="str">
        <f aca="false">parametros_recargas!$B$88</f>
        <v>Carga de polvo BC</v>
      </c>
      <c r="B146" s="12" t="str">
        <f aca="false">IF('Demanda por puesto'!$P$18=0,"—",IF(parametros_recargas!$N$88=0,$N$7,IF(B18&lt;=$O$9,$N$2,IF(parametros_recargas!$D$88="Tercerizado",$N$6,IF(B82&lt;$O$10,$N$3,IF(parametros_recargas!$D$88="Manual",$N$5,$N$4))))))</f>
        <v>OK</v>
      </c>
      <c r="C146" s="12" t="str">
        <f aca="false">IF('Demanda por puesto'!$P$50=0,"—",IF(parametros_recargas!$N$88=0,$N$7,IF(C18&lt;=$O$9,$N$2,IF(parametros_recargas!$D$88="Tercerizado",$N$6,IF(C82&lt;$O$10,$N$3,IF(parametros_recargas!$D$88="Manual",$N$5,$N$4))))))</f>
        <v>OK</v>
      </c>
      <c r="D146" s="12" t="str">
        <f aca="false">IF('Demanda por puesto'!$P$82=0,"—",IF(parametros_recargas!$N$88=0,$N$7,IF(D18&lt;=$O$9,$N$2,IF(parametros_recargas!$D$88="Tercerizado",$N$6,IF(D82&lt;$O$10,$N$3,IF(parametros_recargas!$D$88="Manual",$N$5,$N$4))))))</f>
        <v>OK</v>
      </c>
      <c r="E146" s="12" t="str">
        <f aca="false">IF('Demanda por puesto'!$P$114=0,"—",IF(parametros_recargas!$N$88=0,$N$7,IF(E18&lt;=$O$9,$N$2,IF(parametros_recargas!$D$88="Tercerizado",$N$6,IF(E82&lt;$O$10,$N$3,IF(parametros_recargas!$D$88="Manual",$N$5,$N$4))))))</f>
        <v>OK</v>
      </c>
      <c r="F146" s="12" t="str">
        <f aca="false">IF('Demanda por puesto'!$P$146=0,"—",IF(parametros_recargas!$N$88=0,$N$7,IF(F18&lt;=$O$9,$N$2,IF(parametros_recargas!$D$88="Tercerizado",$N$6,IF(F82&lt;$O$10,$N$3,IF(parametros_recargas!$D$88="Manual",$N$5,$N$4))))))</f>
        <v>OK</v>
      </c>
      <c r="G146" s="12" t="str">
        <f aca="false">IF('Demanda por puesto'!$P$178=0,"—",IF(parametros_recargas!$N$88=0,$N$7,IF(G18&lt;=$O$9,$N$2,IF(parametros_recargas!$D$88="Tercerizado",$N$6,IF(G82&lt;$O$10,$N$3,IF(parametros_recargas!$D$88="Manual",$N$5,$N$4))))))</f>
        <v>OK</v>
      </c>
      <c r="H146" s="12" t="str">
        <f aca="false">IF('Demanda por puesto'!$P$210=0,"—",IF(parametros_recargas!$N$88=0,$N$7,IF(H18&lt;=$O$9,$N$2,IF(parametros_recargas!$D$88="Tercerizado",$N$6,IF(H82&lt;$O$10,$N$3,IF(parametros_recargas!$D$88="Manual",$N$5,$N$4))))))</f>
        <v>OK</v>
      </c>
      <c r="I146" s="12" t="str">
        <f aca="false">IF('Demanda por puesto'!$P$242=0,"—",IF(parametros_recargas!$N$88=0,$N$7,IF(I18&lt;=$O$9,$N$2,IF(parametros_recargas!$D$88="Tercerizado",$N$6,IF(I82&lt;$O$10,$N$3,IF(parametros_recargas!$D$88="Manual",$N$5,$N$4))))))</f>
        <v>OK</v>
      </c>
      <c r="J146" s="12" t="str">
        <f aca="false">IF('Demanda por puesto'!$P$274=0,"—",IF(parametros_recargas!$N$88=0,$N$7,IF(J18&lt;=$O$9,$N$2,IF(parametros_recargas!$D$88="Tercerizado",$N$6,IF(J82&lt;$O$10,$N$3,IF(parametros_recargas!$D$88="Manual",$N$5,$N$4))))))</f>
        <v>OK</v>
      </c>
      <c r="K146" s="12" t="str">
        <f aca="false">IF('Demanda por puesto'!$P$306=0,"—",IF(parametros_recargas!$N$88=0,$N$7,IF(K18&lt;=$O$9,$N$2,IF(parametros_recargas!$D$88="Tercerizado",$N$6,IF(K82&lt;$O$10,$N$3,IF(parametros_recargas!$D$88="Manual",$N$5,$N$4))))))</f>
        <v>OK</v>
      </c>
    </row>
    <row r="147" customFormat="false" ht="15" hidden="false" customHeight="false" outlineLevel="0" collapsed="false">
      <c r="A147" s="12" t="str">
        <f aca="false">parametros_recargas!$B$89</f>
        <v>Descarga y carga Clase D</v>
      </c>
      <c r="B147" s="12" t="str">
        <f aca="false">IF('Demanda por puesto'!$P$19=0,"—",IF(parametros_recargas!$N$89=0,$N$7,IF(B19&lt;=$O$9,$N$2,IF(parametros_recargas!$D$89="Tercerizado",$N$6,IF(B83&lt;$O$10,$N$3,IF(parametros_recargas!$D$89="Manual",$N$5,$N$4))))))</f>
        <v>OK</v>
      </c>
      <c r="C147" s="12" t="str">
        <f aca="false">IF('Demanda por puesto'!$P$51=0,"—",IF(parametros_recargas!$N$89=0,$N$7,IF(C19&lt;=$O$9,$N$2,IF(parametros_recargas!$D$89="Tercerizado",$N$6,IF(C83&lt;$O$10,$N$3,IF(parametros_recargas!$D$89="Manual",$N$5,$N$4))))))</f>
        <v>OK</v>
      </c>
      <c r="D147" s="12" t="str">
        <f aca="false">IF('Demanda por puesto'!$P$83=0,"—",IF(parametros_recargas!$N$89=0,$N$7,IF(D19&lt;=$O$9,$N$2,IF(parametros_recargas!$D$89="Tercerizado",$N$6,IF(D83&lt;$O$10,$N$3,IF(parametros_recargas!$D$89="Manual",$N$5,$N$4))))))</f>
        <v>OK</v>
      </c>
      <c r="E147" s="12" t="str">
        <f aca="false">IF('Demanda por puesto'!$P$115=0,"—",IF(parametros_recargas!$N$89=0,$N$7,IF(E19&lt;=$O$9,$N$2,IF(parametros_recargas!$D$89="Tercerizado",$N$6,IF(E83&lt;$O$10,$N$3,IF(parametros_recargas!$D$89="Manual",$N$5,$N$4))))))</f>
        <v>OK</v>
      </c>
      <c r="F147" s="12" t="str">
        <f aca="false">IF('Demanda por puesto'!$P$147=0,"—",IF(parametros_recargas!$N$89=0,$N$7,IF(F19&lt;=$O$9,$N$2,IF(parametros_recargas!$D$89="Tercerizado",$N$6,IF(F83&lt;$O$10,$N$3,IF(parametros_recargas!$D$89="Manual",$N$5,$N$4))))))</f>
        <v>OK</v>
      </c>
      <c r="G147" s="12" t="str">
        <f aca="false">IF('Demanda por puesto'!$P$179=0,"—",IF(parametros_recargas!$N$89=0,$N$7,IF(G19&lt;=$O$9,$N$2,IF(parametros_recargas!$D$89="Tercerizado",$N$6,IF(G83&lt;$O$10,$N$3,IF(parametros_recargas!$D$89="Manual",$N$5,$N$4))))))</f>
        <v>OK</v>
      </c>
      <c r="H147" s="12" t="str">
        <f aca="false">IF('Demanda por puesto'!$P$211=0,"—",IF(parametros_recargas!$N$89=0,$N$7,IF(H19&lt;=$O$9,$N$2,IF(parametros_recargas!$D$89="Tercerizado",$N$6,IF(H83&lt;$O$10,$N$3,IF(parametros_recargas!$D$89="Manual",$N$5,$N$4))))))</f>
        <v>OK</v>
      </c>
      <c r="I147" s="12" t="str">
        <f aca="false">IF('Demanda por puesto'!$P$243=0,"—",IF(parametros_recargas!$N$89=0,$N$7,IF(I19&lt;=$O$9,$N$2,IF(parametros_recargas!$D$89="Tercerizado",$N$6,IF(I83&lt;$O$10,$N$3,IF(parametros_recargas!$D$89="Manual",$N$5,$N$4))))))</f>
        <v>OK</v>
      </c>
      <c r="J147" s="12" t="str">
        <f aca="false">IF('Demanda por puesto'!$P$275=0,"—",IF(parametros_recargas!$N$89=0,$N$7,IF(J19&lt;=$O$9,$N$2,IF(parametros_recargas!$D$89="Tercerizado",$N$6,IF(J83&lt;$O$10,$N$3,IF(parametros_recargas!$D$89="Manual",$N$5,$N$4))))))</f>
        <v>OK</v>
      </c>
      <c r="K147" s="12" t="str">
        <f aca="false">IF('Demanda por puesto'!$P$307=0,"—",IF(parametros_recargas!$N$89=0,$N$7,IF(K19&lt;=$O$9,$N$2,IF(parametros_recargas!$D$89="Tercerizado",$N$6,IF(K83&lt;$O$10,$N$3,IF(parametros_recargas!$D$89="Manual",$N$5,$N$4))))))</f>
        <v>OK</v>
      </c>
    </row>
    <row r="148" customFormat="false" ht="15" hidden="false" customHeight="false" outlineLevel="0" collapsed="false">
      <c r="A148" s="12" t="str">
        <f aca="false">parametros_recargas!$B$90</f>
        <v>Carga de agua / AFFF / sales K</v>
      </c>
      <c r="B148" s="12" t="str">
        <f aca="false">IF('Demanda por puesto'!$P$20=0,"—",IF(parametros_recargas!$N$90=0,$N$7,IF(B20&lt;=$O$9,$N$2,IF(parametros_recargas!$D$90="Tercerizado",$N$6,IF(B84&lt;$O$10,$N$3,IF(parametros_recargas!$D$90="Manual",$N$5,$N$4))))))</f>
        <v>OK</v>
      </c>
      <c r="C148" s="12" t="str">
        <f aca="false">IF('Demanda por puesto'!$P$52=0,"—",IF(parametros_recargas!$N$90=0,$N$7,IF(C20&lt;=$O$9,$N$2,IF(parametros_recargas!$D$90="Tercerizado",$N$6,IF(C84&lt;$O$10,$N$3,IF(parametros_recargas!$D$90="Manual",$N$5,$N$4))))))</f>
        <v>OK</v>
      </c>
      <c r="D148" s="12" t="str">
        <f aca="false">IF('Demanda por puesto'!$P$84=0,"—",IF(parametros_recargas!$N$90=0,$N$7,IF(D20&lt;=$O$9,$N$2,IF(parametros_recargas!$D$90="Tercerizado",$N$6,IF(D84&lt;$O$10,$N$3,IF(parametros_recargas!$D$90="Manual",$N$5,$N$4))))))</f>
        <v>OK</v>
      </c>
      <c r="E148" s="12" t="str">
        <f aca="false">IF('Demanda por puesto'!$P$116=0,"—",IF(parametros_recargas!$N$90=0,$N$7,IF(E20&lt;=$O$9,$N$2,IF(parametros_recargas!$D$90="Tercerizado",$N$6,IF(E84&lt;$O$10,$N$3,IF(parametros_recargas!$D$90="Manual",$N$5,$N$4))))))</f>
        <v>OK</v>
      </c>
      <c r="F148" s="12" t="str">
        <f aca="false">IF('Demanda por puesto'!$P$148=0,"—",IF(parametros_recargas!$N$90=0,$N$7,IF(F20&lt;=$O$9,$N$2,IF(parametros_recargas!$D$90="Tercerizado",$N$6,IF(F84&lt;$O$10,$N$3,IF(parametros_recargas!$D$90="Manual",$N$5,$N$4))))))</f>
        <v>OK</v>
      </c>
      <c r="G148" s="12" t="str">
        <f aca="false">IF('Demanda por puesto'!$P$180=0,"—",IF(parametros_recargas!$N$90=0,$N$7,IF(G20&lt;=$O$9,$N$2,IF(parametros_recargas!$D$90="Tercerizado",$N$6,IF(G84&lt;$O$10,$N$3,IF(parametros_recargas!$D$90="Manual",$N$5,$N$4))))))</f>
        <v>OK</v>
      </c>
      <c r="H148" s="12" t="str">
        <f aca="false">IF('Demanda por puesto'!$P$212=0,"—",IF(parametros_recargas!$N$90=0,$N$7,IF(H20&lt;=$O$9,$N$2,IF(parametros_recargas!$D$90="Tercerizado",$N$6,IF(H84&lt;$O$10,$N$3,IF(parametros_recargas!$D$90="Manual",$N$5,$N$4))))))</f>
        <v>OK</v>
      </c>
      <c r="I148" s="12" t="str">
        <f aca="false">IF('Demanda por puesto'!$P$244=0,"—",IF(parametros_recargas!$N$90=0,$N$7,IF(I20&lt;=$O$9,$N$2,IF(parametros_recargas!$D$90="Tercerizado",$N$6,IF(I84&lt;$O$10,$N$3,IF(parametros_recargas!$D$90="Manual",$N$5,$N$4))))))</f>
        <v>OK</v>
      </c>
      <c r="J148" s="12" t="str">
        <f aca="false">IF('Demanda por puesto'!$P$276=0,"—",IF(parametros_recargas!$N$90=0,$N$7,IF(J20&lt;=$O$9,$N$2,IF(parametros_recargas!$D$90="Tercerizado",$N$6,IF(J84&lt;$O$10,$N$3,IF(parametros_recargas!$D$90="Manual",$N$5,$N$4))))))</f>
        <v>OK</v>
      </c>
      <c r="K148" s="12" t="str">
        <f aca="false">IF('Demanda por puesto'!$P$308=0,"—",IF(parametros_recargas!$N$90=0,$N$7,IF(K20&lt;=$O$9,$N$2,IF(parametros_recargas!$D$90="Tercerizado",$N$6,IF(K84&lt;$O$10,$N$3,IF(parametros_recargas!$D$90="Manual",$N$5,$N$4))))))</f>
        <v>OK</v>
      </c>
    </row>
    <row r="149" customFormat="false" ht="15" hidden="false" customHeight="false" outlineLevel="0" collapsed="false">
      <c r="A149" s="12" t="str">
        <f aca="false">parametros_recargas!$B$91</f>
        <v>Carga de CO₂</v>
      </c>
      <c r="B149" s="12" t="str">
        <f aca="false">IF('Demanda por puesto'!$P$21=0,"—",IF(parametros_recargas!$N$91=0,$N$7,IF(B21&lt;=$O$9,$N$2,IF(parametros_recargas!$D$91="Tercerizado",$N$6,IF(B85&lt;$O$10,$N$3,IF(parametros_recargas!$D$91="Manual",$N$5,$N$4))))))</f>
        <v>OK</v>
      </c>
      <c r="C149" s="12" t="str">
        <f aca="false">IF('Demanda por puesto'!$P$53=0,"—",IF(parametros_recargas!$N$91=0,$N$7,IF(C21&lt;=$O$9,$N$2,IF(parametros_recargas!$D$91="Tercerizado",$N$6,IF(C85&lt;$O$10,$N$3,IF(parametros_recargas!$D$91="Manual",$N$5,$N$4))))))</f>
        <v>OK</v>
      </c>
      <c r="D149" s="12" t="str">
        <f aca="false">IF('Demanda por puesto'!$P$85=0,"—",IF(parametros_recargas!$N$91=0,$N$7,IF(D21&lt;=$O$9,$N$2,IF(parametros_recargas!$D$91="Tercerizado",$N$6,IF(D85&lt;$O$10,$N$3,IF(parametros_recargas!$D$91="Manual",$N$5,$N$4))))))</f>
        <v>OK</v>
      </c>
      <c r="E149" s="12" t="str">
        <f aca="false">IF('Demanda por puesto'!$P$117=0,"—",IF(parametros_recargas!$N$91=0,$N$7,IF(E21&lt;=$O$9,$N$2,IF(parametros_recargas!$D$91="Tercerizado",$N$6,IF(E85&lt;$O$10,$N$3,IF(parametros_recargas!$D$91="Manual",$N$5,$N$4))))))</f>
        <v>OK</v>
      </c>
      <c r="F149" s="12" t="str">
        <f aca="false">IF('Demanda por puesto'!$P$149=0,"—",IF(parametros_recargas!$N$91=0,$N$7,IF(F21&lt;=$O$9,$N$2,IF(parametros_recargas!$D$91="Tercerizado",$N$6,IF(F85&lt;$O$10,$N$3,IF(parametros_recargas!$D$91="Manual",$N$5,$N$4))))))</f>
        <v>OK</v>
      </c>
      <c r="G149" s="12" t="str">
        <f aca="false">IF('Demanda por puesto'!$P$181=0,"—",IF(parametros_recargas!$N$91=0,$N$7,IF(G21&lt;=$O$9,$N$2,IF(parametros_recargas!$D$91="Tercerizado",$N$6,IF(G85&lt;$O$10,$N$3,IF(parametros_recargas!$D$91="Manual",$N$5,$N$4))))))</f>
        <v>OK</v>
      </c>
      <c r="H149" s="12" t="str">
        <f aca="false">IF('Demanda por puesto'!$P$213=0,"—",IF(parametros_recargas!$N$91=0,$N$7,IF(H21&lt;=$O$9,$N$2,IF(parametros_recargas!$D$91="Tercerizado",$N$6,IF(H85&lt;$O$10,$N$3,IF(parametros_recargas!$D$91="Manual",$N$5,$N$4))))))</f>
        <v>OK</v>
      </c>
      <c r="I149" s="12" t="str">
        <f aca="false">IF('Demanda por puesto'!$P$245=0,"—",IF(parametros_recargas!$N$91=0,$N$7,IF(I21&lt;=$O$9,$N$2,IF(parametros_recargas!$D$91="Tercerizado",$N$6,IF(I85&lt;$O$10,$N$3,IF(parametros_recargas!$D$91="Manual",$N$5,$N$4))))))</f>
        <v>OK</v>
      </c>
      <c r="J149" s="12" t="str">
        <f aca="false">IF('Demanda por puesto'!$P$277=0,"—",IF(parametros_recargas!$N$91=0,$N$7,IF(J21&lt;=$O$9,$N$2,IF(parametros_recargas!$D$91="Tercerizado",$N$6,IF(J85&lt;$O$10,$N$3,IF(parametros_recargas!$D$91="Manual",$N$5,$N$4))))))</f>
        <v>OK</v>
      </c>
      <c r="K149" s="12" t="str">
        <f aca="false">IF('Demanda por puesto'!$P$309=0,"—",IF(parametros_recargas!$N$91=0,$N$7,IF(K21&lt;=$O$9,$N$2,IF(parametros_recargas!$D$91="Tercerizado",$N$6,IF(K85&lt;$O$10,$N$3,IF(parametros_recargas!$D$91="Manual",$N$5,$N$4))))))</f>
        <v>OK</v>
      </c>
    </row>
    <row r="150" customFormat="false" ht="15" hidden="false" customHeight="false" outlineLevel="0" collapsed="false">
      <c r="A150" s="12" t="str">
        <f aca="false">parametros_recargas!$B$92</f>
        <v>Ensamblaje y marbete — recinto</v>
      </c>
      <c r="B150" s="12" t="str">
        <f aca="false">IF('Demanda por puesto'!$P$22=0,"—",IF(parametros_recargas!$N$92=0,$N$7,IF(B22&lt;=$O$9,$N$2,IF(parametros_recargas!$D$92="Tercerizado",$N$6,IF(B86&lt;$O$10,$N$3,IF(parametros_recargas!$D$92="Manual",$N$5,$N$4))))))</f>
        <v>OK</v>
      </c>
      <c r="C150" s="12" t="str">
        <f aca="false">IF('Demanda por puesto'!$P$54=0,"—",IF(parametros_recargas!$N$92=0,$N$7,IF(C22&lt;=$O$9,$N$2,IF(parametros_recargas!$D$92="Tercerizado",$N$6,IF(C86&lt;$O$10,$N$3,IF(parametros_recargas!$D$92="Manual",$N$5,$N$4))))))</f>
        <v>OK</v>
      </c>
      <c r="D150" s="12" t="str">
        <f aca="false">IF('Demanda por puesto'!$P$86=0,"—",IF(parametros_recargas!$N$92=0,$N$7,IF(D22&lt;=$O$9,$N$2,IF(parametros_recargas!$D$92="Tercerizado",$N$6,IF(D86&lt;$O$10,$N$3,IF(parametros_recargas!$D$92="Manual",$N$5,$N$4))))))</f>
        <v>OK</v>
      </c>
      <c r="E150" s="12" t="str">
        <f aca="false">IF('Demanda por puesto'!$P$118=0,"—",IF(parametros_recargas!$N$92=0,$N$7,IF(E22&lt;=$O$9,$N$2,IF(parametros_recargas!$D$92="Tercerizado",$N$6,IF(E86&lt;$O$10,$N$3,IF(parametros_recargas!$D$92="Manual",$N$5,$N$4))))))</f>
        <v>OK</v>
      </c>
      <c r="F150" s="12" t="str">
        <f aca="false">IF('Demanda por puesto'!$P$150=0,"—",IF(parametros_recargas!$N$92=0,$N$7,IF(F22&lt;=$O$9,$N$2,IF(parametros_recargas!$D$92="Tercerizado",$N$6,IF(F86&lt;$O$10,$N$3,IF(parametros_recargas!$D$92="Manual",$N$5,$N$4))))))</f>
        <v>Agrega turno</v>
      </c>
      <c r="G150" s="12" t="str">
        <f aca="false">IF('Demanda por puesto'!$P$182=0,"—",IF(parametros_recargas!$N$92=0,$N$7,IF(G22&lt;=$O$9,$N$2,IF(parametros_recargas!$D$92="Tercerizado",$N$6,IF(G86&lt;$O$10,$N$3,IF(parametros_recargas!$D$92="Manual",$N$5,$N$4))))))</f>
        <v>Agrega turno</v>
      </c>
      <c r="H150" s="12" t="str">
        <f aca="false">IF('Demanda por puesto'!$P$214=0,"—",IF(parametros_recargas!$N$92=0,$N$7,IF(H22&lt;=$O$9,$N$2,IF(parametros_recargas!$D$92="Tercerizado",$N$6,IF(H86&lt;$O$10,$N$3,IF(parametros_recargas!$D$92="Manual",$N$5,$N$4))))))</f>
        <v>Agrega turno</v>
      </c>
      <c r="I150" s="12" t="str">
        <f aca="false">IF('Demanda por puesto'!$P$246=0,"—",IF(parametros_recargas!$N$92=0,$N$7,IF(I22&lt;=$O$9,$N$2,IF(parametros_recargas!$D$92="Tercerizado",$N$6,IF(I86&lt;$O$10,$N$3,IF(parametros_recargas!$D$92="Manual",$N$5,$N$4))))))</f>
        <v>Agrega turno</v>
      </c>
      <c r="J150" s="12" t="str">
        <f aca="false">IF('Demanda por puesto'!$P$278=0,"—",IF(parametros_recargas!$N$92=0,$N$7,IF(J22&lt;=$O$9,$N$2,IF(parametros_recargas!$D$92="Tercerizado",$N$6,IF(J86&lt;$O$10,$N$3,IF(parametros_recargas!$D$92="Manual",$N$5,$N$4))))))</f>
        <v>Agrega turno</v>
      </c>
      <c r="K150" s="12" t="str">
        <f aca="false">IF('Demanda por puesto'!$P$310=0,"—",IF(parametros_recargas!$N$92=0,$N$7,IF(K22&lt;=$O$9,$N$2,IF(parametros_recargas!$D$92="Tercerizado",$N$6,IF(K86&lt;$O$10,$N$3,IF(parametros_recargas!$D$92="Manual",$N$5,$N$4))))))</f>
        <v>Agrega turno</v>
      </c>
    </row>
    <row r="151" customFormat="false" ht="15" hidden="false" customHeight="false" outlineLevel="0" collapsed="false">
      <c r="A151" s="12" t="str">
        <f aca="false">parametros_recargas!$B$93</f>
        <v>Presurización — recinto</v>
      </c>
      <c r="B151" s="12" t="str">
        <f aca="false">IF('Demanda por puesto'!$P$23=0,"—",IF(parametros_recargas!$N$93=0,$N$7,IF(B23&lt;=$O$9,$N$2,IF(parametros_recargas!$D$93="Tercerizado",$N$6,IF(B87&lt;$O$10,$N$3,IF(parametros_recargas!$D$93="Manual",$N$5,$N$4))))))</f>
        <v>OK</v>
      </c>
      <c r="C151" s="12" t="str">
        <f aca="false">IF('Demanda por puesto'!$P$55=0,"—",IF(parametros_recargas!$N$93=0,$N$7,IF(C23&lt;=$O$9,$N$2,IF(parametros_recargas!$D$93="Tercerizado",$N$6,IF(C87&lt;$O$10,$N$3,IF(parametros_recargas!$D$93="Manual",$N$5,$N$4))))))</f>
        <v>OK</v>
      </c>
      <c r="D151" s="12" t="str">
        <f aca="false">IF('Demanda por puesto'!$P$87=0,"—",IF(parametros_recargas!$N$93=0,$N$7,IF(D23&lt;=$O$9,$N$2,IF(parametros_recargas!$D$93="Tercerizado",$N$6,IF(D87&lt;$O$10,$N$3,IF(parametros_recargas!$D$93="Manual",$N$5,$N$4))))))</f>
        <v>OK</v>
      </c>
      <c r="E151" s="12" t="str">
        <f aca="false">IF('Demanda por puesto'!$P$119=0,"—",IF(parametros_recargas!$N$93=0,$N$7,IF(E23&lt;=$O$9,$N$2,IF(parametros_recargas!$D$93="Tercerizado",$N$6,IF(E87&lt;$O$10,$N$3,IF(parametros_recargas!$D$93="Manual",$N$5,$N$4))))))</f>
        <v>OK</v>
      </c>
      <c r="F151" s="12" t="str">
        <f aca="false">IF('Demanda por puesto'!$P$151=0,"—",IF(parametros_recargas!$N$93=0,$N$7,IF(F23&lt;=$O$9,$N$2,IF(parametros_recargas!$D$93="Tercerizado",$N$6,IF(F87&lt;$O$10,$N$3,IF(parametros_recargas!$D$93="Manual",$N$5,$N$4))))))</f>
        <v>OK</v>
      </c>
      <c r="G151" s="12" t="str">
        <f aca="false">IF('Demanda por puesto'!$P$183=0,"—",IF(parametros_recargas!$N$93=0,$N$7,IF(G23&lt;=$O$9,$N$2,IF(parametros_recargas!$D$93="Tercerizado",$N$6,IF(G87&lt;$O$10,$N$3,IF(parametros_recargas!$D$93="Manual",$N$5,$N$4))))))</f>
        <v>OK</v>
      </c>
      <c r="H151" s="12" t="str">
        <f aca="false">IF('Demanda por puesto'!$P$215=0,"—",IF(parametros_recargas!$N$93=0,$N$7,IF(H23&lt;=$O$9,$N$2,IF(parametros_recargas!$D$93="Tercerizado",$N$6,IF(H87&lt;$O$10,$N$3,IF(parametros_recargas!$D$93="Manual",$N$5,$N$4))))))</f>
        <v>OK</v>
      </c>
      <c r="I151" s="12" t="str">
        <f aca="false">IF('Demanda por puesto'!$P$247=0,"—",IF(parametros_recargas!$N$93=0,$N$7,IF(I23&lt;=$O$9,$N$2,IF(parametros_recargas!$D$93="Tercerizado",$N$6,IF(I87&lt;$O$10,$N$3,IF(parametros_recargas!$D$93="Manual",$N$5,$N$4))))))</f>
        <v>Agrega turno</v>
      </c>
      <c r="J151" s="12" t="str">
        <f aca="false">IF('Demanda por puesto'!$P$279=0,"—",IF(parametros_recargas!$N$93=0,$N$7,IF(J23&lt;=$O$9,$N$2,IF(parametros_recargas!$D$93="Tercerizado",$N$6,IF(J87&lt;$O$10,$N$3,IF(parametros_recargas!$D$93="Manual",$N$5,$N$4))))))</f>
        <v>Agrega turno</v>
      </c>
      <c r="K151" s="12" t="str">
        <f aca="false">IF('Demanda por puesto'!$P$311=0,"—",IF(parametros_recargas!$N$93=0,$N$7,IF(K23&lt;=$O$9,$N$2,IF(parametros_recargas!$D$93="Tercerizado",$N$6,IF(K87&lt;$O$10,$N$3,IF(parametros_recargas!$D$93="Manual",$N$5,$N$4))))))</f>
        <v>Agrega turno</v>
      </c>
    </row>
    <row r="152" customFormat="false" ht="15" hidden="false" customHeight="false" outlineLevel="0" collapsed="false">
      <c r="A152" s="12" t="str">
        <f aca="false">parametros_recargas!$B$94</f>
        <v>Ensamblaje y presurización — zona general</v>
      </c>
      <c r="B152" s="12" t="str">
        <f aca="false">IF('Demanda por puesto'!$P$24=0,"—",IF(parametros_recargas!$N$94=0,$N$7,IF(B24&lt;=$O$9,$N$2,IF(parametros_recargas!$D$94="Tercerizado",$N$6,IF(B88&lt;$O$10,$N$3,IF(parametros_recargas!$D$94="Manual",$N$5,$N$4))))))</f>
        <v>OK</v>
      </c>
      <c r="C152" s="12" t="str">
        <f aca="false">IF('Demanda por puesto'!$P$56=0,"—",IF(parametros_recargas!$N$94=0,$N$7,IF(C24&lt;=$O$9,$N$2,IF(parametros_recargas!$D$94="Tercerizado",$N$6,IF(C88&lt;$O$10,$N$3,IF(parametros_recargas!$D$94="Manual",$N$5,$N$4))))))</f>
        <v>OK</v>
      </c>
      <c r="D152" s="12" t="str">
        <f aca="false">IF('Demanda por puesto'!$P$88=0,"—",IF(parametros_recargas!$N$94=0,$N$7,IF(D24&lt;=$O$9,$N$2,IF(parametros_recargas!$D$94="Tercerizado",$N$6,IF(D88&lt;$O$10,$N$3,IF(parametros_recargas!$D$94="Manual",$N$5,$N$4))))))</f>
        <v>OK</v>
      </c>
      <c r="E152" s="12" t="str">
        <f aca="false">IF('Demanda por puesto'!$P$120=0,"—",IF(parametros_recargas!$N$94=0,$N$7,IF(E24&lt;=$O$9,$N$2,IF(parametros_recargas!$D$94="Tercerizado",$N$6,IF(E88&lt;$O$10,$N$3,IF(parametros_recargas!$D$94="Manual",$N$5,$N$4))))))</f>
        <v>OK</v>
      </c>
      <c r="F152" s="12" t="str">
        <f aca="false">IF('Demanda por puesto'!$P$152=0,"—",IF(parametros_recargas!$N$94=0,$N$7,IF(F24&lt;=$O$9,$N$2,IF(parametros_recargas!$D$94="Tercerizado",$N$6,IF(F88&lt;$O$10,$N$3,IF(parametros_recargas!$D$94="Manual",$N$5,$N$4))))))</f>
        <v>OK</v>
      </c>
      <c r="G152" s="12" t="str">
        <f aca="false">IF('Demanda por puesto'!$P$184=0,"—",IF(parametros_recargas!$N$94=0,$N$7,IF(G24&lt;=$O$9,$N$2,IF(parametros_recargas!$D$94="Tercerizado",$N$6,IF(G88&lt;$O$10,$N$3,IF(parametros_recargas!$D$94="Manual",$N$5,$N$4))))))</f>
        <v>OK</v>
      </c>
      <c r="H152" s="12" t="str">
        <f aca="false">IF('Demanda por puesto'!$P$216=0,"—",IF(parametros_recargas!$N$94=0,$N$7,IF(H24&lt;=$O$9,$N$2,IF(parametros_recargas!$D$94="Tercerizado",$N$6,IF(H88&lt;$O$10,$N$3,IF(parametros_recargas!$D$94="Manual",$N$5,$N$4))))))</f>
        <v>OK</v>
      </c>
      <c r="I152" s="12" t="str">
        <f aca="false">IF('Demanda por puesto'!$P$248=0,"—",IF(parametros_recargas!$N$94=0,$N$7,IF(I24&lt;=$O$9,$N$2,IF(parametros_recargas!$D$94="Tercerizado",$N$6,IF(I88&lt;$O$10,$N$3,IF(parametros_recargas!$D$94="Manual",$N$5,$N$4))))))</f>
        <v>OK</v>
      </c>
      <c r="J152" s="12" t="str">
        <f aca="false">IF('Demanda por puesto'!$P$280=0,"—",IF(parametros_recargas!$N$94=0,$N$7,IF(J24&lt;=$O$9,$N$2,IF(parametros_recargas!$D$94="Tercerizado",$N$6,IF(J88&lt;$O$10,$N$3,IF(parametros_recargas!$D$94="Manual",$N$5,$N$4))))))</f>
        <v>OK</v>
      </c>
      <c r="K152" s="12" t="str">
        <f aca="false">IF('Demanda por puesto'!$P$312=0,"—",IF(parametros_recargas!$N$94=0,$N$7,IF(K24&lt;=$O$9,$N$2,IF(parametros_recargas!$D$94="Tercerizado",$N$6,IF(K88&lt;$O$10,$N$3,IF(parametros_recargas!$D$94="Manual",$N$5,$N$4))))))</f>
        <v>OK</v>
      </c>
    </row>
    <row r="153" customFormat="false" ht="15" hidden="false" customHeight="false" outlineLevel="0" collapsed="false">
      <c r="A153" s="12" t="str">
        <f aca="false">parametros_recargas!$B$95</f>
        <v>Carga y presurización de halogenado</v>
      </c>
      <c r="B153" s="12" t="str">
        <f aca="false">IF('Demanda por puesto'!$P$25=0,"—",IF(parametros_recargas!$N$95=0,$N$7,IF(B25&lt;=$O$9,$N$2,IF(parametros_recargas!$D$95="Tercerizado",$N$6,IF(B89&lt;$O$10,$N$3,IF(parametros_recargas!$D$95="Manual",$N$5,$N$4))))))</f>
        <v>OK</v>
      </c>
      <c r="C153" s="12" t="str">
        <f aca="false">IF('Demanda por puesto'!$P$57=0,"—",IF(parametros_recargas!$N$95=0,$N$7,IF(C25&lt;=$O$9,$N$2,IF(parametros_recargas!$D$95="Tercerizado",$N$6,IF(C89&lt;$O$10,$N$3,IF(parametros_recargas!$D$95="Manual",$N$5,$N$4))))))</f>
        <v>OK</v>
      </c>
      <c r="D153" s="12" t="str">
        <f aca="false">IF('Demanda por puesto'!$P$89=0,"—",IF(parametros_recargas!$N$95=0,$N$7,IF(D25&lt;=$O$9,$N$2,IF(parametros_recargas!$D$95="Tercerizado",$N$6,IF(D89&lt;$O$10,$N$3,IF(parametros_recargas!$D$95="Manual",$N$5,$N$4))))))</f>
        <v>OK</v>
      </c>
      <c r="E153" s="12" t="str">
        <f aca="false">IF('Demanda por puesto'!$P$121=0,"—",IF(parametros_recargas!$N$95=0,$N$7,IF(E25&lt;=$O$9,$N$2,IF(parametros_recargas!$D$95="Tercerizado",$N$6,IF(E89&lt;$O$10,$N$3,IF(parametros_recargas!$D$95="Manual",$N$5,$N$4))))))</f>
        <v>OK</v>
      </c>
      <c r="F153" s="12" t="str">
        <f aca="false">IF('Demanda por puesto'!$P$153=0,"—",IF(parametros_recargas!$N$95=0,$N$7,IF(F25&lt;=$O$9,$N$2,IF(parametros_recargas!$D$95="Tercerizado",$N$6,IF(F89&lt;$O$10,$N$3,IF(parametros_recargas!$D$95="Manual",$N$5,$N$4))))))</f>
        <v>OK</v>
      </c>
      <c r="G153" s="12" t="str">
        <f aca="false">IF('Demanda por puesto'!$P$185=0,"—",IF(parametros_recargas!$N$95=0,$N$7,IF(G25&lt;=$O$9,$N$2,IF(parametros_recargas!$D$95="Tercerizado",$N$6,IF(G89&lt;$O$10,$N$3,IF(parametros_recargas!$D$95="Manual",$N$5,$N$4))))))</f>
        <v>OK</v>
      </c>
      <c r="H153" s="12" t="str">
        <f aca="false">IF('Demanda por puesto'!$P$217=0,"—",IF(parametros_recargas!$N$95=0,$N$7,IF(H25&lt;=$O$9,$N$2,IF(parametros_recargas!$D$95="Tercerizado",$N$6,IF(H89&lt;$O$10,$N$3,IF(parametros_recargas!$D$95="Manual",$N$5,$N$4))))))</f>
        <v>OK</v>
      </c>
      <c r="I153" s="12" t="str">
        <f aca="false">IF('Demanda por puesto'!$P$249=0,"—",IF(parametros_recargas!$N$95=0,$N$7,IF(I25&lt;=$O$9,$N$2,IF(parametros_recargas!$D$95="Tercerizado",$N$6,IF(I89&lt;$O$10,$N$3,IF(parametros_recargas!$D$95="Manual",$N$5,$N$4))))))</f>
        <v>OK</v>
      </c>
      <c r="J153" s="12" t="str">
        <f aca="false">IF('Demanda por puesto'!$P$281=0,"—",IF(parametros_recargas!$N$95=0,$N$7,IF(J25&lt;=$O$9,$N$2,IF(parametros_recargas!$D$95="Tercerizado",$N$6,IF(J89&lt;$O$10,$N$3,IF(parametros_recargas!$D$95="Manual",$N$5,$N$4))))))</f>
        <v>OK</v>
      </c>
      <c r="K153" s="12" t="str">
        <f aca="false">IF('Demanda por puesto'!$P$313=0,"—",IF(parametros_recargas!$N$95=0,$N$7,IF(K25&lt;=$O$9,$N$2,IF(parametros_recargas!$D$95="Tercerizado",$N$6,IF(K89&lt;$O$10,$N$3,IF(parametros_recargas!$D$95="Manual",$N$5,$N$4))))))</f>
        <v>OK</v>
      </c>
    </row>
    <row r="154" customFormat="false" ht="15" hidden="false" customHeight="false" outlineLevel="0" collapsed="false">
      <c r="A154" s="12" t="str">
        <f aca="false">parametros_recargas!$B$96</f>
        <v>Control de peso (CO₂ y halogenados sin recarga)</v>
      </c>
      <c r="B154" s="12" t="str">
        <f aca="false">IF('Demanda por puesto'!$P$26=0,"—",IF(parametros_recargas!$N$96=0,$N$7,IF(B26&lt;=$O$9,$N$2,IF(parametros_recargas!$D$96="Tercerizado",$N$6,IF(B90&lt;$O$10,$N$3,IF(parametros_recargas!$D$96="Manual",$N$5,$N$4))))))</f>
        <v>OK</v>
      </c>
      <c r="C154" s="12" t="str">
        <f aca="false">IF('Demanda por puesto'!$P$58=0,"—",IF(parametros_recargas!$N$96=0,$N$7,IF(C26&lt;=$O$9,$N$2,IF(parametros_recargas!$D$96="Tercerizado",$N$6,IF(C90&lt;$O$10,$N$3,IF(parametros_recargas!$D$96="Manual",$N$5,$N$4))))))</f>
        <v>OK</v>
      </c>
      <c r="D154" s="12" t="str">
        <f aca="false">IF('Demanda por puesto'!$P$90=0,"—",IF(parametros_recargas!$N$96=0,$N$7,IF(D26&lt;=$O$9,$N$2,IF(parametros_recargas!$D$96="Tercerizado",$N$6,IF(D90&lt;$O$10,$N$3,IF(parametros_recargas!$D$96="Manual",$N$5,$N$4))))))</f>
        <v>OK</v>
      </c>
      <c r="E154" s="12" t="str">
        <f aca="false">IF('Demanda por puesto'!$P$122=0,"—",IF(parametros_recargas!$N$96=0,$N$7,IF(E26&lt;=$O$9,$N$2,IF(parametros_recargas!$D$96="Tercerizado",$N$6,IF(E90&lt;$O$10,$N$3,IF(parametros_recargas!$D$96="Manual",$N$5,$N$4))))))</f>
        <v>OK</v>
      </c>
      <c r="F154" s="12" t="str">
        <f aca="false">IF('Demanda por puesto'!$P$154=0,"—",IF(parametros_recargas!$N$96=0,$N$7,IF(F26&lt;=$O$9,$N$2,IF(parametros_recargas!$D$96="Tercerizado",$N$6,IF(F90&lt;$O$10,$N$3,IF(parametros_recargas!$D$96="Manual",$N$5,$N$4))))))</f>
        <v>OK</v>
      </c>
      <c r="G154" s="12" t="str">
        <f aca="false">IF('Demanda por puesto'!$P$186=0,"—",IF(parametros_recargas!$N$96=0,$N$7,IF(G26&lt;=$O$9,$N$2,IF(parametros_recargas!$D$96="Tercerizado",$N$6,IF(G90&lt;$O$10,$N$3,IF(parametros_recargas!$D$96="Manual",$N$5,$N$4))))))</f>
        <v>OK</v>
      </c>
      <c r="H154" s="12" t="str">
        <f aca="false">IF('Demanda por puesto'!$P$218=0,"—",IF(parametros_recargas!$N$96=0,$N$7,IF(H26&lt;=$O$9,$N$2,IF(parametros_recargas!$D$96="Tercerizado",$N$6,IF(H90&lt;$O$10,$N$3,IF(parametros_recargas!$D$96="Manual",$N$5,$N$4))))))</f>
        <v>OK</v>
      </c>
      <c r="I154" s="12" t="str">
        <f aca="false">IF('Demanda por puesto'!$P$250=0,"—",IF(parametros_recargas!$N$96=0,$N$7,IF(I26&lt;=$O$9,$N$2,IF(parametros_recargas!$D$96="Tercerizado",$N$6,IF(I90&lt;$O$10,$N$3,IF(parametros_recargas!$D$96="Manual",$N$5,$N$4))))))</f>
        <v>OK</v>
      </c>
      <c r="J154" s="12" t="str">
        <f aca="false">IF('Demanda por puesto'!$P$282=0,"—",IF(parametros_recargas!$N$96=0,$N$7,IF(J26&lt;=$O$9,$N$2,IF(parametros_recargas!$D$96="Tercerizado",$N$6,IF(J90&lt;$O$10,$N$3,IF(parametros_recargas!$D$96="Manual",$N$5,$N$4))))))</f>
        <v>OK</v>
      </c>
      <c r="K154" s="12" t="str">
        <f aca="false">IF('Demanda por puesto'!$P$314=0,"—",IF(parametros_recargas!$N$96=0,$N$7,IF(K26&lt;=$O$9,$N$2,IF(parametros_recargas!$D$96="Tercerizado",$N$6,IF(K90&lt;$O$10,$N$3,IF(parametros_recargas!$D$96="Manual",$N$5,$N$4))))))</f>
        <v>OK</v>
      </c>
    </row>
    <row r="155" customFormat="false" ht="15" hidden="false" customHeight="false" outlineLevel="0" collapsed="false">
      <c r="A155" s="12" t="str">
        <f aca="false">parametros_recargas!$B$97</f>
        <v>Ensayo de pérdidas</v>
      </c>
      <c r="B155" s="12" t="str">
        <f aca="false">IF('Demanda por puesto'!$P$27=0,"—",IF(parametros_recargas!$N$97=0,$N$7,IF(B27&lt;=$O$9,$N$2,IF(parametros_recargas!$D$97="Tercerizado",$N$6,IF(B91&lt;$O$10,$N$3,IF(parametros_recargas!$D$97="Manual",$N$5,$N$4))))))</f>
        <v>OK</v>
      </c>
      <c r="C155" s="12" t="str">
        <f aca="false">IF('Demanda por puesto'!$P$59=0,"—",IF(parametros_recargas!$N$97=0,$N$7,IF(C27&lt;=$O$9,$N$2,IF(parametros_recargas!$D$97="Tercerizado",$N$6,IF(C91&lt;$O$10,$N$3,IF(parametros_recargas!$D$97="Manual",$N$5,$N$4))))))</f>
        <v>OK</v>
      </c>
      <c r="D155" s="12" t="str">
        <f aca="false">IF('Demanda por puesto'!$P$91=0,"—",IF(parametros_recargas!$N$97=0,$N$7,IF(D27&lt;=$O$9,$N$2,IF(parametros_recargas!$D$97="Tercerizado",$N$6,IF(D91&lt;$O$10,$N$3,IF(parametros_recargas!$D$97="Manual",$N$5,$N$4))))))</f>
        <v>OK</v>
      </c>
      <c r="E155" s="12" t="str">
        <f aca="false">IF('Demanda por puesto'!$P$123=0,"—",IF(parametros_recargas!$N$97=0,$N$7,IF(E27&lt;=$O$9,$N$2,IF(parametros_recargas!$D$97="Tercerizado",$N$6,IF(E91&lt;$O$10,$N$3,IF(parametros_recargas!$D$97="Manual",$N$5,$N$4))))))</f>
        <v>OK</v>
      </c>
      <c r="F155" s="12" t="str">
        <f aca="false">IF('Demanda por puesto'!$P$155=0,"—",IF(parametros_recargas!$N$97=0,$N$7,IF(F27&lt;=$O$9,$N$2,IF(parametros_recargas!$D$97="Tercerizado",$N$6,IF(F91&lt;$O$10,$N$3,IF(parametros_recargas!$D$97="Manual",$N$5,$N$4))))))</f>
        <v>OK</v>
      </c>
      <c r="G155" s="12" t="str">
        <f aca="false">IF('Demanda por puesto'!$P$187=0,"—",IF(parametros_recargas!$N$97=0,$N$7,IF(G27&lt;=$O$9,$N$2,IF(parametros_recargas!$D$97="Tercerizado",$N$6,IF(G91&lt;$O$10,$N$3,IF(parametros_recargas!$D$97="Manual",$N$5,$N$4))))))</f>
        <v>Agrega turno</v>
      </c>
      <c r="H155" s="12" t="str">
        <f aca="false">IF('Demanda por puesto'!$P$219=0,"—",IF(parametros_recargas!$N$97=0,$N$7,IF(H27&lt;=$O$9,$N$2,IF(parametros_recargas!$D$97="Tercerizado",$N$6,IF(H91&lt;$O$10,$N$3,IF(parametros_recargas!$D$97="Manual",$N$5,$N$4))))))</f>
        <v>Agrega turno</v>
      </c>
      <c r="I155" s="12" t="str">
        <f aca="false">IF('Demanda por puesto'!$P$251=0,"—",IF(parametros_recargas!$N$97=0,$N$7,IF(I27&lt;=$O$9,$N$2,IF(parametros_recargas!$D$97="Tercerizado",$N$6,IF(I91&lt;$O$10,$N$3,IF(parametros_recargas!$D$97="Manual",$N$5,$N$4))))))</f>
        <v>Agrega turno</v>
      </c>
      <c r="J155" s="12" t="str">
        <f aca="false">IF('Demanda por puesto'!$P$283=0,"—",IF(parametros_recargas!$N$97=0,$N$7,IF(J27&lt;=$O$9,$N$2,IF(parametros_recargas!$D$97="Tercerizado",$N$6,IF(J91&lt;$O$10,$N$3,IF(parametros_recargas!$D$97="Manual",$N$5,$N$4))))))</f>
        <v>Agrega turno</v>
      </c>
      <c r="K155" s="12" t="str">
        <f aca="false">IF('Demanda por puesto'!$P$315=0,"—",IF(parametros_recargas!$N$97=0,$N$7,IF(K27&lt;=$O$9,$N$2,IF(parametros_recargas!$D$97="Tercerizado",$N$6,IF(K91&lt;$O$10,$N$3,IF(parametros_recargas!$D$97="Manual",$N$5,$N$4))))))</f>
        <v>Agrega turno</v>
      </c>
    </row>
    <row r="156" customFormat="false" ht="15" hidden="false" customHeight="false" outlineLevel="0" collapsed="false">
      <c r="A156" s="12" t="str">
        <f aca="false">parametros_recargas!$B$98</f>
        <v>Precinto, etiqueta y despacho</v>
      </c>
      <c r="B156" s="12" t="str">
        <f aca="false">IF('Demanda por puesto'!$P$28=0,"—",IF(parametros_recargas!$N$98=0,$N$7,IF(B28&lt;=$O$9,$N$2,IF(parametros_recargas!$D$98="Tercerizado",$N$6,IF(B92&lt;$O$10,$N$3,IF(parametros_recargas!$D$98="Manual",$N$5,$N$4))))))</f>
        <v>OK</v>
      </c>
      <c r="C156" s="12" t="str">
        <f aca="false">IF('Demanda por puesto'!$P$60=0,"—",IF(parametros_recargas!$N$98=0,$N$7,IF(C28&lt;=$O$9,$N$2,IF(parametros_recargas!$D$98="Tercerizado",$N$6,IF(C92&lt;$O$10,$N$3,IF(parametros_recargas!$D$98="Manual",$N$5,$N$4))))))</f>
        <v>OK</v>
      </c>
      <c r="D156" s="12" t="str">
        <f aca="false">IF('Demanda por puesto'!$P$92=0,"—",IF(parametros_recargas!$N$98=0,$N$7,IF(D28&lt;=$O$9,$N$2,IF(parametros_recargas!$D$98="Tercerizado",$N$6,IF(D92&lt;$O$10,$N$3,IF(parametros_recargas!$D$98="Manual",$N$5,$N$4))))))</f>
        <v>OK</v>
      </c>
      <c r="E156" s="12" t="str">
        <f aca="false">IF('Demanda por puesto'!$P$124=0,"—",IF(parametros_recargas!$N$98=0,$N$7,IF(E28&lt;=$O$9,$N$2,IF(parametros_recargas!$D$98="Tercerizado",$N$6,IF(E92&lt;$O$10,$N$3,IF(parametros_recargas!$D$98="Manual",$N$5,$N$4))))))</f>
        <v>OK</v>
      </c>
      <c r="F156" s="12" t="str">
        <f aca="false">IF('Demanda por puesto'!$P$156=0,"—",IF(parametros_recargas!$N$98=0,$N$7,IF(F28&lt;=$O$9,$N$2,IF(parametros_recargas!$D$98="Tercerizado",$N$6,IF(F92&lt;$O$10,$N$3,IF(parametros_recargas!$D$98="Manual",$N$5,$N$4))))))</f>
        <v>OK</v>
      </c>
      <c r="G156" s="12" t="str">
        <f aca="false">IF('Demanda por puesto'!$P$188=0,"—",IF(parametros_recargas!$N$98=0,$N$7,IF(G28&lt;=$O$9,$N$2,IF(parametros_recargas!$D$98="Tercerizado",$N$6,IF(G92&lt;$O$10,$N$3,IF(parametros_recargas!$D$98="Manual",$N$5,$N$4))))))</f>
        <v>Agrega turno</v>
      </c>
      <c r="H156" s="12" t="str">
        <f aca="false">IF('Demanda por puesto'!$P$220=0,"—",IF(parametros_recargas!$N$98=0,$N$7,IF(H28&lt;=$O$9,$N$2,IF(parametros_recargas!$D$98="Tercerizado",$N$6,IF(H92&lt;$O$10,$N$3,IF(parametros_recargas!$D$98="Manual",$N$5,$N$4))))))</f>
        <v>Agrega turno</v>
      </c>
      <c r="I156" s="12" t="str">
        <f aca="false">IF('Demanda por puesto'!$P$252=0,"—",IF(parametros_recargas!$N$98=0,$N$7,IF(I28&lt;=$O$9,$N$2,IF(parametros_recargas!$D$98="Tercerizado",$N$6,IF(I92&lt;$O$10,$N$3,IF(parametros_recargas!$D$98="Manual",$N$5,$N$4))))))</f>
        <v>Agrega turno</v>
      </c>
      <c r="J156" s="12" t="str">
        <f aca="false">IF('Demanda por puesto'!$P$284=0,"—",IF(parametros_recargas!$N$98=0,$N$7,IF(J28&lt;=$O$9,$N$2,IF(parametros_recargas!$D$98="Tercerizado",$N$6,IF(J92&lt;$O$10,$N$3,IF(parametros_recargas!$D$98="Manual",$N$5,$N$4))))))</f>
        <v>Agrega turno</v>
      </c>
      <c r="K156" s="12" t="str">
        <f aca="false">IF('Demanda por puesto'!$P$316=0,"—",IF(parametros_recargas!$N$98=0,$N$7,IF(K28&lt;=$O$9,$N$2,IF(parametros_recargas!$D$98="Tercerizado",$N$6,IF(K92&lt;$O$10,$N$3,IF(parametros_recargas!$D$98="Manual",$N$5,$N$4))))))</f>
        <v>Agrega turno</v>
      </c>
    </row>
    <row r="157" customFormat="false" ht="15" hidden="false" customHeight="false" outlineLevel="0" collapsed="false">
      <c r="A157" s="12" t="str">
        <f aca="false">parametros_recargas!$B$99</f>
        <v>Inutilización y disposición final</v>
      </c>
      <c r="B157" s="12" t="str">
        <f aca="false">IF('Demanda por puesto'!$P$29=0,"—",IF(parametros_recargas!$N$99=0,$N$7,IF(B29&lt;=$O$9,$N$2,IF(parametros_recargas!$D$99="Tercerizado",$N$6,IF(B93&lt;$O$10,$N$3,IF(parametros_recargas!$D$99="Manual",$N$5,$N$4))))))</f>
        <v>OK</v>
      </c>
      <c r="C157" s="12" t="str">
        <f aca="false">IF('Demanda por puesto'!$P$61=0,"—",IF(parametros_recargas!$N$99=0,$N$7,IF(C29&lt;=$O$9,$N$2,IF(parametros_recargas!$D$99="Tercerizado",$N$6,IF(C93&lt;$O$10,$N$3,IF(parametros_recargas!$D$99="Manual",$N$5,$N$4))))))</f>
        <v>OK</v>
      </c>
      <c r="D157" s="12" t="str">
        <f aca="false">IF('Demanda por puesto'!$P$93=0,"—",IF(parametros_recargas!$N$99=0,$N$7,IF(D29&lt;=$O$9,$N$2,IF(parametros_recargas!$D$99="Tercerizado",$N$6,IF(D93&lt;$O$10,$N$3,IF(parametros_recargas!$D$99="Manual",$N$5,$N$4))))))</f>
        <v>OK</v>
      </c>
      <c r="E157" s="12" t="str">
        <f aca="false">IF('Demanda por puesto'!$P$125=0,"—",IF(parametros_recargas!$N$99=0,$N$7,IF(E29&lt;=$O$9,$N$2,IF(parametros_recargas!$D$99="Tercerizado",$N$6,IF(E93&lt;$O$10,$N$3,IF(parametros_recargas!$D$99="Manual",$N$5,$N$4))))))</f>
        <v>OK</v>
      </c>
      <c r="F157" s="12" t="str">
        <f aca="false">IF('Demanda por puesto'!$P$157=0,"—",IF(parametros_recargas!$N$99=0,$N$7,IF(F29&lt;=$O$9,$N$2,IF(parametros_recargas!$D$99="Tercerizado",$N$6,IF(F93&lt;$O$10,$N$3,IF(parametros_recargas!$D$99="Manual",$N$5,$N$4))))))</f>
        <v>OK</v>
      </c>
      <c r="G157" s="12" t="str">
        <f aca="false">IF('Demanda por puesto'!$P$189=0,"—",IF(parametros_recargas!$N$99=0,$N$7,IF(G29&lt;=$O$9,$N$2,IF(parametros_recargas!$D$99="Tercerizado",$N$6,IF(G93&lt;$O$10,$N$3,IF(parametros_recargas!$D$99="Manual",$N$5,$N$4))))))</f>
        <v>OK</v>
      </c>
      <c r="H157" s="12" t="str">
        <f aca="false">IF('Demanda por puesto'!$P$221=0,"—",IF(parametros_recargas!$N$99=0,$N$7,IF(H29&lt;=$O$9,$N$2,IF(parametros_recargas!$D$99="Tercerizado",$N$6,IF(H93&lt;$O$10,$N$3,IF(parametros_recargas!$D$99="Manual",$N$5,$N$4))))))</f>
        <v>OK</v>
      </c>
      <c r="I157" s="12" t="str">
        <f aca="false">IF('Demanda por puesto'!$P$253=0,"—",IF(parametros_recargas!$N$99=0,$N$7,IF(I29&lt;=$O$9,$N$2,IF(parametros_recargas!$D$99="Tercerizado",$N$6,IF(I93&lt;$O$10,$N$3,IF(parametros_recargas!$D$99="Manual",$N$5,$N$4))))))</f>
        <v>OK</v>
      </c>
      <c r="J157" s="12" t="str">
        <f aca="false">IF('Demanda por puesto'!$P$285=0,"—",IF(parametros_recargas!$N$99=0,$N$7,IF(J29&lt;=$O$9,$N$2,IF(parametros_recargas!$D$99="Tercerizado",$N$6,IF(J93&lt;$O$10,$N$3,IF(parametros_recargas!$D$99="Manual",$N$5,$N$4))))))</f>
        <v>OK</v>
      </c>
      <c r="K157" s="12" t="str">
        <f aca="false">IF('Demanda por puesto'!$P$317=0,"—",IF(parametros_recargas!$N$99=0,$N$7,IF(K29&lt;=$O$9,$N$2,IF(parametros_recargas!$D$99="Tercerizado",$N$6,IF(K93&lt;$O$10,$N$3,IF(parametros_recargas!$D$99="Manual",$N$5,$N$4))))))</f>
        <v>OK</v>
      </c>
    </row>
    <row r="158" customFormat="false" ht="15" hidden="false" customHeight="false" outlineLevel="0" collapsed="false">
      <c r="A158" s="12" t="str">
        <f aca="false">parametros_recargas!$B$100</f>
        <v>PH de mangueras (CO₂ y rodantes)</v>
      </c>
      <c r="B158" s="12" t="str">
        <f aca="false">IF('Demanda por puesto'!$P$30=0,"—",IF(parametros_recargas!$N$100=0,$N$7,IF(B30&lt;=$O$9,$N$2,IF(parametros_recargas!$D$100="Tercerizado",$N$6,IF(B94&lt;$O$10,$N$3,IF(parametros_recargas!$D$100="Manual",$N$5,$N$4))))))</f>
        <v>OK</v>
      </c>
      <c r="C158" s="12" t="str">
        <f aca="false">IF('Demanda por puesto'!$P$62=0,"—",IF(parametros_recargas!$N$100=0,$N$7,IF(C30&lt;=$O$9,$N$2,IF(parametros_recargas!$D$100="Tercerizado",$N$6,IF(C94&lt;$O$10,$N$3,IF(parametros_recargas!$D$100="Manual",$N$5,$N$4))))))</f>
        <v>OK</v>
      </c>
      <c r="D158" s="12" t="str">
        <f aca="false">IF('Demanda por puesto'!$P$94=0,"—",IF(parametros_recargas!$N$100=0,$N$7,IF(D30&lt;=$O$9,$N$2,IF(parametros_recargas!$D$100="Tercerizado",$N$6,IF(D94&lt;$O$10,$N$3,IF(parametros_recargas!$D$100="Manual",$N$5,$N$4))))))</f>
        <v>OK</v>
      </c>
      <c r="E158" s="12" t="str">
        <f aca="false">IF('Demanda por puesto'!$P$126=0,"—",IF(parametros_recargas!$N$100=0,$N$7,IF(E30&lt;=$O$9,$N$2,IF(parametros_recargas!$D$100="Tercerizado",$N$6,IF(E94&lt;$O$10,$N$3,IF(parametros_recargas!$D$100="Manual",$N$5,$N$4))))))</f>
        <v>OK</v>
      </c>
      <c r="F158" s="12" t="str">
        <f aca="false">IF('Demanda por puesto'!$P$158=0,"—",IF(parametros_recargas!$N$100=0,$N$7,IF(F30&lt;=$O$9,$N$2,IF(parametros_recargas!$D$100="Tercerizado",$N$6,IF(F94&lt;$O$10,$N$3,IF(parametros_recargas!$D$100="Manual",$N$5,$N$4))))))</f>
        <v>OK</v>
      </c>
      <c r="G158" s="12" t="str">
        <f aca="false">IF('Demanda por puesto'!$P$190=0,"—",IF(parametros_recargas!$N$100=0,$N$7,IF(G30&lt;=$O$9,$N$2,IF(parametros_recargas!$D$100="Tercerizado",$N$6,IF(G94&lt;$O$10,$N$3,IF(parametros_recargas!$D$100="Manual",$N$5,$N$4))))))</f>
        <v>OK</v>
      </c>
      <c r="H158" s="12" t="str">
        <f aca="false">IF('Demanda por puesto'!$P$222=0,"—",IF(parametros_recargas!$N$100=0,$N$7,IF(H30&lt;=$O$9,$N$2,IF(parametros_recargas!$D$100="Tercerizado",$N$6,IF(H94&lt;$O$10,$N$3,IF(parametros_recargas!$D$100="Manual",$N$5,$N$4))))))</f>
        <v>OK</v>
      </c>
      <c r="I158" s="12" t="str">
        <f aca="false">IF('Demanda por puesto'!$P$254=0,"—",IF(parametros_recargas!$N$100=0,$N$7,IF(I30&lt;=$O$9,$N$2,IF(parametros_recargas!$D$100="Tercerizado",$N$6,IF(I94&lt;$O$10,$N$3,IF(parametros_recargas!$D$100="Manual",$N$5,$N$4))))))</f>
        <v>OK</v>
      </c>
      <c r="J158" s="12" t="str">
        <f aca="false">IF('Demanda por puesto'!$P$286=0,"—",IF(parametros_recargas!$N$100=0,$N$7,IF(J30&lt;=$O$9,$N$2,IF(parametros_recargas!$D$100="Tercerizado",$N$6,IF(J94&lt;$O$10,$N$3,IF(parametros_recargas!$D$100="Manual",$N$5,$N$4))))))</f>
        <v>OK</v>
      </c>
      <c r="K158" s="12" t="str">
        <f aca="false">IF('Demanda por puesto'!$P$318=0,"—",IF(parametros_recargas!$N$100=0,$N$7,IF(K30&lt;=$O$9,$N$2,IF(parametros_recargas!$D$100="Tercerizado",$N$6,IF(K94&lt;$O$10,$N$3,IF(parametros_recargas!$D$100="Manual",$N$5,$N$4))))))</f>
        <v>OK</v>
      </c>
    </row>
  </sheetData>
  <conditionalFormatting sqref="B2:K31">
    <cfRule type="cellIs" priority="2" operator="greaterThan" aboveAverage="0" equalAverage="0" bottom="0" percent="0" rank="0" text="" dxfId="0">
      <formula>$O$9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1" min="2" style="0" width="11"/>
    <col collapsed="false" customWidth="true" hidden="false" outlineLevel="0" max="12" min="12" style="0" width="70"/>
  </cols>
  <sheetData>
    <row r="1" customFormat="false" ht="15" hidden="false" customHeight="false" outlineLevel="0" collapsed="false">
      <c r="A1" s="1" t="s">
        <v>313</v>
      </c>
    </row>
    <row r="2" customFormat="false" ht="15" hidden="false" customHeight="false" outlineLevel="0" collapsed="false">
      <c r="A2" s="2" t="s">
        <v>314</v>
      </c>
    </row>
    <row r="4" customFormat="false" ht="15" hidden="false" customHeight="false" outlineLevel="0" collapsed="false">
      <c r="A4" s="3" t="s">
        <v>61</v>
      </c>
      <c r="B4" s="3" t="s">
        <v>46</v>
      </c>
      <c r="C4" s="3"/>
      <c r="D4" s="3"/>
      <c r="E4" s="3"/>
      <c r="F4" s="3"/>
      <c r="G4" s="3"/>
      <c r="H4" s="3"/>
      <c r="I4" s="3"/>
      <c r="J4" s="3"/>
      <c r="K4" s="3"/>
      <c r="L4" s="3" t="s">
        <v>62</v>
      </c>
    </row>
    <row r="5" customFormat="false" ht="23.85" hidden="false" customHeight="false" outlineLevel="0" collapsed="false">
      <c r="A5" s="4" t="s">
        <v>315</v>
      </c>
      <c r="B5" s="14" t="n">
        <v>1</v>
      </c>
      <c r="L5" s="4" t="s">
        <v>316</v>
      </c>
    </row>
    <row r="6" customFormat="false" ht="15" hidden="false" customHeight="false" outlineLevel="0" collapsed="false">
      <c r="A6" s="4" t="s">
        <v>63</v>
      </c>
      <c r="B6" s="16" t="n">
        <f aca="false">parametros_recargas!B2</f>
        <v>20</v>
      </c>
    </row>
    <row r="8" customFormat="false" ht="15" hidden="false" customHeight="false" outlineLevel="0" collapsed="false">
      <c r="A8" s="1" t="s">
        <v>317</v>
      </c>
    </row>
    <row r="9" customFormat="false" ht="23.85" hidden="false" customHeight="false" outlineLevel="0" collapsed="false">
      <c r="A9" s="3" t="s">
        <v>138</v>
      </c>
      <c r="B9" s="3" t="s">
        <v>270</v>
      </c>
      <c r="C9" s="3" t="s">
        <v>318</v>
      </c>
      <c r="D9" s="3" t="s">
        <v>319</v>
      </c>
      <c r="E9" s="3"/>
      <c r="F9" s="3"/>
      <c r="G9" s="3"/>
      <c r="H9" s="3"/>
      <c r="I9" s="3"/>
      <c r="J9" s="3"/>
      <c r="K9" s="3"/>
      <c r="L9" s="3" t="s">
        <v>320</v>
      </c>
    </row>
    <row r="10" customFormat="false" ht="15" hidden="false" customHeight="true" outlineLevel="0" collapsed="false">
      <c r="A10" s="12" t="str">
        <f aca="false">datos_base!A2</f>
        <v>ABC 1 kg</v>
      </c>
      <c r="B10" s="12" t="str">
        <f aca="false">parametros_recargas!B51</f>
        <v>ABC</v>
      </c>
      <c r="C10" s="14" t="n">
        <v>0</v>
      </c>
      <c r="D10" s="28" t="s">
        <v>5</v>
      </c>
      <c r="E10" s="28"/>
      <c r="F10" s="28"/>
      <c r="L10" s="4" t="s">
        <v>321</v>
      </c>
    </row>
    <row r="11" customFormat="false" ht="15" hidden="false" customHeight="true" outlineLevel="0" collapsed="false">
      <c r="A11" s="12" t="str">
        <f aca="false">datos_base!A3</f>
        <v>ABC 2,5 kg</v>
      </c>
      <c r="B11" s="12" t="str">
        <f aca="false">parametros_recargas!B52</f>
        <v>ABC</v>
      </c>
      <c r="C11" s="14" t="n">
        <v>1</v>
      </c>
      <c r="D11" s="28" t="s">
        <v>5</v>
      </c>
      <c r="E11" s="28"/>
      <c r="F11" s="28"/>
      <c r="L11" s="4" t="s">
        <v>322</v>
      </c>
    </row>
    <row r="12" customFormat="false" ht="15" hidden="false" customHeight="true" outlineLevel="0" collapsed="false">
      <c r="A12" s="12" t="str">
        <f aca="false">datos_base!A4</f>
        <v>ABC 5 kg</v>
      </c>
      <c r="B12" s="12" t="str">
        <f aca="false">parametros_recargas!B53</f>
        <v>ABC</v>
      </c>
      <c r="C12" s="14" t="n">
        <v>1</v>
      </c>
      <c r="D12" s="28" t="s">
        <v>5</v>
      </c>
      <c r="E12" s="28"/>
      <c r="F12" s="28"/>
      <c r="L12" s="4" t="s">
        <v>322</v>
      </c>
    </row>
    <row r="13" customFormat="false" ht="15" hidden="false" customHeight="true" outlineLevel="0" collapsed="false">
      <c r="A13" s="12" t="str">
        <f aca="false">datos_base!A5</f>
        <v>ABC 10 kg</v>
      </c>
      <c r="B13" s="12" t="str">
        <f aca="false">parametros_recargas!B54</f>
        <v>ABC</v>
      </c>
      <c r="C13" s="14" t="n">
        <v>1</v>
      </c>
      <c r="D13" s="28" t="s">
        <v>6</v>
      </c>
      <c r="E13" s="28"/>
      <c r="F13" s="28"/>
      <c r="L13" s="4" t="s">
        <v>322</v>
      </c>
    </row>
    <row r="14" customFormat="false" ht="15" hidden="false" customHeight="true" outlineLevel="0" collapsed="false">
      <c r="A14" s="12" t="str">
        <f aca="false">datos_base!A6</f>
        <v>Agua 10 l</v>
      </c>
      <c r="B14" s="12" t="str">
        <f aca="false">parametros_recargas!B55</f>
        <v>Agua</v>
      </c>
      <c r="C14" s="14" t="n">
        <v>1</v>
      </c>
      <c r="D14" s="28" t="s">
        <v>7</v>
      </c>
      <c r="E14" s="28"/>
      <c r="F14" s="28"/>
      <c r="L14" s="4" t="s">
        <v>322</v>
      </c>
    </row>
    <row r="15" customFormat="false" ht="15" hidden="false" customHeight="true" outlineLevel="0" collapsed="false">
      <c r="A15" s="12" t="str">
        <f aca="false">datos_base!A7</f>
        <v>AFFF 10 l</v>
      </c>
      <c r="B15" s="12" t="str">
        <f aca="false">parametros_recargas!B56</f>
        <v>AFFF</v>
      </c>
      <c r="C15" s="14" t="n">
        <v>1</v>
      </c>
      <c r="D15" s="28" t="s">
        <v>8</v>
      </c>
      <c r="E15" s="28"/>
      <c r="F15" s="28"/>
      <c r="L15" s="4" t="s">
        <v>322</v>
      </c>
    </row>
    <row r="16" customFormat="false" ht="15" hidden="false" customHeight="true" outlineLevel="0" collapsed="false">
      <c r="A16" s="12" t="str">
        <f aca="false">datos_base!A8</f>
        <v>AFFF 50 l s/ruedas</v>
      </c>
      <c r="B16" s="12" t="str">
        <f aca="false">parametros_recargas!B57</f>
        <v>AFFF</v>
      </c>
      <c r="C16" s="14" t="n">
        <v>1</v>
      </c>
      <c r="D16" s="28" t="s">
        <v>9</v>
      </c>
      <c r="E16" s="28"/>
      <c r="F16" s="28"/>
      <c r="L16" s="4" t="s">
        <v>322</v>
      </c>
    </row>
    <row r="17" customFormat="false" ht="15" hidden="false" customHeight="true" outlineLevel="0" collapsed="false">
      <c r="A17" s="12" t="str">
        <f aca="false">datos_base!A9</f>
        <v>BC 5 kg</v>
      </c>
      <c r="B17" s="12" t="str">
        <f aca="false">parametros_recargas!B58</f>
        <v>BC</v>
      </c>
      <c r="C17" s="14" t="n">
        <v>1</v>
      </c>
      <c r="D17" s="28" t="s">
        <v>10</v>
      </c>
      <c r="E17" s="28"/>
      <c r="F17" s="28"/>
      <c r="L17" s="4" t="s">
        <v>322</v>
      </c>
    </row>
    <row r="18" customFormat="false" ht="15" hidden="false" customHeight="true" outlineLevel="0" collapsed="false">
      <c r="A18" s="12" t="str">
        <f aca="false">datos_base!A10</f>
        <v>Sales K 6 l</v>
      </c>
      <c r="B18" s="12" t="str">
        <f aca="false">parametros_recargas!B59</f>
        <v>Sales K</v>
      </c>
      <c r="C18" s="14" t="n">
        <v>1</v>
      </c>
      <c r="D18" s="28" t="s">
        <v>11</v>
      </c>
      <c r="E18" s="28"/>
      <c r="F18" s="28"/>
      <c r="L18" s="4" t="s">
        <v>322</v>
      </c>
    </row>
    <row r="19" customFormat="false" ht="15" hidden="false" customHeight="true" outlineLevel="0" collapsed="false">
      <c r="A19" s="12" t="str">
        <f aca="false">datos_base!A11</f>
        <v>CO₂ 2 kg</v>
      </c>
      <c r="B19" s="12" t="str">
        <f aca="false">parametros_recargas!B60</f>
        <v>CO₂</v>
      </c>
      <c r="C19" s="14" t="n">
        <v>1</v>
      </c>
      <c r="D19" s="28" t="s">
        <v>13</v>
      </c>
      <c r="E19" s="28"/>
      <c r="F19" s="28"/>
      <c r="L19" s="4" t="s">
        <v>322</v>
      </c>
    </row>
    <row r="20" customFormat="false" ht="15" hidden="false" customHeight="true" outlineLevel="0" collapsed="false">
      <c r="A20" s="12" t="str">
        <f aca="false">datos_base!A12</f>
        <v>CO₂ 5 kg</v>
      </c>
      <c r="B20" s="12" t="str">
        <f aca="false">parametros_recargas!B61</f>
        <v>CO₂</v>
      </c>
      <c r="C20" s="14" t="n">
        <v>1</v>
      </c>
      <c r="D20" s="28" t="s">
        <v>13</v>
      </c>
      <c r="E20" s="28"/>
      <c r="F20" s="28"/>
      <c r="L20" s="4" t="s">
        <v>322</v>
      </c>
    </row>
    <row r="21" customFormat="false" ht="15" hidden="false" customHeight="true" outlineLevel="0" collapsed="false">
      <c r="A21" s="12" t="str">
        <f aca="false">datos_base!A13</f>
        <v>HCFC/HFC 5 kg</v>
      </c>
      <c r="B21" s="12" t="str">
        <f aca="false">parametros_recargas!B62</f>
        <v>Halogenado</v>
      </c>
      <c r="C21" s="14" t="n">
        <v>1</v>
      </c>
      <c r="D21" s="28" t="s">
        <v>14</v>
      </c>
      <c r="E21" s="28"/>
      <c r="F21" s="28"/>
      <c r="L21" s="4" t="s">
        <v>322</v>
      </c>
    </row>
    <row r="22" customFormat="false" ht="15" hidden="false" customHeight="true" outlineLevel="0" collapsed="false">
      <c r="A22" s="12" t="str">
        <f aca="false">datos_base!A14</f>
        <v>Clase D 9 l</v>
      </c>
      <c r="B22" s="12" t="str">
        <f aca="false">parametros_recargas!B63</f>
        <v>Clase D</v>
      </c>
      <c r="C22" s="14" t="n">
        <v>1</v>
      </c>
      <c r="D22" s="28" t="s">
        <v>15</v>
      </c>
      <c r="E22" s="28"/>
      <c r="F22" s="28"/>
      <c r="L22" s="4" t="s">
        <v>322</v>
      </c>
    </row>
    <row r="23" customFormat="false" ht="15" hidden="false" customHeight="true" outlineLevel="0" collapsed="false">
      <c r="A23" s="12" t="str">
        <f aca="false">datos_base!A15</f>
        <v>ABC 25 kg s/ruedas</v>
      </c>
      <c r="B23" s="12" t="str">
        <f aca="false">parametros_recargas!B64</f>
        <v>ABC</v>
      </c>
      <c r="C23" s="14" t="n">
        <v>1</v>
      </c>
      <c r="D23" s="28" t="s">
        <v>17</v>
      </c>
      <c r="E23" s="28"/>
      <c r="F23" s="28"/>
      <c r="L23" s="4" t="s">
        <v>322</v>
      </c>
    </row>
    <row r="24" customFormat="false" ht="15" hidden="false" customHeight="true" outlineLevel="0" collapsed="false">
      <c r="A24" s="12" t="str">
        <f aca="false">datos_base!A16</f>
        <v>ABC 50 kg s/ruedas</v>
      </c>
      <c r="B24" s="12" t="str">
        <f aca="false">parametros_recargas!B65</f>
        <v>ABC</v>
      </c>
      <c r="C24" s="14" t="n">
        <v>1</v>
      </c>
      <c r="D24" s="28" t="s">
        <v>17</v>
      </c>
      <c r="E24" s="28"/>
      <c r="F24" s="28"/>
      <c r="L24" s="4" t="s">
        <v>322</v>
      </c>
    </row>
    <row r="25" customFormat="false" ht="15" hidden="false" customHeight="true" outlineLevel="0" collapsed="false">
      <c r="A25" s="12" t="str">
        <f aca="false">datos_base!A17</f>
        <v>ABC 70 kg s/ruedas</v>
      </c>
      <c r="B25" s="12" t="str">
        <f aca="false">parametros_recargas!B66</f>
        <v>ABC</v>
      </c>
      <c r="C25" s="14" t="n">
        <v>1</v>
      </c>
      <c r="D25" s="28" t="s">
        <v>19</v>
      </c>
      <c r="E25" s="28"/>
      <c r="F25" s="28"/>
      <c r="L25" s="4" t="s">
        <v>322</v>
      </c>
    </row>
    <row r="26" customFormat="false" ht="15" hidden="false" customHeight="true" outlineLevel="0" collapsed="false">
      <c r="A26" s="12" t="str">
        <f aca="false">datos_base!A18</f>
        <v>ABC 100 kg s/ruedas</v>
      </c>
      <c r="B26" s="12" t="str">
        <f aca="false">parametros_recargas!B67</f>
        <v>ABC</v>
      </c>
      <c r="C26" s="14" t="n">
        <v>1</v>
      </c>
      <c r="D26" s="28" t="s">
        <v>19</v>
      </c>
      <c r="E26" s="28"/>
      <c r="F26" s="28"/>
      <c r="L26" s="4" t="s">
        <v>322</v>
      </c>
    </row>
    <row r="28" customFormat="false" ht="15" hidden="false" customHeight="false" outlineLevel="0" collapsed="false">
      <c r="A28" s="1" t="s">
        <v>323</v>
      </c>
    </row>
    <row r="29" customFormat="false" ht="15" hidden="false" customHeight="false" outlineLevel="0" collapsed="false">
      <c r="A29" s="3" t="s">
        <v>138</v>
      </c>
      <c r="B29" s="3" t="n">
        <v>2026</v>
      </c>
      <c r="C29" s="3" t="n">
        <v>2027</v>
      </c>
      <c r="D29" s="3" t="n">
        <v>2028</v>
      </c>
      <c r="E29" s="3" t="n">
        <v>2029</v>
      </c>
      <c r="F29" s="3" t="n">
        <v>2030</v>
      </c>
      <c r="G29" s="3" t="n">
        <v>2031</v>
      </c>
      <c r="H29" s="3" t="n">
        <v>2032</v>
      </c>
      <c r="I29" s="3" t="n">
        <v>2033</v>
      </c>
      <c r="J29" s="3" t="n">
        <v>2034</v>
      </c>
      <c r="K29" s="3" t="n">
        <v>2035</v>
      </c>
    </row>
    <row r="30" customFormat="false" ht="15" hidden="false" customHeight="false" outlineLevel="0" collapsed="false">
      <c r="A30" s="12" t="str">
        <f aca="false">datos_base!A2</f>
        <v>ABC 1 kg</v>
      </c>
      <c r="B30" s="25" t="n">
        <f aca="false">datos_base!B2*MAX(parametros_recargas!$F$37:$Q$37)/$B$6</f>
        <v>7.58477255796984</v>
      </c>
      <c r="C30" s="25" t="n">
        <f aca="false">datos_base!C2*MAX(parametros_recargas!$F$38:$Q$38)/$B$6</f>
        <v>27.4824281327152</v>
      </c>
      <c r="D30" s="25" t="n">
        <f aca="false">datos_base!D2*MAX(parametros_recargas!$F$39:$Q$39)/$B$6</f>
        <v>47.9341630317045</v>
      </c>
      <c r="E30" s="25" t="n">
        <f aca="false">datos_base!E2*MAX(parametros_recargas!$F$40:$Q$40)/$B$6</f>
        <v>79.8659465324468</v>
      </c>
      <c r="F30" s="25" t="n">
        <f aca="false">datos_base!F2*MAX(parametros_recargas!$F$41:$Q$41)/$B$6</f>
        <v>116.110899256724</v>
      </c>
      <c r="G30" s="25" t="n">
        <f aca="false">datos_base!G2*MAX(parametros_recargas!$F$42:$Q$42)/$B$6</f>
        <v>155.426646017561</v>
      </c>
      <c r="H30" s="25" t="n">
        <f aca="false">datos_base!H2*MAX(parametros_recargas!$F$43:$Q$43)/$B$6</f>
        <v>187.884133780026</v>
      </c>
      <c r="I30" s="25" t="n">
        <f aca="false">datos_base!I2*MAX(parametros_recargas!$F$44:$Q$44)/$B$6</f>
        <v>212.800140680692</v>
      </c>
      <c r="J30" s="25" t="n">
        <f aca="false">datos_base!J2*MAX(parametros_recargas!$F$45:$Q$45)/$B$6</f>
        <v>227.685083312503</v>
      </c>
      <c r="K30" s="25" t="n">
        <f aca="false">datos_base!K2*MAX(parametros_recargas!$F$46:$Q$46)/$B$6</f>
        <v>243.293064842708</v>
      </c>
    </row>
    <row r="31" customFormat="false" ht="15" hidden="false" customHeight="false" outlineLevel="0" collapsed="false">
      <c r="A31" s="12" t="str">
        <f aca="false">datos_base!A3</f>
        <v>ABC 2,5 kg</v>
      </c>
      <c r="B31" s="25" t="n">
        <f aca="false">datos_base!B3*MAX(parametros_recargas!$F$37:$Q$37)/$B$6</f>
        <v>0.719759177018816</v>
      </c>
      <c r="C31" s="25" t="n">
        <f aca="false">datos_base!C3*MAX(parametros_recargas!$F$38:$Q$38)/$B$6</f>
        <v>2.08485812700743</v>
      </c>
      <c r="D31" s="25" t="n">
        <f aca="false">datos_base!D3*MAX(parametros_recargas!$F$39:$Q$39)/$B$6</f>
        <v>4.6248175117642</v>
      </c>
      <c r="E31" s="25" t="n">
        <f aca="false">datos_base!E3*MAX(parametros_recargas!$F$40:$Q$40)/$B$6</f>
        <v>7.73183122575785</v>
      </c>
      <c r="F31" s="25" t="n">
        <f aca="false">datos_base!F3*MAX(parametros_recargas!$F$41:$Q$41)/$B$6</f>
        <v>10.8172517346907</v>
      </c>
      <c r="G31" s="25" t="n">
        <f aca="false">datos_base!G3*MAX(parametros_recargas!$F$42:$Q$42)/$B$6</f>
        <v>13.7994092473345</v>
      </c>
      <c r="H31" s="25" t="n">
        <f aca="false">datos_base!H3*MAX(parametros_recargas!$F$43:$Q$43)/$B$6</f>
        <v>16.3048966593964</v>
      </c>
      <c r="I31" s="25" t="n">
        <f aca="false">datos_base!I3*MAX(parametros_recargas!$F$44:$Q$44)/$B$6</f>
        <v>17.7077346837088</v>
      </c>
      <c r="J31" s="25" t="n">
        <f aca="false">datos_base!J3*MAX(parametros_recargas!$F$45:$Q$45)/$B$6</f>
        <v>19.1290948115134</v>
      </c>
      <c r="K31" s="25" t="n">
        <f aca="false">datos_base!K3*MAX(parametros_recargas!$F$46:$Q$46)/$B$6</f>
        <v>20.60149018055</v>
      </c>
    </row>
    <row r="32" customFormat="false" ht="15" hidden="false" customHeight="false" outlineLevel="0" collapsed="false">
      <c r="A32" s="12" t="str">
        <f aca="false">datos_base!A4</f>
        <v>ABC 5 kg</v>
      </c>
      <c r="B32" s="25" t="n">
        <f aca="false">datos_base!B4*MAX(parametros_recargas!$F$37:$Q$37)/$B$6</f>
        <v>4.25402492281855</v>
      </c>
      <c r="C32" s="25" t="n">
        <f aca="false">datos_base!C4*MAX(parametros_recargas!$F$38:$Q$38)/$B$6</f>
        <v>12.7166515468307</v>
      </c>
      <c r="D32" s="25" t="n">
        <f aca="false">datos_base!D4*MAX(parametros_recargas!$F$39:$Q$39)/$B$6</f>
        <v>27.8945960551403</v>
      </c>
      <c r="E32" s="25" t="n">
        <f aca="false">datos_base!E4*MAX(parametros_recargas!$F$40:$Q$40)/$B$6</f>
        <v>47.8861980722383</v>
      </c>
      <c r="F32" s="25" t="n">
        <f aca="false">datos_base!F4*MAX(parametros_recargas!$F$41:$Q$41)/$B$6</f>
        <v>66.6978951060569</v>
      </c>
      <c r="G32" s="25" t="n">
        <f aca="false">datos_base!G4*MAX(parametros_recargas!$F$42:$Q$42)/$B$6</f>
        <v>85.1520327509671</v>
      </c>
      <c r="H32" s="25" t="n">
        <f aca="false">datos_base!H4*MAX(parametros_recargas!$F$43:$Q$43)/$B$6</f>
        <v>100.199052032167</v>
      </c>
      <c r="I32" s="25" t="n">
        <f aca="false">datos_base!I4*MAX(parametros_recargas!$F$44:$Q$44)/$B$6</f>
        <v>108.305827200063</v>
      </c>
      <c r="J32" s="25" t="n">
        <f aca="false">datos_base!J4*MAX(parametros_recargas!$F$45:$Q$45)/$B$6</f>
        <v>116.641817085995</v>
      </c>
      <c r="K32" s="25" t="n">
        <f aca="false">datos_base!K4*MAX(parametros_recargas!$F$46:$Q$46)/$B$6</f>
        <v>125.307815838453</v>
      </c>
    </row>
    <row r="33" customFormat="false" ht="15" hidden="false" customHeight="false" outlineLevel="0" collapsed="false">
      <c r="A33" s="12" t="str">
        <f aca="false">datos_base!A5</f>
        <v>ABC 10 kg</v>
      </c>
      <c r="B33" s="25" t="n">
        <f aca="false">datos_base!B5*MAX(parametros_recargas!$F$37:$Q$37)/$B$6</f>
        <v>0.258120531004082</v>
      </c>
      <c r="C33" s="25" t="n">
        <f aca="false">datos_base!C5*MAX(parametros_recargas!$F$38:$Q$38)/$B$6</f>
        <v>0.708844977572797</v>
      </c>
      <c r="D33" s="25" t="n">
        <f aca="false">datos_base!D5*MAX(parametros_recargas!$F$39:$Q$39)/$B$6</f>
        <v>1.60843207629316</v>
      </c>
      <c r="E33" s="25" t="n">
        <f aca="false">datos_base!E5*MAX(parametros_recargas!$F$40:$Q$40)/$B$6</f>
        <v>2.79348273407497</v>
      </c>
      <c r="F33" s="25" t="n">
        <f aca="false">datos_base!F5*MAX(parametros_recargas!$F$41:$Q$41)/$B$6</f>
        <v>3.91992326499788</v>
      </c>
      <c r="G33" s="25" t="n">
        <f aca="false">datos_base!G5*MAX(parametros_recargas!$F$42:$Q$42)/$B$6</f>
        <v>5.044265524707</v>
      </c>
      <c r="H33" s="25" t="n">
        <f aca="false">datos_base!H5*MAX(parametros_recargas!$F$43:$Q$43)/$B$6</f>
        <v>5.93609742854365</v>
      </c>
      <c r="I33" s="25" t="n">
        <f aca="false">datos_base!I5*MAX(parametros_recargas!$F$44:$Q$44)/$B$6</f>
        <v>6.41179387463907</v>
      </c>
      <c r="J33" s="25" t="n">
        <f aca="false">datos_base!J5*MAX(parametros_recargas!$F$45:$Q$45)/$B$6</f>
        <v>6.9059482047651</v>
      </c>
      <c r="K33" s="25" t="n">
        <f aca="false">datos_base!K5*MAX(parametros_recargas!$F$46:$Q$46)/$B$6</f>
        <v>7.4196065089441</v>
      </c>
    </row>
    <row r="34" customFormat="false" ht="15" hidden="false" customHeight="false" outlineLevel="0" collapsed="false">
      <c r="A34" s="12" t="str">
        <f aca="false">datos_base!A6</f>
        <v>Agua 10 l</v>
      </c>
      <c r="B34" s="25" t="n">
        <f aca="false">datos_base!B6*MAX(parametros_recargas!$F$37:$Q$37)/$B$6</f>
        <v>0.347469946924639</v>
      </c>
      <c r="C34" s="25" t="n">
        <f aca="false">datos_base!C6*MAX(parametros_recargas!$F$38:$Q$38)/$B$6</f>
        <v>1.04197000781359</v>
      </c>
      <c r="D34" s="25" t="n">
        <f aca="false">datos_base!D6*MAX(parametros_recargas!$F$39:$Q$39)/$B$6</f>
        <v>2.31362983375756</v>
      </c>
      <c r="E34" s="25" t="n">
        <f aca="false">datos_base!E6*MAX(parametros_recargas!$F$40:$Q$40)/$B$6</f>
        <v>3.94204998945695</v>
      </c>
      <c r="F34" s="25" t="n">
        <f aca="false">datos_base!F6*MAX(parametros_recargas!$F$41:$Q$41)/$B$6</f>
        <v>5.49960095570768</v>
      </c>
      <c r="G34" s="25" t="n">
        <f aca="false">datos_base!G6*MAX(parametros_recargas!$F$42:$Q$42)/$B$6</f>
        <v>7.06357211093044</v>
      </c>
      <c r="H34" s="25" t="n">
        <f aca="false">datos_base!H6*MAX(parametros_recargas!$F$43:$Q$43)/$B$6</f>
        <v>8.32302239817195</v>
      </c>
      <c r="I34" s="25" t="n">
        <f aca="false">datos_base!I6*MAX(parametros_recargas!$F$44:$Q$44)/$B$6</f>
        <v>9.0255501349101</v>
      </c>
      <c r="J34" s="25" t="n">
        <f aca="false">datos_base!J6*MAX(parametros_recargas!$F$45:$Q$45)/$B$6</f>
        <v>9.73684640581181</v>
      </c>
      <c r="K34" s="25" t="n">
        <f aca="false">datos_base!K6*MAX(parametros_recargas!$F$46:$Q$46)/$B$6</f>
        <v>10.4748128877286</v>
      </c>
    </row>
    <row r="35" customFormat="false" ht="15" hidden="false" customHeight="false" outlineLevel="0" collapsed="false">
      <c r="A35" s="12" t="str">
        <f aca="false">datos_base!A7</f>
        <v>AFFF 10 l</v>
      </c>
      <c r="B35" s="25" t="n">
        <f aca="false">datos_base!B7*MAX(parametros_recargas!$F$37:$Q$37)/$B$6</f>
        <v>0.0496385641579643</v>
      </c>
      <c r="C35" s="25" t="n">
        <f aca="false">datos_base!C7*MAX(parametros_recargas!$F$38:$Q$38)/$B$6</f>
        <v>0.261237215236874</v>
      </c>
      <c r="D35" s="25" t="n">
        <f aca="false">datos_base!D7*MAX(parametros_recargas!$F$39:$Q$39)/$B$6</f>
        <v>0.49683298347697</v>
      </c>
      <c r="E35" s="25" t="n">
        <f aca="false">datos_base!E7*MAX(parametros_recargas!$F$40:$Q$40)/$B$6</f>
        <v>0.751510076322005</v>
      </c>
      <c r="F35" s="25" t="n">
        <f aca="false">datos_base!F7*MAX(parametros_recargas!$F$41:$Q$41)/$B$6</f>
        <v>1.02482225743698</v>
      </c>
      <c r="G35" s="25" t="n">
        <f aca="false">datos_base!G7*MAX(parametros_recargas!$F$42:$Q$42)/$B$6</f>
        <v>1.27467083942074</v>
      </c>
      <c r="H35" s="25" t="n">
        <f aca="false">datos_base!H7*MAX(parametros_recargas!$F$43:$Q$43)/$B$6</f>
        <v>1.52096548169993</v>
      </c>
      <c r="I35" s="25" t="n">
        <f aca="false">datos_base!I7*MAX(parametros_recargas!$F$44:$Q$44)/$B$6</f>
        <v>1.67804556146768</v>
      </c>
      <c r="J35" s="25" t="n">
        <f aca="false">datos_base!J7*MAX(parametros_recargas!$F$45:$Q$45)/$B$6</f>
        <v>1.83142685339319</v>
      </c>
      <c r="K35" s="25" t="n">
        <f aca="false">datos_base!K7*MAX(parametros_recargas!$F$46:$Q$46)/$B$6</f>
        <v>1.98871061695189</v>
      </c>
    </row>
    <row r="36" customFormat="false" ht="15" hidden="false" customHeight="false" outlineLevel="0" collapsed="false">
      <c r="A36" s="12" t="str">
        <f aca="false">datos_base!A8</f>
        <v>AFFF 50 l s/ruedas</v>
      </c>
      <c r="B36" s="25" t="n">
        <f aca="false">datos_base!B8*MAX(parametros_recargas!$F$37:$Q$37)/$B$6</f>
        <v>0.0248192809884269</v>
      </c>
      <c r="C36" s="25" t="n">
        <f aca="false">datos_base!C8*MAX(parametros_recargas!$F$38:$Q$38)/$B$6</f>
        <v>0.134773451893177</v>
      </c>
      <c r="D36" s="25" t="n">
        <f aca="false">datos_base!D8*MAX(parametros_recargas!$F$39:$Q$39)/$B$6</f>
        <v>0.258083321244585</v>
      </c>
      <c r="E36" s="25" t="n">
        <f aca="false">datos_base!E8*MAX(parametros_recargas!$F$40:$Q$40)/$B$6</f>
        <v>0.400896591154969</v>
      </c>
      <c r="F36" s="25" t="n">
        <f aca="false">datos_base!F8*MAX(parametros_recargas!$F$41:$Q$41)/$B$6</f>
        <v>0.549623884529543</v>
      </c>
      <c r="G36" s="25" t="n">
        <f aca="false">datos_base!G8*MAX(parametros_recargas!$F$42:$Q$42)/$B$6</f>
        <v>0.68114072746695</v>
      </c>
      <c r="H36" s="25" t="n">
        <f aca="false">datos_base!H8*MAX(parametros_recargas!$F$43:$Q$43)/$B$6</f>
        <v>0.800697233078099</v>
      </c>
      <c r="I36" s="25" t="n">
        <f aca="false">datos_base!I8*MAX(parametros_recargas!$F$44:$Q$44)/$B$6</f>
        <v>0.882934266888909</v>
      </c>
      <c r="J36" s="25" t="n">
        <f aca="false">datos_base!J8*MAX(parametros_recargas!$F$45:$Q$45)/$B$6</f>
        <v>0.958645548602125</v>
      </c>
      <c r="K36" s="25" t="n">
        <f aca="false">datos_base!K8*MAX(parametros_recargas!$F$46:$Q$46)/$B$6</f>
        <v>1.03665967644144</v>
      </c>
    </row>
    <row r="37" customFormat="false" ht="15" hidden="false" customHeight="false" outlineLevel="0" collapsed="false">
      <c r="A37" s="12" t="str">
        <f aca="false">datos_base!A9</f>
        <v>BC 5 kg</v>
      </c>
      <c r="B37" s="25" t="n">
        <f aca="false">datos_base!B9*MAX(parametros_recargas!$F$37:$Q$37)/$B$6</f>
        <v>0.0148915685930562</v>
      </c>
      <c r="C37" s="25" t="n">
        <f aca="false">datos_base!C9*MAX(parametros_recargas!$F$38:$Q$38)/$B$6</f>
        <v>0.0762309236090248</v>
      </c>
      <c r="D37" s="25" t="n">
        <f aca="false">datos_base!D9*MAX(parametros_recargas!$F$39:$Q$39)/$B$6</f>
        <v>0.139489286176042</v>
      </c>
      <c r="E37" s="25" t="n">
        <f aca="false">datos_base!E9*MAX(parametros_recargas!$F$40:$Q$40)/$B$6</f>
        <v>0.227282806155588</v>
      </c>
      <c r="F37" s="25" t="n">
        <f aca="false">datos_base!F9*MAX(parametros_recargas!$F$41:$Q$41)/$B$6</f>
        <v>0.302844027356268</v>
      </c>
      <c r="G37" s="25" t="n">
        <f aca="false">datos_base!G9*MAX(parametros_recargas!$F$42:$Q$42)/$B$6</f>
        <v>0.386382705407886</v>
      </c>
      <c r="H37" s="25" t="n">
        <f aca="false">datos_base!H9*MAX(parametros_recargas!$F$43:$Q$43)/$B$6</f>
        <v>0.469478143703478</v>
      </c>
      <c r="I37" s="25" t="n">
        <f aca="false">datos_base!I9*MAX(parametros_recargas!$F$44:$Q$44)/$B$6</f>
        <v>0.507043591532465</v>
      </c>
      <c r="J37" s="25" t="n">
        <f aca="false">datos_base!J9*MAX(parametros_recargas!$F$45:$Q$45)/$B$6</f>
        <v>0.552548240603982</v>
      </c>
      <c r="K37" s="25" t="n">
        <f aca="false">datos_base!K9*MAX(parametros_recargas!$F$46:$Q$46)/$B$6</f>
        <v>0.599274121758205</v>
      </c>
    </row>
    <row r="38" customFormat="false" ht="15" hidden="false" customHeight="false" outlineLevel="0" collapsed="false">
      <c r="A38" s="12" t="str">
        <f aca="false">datos_base!A10</f>
        <v>Sales K 6 l</v>
      </c>
      <c r="B38" s="25" t="n">
        <f aca="false">datos_base!B10*MAX(parametros_recargas!$F$37:$Q$37)/$B$6</f>
        <v>0.178698829660005</v>
      </c>
      <c r="C38" s="25" t="n">
        <f aca="false">datos_base!C10*MAX(parametros_recargas!$F$38:$Q$38)/$B$6</f>
        <v>0.543150078840324</v>
      </c>
      <c r="D38" s="25" t="n">
        <f aca="false">datos_base!D10*MAX(parametros_recargas!$F$39:$Q$39)/$B$6</f>
        <v>1.17159242633182</v>
      </c>
      <c r="E38" s="25" t="n">
        <f aca="false">datos_base!E10*MAX(parametros_recargas!$F$40:$Q$40)/$B$6</f>
        <v>1.93636203611222</v>
      </c>
      <c r="F38" s="25" t="n">
        <f aca="false">datos_base!F10*MAX(parametros_recargas!$F$41:$Q$41)/$B$6</f>
        <v>2.70211744256456</v>
      </c>
      <c r="G38" s="25" t="n">
        <f aca="false">datos_base!G10*MAX(parametros_recargas!$F$42:$Q$42)/$B$6</f>
        <v>3.43999714449094</v>
      </c>
      <c r="H38" s="25" t="n">
        <f aca="false">datos_base!H10*MAX(parametros_recargas!$F$43:$Q$43)/$B$6</f>
        <v>4.06959211577745</v>
      </c>
      <c r="I38" s="25" t="n">
        <f aca="false">datos_base!I10*MAX(parametros_recargas!$F$44:$Q$44)/$B$6</f>
        <v>4.44279069509698</v>
      </c>
      <c r="J38" s="25" t="n">
        <f aca="false">datos_base!J10*MAX(parametros_recargas!$F$45:$Q$45)/$B$6</f>
        <v>4.79780534934304</v>
      </c>
      <c r="K38" s="25" t="n">
        <f aca="false">datos_base!K10*MAX(parametros_recargas!$F$46:$Q$46)/$B$6</f>
        <v>5.16570437125712</v>
      </c>
    </row>
    <row r="39" customFormat="false" ht="15" hidden="false" customHeight="false" outlineLevel="0" collapsed="false">
      <c r="A39" s="12" t="str">
        <f aca="false">datos_base!A11</f>
        <v>CO₂ 2 kg</v>
      </c>
      <c r="B39" s="25" t="n">
        <f aca="false">datos_base!B11*MAX(parametros_recargas!$F$37:$Q$37)/$B$6</f>
        <v>0.982843564220583</v>
      </c>
      <c r="C39" s="25" t="n">
        <f aca="false">datos_base!C11*MAX(parametros_recargas!$F$38:$Q$38)/$B$6</f>
        <v>2.74844188153188</v>
      </c>
      <c r="D39" s="25" t="n">
        <f aca="false">datos_base!D11*MAX(parametros_recargas!$F$39:$Q$39)/$B$6</f>
        <v>6.20665538715818</v>
      </c>
      <c r="E39" s="25" t="n">
        <f aca="false">datos_base!E11*MAX(parametros_recargas!$F$40:$Q$40)/$B$6</f>
        <v>10.7744051838998</v>
      </c>
      <c r="F39" s="25" t="n">
        <f aca="false">datos_base!F11*MAX(parametros_recargas!$F$41:$Q$41)/$B$6</f>
        <v>15.0462137356407</v>
      </c>
      <c r="G39" s="25" t="n">
        <f aca="false">datos_base!G11*MAX(parametros_recargas!$F$42:$Q$42)/$B$6</f>
        <v>19.2150733018272</v>
      </c>
      <c r="H39" s="25" t="n">
        <f aca="false">datos_base!H11*MAX(parametros_recargas!$F$43:$Q$43)/$B$6</f>
        <v>22.5883834821169</v>
      </c>
      <c r="I39" s="25" t="n">
        <f aca="false">datos_base!I11*MAX(parametros_recargas!$F$44:$Q$44)/$B$6</f>
        <v>24.3549467738252</v>
      </c>
      <c r="J39" s="25" t="n">
        <f aca="false">datos_base!J11*MAX(parametros_recargas!$F$45:$Q$45)/$B$6</f>
        <v>26.2301310513372</v>
      </c>
      <c r="K39" s="25" t="n">
        <f aca="false">datos_base!K11*MAX(parametros_recargas!$F$46:$Q$46)/$B$6</f>
        <v>28.1794924400723</v>
      </c>
    </row>
    <row r="40" customFormat="false" ht="15" hidden="false" customHeight="false" outlineLevel="0" collapsed="false">
      <c r="A40" s="12" t="str">
        <f aca="false">datos_base!A12</f>
        <v>CO₂ 5 kg</v>
      </c>
      <c r="B40" s="25" t="n">
        <f aca="false">datos_base!B12*MAX(parametros_recargas!$F$37:$Q$37)/$B$6</f>
        <v>0.273012101778248</v>
      </c>
      <c r="C40" s="25" t="n">
        <f aca="false">datos_base!C12*MAX(parametros_recargas!$F$38:$Q$38)/$B$6</f>
        <v>1.04230494988624</v>
      </c>
      <c r="D40" s="25" t="n">
        <f aca="false">datos_base!D12*MAX(parametros_recargas!$F$39:$Q$39)/$B$6</f>
        <v>2.1586892619341</v>
      </c>
      <c r="E40" s="25" t="n">
        <f aca="false">datos_base!E12*MAX(parametros_recargas!$F$40:$Q$40)/$B$6</f>
        <v>3.5057779234911</v>
      </c>
      <c r="F40" s="25" t="n">
        <f aca="false">datos_base!F12*MAX(parametros_recargas!$F$41:$Q$41)/$B$6</f>
        <v>4.88479830391006</v>
      </c>
      <c r="G40" s="25" t="n">
        <f aca="false">datos_base!G12*MAX(parametros_recargas!$F$42:$Q$42)/$B$6</f>
        <v>6.25300600330477</v>
      </c>
      <c r="H40" s="25" t="n">
        <f aca="false">datos_base!H12*MAX(parametros_recargas!$F$43:$Q$43)/$B$6</f>
        <v>7.4510613624032</v>
      </c>
      <c r="I40" s="25" t="n">
        <f aca="false">datos_base!I12*MAX(parametros_recargas!$F$44:$Q$44)/$B$6</f>
        <v>8.20446570072539</v>
      </c>
      <c r="J40" s="25" t="n">
        <f aca="false">datos_base!J12*MAX(parametros_recargas!$F$45:$Q$45)/$B$6</f>
        <v>8.90671007584733</v>
      </c>
      <c r="K40" s="25" t="n">
        <f aca="false">datos_base!K12*MAX(parametros_recargas!$F$46:$Q$46)/$B$6</f>
        <v>9.6304173588529</v>
      </c>
    </row>
    <row r="41" customFormat="false" ht="15" hidden="false" customHeight="false" outlineLevel="0" collapsed="false">
      <c r="A41" s="12" t="str">
        <f aca="false">datos_base!A13</f>
        <v>HCFC/HFC 5 kg</v>
      </c>
      <c r="B41" s="25" t="n">
        <f aca="false">datos_base!B13*MAX(parametros_recargas!$F$37:$Q$37)/$B$6</f>
        <v>0.0397108517625935</v>
      </c>
      <c r="C41" s="25" t="n">
        <f aca="false">datos_base!C13*MAX(parametros_recargas!$F$38:$Q$38)/$B$6</f>
        <v>0.181496181167163</v>
      </c>
      <c r="D41" s="25" t="n">
        <f aca="false">datos_base!D13*MAX(parametros_recargas!$F$39:$Q$39)/$B$6</f>
        <v>0.36226552777563</v>
      </c>
      <c r="E41" s="25" t="n">
        <f aca="false">datos_base!E13*MAX(parametros_recargas!$F$40:$Q$40)/$B$6</f>
        <v>0.570998640899556</v>
      </c>
      <c r="F41" s="25" t="n">
        <f aca="false">datos_base!F13*MAX(parametros_recargas!$F$41:$Q$41)/$B$6</f>
        <v>0.791579886208886</v>
      </c>
      <c r="G41" s="25" t="n">
        <f aca="false">datos_base!G13*MAX(parametros_recargas!$F$42:$Q$42)/$B$6</f>
        <v>0.998616676684788</v>
      </c>
      <c r="H41" s="25" t="n">
        <f aca="false">datos_base!H13*MAX(parametros_recargas!$F$43:$Q$43)/$B$6</f>
        <v>1.20263763606789</v>
      </c>
      <c r="I41" s="25" t="n">
        <f aca="false">datos_base!I13*MAX(parametros_recargas!$F$44:$Q$44)/$B$6</f>
        <v>1.33118952108151</v>
      </c>
      <c r="J41" s="25" t="n">
        <f aca="false">datos_base!J13*MAX(parametros_recargas!$F$45:$Q$45)/$B$6</f>
        <v>1.45232088369041</v>
      </c>
      <c r="K41" s="25" t="n">
        <f aca="false">datos_base!K13*MAX(parametros_recargas!$F$46:$Q$46)/$B$6</f>
        <v>1.57657533209632</v>
      </c>
    </row>
    <row r="42" customFormat="false" ht="15" hidden="false" customHeight="false" outlineLevel="0" collapsed="false">
      <c r="A42" s="12" t="str">
        <f aca="false">datos_base!A14</f>
        <v>Clase D 9 l</v>
      </c>
      <c r="B42" s="25" t="n">
        <f aca="false">datos_base!B14*MAX(parametros_recargas!$F$37:$Q$37)/$B$6</f>
        <v>0.0148915685930562</v>
      </c>
      <c r="C42" s="25" t="n">
        <f aca="false">datos_base!C14*MAX(parametros_recargas!$F$38:$Q$38)/$B$6</f>
        <v>0.0762309236090248</v>
      </c>
      <c r="D42" s="25" t="n">
        <f aca="false">datos_base!D14*MAX(parametros_recargas!$F$39:$Q$39)/$B$6</f>
        <v>0.139489286176042</v>
      </c>
      <c r="E42" s="25" t="n">
        <f aca="false">datos_base!E14*MAX(parametros_recargas!$F$40:$Q$40)/$B$6</f>
        <v>0.211290170881501</v>
      </c>
      <c r="F42" s="25" t="n">
        <f aca="false">datos_base!F14*MAX(parametros_recargas!$F$41:$Q$41)/$B$6</f>
        <v>0.282768691375982</v>
      </c>
      <c r="G42" s="25" t="n">
        <f aca="false">datos_base!G14*MAX(parametros_recargas!$F$42:$Q$42)/$B$6</f>
        <v>0.338586625711359</v>
      </c>
      <c r="H42" s="25" t="n">
        <f aca="false">datos_base!H14*MAX(parametros_recargas!$F$43:$Q$43)/$B$6</f>
        <v>0.418022134951931</v>
      </c>
      <c r="I42" s="25" t="n">
        <f aca="false">datos_base!I14*MAX(parametros_recargas!$F$44:$Q$44)/$B$6</f>
        <v>0.455519852626955</v>
      </c>
      <c r="J42" s="25" t="n">
        <f aca="false">datos_base!J14*MAX(parametros_recargas!$F$45:$Q$45)/$B$6</f>
        <v>0.497885846371683</v>
      </c>
      <c r="K42" s="25" t="n">
        <f aca="false">datos_base!K14*MAX(parametros_recargas!$F$46:$Q$46)/$B$6</f>
        <v>0.541274756272126</v>
      </c>
    </row>
    <row r="43" customFormat="false" ht="15" hidden="false" customHeight="false" outlineLevel="0" collapsed="false">
      <c r="A43" s="12" t="str">
        <f aca="false">datos_base!A15</f>
        <v>ABC 25 kg s/ruedas</v>
      </c>
      <c r="B43" s="25" t="n">
        <f aca="false">datos_base!B15*MAX(parametros_recargas!$F$37:$Q$37)/$B$6</f>
        <v>0.0384698871678946</v>
      </c>
      <c r="C43" s="25" t="n">
        <f aca="false">datos_base!C15*MAX(parametros_recargas!$F$38:$Q$38)/$B$6</f>
        <v>0.139250000329183</v>
      </c>
      <c r="D43" s="25" t="n">
        <f aca="false">datos_base!D15*MAX(parametros_recargas!$F$39:$Q$39)/$B$6</f>
        <v>0.293243306555152</v>
      </c>
      <c r="E43" s="25" t="n">
        <f aca="false">datos_base!E15*MAX(parametros_recargas!$F$40:$Q$40)/$B$6</f>
        <v>0.479614264374648</v>
      </c>
      <c r="F43" s="25" t="n">
        <f aca="false">datos_base!F15*MAX(parametros_recargas!$F$41:$Q$41)/$B$6</f>
        <v>0.66705732136706</v>
      </c>
      <c r="G43" s="25" t="n">
        <f aca="false">datos_base!G15*MAX(parametros_recargas!$F$42:$Q$42)/$B$6</f>
        <v>0.851507032930195</v>
      </c>
      <c r="H43" s="25" t="n">
        <f aca="false">datos_base!H15*MAX(parametros_recargas!$F$43:$Q$43)/$B$6</f>
        <v>1.00863566382114</v>
      </c>
      <c r="I43" s="25" t="n">
        <f aca="false">datos_base!I15*MAX(parametros_recargas!$F$44:$Q$44)/$B$6</f>
        <v>1.10454331754977</v>
      </c>
      <c r="J43" s="25" t="n">
        <f aca="false">datos_base!J15*MAX(parametros_recargas!$F$45:$Q$45)/$B$6</f>
        <v>1.19650641450381</v>
      </c>
      <c r="K43" s="25" t="n">
        <f aca="false">datos_base!K15*MAX(parametros_recargas!$F$46:$Q$46)/$B$6</f>
        <v>1.29148781574594</v>
      </c>
    </row>
    <row r="44" customFormat="false" ht="15" hidden="false" customHeight="false" outlineLevel="0" collapsed="false">
      <c r="A44" s="12" t="str">
        <f aca="false">datos_base!A16</f>
        <v>ABC 50 kg s/ruedas</v>
      </c>
      <c r="B44" s="25" t="n">
        <f aca="false">datos_base!B16*MAX(parametros_recargas!$F$37:$Q$37)/$B$6</f>
        <v>0.0846337504607017</v>
      </c>
      <c r="C44" s="25" t="n">
        <f aca="false">datos_base!C16*MAX(parametros_recargas!$F$38:$Q$38)/$B$6</f>
        <v>0.3063500026675</v>
      </c>
      <c r="D44" s="25" t="n">
        <f aca="false">datos_base!D16*MAX(parametros_recargas!$F$39:$Q$39)/$B$6</f>
        <v>0.645135275362878</v>
      </c>
      <c r="E44" s="25" t="n">
        <f aca="false">datos_base!E16*MAX(parametros_recargas!$F$40:$Q$40)/$B$6</f>
        <v>1.05515138133924</v>
      </c>
      <c r="F44" s="25" t="n">
        <f aca="false">datos_base!F16*MAX(parametros_recargas!$F$41:$Q$41)/$B$6</f>
        <v>1.46752610618083</v>
      </c>
      <c r="G44" s="25" t="n">
        <f aca="false">datos_base!G16*MAX(parametros_recargas!$F$42:$Q$42)/$B$6</f>
        <v>1.87331547377025</v>
      </c>
      <c r="H44" s="25" t="n">
        <f aca="false">datos_base!H16*MAX(parametros_recargas!$F$43:$Q$43)/$B$6</f>
        <v>2.21899846117022</v>
      </c>
      <c r="I44" s="25" t="n">
        <f aca="false">datos_base!I16*MAX(parametros_recargas!$F$44:$Q$44)/$B$6</f>
        <v>2.42999529811289</v>
      </c>
      <c r="J44" s="25" t="n">
        <f aca="false">datos_base!J16*MAX(parametros_recargas!$F$45:$Q$45)/$B$6</f>
        <v>2.63231411066887</v>
      </c>
      <c r="K44" s="25" t="n">
        <f aca="false">datos_base!K16*MAX(parametros_recargas!$F$46:$Q$46)/$B$6</f>
        <v>2.84127319290576</v>
      </c>
    </row>
    <row r="45" customFormat="false" ht="15" hidden="false" customHeight="false" outlineLevel="0" collapsed="false">
      <c r="A45" s="12" t="str">
        <f aca="false">datos_base!A17</f>
        <v>ABC 70 kg s/ruedas</v>
      </c>
      <c r="B45" s="25" t="n">
        <f aca="false">datos_base!B17*MAX(parametros_recargas!$F$37:$Q$37)/$B$6</f>
        <v>0.0184655448809008</v>
      </c>
      <c r="C45" s="25" t="n">
        <f aca="false">datos_base!C17*MAX(parametros_recargas!$F$38:$Q$38)/$B$6</f>
        <v>0.0668399999636778</v>
      </c>
      <c r="D45" s="25" t="n">
        <f aca="false">datos_base!D17*MAX(parametros_recargas!$F$39:$Q$39)/$B$6</f>
        <v>0.140756786895394</v>
      </c>
      <c r="E45" s="25" t="n">
        <f aca="false">datos_base!E17*MAX(parametros_recargas!$F$40:$Q$40)/$B$6</f>
        <v>0.230214846785835</v>
      </c>
      <c r="F45" s="25" t="n">
        <f aca="false">datos_base!F17*MAX(parametros_recargas!$F$41:$Q$41)/$B$6</f>
        <v>0.320187514201075</v>
      </c>
      <c r="G45" s="25" t="n">
        <f aca="false">datos_base!G17*MAX(parametros_recargas!$F$42:$Q$42)/$B$6</f>
        <v>0.408723376071257</v>
      </c>
      <c r="H45" s="25" t="n">
        <f aca="false">datos_base!H17*MAX(parametros_recargas!$F$43:$Q$43)/$B$6</f>
        <v>0.484145118430495</v>
      </c>
      <c r="I45" s="25" t="n">
        <f aca="false">datos_base!I17*MAX(parametros_recargas!$F$44:$Q$44)/$B$6</f>
        <v>0.530180791976947</v>
      </c>
      <c r="J45" s="25" t="n">
        <f aca="false">datos_base!J17*MAX(parametros_recargas!$F$45:$Q$45)/$B$6</f>
        <v>0.574323079209728</v>
      </c>
      <c r="K45" s="25" t="n">
        <f aca="false">datos_base!K17*MAX(parametros_recargas!$F$46:$Q$46)/$B$6</f>
        <v>0.61991415160763</v>
      </c>
    </row>
    <row r="46" customFormat="false" ht="15" hidden="false" customHeight="false" outlineLevel="0" collapsed="false">
      <c r="A46" s="12" t="str">
        <f aca="false">datos_base!A18</f>
        <v>ABC 100 kg s/ruedas</v>
      </c>
      <c r="B46" s="25" t="n">
        <f aca="false">datos_base!B18*MAX(parametros_recargas!$F$37:$Q$37)/$B$6</f>
        <v>0.0123103639809707</v>
      </c>
      <c r="C46" s="25" t="n">
        <f aca="false">datos_base!C18*MAX(parametros_recargas!$F$38:$Q$38)/$B$6</f>
        <v>0.0445599999757852</v>
      </c>
      <c r="D46" s="25" t="n">
        <f aca="false">datos_base!D18*MAX(parametros_recargas!$F$39:$Q$39)/$B$6</f>
        <v>0.0938378589764232</v>
      </c>
      <c r="E46" s="25" t="n">
        <f aca="false">datos_base!E18*MAX(parametros_recargas!$F$40:$Q$40)/$B$6</f>
        <v>0.153476564998873</v>
      </c>
      <c r="F46" s="25" t="n">
        <f aca="false">datos_base!F18*MAX(parametros_recargas!$F$41:$Q$41)/$B$6</f>
        <v>0.213458342341437</v>
      </c>
      <c r="G46" s="25" t="n">
        <f aca="false">datos_base!G18*MAX(parametros_recargas!$F$42:$Q$42)/$B$6</f>
        <v>0.272482250272899</v>
      </c>
      <c r="H46" s="25" t="n">
        <f aca="false">datos_base!H18*MAX(parametros_recargas!$F$43:$Q$43)/$B$6</f>
        <v>0.322763413135554</v>
      </c>
      <c r="I46" s="25" t="n">
        <f aca="false">datos_base!I18*MAX(parametros_recargas!$F$44:$Q$44)/$B$6</f>
        <v>0.353453861317964</v>
      </c>
      <c r="J46" s="25" t="n">
        <f aca="false">datos_base!J18*MAX(parametros_recargas!$F$45:$Q$45)/$B$6</f>
        <v>0.382882052393318</v>
      </c>
      <c r="K46" s="25" t="n">
        <f aca="false">datos_base!K18*MAX(parametros_recargas!$F$46:$Q$46)/$B$6</f>
        <v>0.413276100245418</v>
      </c>
    </row>
    <row r="48" customFormat="false" ht="15" hidden="false" customHeight="false" outlineLevel="0" collapsed="false">
      <c r="A48" s="1" t="s">
        <v>324</v>
      </c>
    </row>
    <row r="49" customFormat="false" ht="15" hidden="false" customHeight="false" outlineLevel="0" collapsed="false">
      <c r="A49" s="3" t="s">
        <v>270</v>
      </c>
      <c r="B49" s="3" t="n">
        <v>2026</v>
      </c>
      <c r="C49" s="3" t="n">
        <v>2027</v>
      </c>
      <c r="D49" s="3" t="n">
        <v>2028</v>
      </c>
      <c r="E49" s="3" t="n">
        <v>2029</v>
      </c>
      <c r="F49" s="3" t="n">
        <v>2030</v>
      </c>
      <c r="G49" s="3" t="n">
        <v>2031</v>
      </c>
      <c r="H49" s="3" t="n">
        <v>2032</v>
      </c>
      <c r="I49" s="3" t="n">
        <v>2033</v>
      </c>
      <c r="J49" s="3" t="n">
        <v>2034</v>
      </c>
      <c r="K49" s="3" t="n">
        <v>2035</v>
      </c>
    </row>
    <row r="50" customFormat="false" ht="15" hidden="false" customHeight="false" outlineLevel="0" collapsed="false">
      <c r="A50" s="4" t="s">
        <v>143</v>
      </c>
      <c r="B50" s="27" t="n">
        <f aca="false">SUMPRODUCT(MAX((parametros_recargas!$E$72:$E$99&gt;0)*'Resumen Capacidad'!B$2:B$29))</f>
        <v>0.0591471065131947</v>
      </c>
      <c r="C50" s="27" t="n">
        <f aca="false">SUMPRODUCT(MAX((parametros_recargas!$E$72:$E$99&gt;0)*'Resumen Capacidad'!C$2:C$29))</f>
        <v>0.199442568771048</v>
      </c>
      <c r="D50" s="27" t="n">
        <f aca="false">SUMPRODUCT(MAX((parametros_recargas!$E$72:$E$99&gt;0)*'Resumen Capacidad'!D$2:D$29))</f>
        <v>0.382044030802772</v>
      </c>
      <c r="E50" s="27" t="n">
        <f aca="false">SUMPRODUCT(MAX((parametros_recargas!$E$72:$E$99&gt;0)*'Resumen Capacidad'!E$2:E$29))</f>
        <v>0.642891419469855</v>
      </c>
      <c r="F50" s="27" t="n">
        <f aca="false">SUMPRODUCT(MAX((parametros_recargas!$E$72:$E$99&gt;0)*'Resumen Capacidad'!F$2:F$29))</f>
        <v>0.917457496000622</v>
      </c>
      <c r="G50" s="27" t="n">
        <f aca="false">SUMPRODUCT(MAX((parametros_recargas!$E$72:$E$99&gt;0)*'Resumen Capacidad'!G$2:G$29))</f>
        <v>1.20340181009254</v>
      </c>
      <c r="H50" s="27" t="n">
        <f aca="false">SUMPRODUCT(MAX((parametros_recargas!$E$72:$E$99&gt;0)*'Resumen Capacidad'!H$2:H$29))</f>
        <v>1.44780877695612</v>
      </c>
      <c r="I50" s="27" t="n">
        <f aca="false">SUMPRODUCT(MAX((parametros_recargas!$E$72:$E$99&gt;0)*'Resumen Capacidad'!I$2:I$29))</f>
        <v>1.62263368751171</v>
      </c>
      <c r="J50" s="27" t="n">
        <f aca="false">SUMPRODUCT(MAX((parametros_recargas!$E$72:$E$99&gt;0)*'Resumen Capacidad'!J$2:J$29))</f>
        <v>1.75114646432036</v>
      </c>
      <c r="K50" s="27" t="n">
        <f aca="false">SUMPRODUCT(MAX((parametros_recargas!$E$72:$E$99&gt;0)*'Resumen Capacidad'!K$2:K$29))</f>
        <v>1.88371280013422</v>
      </c>
    </row>
    <row r="51" customFormat="false" ht="15" hidden="false" customHeight="false" outlineLevel="0" collapsed="false">
      <c r="A51" s="4" t="s">
        <v>149</v>
      </c>
      <c r="B51" s="27" t="n">
        <f aca="false">SUMPRODUCT(MAX((parametros_recargas!$F$72:$F$99&gt;0)*'Resumen Capacidad'!B$2:B$29))</f>
        <v>0.0591471065131947</v>
      </c>
      <c r="C51" s="27" t="n">
        <f aca="false">SUMPRODUCT(MAX((parametros_recargas!$F$72:$F$99&gt;0)*'Resumen Capacidad'!C$2:C$29))</f>
        <v>0.199442568771048</v>
      </c>
      <c r="D51" s="27" t="n">
        <f aca="false">SUMPRODUCT(MAX((parametros_recargas!$F$72:$F$99&gt;0)*'Resumen Capacidad'!D$2:D$29))</f>
        <v>0.382044030802772</v>
      </c>
      <c r="E51" s="27" t="n">
        <f aca="false">SUMPRODUCT(MAX((parametros_recargas!$F$72:$F$99&gt;0)*'Resumen Capacidad'!E$2:E$29))</f>
        <v>0.642891419469855</v>
      </c>
      <c r="F51" s="27" t="n">
        <f aca="false">SUMPRODUCT(MAX((parametros_recargas!$F$72:$F$99&gt;0)*'Resumen Capacidad'!F$2:F$29))</f>
        <v>0.917457496000622</v>
      </c>
      <c r="G51" s="27" t="n">
        <f aca="false">SUMPRODUCT(MAX((parametros_recargas!$F$72:$F$99&gt;0)*'Resumen Capacidad'!G$2:G$29))</f>
        <v>1.20340181009254</v>
      </c>
      <c r="H51" s="27" t="n">
        <f aca="false">SUMPRODUCT(MAX((parametros_recargas!$F$72:$F$99&gt;0)*'Resumen Capacidad'!H$2:H$29))</f>
        <v>1.44780877695612</v>
      </c>
      <c r="I51" s="27" t="n">
        <f aca="false">SUMPRODUCT(MAX((parametros_recargas!$F$72:$F$99&gt;0)*'Resumen Capacidad'!I$2:I$29))</f>
        <v>1.62263368751171</v>
      </c>
      <c r="J51" s="27" t="n">
        <f aca="false">SUMPRODUCT(MAX((parametros_recargas!$F$72:$F$99&gt;0)*'Resumen Capacidad'!J$2:J$29))</f>
        <v>1.75114646432036</v>
      </c>
      <c r="K51" s="27" t="n">
        <f aca="false">SUMPRODUCT(MAX((parametros_recargas!$F$72:$F$99&gt;0)*'Resumen Capacidad'!K$2:K$29))</f>
        <v>1.88371280013422</v>
      </c>
    </row>
    <row r="52" customFormat="false" ht="15" hidden="false" customHeight="false" outlineLevel="0" collapsed="false">
      <c r="A52" s="4" t="s">
        <v>155</v>
      </c>
      <c r="B52" s="27" t="n">
        <f aca="false">SUMPRODUCT(MAX((parametros_recargas!$G$72:$G$99&gt;0)*'Resumen Capacidad'!B$2:B$29))</f>
        <v>0.0591471065131947</v>
      </c>
      <c r="C52" s="27" t="n">
        <f aca="false">SUMPRODUCT(MAX((parametros_recargas!$G$72:$G$99&gt;0)*'Resumen Capacidad'!C$2:C$29))</f>
        <v>0.199442568771048</v>
      </c>
      <c r="D52" s="27" t="n">
        <f aca="false">SUMPRODUCT(MAX((parametros_recargas!$G$72:$G$99&gt;0)*'Resumen Capacidad'!D$2:D$29))</f>
        <v>0.382044030802772</v>
      </c>
      <c r="E52" s="27" t="n">
        <f aca="false">SUMPRODUCT(MAX((parametros_recargas!$G$72:$G$99&gt;0)*'Resumen Capacidad'!E$2:E$29))</f>
        <v>0.642891419469855</v>
      </c>
      <c r="F52" s="27" t="n">
        <f aca="false">SUMPRODUCT(MAX((parametros_recargas!$G$72:$G$99&gt;0)*'Resumen Capacidad'!F$2:F$29))</f>
        <v>0.917457496000622</v>
      </c>
      <c r="G52" s="27" t="n">
        <f aca="false">SUMPRODUCT(MAX((parametros_recargas!$G$72:$G$99&gt;0)*'Resumen Capacidad'!G$2:G$29))</f>
        <v>1.20340181009254</v>
      </c>
      <c r="H52" s="27" t="n">
        <f aca="false">SUMPRODUCT(MAX((parametros_recargas!$G$72:$G$99&gt;0)*'Resumen Capacidad'!H$2:H$29))</f>
        <v>1.44780877695612</v>
      </c>
      <c r="I52" s="27" t="n">
        <f aca="false">SUMPRODUCT(MAX((parametros_recargas!$G$72:$G$99&gt;0)*'Resumen Capacidad'!I$2:I$29))</f>
        <v>1.62263368751171</v>
      </c>
      <c r="J52" s="27" t="n">
        <f aca="false">SUMPRODUCT(MAX((parametros_recargas!$G$72:$G$99&gt;0)*'Resumen Capacidad'!J$2:J$29))</f>
        <v>1.75114646432036</v>
      </c>
      <c r="K52" s="27" t="n">
        <f aca="false">SUMPRODUCT(MAX((parametros_recargas!$G$72:$G$99&gt;0)*'Resumen Capacidad'!K$2:K$29))</f>
        <v>1.88371280013422</v>
      </c>
    </row>
    <row r="53" customFormat="false" ht="15" hidden="false" customHeight="false" outlineLevel="0" collapsed="false">
      <c r="A53" s="4" t="s">
        <v>146</v>
      </c>
      <c r="B53" s="27" t="n">
        <f aca="false">SUMPRODUCT(MAX((parametros_recargas!$H$72:$H$99&gt;0)*'Resumen Capacidad'!B$2:B$29))</f>
        <v>0.0508464355564604</v>
      </c>
      <c r="C53" s="27" t="n">
        <f aca="false">SUMPRODUCT(MAX((parametros_recargas!$H$72:$H$99&gt;0)*'Resumen Capacidad'!C$2:C$29))</f>
        <v>0.170449995478805</v>
      </c>
      <c r="D53" s="27" t="n">
        <f aca="false">SUMPRODUCT(MAX((parametros_recargas!$H$72:$H$99&gt;0)*'Resumen Capacidad'!D$2:D$29))</f>
        <v>0.331646074382639</v>
      </c>
      <c r="E53" s="27" t="n">
        <f aca="false">SUMPRODUCT(MAX((parametros_recargas!$H$72:$H$99&gt;0)*'Resumen Capacidad'!E$2:E$29))</f>
        <v>0.558045098903436</v>
      </c>
      <c r="F53" s="27" t="n">
        <f aca="false">SUMPRODUCT(MAX((parametros_recargas!$H$72:$H$99&gt;0)*'Resumen Capacidad'!F$2:F$29))</f>
        <v>0.793780913895102</v>
      </c>
      <c r="G53" s="27" t="n">
        <f aca="false">SUMPRODUCT(MAX((parametros_recargas!$H$72:$H$99&gt;0)*'Resumen Capacidad'!G$2:G$29))</f>
        <v>1.03733199621072</v>
      </c>
      <c r="H53" s="27" t="n">
        <f aca="false">SUMPRODUCT(MAX((parametros_recargas!$H$72:$H$99&gt;0)*'Resumen Capacidad'!H$2:H$29))</f>
        <v>1.24543798552422</v>
      </c>
      <c r="I53" s="27" t="n">
        <f aca="false">SUMPRODUCT(MAX((parametros_recargas!$H$72:$H$99&gt;0)*'Resumen Capacidad'!I$2:I$29))</f>
        <v>1.39321956959303</v>
      </c>
      <c r="J53" s="27" t="n">
        <f aca="false">SUMPRODUCT(MAX((parametros_recargas!$H$72:$H$99&gt;0)*'Resumen Capacidad'!J$2:J$29))</f>
        <v>1.50586655023548</v>
      </c>
      <c r="K53" s="27" t="n">
        <f aca="false">SUMPRODUCT(MAX((parametros_recargas!$H$72:$H$99&gt;0)*'Resumen Capacidad'!K$2:K$29))</f>
        <v>1.6218841291105</v>
      </c>
    </row>
    <row r="54" customFormat="false" ht="15" hidden="false" customHeight="false" outlineLevel="0" collapsed="false">
      <c r="A54" s="4" t="s">
        <v>147</v>
      </c>
      <c r="B54" s="27" t="n">
        <f aca="false">SUMPRODUCT(MAX((parametros_recargas!$I$72:$I$99&gt;0)*'Resumen Capacidad'!B$2:B$29))</f>
        <v>0.0508464355564604</v>
      </c>
      <c r="C54" s="27" t="n">
        <f aca="false">SUMPRODUCT(MAX((parametros_recargas!$I$72:$I$99&gt;0)*'Resumen Capacidad'!C$2:C$29))</f>
        <v>0.170449995478805</v>
      </c>
      <c r="D54" s="27" t="n">
        <f aca="false">SUMPRODUCT(MAX((parametros_recargas!$I$72:$I$99&gt;0)*'Resumen Capacidad'!D$2:D$29))</f>
        <v>0.331646074382639</v>
      </c>
      <c r="E54" s="27" t="n">
        <f aca="false">SUMPRODUCT(MAX((parametros_recargas!$I$72:$I$99&gt;0)*'Resumen Capacidad'!E$2:E$29))</f>
        <v>0.558045098903436</v>
      </c>
      <c r="F54" s="27" t="n">
        <f aca="false">SUMPRODUCT(MAX((parametros_recargas!$I$72:$I$99&gt;0)*'Resumen Capacidad'!F$2:F$29))</f>
        <v>0.793780913895102</v>
      </c>
      <c r="G54" s="27" t="n">
        <f aca="false">SUMPRODUCT(MAX((parametros_recargas!$I$72:$I$99&gt;0)*'Resumen Capacidad'!G$2:G$29))</f>
        <v>1.03733199621072</v>
      </c>
      <c r="H54" s="27" t="n">
        <f aca="false">SUMPRODUCT(MAX((parametros_recargas!$I$72:$I$99&gt;0)*'Resumen Capacidad'!H$2:H$29))</f>
        <v>1.24543798552422</v>
      </c>
      <c r="I54" s="27" t="n">
        <f aca="false">SUMPRODUCT(MAX((parametros_recargas!$I$72:$I$99&gt;0)*'Resumen Capacidad'!I$2:I$29))</f>
        <v>1.39321956959303</v>
      </c>
      <c r="J54" s="27" t="n">
        <f aca="false">SUMPRODUCT(MAX((parametros_recargas!$I$72:$I$99&gt;0)*'Resumen Capacidad'!J$2:J$29))</f>
        <v>1.50586655023548</v>
      </c>
      <c r="K54" s="27" t="n">
        <f aca="false">SUMPRODUCT(MAX((parametros_recargas!$I$72:$I$99&gt;0)*'Resumen Capacidad'!K$2:K$29))</f>
        <v>1.6218841291105</v>
      </c>
    </row>
    <row r="55" customFormat="false" ht="15" hidden="false" customHeight="false" outlineLevel="0" collapsed="false">
      <c r="A55" s="4" t="s">
        <v>150</v>
      </c>
      <c r="B55" s="27" t="n">
        <f aca="false">SUMPRODUCT(MAX((parametros_recargas!$J$72:$J$99&gt;0)*'Resumen Capacidad'!B$2:B$29))</f>
        <v>0.0508464355564604</v>
      </c>
      <c r="C55" s="27" t="n">
        <f aca="false">SUMPRODUCT(MAX((parametros_recargas!$J$72:$J$99&gt;0)*'Resumen Capacidad'!C$2:C$29))</f>
        <v>0.170449995478805</v>
      </c>
      <c r="D55" s="27" t="n">
        <f aca="false">SUMPRODUCT(MAX((parametros_recargas!$J$72:$J$99&gt;0)*'Resumen Capacidad'!D$2:D$29))</f>
        <v>0.331646074382639</v>
      </c>
      <c r="E55" s="27" t="n">
        <f aca="false">SUMPRODUCT(MAX((parametros_recargas!$J$72:$J$99&gt;0)*'Resumen Capacidad'!E$2:E$29))</f>
        <v>0.558045098903436</v>
      </c>
      <c r="F55" s="27" t="n">
        <f aca="false">SUMPRODUCT(MAX((parametros_recargas!$J$72:$J$99&gt;0)*'Resumen Capacidad'!F$2:F$29))</f>
        <v>0.793780913895102</v>
      </c>
      <c r="G55" s="27" t="n">
        <f aca="false">SUMPRODUCT(MAX((parametros_recargas!$J$72:$J$99&gt;0)*'Resumen Capacidad'!G$2:G$29))</f>
        <v>1.03733199621072</v>
      </c>
      <c r="H55" s="27" t="n">
        <f aca="false">SUMPRODUCT(MAX((parametros_recargas!$J$72:$J$99&gt;0)*'Resumen Capacidad'!H$2:H$29))</f>
        <v>1.24543798552422</v>
      </c>
      <c r="I55" s="27" t="n">
        <f aca="false">SUMPRODUCT(MAX((parametros_recargas!$J$72:$J$99&gt;0)*'Resumen Capacidad'!I$2:I$29))</f>
        <v>1.39321956959303</v>
      </c>
      <c r="J55" s="27" t="n">
        <f aca="false">SUMPRODUCT(MAX((parametros_recargas!$J$72:$J$99&gt;0)*'Resumen Capacidad'!J$2:J$29))</f>
        <v>1.50586655023548</v>
      </c>
      <c r="K55" s="27" t="n">
        <f aca="false">SUMPRODUCT(MAX((parametros_recargas!$J$72:$J$99&gt;0)*'Resumen Capacidad'!K$2:K$29))</f>
        <v>1.6218841291105</v>
      </c>
    </row>
    <row r="56" customFormat="false" ht="15" hidden="false" customHeight="false" outlineLevel="0" collapsed="false">
      <c r="A56" s="4" t="s">
        <v>151</v>
      </c>
      <c r="B56" s="27" t="n">
        <f aca="false">SUMPRODUCT(MAX((parametros_recargas!$K$72:$K$99&gt;0)*'Resumen Capacidad'!B$2:B$29))</f>
        <v>0.0508464355564604</v>
      </c>
      <c r="C56" s="27" t="n">
        <f aca="false">SUMPRODUCT(MAX((parametros_recargas!$K$72:$K$99&gt;0)*'Resumen Capacidad'!C$2:C$29))</f>
        <v>0.170449995478805</v>
      </c>
      <c r="D56" s="27" t="n">
        <f aca="false">SUMPRODUCT(MAX((parametros_recargas!$K$72:$K$99&gt;0)*'Resumen Capacidad'!D$2:D$29))</f>
        <v>0.331646074382639</v>
      </c>
      <c r="E56" s="27" t="n">
        <f aca="false">SUMPRODUCT(MAX((parametros_recargas!$K$72:$K$99&gt;0)*'Resumen Capacidad'!E$2:E$29))</f>
        <v>0.558045098903436</v>
      </c>
      <c r="F56" s="27" t="n">
        <f aca="false">SUMPRODUCT(MAX((parametros_recargas!$K$72:$K$99&gt;0)*'Resumen Capacidad'!F$2:F$29))</f>
        <v>0.793780913895102</v>
      </c>
      <c r="G56" s="27" t="n">
        <f aca="false">SUMPRODUCT(MAX((parametros_recargas!$K$72:$K$99&gt;0)*'Resumen Capacidad'!G$2:G$29))</f>
        <v>1.03733199621072</v>
      </c>
      <c r="H56" s="27" t="n">
        <f aca="false">SUMPRODUCT(MAX((parametros_recargas!$K$72:$K$99&gt;0)*'Resumen Capacidad'!H$2:H$29))</f>
        <v>1.24543798552422</v>
      </c>
      <c r="I56" s="27" t="n">
        <f aca="false">SUMPRODUCT(MAX((parametros_recargas!$K$72:$K$99&gt;0)*'Resumen Capacidad'!I$2:I$29))</f>
        <v>1.39321956959303</v>
      </c>
      <c r="J56" s="27" t="n">
        <f aca="false">SUMPRODUCT(MAX((parametros_recargas!$K$72:$K$99&gt;0)*'Resumen Capacidad'!J$2:J$29))</f>
        <v>1.50586655023548</v>
      </c>
      <c r="K56" s="27" t="n">
        <f aca="false">SUMPRODUCT(MAX((parametros_recargas!$K$72:$K$99&gt;0)*'Resumen Capacidad'!K$2:K$29))</f>
        <v>1.6218841291105</v>
      </c>
    </row>
    <row r="57" customFormat="false" ht="15" hidden="false" customHeight="false" outlineLevel="0" collapsed="false">
      <c r="A57" s="4" t="s">
        <v>154</v>
      </c>
      <c r="B57" s="27" t="n">
        <f aca="false">SUMPRODUCT(MAX((parametros_recargas!$L$72:$L$99&gt;0)*'Resumen Capacidad'!B$2:B$29))</f>
        <v>0.0508464355564604</v>
      </c>
      <c r="C57" s="27" t="n">
        <f aca="false">SUMPRODUCT(MAX((parametros_recargas!$L$72:$L$99&gt;0)*'Resumen Capacidad'!C$2:C$29))</f>
        <v>0.170449995478805</v>
      </c>
      <c r="D57" s="27" t="n">
        <f aca="false">SUMPRODUCT(MAX((parametros_recargas!$L$72:$L$99&gt;0)*'Resumen Capacidad'!D$2:D$29))</f>
        <v>0.331646074382639</v>
      </c>
      <c r="E57" s="27" t="n">
        <f aca="false">SUMPRODUCT(MAX((parametros_recargas!$L$72:$L$99&gt;0)*'Resumen Capacidad'!E$2:E$29))</f>
        <v>0.558045098903436</v>
      </c>
      <c r="F57" s="27" t="n">
        <f aca="false">SUMPRODUCT(MAX((parametros_recargas!$L$72:$L$99&gt;0)*'Resumen Capacidad'!F$2:F$29))</f>
        <v>0.793780913895102</v>
      </c>
      <c r="G57" s="27" t="n">
        <f aca="false">SUMPRODUCT(MAX((parametros_recargas!$L$72:$L$99&gt;0)*'Resumen Capacidad'!G$2:G$29))</f>
        <v>1.03733199621072</v>
      </c>
      <c r="H57" s="27" t="n">
        <f aca="false">SUMPRODUCT(MAX((parametros_recargas!$L$72:$L$99&gt;0)*'Resumen Capacidad'!H$2:H$29))</f>
        <v>1.24543798552422</v>
      </c>
      <c r="I57" s="27" t="n">
        <f aca="false">SUMPRODUCT(MAX((parametros_recargas!$L$72:$L$99&gt;0)*'Resumen Capacidad'!I$2:I$29))</f>
        <v>1.39321956959303</v>
      </c>
      <c r="J57" s="27" t="n">
        <f aca="false">SUMPRODUCT(MAX((parametros_recargas!$L$72:$L$99&gt;0)*'Resumen Capacidad'!J$2:J$29))</f>
        <v>1.50586655023548</v>
      </c>
      <c r="K57" s="27" t="n">
        <f aca="false">SUMPRODUCT(MAX((parametros_recargas!$L$72:$L$99&gt;0)*'Resumen Capacidad'!K$2:K$29))</f>
        <v>1.6218841291105</v>
      </c>
    </row>
    <row r="58" customFormat="false" ht="15" hidden="false" customHeight="false" outlineLevel="0" collapsed="false">
      <c r="A58" s="1" t="s">
        <v>325</v>
      </c>
    </row>
    <row r="59" customFormat="false" ht="15" hidden="false" customHeight="false" outlineLevel="0" collapsed="false">
      <c r="A59" s="3" t="s">
        <v>270</v>
      </c>
      <c r="B59" s="3" t="n">
        <v>2026</v>
      </c>
      <c r="C59" s="3" t="n">
        <v>2027</v>
      </c>
      <c r="D59" s="3" t="n">
        <v>2028</v>
      </c>
      <c r="E59" s="3" t="n">
        <v>2029</v>
      </c>
      <c r="F59" s="3" t="n">
        <v>2030</v>
      </c>
      <c r="G59" s="3" t="n">
        <v>2031</v>
      </c>
      <c r="H59" s="3" t="n">
        <v>2032</v>
      </c>
      <c r="I59" s="3" t="n">
        <v>2033</v>
      </c>
      <c r="J59" s="3" t="n">
        <v>2034</v>
      </c>
      <c r="K59" s="3" t="n">
        <v>2035</v>
      </c>
    </row>
    <row r="60" customFormat="false" ht="15" hidden="false" customHeight="false" outlineLevel="0" collapsed="false">
      <c r="A60" s="4" t="s">
        <v>143</v>
      </c>
      <c r="B60" s="30" t="n">
        <f aca="false">MAX(0,B50-1)*$B$6</f>
        <v>0</v>
      </c>
      <c r="C60" s="30" t="n">
        <f aca="false">MAX(0,C50-1)*$B$6</f>
        <v>0</v>
      </c>
      <c r="D60" s="30" t="n">
        <f aca="false">MAX(0,D50-1)*$B$6</f>
        <v>0</v>
      </c>
      <c r="E60" s="30" t="n">
        <f aca="false">MAX(0,E50-1)*$B$6</f>
        <v>0</v>
      </c>
      <c r="F60" s="30" t="n">
        <f aca="false">MAX(0,F50-1)*$B$6</f>
        <v>0</v>
      </c>
      <c r="G60" s="30" t="n">
        <f aca="false">MAX(0,G50-1)*$B$6</f>
        <v>4.06803620185089</v>
      </c>
      <c r="H60" s="30" t="n">
        <f aca="false">MAX(0,H50-1)*$B$6</f>
        <v>8.95617553912241</v>
      </c>
      <c r="I60" s="30" t="n">
        <f aca="false">MAX(0,I50-1)*$B$6</f>
        <v>12.4526737502342</v>
      </c>
      <c r="J60" s="30" t="n">
        <f aca="false">MAX(0,J50-1)*$B$6</f>
        <v>15.0229292864071</v>
      </c>
      <c r="K60" s="30" t="n">
        <f aca="false">MAX(0,K50-1)*$B$6</f>
        <v>17.6742560026845</v>
      </c>
    </row>
    <row r="61" customFormat="false" ht="15" hidden="false" customHeight="false" outlineLevel="0" collapsed="false">
      <c r="A61" s="4" t="s">
        <v>149</v>
      </c>
      <c r="B61" s="30" t="n">
        <f aca="false">MAX(0,B51-1)*$B$6</f>
        <v>0</v>
      </c>
      <c r="C61" s="30" t="n">
        <f aca="false">MAX(0,C51-1)*$B$6</f>
        <v>0</v>
      </c>
      <c r="D61" s="30" t="n">
        <f aca="false">MAX(0,D51-1)*$B$6</f>
        <v>0</v>
      </c>
      <c r="E61" s="30" t="n">
        <f aca="false">MAX(0,E51-1)*$B$6</f>
        <v>0</v>
      </c>
      <c r="F61" s="30" t="n">
        <f aca="false">MAX(0,F51-1)*$B$6</f>
        <v>0</v>
      </c>
      <c r="G61" s="30" t="n">
        <f aca="false">MAX(0,G51-1)*$B$6</f>
        <v>4.06803620185089</v>
      </c>
      <c r="H61" s="30" t="n">
        <f aca="false">MAX(0,H51-1)*$B$6</f>
        <v>8.95617553912241</v>
      </c>
      <c r="I61" s="30" t="n">
        <f aca="false">MAX(0,I51-1)*$B$6</f>
        <v>12.4526737502342</v>
      </c>
      <c r="J61" s="30" t="n">
        <f aca="false">MAX(0,J51-1)*$B$6</f>
        <v>15.0229292864071</v>
      </c>
      <c r="K61" s="30" t="n">
        <f aca="false">MAX(0,K51-1)*$B$6</f>
        <v>17.6742560026845</v>
      </c>
    </row>
    <row r="62" customFormat="false" ht="15" hidden="false" customHeight="false" outlineLevel="0" collapsed="false">
      <c r="A62" s="4" t="s">
        <v>155</v>
      </c>
      <c r="B62" s="30" t="n">
        <f aca="false">MAX(0,B52-1)*$B$6</f>
        <v>0</v>
      </c>
      <c r="C62" s="30" t="n">
        <f aca="false">MAX(0,C52-1)*$B$6</f>
        <v>0</v>
      </c>
      <c r="D62" s="30" t="n">
        <f aca="false">MAX(0,D52-1)*$B$6</f>
        <v>0</v>
      </c>
      <c r="E62" s="30" t="n">
        <f aca="false">MAX(0,E52-1)*$B$6</f>
        <v>0</v>
      </c>
      <c r="F62" s="30" t="n">
        <f aca="false">MAX(0,F52-1)*$B$6</f>
        <v>0</v>
      </c>
      <c r="G62" s="30" t="n">
        <f aca="false">MAX(0,G52-1)*$B$6</f>
        <v>4.06803620185089</v>
      </c>
      <c r="H62" s="30" t="n">
        <f aca="false">MAX(0,H52-1)*$B$6</f>
        <v>8.95617553912241</v>
      </c>
      <c r="I62" s="30" t="n">
        <f aca="false">MAX(0,I52-1)*$B$6</f>
        <v>12.4526737502342</v>
      </c>
      <c r="J62" s="30" t="n">
        <f aca="false">MAX(0,J52-1)*$B$6</f>
        <v>15.0229292864071</v>
      </c>
      <c r="K62" s="30" t="n">
        <f aca="false">MAX(0,K52-1)*$B$6</f>
        <v>17.6742560026845</v>
      </c>
    </row>
    <row r="63" customFormat="false" ht="15" hidden="false" customHeight="false" outlineLevel="0" collapsed="false">
      <c r="A63" s="4" t="s">
        <v>146</v>
      </c>
      <c r="B63" s="30" t="n">
        <f aca="false">MAX(0,B53-1)*$B$6</f>
        <v>0</v>
      </c>
      <c r="C63" s="30" t="n">
        <f aca="false">MAX(0,C53-1)*$B$6</f>
        <v>0</v>
      </c>
      <c r="D63" s="30" t="n">
        <f aca="false">MAX(0,D53-1)*$B$6</f>
        <v>0</v>
      </c>
      <c r="E63" s="30" t="n">
        <f aca="false">MAX(0,E53-1)*$B$6</f>
        <v>0</v>
      </c>
      <c r="F63" s="30" t="n">
        <f aca="false">MAX(0,F53-1)*$B$6</f>
        <v>0</v>
      </c>
      <c r="G63" s="30" t="n">
        <f aca="false">MAX(0,G53-1)*$B$6</f>
        <v>0.746639924214376</v>
      </c>
      <c r="H63" s="30" t="n">
        <f aca="false">MAX(0,H53-1)*$B$6</f>
        <v>4.90875971048435</v>
      </c>
      <c r="I63" s="30" t="n">
        <f aca="false">MAX(0,I53-1)*$B$6</f>
        <v>7.86439139186056</v>
      </c>
      <c r="J63" s="30" t="n">
        <f aca="false">MAX(0,J53-1)*$B$6</f>
        <v>10.1173310047095</v>
      </c>
      <c r="K63" s="30" t="n">
        <f aca="false">MAX(0,K53-1)*$B$6</f>
        <v>12.43768258221</v>
      </c>
    </row>
    <row r="64" customFormat="false" ht="15" hidden="false" customHeight="false" outlineLevel="0" collapsed="false">
      <c r="A64" s="4" t="s">
        <v>147</v>
      </c>
      <c r="B64" s="30" t="n">
        <f aca="false">MAX(0,B54-1)*$B$6</f>
        <v>0</v>
      </c>
      <c r="C64" s="30" t="n">
        <f aca="false">MAX(0,C54-1)*$B$6</f>
        <v>0</v>
      </c>
      <c r="D64" s="30" t="n">
        <f aca="false">MAX(0,D54-1)*$B$6</f>
        <v>0</v>
      </c>
      <c r="E64" s="30" t="n">
        <f aca="false">MAX(0,E54-1)*$B$6</f>
        <v>0</v>
      </c>
      <c r="F64" s="30" t="n">
        <f aca="false">MAX(0,F54-1)*$B$6</f>
        <v>0</v>
      </c>
      <c r="G64" s="30" t="n">
        <f aca="false">MAX(0,G54-1)*$B$6</f>
        <v>0.746639924214376</v>
      </c>
      <c r="H64" s="30" t="n">
        <f aca="false">MAX(0,H54-1)*$B$6</f>
        <v>4.90875971048435</v>
      </c>
      <c r="I64" s="30" t="n">
        <f aca="false">MAX(0,I54-1)*$B$6</f>
        <v>7.86439139186056</v>
      </c>
      <c r="J64" s="30" t="n">
        <f aca="false">MAX(0,J54-1)*$B$6</f>
        <v>10.1173310047095</v>
      </c>
      <c r="K64" s="30" t="n">
        <f aca="false">MAX(0,K54-1)*$B$6</f>
        <v>12.43768258221</v>
      </c>
    </row>
    <row r="65" customFormat="false" ht="15" hidden="false" customHeight="false" outlineLevel="0" collapsed="false">
      <c r="A65" s="4" t="s">
        <v>150</v>
      </c>
      <c r="B65" s="30" t="n">
        <f aca="false">MAX(0,B55-1)*$B$6</f>
        <v>0</v>
      </c>
      <c r="C65" s="30" t="n">
        <f aca="false">MAX(0,C55-1)*$B$6</f>
        <v>0</v>
      </c>
      <c r="D65" s="30" t="n">
        <f aca="false">MAX(0,D55-1)*$B$6</f>
        <v>0</v>
      </c>
      <c r="E65" s="30" t="n">
        <f aca="false">MAX(0,E55-1)*$B$6</f>
        <v>0</v>
      </c>
      <c r="F65" s="30" t="n">
        <f aca="false">MAX(0,F55-1)*$B$6</f>
        <v>0</v>
      </c>
      <c r="G65" s="30" t="n">
        <f aca="false">MAX(0,G55-1)*$B$6</f>
        <v>0.746639924214376</v>
      </c>
      <c r="H65" s="30" t="n">
        <f aca="false">MAX(0,H55-1)*$B$6</f>
        <v>4.90875971048435</v>
      </c>
      <c r="I65" s="30" t="n">
        <f aca="false">MAX(0,I55-1)*$B$6</f>
        <v>7.86439139186056</v>
      </c>
      <c r="J65" s="30" t="n">
        <f aca="false">MAX(0,J55-1)*$B$6</f>
        <v>10.1173310047095</v>
      </c>
      <c r="K65" s="30" t="n">
        <f aca="false">MAX(0,K55-1)*$B$6</f>
        <v>12.43768258221</v>
      </c>
    </row>
    <row r="66" customFormat="false" ht="15" hidden="false" customHeight="false" outlineLevel="0" collapsed="false">
      <c r="A66" s="4" t="s">
        <v>151</v>
      </c>
      <c r="B66" s="30" t="n">
        <f aca="false">MAX(0,B56-1)*$B$6</f>
        <v>0</v>
      </c>
      <c r="C66" s="30" t="n">
        <f aca="false">MAX(0,C56-1)*$B$6</f>
        <v>0</v>
      </c>
      <c r="D66" s="30" t="n">
        <f aca="false">MAX(0,D56-1)*$B$6</f>
        <v>0</v>
      </c>
      <c r="E66" s="30" t="n">
        <f aca="false">MAX(0,E56-1)*$B$6</f>
        <v>0</v>
      </c>
      <c r="F66" s="30" t="n">
        <f aca="false">MAX(0,F56-1)*$B$6</f>
        <v>0</v>
      </c>
      <c r="G66" s="30" t="n">
        <f aca="false">MAX(0,G56-1)*$B$6</f>
        <v>0.746639924214376</v>
      </c>
      <c r="H66" s="30" t="n">
        <f aca="false">MAX(0,H56-1)*$B$6</f>
        <v>4.90875971048435</v>
      </c>
      <c r="I66" s="30" t="n">
        <f aca="false">MAX(0,I56-1)*$B$6</f>
        <v>7.86439139186056</v>
      </c>
      <c r="J66" s="30" t="n">
        <f aca="false">MAX(0,J56-1)*$B$6</f>
        <v>10.1173310047095</v>
      </c>
      <c r="K66" s="30" t="n">
        <f aca="false">MAX(0,K56-1)*$B$6</f>
        <v>12.43768258221</v>
      </c>
    </row>
    <row r="67" customFormat="false" ht="15" hidden="false" customHeight="false" outlineLevel="0" collapsed="false">
      <c r="A67" s="4" t="s">
        <v>154</v>
      </c>
      <c r="B67" s="30" t="n">
        <f aca="false">MAX(0,B57-1)*$B$6</f>
        <v>0</v>
      </c>
      <c r="C67" s="30" t="n">
        <f aca="false">MAX(0,C57-1)*$B$6</f>
        <v>0</v>
      </c>
      <c r="D67" s="30" t="n">
        <f aca="false">MAX(0,D57-1)*$B$6</f>
        <v>0</v>
      </c>
      <c r="E67" s="30" t="n">
        <f aca="false">MAX(0,E57-1)*$B$6</f>
        <v>0</v>
      </c>
      <c r="F67" s="30" t="n">
        <f aca="false">MAX(0,F57-1)*$B$6</f>
        <v>0</v>
      </c>
      <c r="G67" s="30" t="n">
        <f aca="false">MAX(0,G57-1)*$B$6</f>
        <v>0.746639924214376</v>
      </c>
      <c r="H67" s="30" t="n">
        <f aca="false">MAX(0,H57-1)*$B$6</f>
        <v>4.90875971048435</v>
      </c>
      <c r="I67" s="30" t="n">
        <f aca="false">MAX(0,I57-1)*$B$6</f>
        <v>7.86439139186056</v>
      </c>
      <c r="J67" s="30" t="n">
        <f aca="false">MAX(0,J57-1)*$B$6</f>
        <v>10.1173310047095</v>
      </c>
      <c r="K67" s="30" t="n">
        <f aca="false">MAX(0,K57-1)*$B$6</f>
        <v>12.43768258221</v>
      </c>
    </row>
    <row r="69" customFormat="false" ht="15" hidden="false" customHeight="false" outlineLevel="0" collapsed="false">
      <c r="A69" s="1" t="s">
        <v>326</v>
      </c>
    </row>
    <row r="70" customFormat="false" ht="15" hidden="false" customHeight="false" outlineLevel="0" collapsed="false">
      <c r="A70" s="3" t="s">
        <v>138</v>
      </c>
      <c r="B70" s="3" t="n">
        <v>2026</v>
      </c>
      <c r="C70" s="3" t="n">
        <v>2027</v>
      </c>
      <c r="D70" s="3" t="n">
        <v>2028</v>
      </c>
      <c r="E70" s="3" t="n">
        <v>2029</v>
      </c>
      <c r="F70" s="3" t="n">
        <v>2030</v>
      </c>
      <c r="G70" s="3" t="n">
        <v>2031</v>
      </c>
      <c r="H70" s="3" t="n">
        <v>2032</v>
      </c>
      <c r="I70" s="3" t="n">
        <v>2033</v>
      </c>
      <c r="J70" s="3" t="n">
        <v>2034</v>
      </c>
      <c r="K70" s="3" t="n">
        <v>2035</v>
      </c>
    </row>
    <row r="71" customFormat="false" ht="15" hidden="false" customHeight="false" outlineLevel="0" collapsed="false">
      <c r="A71" s="12" t="str">
        <f aca="false">datos_base!A2</f>
        <v>ABC 1 kg</v>
      </c>
      <c r="B71" s="30" t="n">
        <f aca="false">$B$5+INDEX(B$60:B$67,MATCH($B$10,$A$60:$A$67,0))</f>
        <v>1</v>
      </c>
      <c r="C71" s="30" t="n">
        <f aca="false">$B$5+INDEX(C$60:C$67,MATCH($B$10,$A$60:$A$67,0))</f>
        <v>1</v>
      </c>
      <c r="D71" s="30" t="n">
        <f aca="false">$B$5+INDEX(D$60:D$67,MATCH($B$10,$A$60:$A$67,0))</f>
        <v>1</v>
      </c>
      <c r="E71" s="30" t="n">
        <f aca="false">$B$5+INDEX(E$60:E$67,MATCH($B$10,$A$60:$A$67,0))</f>
        <v>1</v>
      </c>
      <c r="F71" s="30" t="n">
        <f aca="false">$B$5+INDEX(F$60:F$67,MATCH($B$10,$A$60:$A$67,0))</f>
        <v>1</v>
      </c>
      <c r="G71" s="30" t="n">
        <f aca="false">$B$5+INDEX(G$60:G$67,MATCH($B$10,$A$60:$A$67,0))</f>
        <v>5.06803620185089</v>
      </c>
      <c r="H71" s="30" t="n">
        <f aca="false">$B$5+INDEX(H$60:H$67,MATCH($B$10,$A$60:$A$67,0))</f>
        <v>9.95617553912241</v>
      </c>
      <c r="I71" s="30" t="n">
        <f aca="false">$B$5+INDEX(I$60:I$67,MATCH($B$10,$A$60:$A$67,0))</f>
        <v>13.4526737502342</v>
      </c>
      <c r="J71" s="30" t="n">
        <f aca="false">$B$5+INDEX(J$60:J$67,MATCH($B$10,$A$60:$A$67,0))</f>
        <v>16.0229292864071</v>
      </c>
      <c r="K71" s="30" t="n">
        <f aca="false">$B$5+INDEX(K$60:K$67,MATCH($B$10,$A$60:$A$67,0))</f>
        <v>18.6742560026845</v>
      </c>
    </row>
    <row r="72" customFormat="false" ht="15" hidden="false" customHeight="false" outlineLevel="0" collapsed="false">
      <c r="A72" s="12" t="str">
        <f aca="false">datos_base!A3</f>
        <v>ABC 2,5 kg</v>
      </c>
      <c r="B72" s="30" t="n">
        <f aca="false">$B$5+INDEX(B$60:B$67,MATCH($B$11,$A$60:$A$67,0))</f>
        <v>1</v>
      </c>
      <c r="C72" s="30" t="n">
        <f aca="false">$B$5+INDEX(C$60:C$67,MATCH($B$11,$A$60:$A$67,0))</f>
        <v>1</v>
      </c>
      <c r="D72" s="30" t="n">
        <f aca="false">$B$5+INDEX(D$60:D$67,MATCH($B$11,$A$60:$A$67,0))</f>
        <v>1</v>
      </c>
      <c r="E72" s="30" t="n">
        <f aca="false">$B$5+INDEX(E$60:E$67,MATCH($B$11,$A$60:$A$67,0))</f>
        <v>1</v>
      </c>
      <c r="F72" s="30" t="n">
        <f aca="false">$B$5+INDEX(F$60:F$67,MATCH($B$11,$A$60:$A$67,0))</f>
        <v>1</v>
      </c>
      <c r="G72" s="30" t="n">
        <f aca="false">$B$5+INDEX(G$60:G$67,MATCH($B$11,$A$60:$A$67,0))</f>
        <v>5.06803620185089</v>
      </c>
      <c r="H72" s="30" t="n">
        <f aca="false">$B$5+INDEX(H$60:H$67,MATCH($B$11,$A$60:$A$67,0))</f>
        <v>9.95617553912241</v>
      </c>
      <c r="I72" s="30" t="n">
        <f aca="false">$B$5+INDEX(I$60:I$67,MATCH($B$11,$A$60:$A$67,0))</f>
        <v>13.4526737502342</v>
      </c>
      <c r="J72" s="30" t="n">
        <f aca="false">$B$5+INDEX(J$60:J$67,MATCH($B$11,$A$60:$A$67,0))</f>
        <v>16.0229292864071</v>
      </c>
      <c r="K72" s="30" t="n">
        <f aca="false">$B$5+INDEX(K$60:K$67,MATCH($B$11,$A$60:$A$67,0))</f>
        <v>18.6742560026845</v>
      </c>
    </row>
    <row r="73" customFormat="false" ht="15" hidden="false" customHeight="false" outlineLevel="0" collapsed="false">
      <c r="A73" s="12" t="str">
        <f aca="false">datos_base!A4</f>
        <v>ABC 5 kg</v>
      </c>
      <c r="B73" s="30" t="n">
        <f aca="false">$B$5+INDEX(B$60:B$67,MATCH($B$12,$A$60:$A$67,0))</f>
        <v>1</v>
      </c>
      <c r="C73" s="30" t="n">
        <f aca="false">$B$5+INDEX(C$60:C$67,MATCH($B$12,$A$60:$A$67,0))</f>
        <v>1</v>
      </c>
      <c r="D73" s="30" t="n">
        <f aca="false">$B$5+INDEX(D$60:D$67,MATCH($B$12,$A$60:$A$67,0))</f>
        <v>1</v>
      </c>
      <c r="E73" s="30" t="n">
        <f aca="false">$B$5+INDEX(E$60:E$67,MATCH($B$12,$A$60:$A$67,0))</f>
        <v>1</v>
      </c>
      <c r="F73" s="30" t="n">
        <f aca="false">$B$5+INDEX(F$60:F$67,MATCH($B$12,$A$60:$A$67,0))</f>
        <v>1</v>
      </c>
      <c r="G73" s="30" t="n">
        <f aca="false">$B$5+INDEX(G$60:G$67,MATCH($B$12,$A$60:$A$67,0))</f>
        <v>5.06803620185089</v>
      </c>
      <c r="H73" s="30" t="n">
        <f aca="false">$B$5+INDEX(H$60:H$67,MATCH($B$12,$A$60:$A$67,0))</f>
        <v>9.95617553912241</v>
      </c>
      <c r="I73" s="30" t="n">
        <f aca="false">$B$5+INDEX(I$60:I$67,MATCH($B$12,$A$60:$A$67,0))</f>
        <v>13.4526737502342</v>
      </c>
      <c r="J73" s="30" t="n">
        <f aca="false">$B$5+INDEX(J$60:J$67,MATCH($B$12,$A$60:$A$67,0))</f>
        <v>16.0229292864071</v>
      </c>
      <c r="K73" s="30" t="n">
        <f aca="false">$B$5+INDEX(K$60:K$67,MATCH($B$12,$A$60:$A$67,0))</f>
        <v>18.6742560026845</v>
      </c>
    </row>
    <row r="74" customFormat="false" ht="15" hidden="false" customHeight="false" outlineLevel="0" collapsed="false">
      <c r="A74" s="12" t="str">
        <f aca="false">datos_base!A5</f>
        <v>ABC 10 kg</v>
      </c>
      <c r="B74" s="30" t="n">
        <f aca="false">$B$5+INDEX(B$60:B$67,MATCH($B$13,$A$60:$A$67,0))</f>
        <v>1</v>
      </c>
      <c r="C74" s="30" t="n">
        <f aca="false">$B$5+INDEX(C$60:C$67,MATCH($B$13,$A$60:$A$67,0))</f>
        <v>1</v>
      </c>
      <c r="D74" s="30" t="n">
        <f aca="false">$B$5+INDEX(D$60:D$67,MATCH($B$13,$A$60:$A$67,0))</f>
        <v>1</v>
      </c>
      <c r="E74" s="30" t="n">
        <f aca="false">$B$5+INDEX(E$60:E$67,MATCH($B$13,$A$60:$A$67,0))</f>
        <v>1</v>
      </c>
      <c r="F74" s="30" t="n">
        <f aca="false">$B$5+INDEX(F$60:F$67,MATCH($B$13,$A$60:$A$67,0))</f>
        <v>1</v>
      </c>
      <c r="G74" s="30" t="n">
        <f aca="false">$B$5+INDEX(G$60:G$67,MATCH($B$13,$A$60:$A$67,0))</f>
        <v>5.06803620185089</v>
      </c>
      <c r="H74" s="30" t="n">
        <f aca="false">$B$5+INDEX(H$60:H$67,MATCH($B$13,$A$60:$A$67,0))</f>
        <v>9.95617553912241</v>
      </c>
      <c r="I74" s="30" t="n">
        <f aca="false">$B$5+INDEX(I$60:I$67,MATCH($B$13,$A$60:$A$67,0))</f>
        <v>13.4526737502342</v>
      </c>
      <c r="J74" s="30" t="n">
        <f aca="false">$B$5+INDEX(J$60:J$67,MATCH($B$13,$A$60:$A$67,0))</f>
        <v>16.0229292864071</v>
      </c>
      <c r="K74" s="30" t="n">
        <f aca="false">$B$5+INDEX(K$60:K$67,MATCH($B$13,$A$60:$A$67,0))</f>
        <v>18.6742560026845</v>
      </c>
    </row>
    <row r="75" customFormat="false" ht="15" hidden="false" customHeight="false" outlineLevel="0" collapsed="false">
      <c r="A75" s="12" t="str">
        <f aca="false">datos_base!A6</f>
        <v>Agua 10 l</v>
      </c>
      <c r="B75" s="30" t="n">
        <f aca="false">$B$5+INDEX(B$60:B$67,MATCH($B$14,$A$60:$A$67,0))</f>
        <v>1</v>
      </c>
      <c r="C75" s="30" t="n">
        <f aca="false">$B$5+INDEX(C$60:C$67,MATCH($B$14,$A$60:$A$67,0))</f>
        <v>1</v>
      </c>
      <c r="D75" s="30" t="n">
        <f aca="false">$B$5+INDEX(D$60:D$67,MATCH($B$14,$A$60:$A$67,0))</f>
        <v>1</v>
      </c>
      <c r="E75" s="30" t="n">
        <f aca="false">$B$5+INDEX(E$60:E$67,MATCH($B$14,$A$60:$A$67,0))</f>
        <v>1</v>
      </c>
      <c r="F75" s="30" t="n">
        <f aca="false">$B$5+INDEX(F$60:F$67,MATCH($B$14,$A$60:$A$67,0))</f>
        <v>1</v>
      </c>
      <c r="G75" s="30" t="n">
        <f aca="false">$B$5+INDEX(G$60:G$67,MATCH($B$14,$A$60:$A$67,0))</f>
        <v>1.74663992421438</v>
      </c>
      <c r="H75" s="30" t="n">
        <f aca="false">$B$5+INDEX(H$60:H$67,MATCH($B$14,$A$60:$A$67,0))</f>
        <v>5.90875971048435</v>
      </c>
      <c r="I75" s="30" t="n">
        <f aca="false">$B$5+INDEX(I$60:I$67,MATCH($B$14,$A$60:$A$67,0))</f>
        <v>8.86439139186056</v>
      </c>
      <c r="J75" s="30" t="n">
        <f aca="false">$B$5+INDEX(J$60:J$67,MATCH($B$14,$A$60:$A$67,0))</f>
        <v>11.1173310047095</v>
      </c>
      <c r="K75" s="30" t="n">
        <f aca="false">$B$5+INDEX(K$60:K$67,MATCH($B$14,$A$60:$A$67,0))</f>
        <v>13.43768258221</v>
      </c>
    </row>
    <row r="76" customFormat="false" ht="15" hidden="false" customHeight="false" outlineLevel="0" collapsed="false">
      <c r="A76" s="12" t="str">
        <f aca="false">datos_base!A7</f>
        <v>AFFF 10 l</v>
      </c>
      <c r="B76" s="30" t="n">
        <f aca="false">$B$5+INDEX(B$60:B$67,MATCH($B$15,$A$60:$A$67,0))</f>
        <v>1</v>
      </c>
      <c r="C76" s="30" t="n">
        <f aca="false">$B$5+INDEX(C$60:C$67,MATCH($B$15,$A$60:$A$67,0))</f>
        <v>1</v>
      </c>
      <c r="D76" s="30" t="n">
        <f aca="false">$B$5+INDEX(D$60:D$67,MATCH($B$15,$A$60:$A$67,0))</f>
        <v>1</v>
      </c>
      <c r="E76" s="30" t="n">
        <f aca="false">$B$5+INDEX(E$60:E$67,MATCH($B$15,$A$60:$A$67,0))</f>
        <v>1</v>
      </c>
      <c r="F76" s="30" t="n">
        <f aca="false">$B$5+INDEX(F$60:F$67,MATCH($B$15,$A$60:$A$67,0))</f>
        <v>1</v>
      </c>
      <c r="G76" s="30" t="n">
        <f aca="false">$B$5+INDEX(G$60:G$67,MATCH($B$15,$A$60:$A$67,0))</f>
        <v>1.74663992421438</v>
      </c>
      <c r="H76" s="30" t="n">
        <f aca="false">$B$5+INDEX(H$60:H$67,MATCH($B$15,$A$60:$A$67,0))</f>
        <v>5.90875971048435</v>
      </c>
      <c r="I76" s="30" t="n">
        <f aca="false">$B$5+INDEX(I$60:I$67,MATCH($B$15,$A$60:$A$67,0))</f>
        <v>8.86439139186056</v>
      </c>
      <c r="J76" s="30" t="n">
        <f aca="false">$B$5+INDEX(J$60:J$67,MATCH($B$15,$A$60:$A$67,0))</f>
        <v>11.1173310047095</v>
      </c>
      <c r="K76" s="30" t="n">
        <f aca="false">$B$5+INDEX(K$60:K$67,MATCH($B$15,$A$60:$A$67,0))</f>
        <v>13.43768258221</v>
      </c>
    </row>
    <row r="77" customFormat="false" ht="15" hidden="false" customHeight="false" outlineLevel="0" collapsed="false">
      <c r="A77" s="12" t="str">
        <f aca="false">datos_base!A8</f>
        <v>AFFF 50 l s/ruedas</v>
      </c>
      <c r="B77" s="30" t="n">
        <f aca="false">$B$5+INDEX(B$60:B$67,MATCH($B$16,$A$60:$A$67,0))</f>
        <v>1</v>
      </c>
      <c r="C77" s="30" t="n">
        <f aca="false">$B$5+INDEX(C$60:C$67,MATCH($B$16,$A$60:$A$67,0))</f>
        <v>1</v>
      </c>
      <c r="D77" s="30" t="n">
        <f aca="false">$B$5+INDEX(D$60:D$67,MATCH($B$16,$A$60:$A$67,0))</f>
        <v>1</v>
      </c>
      <c r="E77" s="30" t="n">
        <f aca="false">$B$5+INDEX(E$60:E$67,MATCH($B$16,$A$60:$A$67,0))</f>
        <v>1</v>
      </c>
      <c r="F77" s="30" t="n">
        <f aca="false">$B$5+INDEX(F$60:F$67,MATCH($B$16,$A$60:$A$67,0))</f>
        <v>1</v>
      </c>
      <c r="G77" s="30" t="n">
        <f aca="false">$B$5+INDEX(G$60:G$67,MATCH($B$16,$A$60:$A$67,0))</f>
        <v>1.74663992421438</v>
      </c>
      <c r="H77" s="30" t="n">
        <f aca="false">$B$5+INDEX(H$60:H$67,MATCH($B$16,$A$60:$A$67,0))</f>
        <v>5.90875971048435</v>
      </c>
      <c r="I77" s="30" t="n">
        <f aca="false">$B$5+INDEX(I$60:I$67,MATCH($B$16,$A$60:$A$67,0))</f>
        <v>8.86439139186056</v>
      </c>
      <c r="J77" s="30" t="n">
        <f aca="false">$B$5+INDEX(J$60:J$67,MATCH($B$16,$A$60:$A$67,0))</f>
        <v>11.1173310047095</v>
      </c>
      <c r="K77" s="30" t="n">
        <f aca="false">$B$5+INDEX(K$60:K$67,MATCH($B$16,$A$60:$A$67,0))</f>
        <v>13.43768258221</v>
      </c>
    </row>
    <row r="78" customFormat="false" ht="15" hidden="false" customHeight="false" outlineLevel="0" collapsed="false">
      <c r="A78" s="12" t="str">
        <f aca="false">datos_base!A9</f>
        <v>BC 5 kg</v>
      </c>
      <c r="B78" s="30" t="n">
        <f aca="false">$B$5+INDEX(B$60:B$67,MATCH($B$17,$A$60:$A$67,0))</f>
        <v>1</v>
      </c>
      <c r="C78" s="30" t="n">
        <f aca="false">$B$5+INDEX(C$60:C$67,MATCH($B$17,$A$60:$A$67,0))</f>
        <v>1</v>
      </c>
      <c r="D78" s="30" t="n">
        <f aca="false">$B$5+INDEX(D$60:D$67,MATCH($B$17,$A$60:$A$67,0))</f>
        <v>1</v>
      </c>
      <c r="E78" s="30" t="n">
        <f aca="false">$B$5+INDEX(E$60:E$67,MATCH($B$17,$A$60:$A$67,0))</f>
        <v>1</v>
      </c>
      <c r="F78" s="30" t="n">
        <f aca="false">$B$5+INDEX(F$60:F$67,MATCH($B$17,$A$60:$A$67,0))</f>
        <v>1</v>
      </c>
      <c r="G78" s="30" t="n">
        <f aca="false">$B$5+INDEX(G$60:G$67,MATCH($B$17,$A$60:$A$67,0))</f>
        <v>5.06803620185089</v>
      </c>
      <c r="H78" s="30" t="n">
        <f aca="false">$B$5+INDEX(H$60:H$67,MATCH($B$17,$A$60:$A$67,0))</f>
        <v>9.95617553912241</v>
      </c>
      <c r="I78" s="30" t="n">
        <f aca="false">$B$5+INDEX(I$60:I$67,MATCH($B$17,$A$60:$A$67,0))</f>
        <v>13.4526737502342</v>
      </c>
      <c r="J78" s="30" t="n">
        <f aca="false">$B$5+INDEX(J$60:J$67,MATCH($B$17,$A$60:$A$67,0))</f>
        <v>16.0229292864071</v>
      </c>
      <c r="K78" s="30" t="n">
        <f aca="false">$B$5+INDEX(K$60:K$67,MATCH($B$17,$A$60:$A$67,0))</f>
        <v>18.6742560026845</v>
      </c>
    </row>
    <row r="79" customFormat="false" ht="15" hidden="false" customHeight="false" outlineLevel="0" collapsed="false">
      <c r="A79" s="12" t="str">
        <f aca="false">datos_base!A10</f>
        <v>Sales K 6 l</v>
      </c>
      <c r="B79" s="30" t="n">
        <f aca="false">$B$5+INDEX(B$60:B$67,MATCH($B$18,$A$60:$A$67,0))</f>
        <v>1</v>
      </c>
      <c r="C79" s="30" t="n">
        <f aca="false">$B$5+INDEX(C$60:C$67,MATCH($B$18,$A$60:$A$67,0))</f>
        <v>1</v>
      </c>
      <c r="D79" s="30" t="n">
        <f aca="false">$B$5+INDEX(D$60:D$67,MATCH($B$18,$A$60:$A$67,0))</f>
        <v>1</v>
      </c>
      <c r="E79" s="30" t="n">
        <f aca="false">$B$5+INDEX(E$60:E$67,MATCH($B$18,$A$60:$A$67,0))</f>
        <v>1</v>
      </c>
      <c r="F79" s="30" t="n">
        <f aca="false">$B$5+INDEX(F$60:F$67,MATCH($B$18,$A$60:$A$67,0))</f>
        <v>1</v>
      </c>
      <c r="G79" s="30" t="n">
        <f aca="false">$B$5+INDEX(G$60:G$67,MATCH($B$18,$A$60:$A$67,0))</f>
        <v>1.74663992421438</v>
      </c>
      <c r="H79" s="30" t="n">
        <f aca="false">$B$5+INDEX(H$60:H$67,MATCH($B$18,$A$60:$A$67,0))</f>
        <v>5.90875971048435</v>
      </c>
      <c r="I79" s="30" t="n">
        <f aca="false">$B$5+INDEX(I$60:I$67,MATCH($B$18,$A$60:$A$67,0))</f>
        <v>8.86439139186056</v>
      </c>
      <c r="J79" s="30" t="n">
        <f aca="false">$B$5+INDEX(J$60:J$67,MATCH($B$18,$A$60:$A$67,0))</f>
        <v>11.1173310047095</v>
      </c>
      <c r="K79" s="30" t="n">
        <f aca="false">$B$5+INDEX(K$60:K$67,MATCH($B$18,$A$60:$A$67,0))</f>
        <v>13.43768258221</v>
      </c>
    </row>
    <row r="80" customFormat="false" ht="15" hidden="false" customHeight="false" outlineLevel="0" collapsed="false">
      <c r="A80" s="12" t="str">
        <f aca="false">datos_base!A11</f>
        <v>CO₂ 2 kg</v>
      </c>
      <c r="B80" s="30" t="n">
        <f aca="false">$B$5+INDEX(B$60:B$67,MATCH($B$19,$A$60:$A$67,0))</f>
        <v>1</v>
      </c>
      <c r="C80" s="30" t="n">
        <f aca="false">$B$5+INDEX(C$60:C$67,MATCH($B$19,$A$60:$A$67,0))</f>
        <v>1</v>
      </c>
      <c r="D80" s="30" t="n">
        <f aca="false">$B$5+INDEX(D$60:D$67,MATCH($B$19,$A$60:$A$67,0))</f>
        <v>1</v>
      </c>
      <c r="E80" s="30" t="n">
        <f aca="false">$B$5+INDEX(E$60:E$67,MATCH($B$19,$A$60:$A$67,0))</f>
        <v>1</v>
      </c>
      <c r="F80" s="30" t="n">
        <f aca="false">$B$5+INDEX(F$60:F$67,MATCH($B$19,$A$60:$A$67,0))</f>
        <v>1</v>
      </c>
      <c r="G80" s="30" t="n">
        <f aca="false">$B$5+INDEX(G$60:G$67,MATCH($B$19,$A$60:$A$67,0))</f>
        <v>1.74663992421438</v>
      </c>
      <c r="H80" s="30" t="n">
        <f aca="false">$B$5+INDEX(H$60:H$67,MATCH($B$19,$A$60:$A$67,0))</f>
        <v>5.90875971048435</v>
      </c>
      <c r="I80" s="30" t="n">
        <f aca="false">$B$5+INDEX(I$60:I$67,MATCH($B$19,$A$60:$A$67,0))</f>
        <v>8.86439139186056</v>
      </c>
      <c r="J80" s="30" t="n">
        <f aca="false">$B$5+INDEX(J$60:J$67,MATCH($B$19,$A$60:$A$67,0))</f>
        <v>11.1173310047095</v>
      </c>
      <c r="K80" s="30" t="n">
        <f aca="false">$B$5+INDEX(K$60:K$67,MATCH($B$19,$A$60:$A$67,0))</f>
        <v>13.43768258221</v>
      </c>
    </row>
    <row r="81" customFormat="false" ht="15" hidden="false" customHeight="false" outlineLevel="0" collapsed="false">
      <c r="A81" s="12" t="str">
        <f aca="false">datos_base!A12</f>
        <v>CO₂ 5 kg</v>
      </c>
      <c r="B81" s="30" t="n">
        <f aca="false">$B$5+INDEX(B$60:B$67,MATCH($B$20,$A$60:$A$67,0))</f>
        <v>1</v>
      </c>
      <c r="C81" s="30" t="n">
        <f aca="false">$B$5+INDEX(C$60:C$67,MATCH($B$20,$A$60:$A$67,0))</f>
        <v>1</v>
      </c>
      <c r="D81" s="30" t="n">
        <f aca="false">$B$5+INDEX(D$60:D$67,MATCH($B$20,$A$60:$A$67,0))</f>
        <v>1</v>
      </c>
      <c r="E81" s="30" t="n">
        <f aca="false">$B$5+INDEX(E$60:E$67,MATCH($B$20,$A$60:$A$67,0))</f>
        <v>1</v>
      </c>
      <c r="F81" s="30" t="n">
        <f aca="false">$B$5+INDEX(F$60:F$67,MATCH($B$20,$A$60:$A$67,0))</f>
        <v>1</v>
      </c>
      <c r="G81" s="30" t="n">
        <f aca="false">$B$5+INDEX(G$60:G$67,MATCH($B$20,$A$60:$A$67,0))</f>
        <v>1.74663992421438</v>
      </c>
      <c r="H81" s="30" t="n">
        <f aca="false">$B$5+INDEX(H$60:H$67,MATCH($B$20,$A$60:$A$67,0))</f>
        <v>5.90875971048435</v>
      </c>
      <c r="I81" s="30" t="n">
        <f aca="false">$B$5+INDEX(I$60:I$67,MATCH($B$20,$A$60:$A$67,0))</f>
        <v>8.86439139186056</v>
      </c>
      <c r="J81" s="30" t="n">
        <f aca="false">$B$5+INDEX(J$60:J$67,MATCH($B$20,$A$60:$A$67,0))</f>
        <v>11.1173310047095</v>
      </c>
      <c r="K81" s="30" t="n">
        <f aca="false">$B$5+INDEX(K$60:K$67,MATCH($B$20,$A$60:$A$67,0))</f>
        <v>13.43768258221</v>
      </c>
    </row>
    <row r="82" customFormat="false" ht="15" hidden="false" customHeight="false" outlineLevel="0" collapsed="false">
      <c r="A82" s="12" t="str">
        <f aca="false">datos_base!A13</f>
        <v>HCFC/HFC 5 kg</v>
      </c>
      <c r="B82" s="30" t="n">
        <f aca="false">$B$5+INDEX(B$60:B$67,MATCH($B$21,$A$60:$A$67,0))</f>
        <v>1</v>
      </c>
      <c r="C82" s="30" t="n">
        <f aca="false">$B$5+INDEX(C$60:C$67,MATCH($B$21,$A$60:$A$67,0))</f>
        <v>1</v>
      </c>
      <c r="D82" s="30" t="n">
        <f aca="false">$B$5+INDEX(D$60:D$67,MATCH($B$21,$A$60:$A$67,0))</f>
        <v>1</v>
      </c>
      <c r="E82" s="30" t="n">
        <f aca="false">$B$5+INDEX(E$60:E$67,MATCH($B$21,$A$60:$A$67,0))</f>
        <v>1</v>
      </c>
      <c r="F82" s="30" t="n">
        <f aca="false">$B$5+INDEX(F$60:F$67,MATCH($B$21,$A$60:$A$67,0))</f>
        <v>1</v>
      </c>
      <c r="G82" s="30" t="n">
        <f aca="false">$B$5+INDEX(G$60:G$67,MATCH($B$21,$A$60:$A$67,0))</f>
        <v>1.74663992421438</v>
      </c>
      <c r="H82" s="30" t="n">
        <f aca="false">$B$5+INDEX(H$60:H$67,MATCH($B$21,$A$60:$A$67,0))</f>
        <v>5.90875971048435</v>
      </c>
      <c r="I82" s="30" t="n">
        <f aca="false">$B$5+INDEX(I$60:I$67,MATCH($B$21,$A$60:$A$67,0))</f>
        <v>8.86439139186056</v>
      </c>
      <c r="J82" s="30" t="n">
        <f aca="false">$B$5+INDEX(J$60:J$67,MATCH($B$21,$A$60:$A$67,0))</f>
        <v>11.1173310047095</v>
      </c>
      <c r="K82" s="30" t="n">
        <f aca="false">$B$5+INDEX(K$60:K$67,MATCH($B$21,$A$60:$A$67,0))</f>
        <v>13.43768258221</v>
      </c>
    </row>
    <row r="83" customFormat="false" ht="15" hidden="false" customHeight="false" outlineLevel="0" collapsed="false">
      <c r="A83" s="12" t="str">
        <f aca="false">datos_base!A14</f>
        <v>Clase D 9 l</v>
      </c>
      <c r="B83" s="30" t="n">
        <f aca="false">$B$5+INDEX(B$60:B$67,MATCH($B$22,$A$60:$A$67,0))</f>
        <v>1</v>
      </c>
      <c r="C83" s="30" t="n">
        <f aca="false">$B$5+INDEX(C$60:C$67,MATCH($B$22,$A$60:$A$67,0))</f>
        <v>1</v>
      </c>
      <c r="D83" s="30" t="n">
        <f aca="false">$B$5+INDEX(D$60:D$67,MATCH($B$22,$A$60:$A$67,0))</f>
        <v>1</v>
      </c>
      <c r="E83" s="30" t="n">
        <f aca="false">$B$5+INDEX(E$60:E$67,MATCH($B$22,$A$60:$A$67,0))</f>
        <v>1</v>
      </c>
      <c r="F83" s="30" t="n">
        <f aca="false">$B$5+INDEX(F$60:F$67,MATCH($B$22,$A$60:$A$67,0))</f>
        <v>1</v>
      </c>
      <c r="G83" s="30" t="n">
        <f aca="false">$B$5+INDEX(G$60:G$67,MATCH($B$22,$A$60:$A$67,0))</f>
        <v>5.06803620185089</v>
      </c>
      <c r="H83" s="30" t="n">
        <f aca="false">$B$5+INDEX(H$60:H$67,MATCH($B$22,$A$60:$A$67,0))</f>
        <v>9.95617553912241</v>
      </c>
      <c r="I83" s="30" t="n">
        <f aca="false">$B$5+INDEX(I$60:I$67,MATCH($B$22,$A$60:$A$67,0))</f>
        <v>13.4526737502342</v>
      </c>
      <c r="J83" s="30" t="n">
        <f aca="false">$B$5+INDEX(J$60:J$67,MATCH($B$22,$A$60:$A$67,0))</f>
        <v>16.0229292864071</v>
      </c>
      <c r="K83" s="30" t="n">
        <f aca="false">$B$5+INDEX(K$60:K$67,MATCH($B$22,$A$60:$A$67,0))</f>
        <v>18.6742560026845</v>
      </c>
    </row>
    <row r="84" customFormat="false" ht="15" hidden="false" customHeight="false" outlineLevel="0" collapsed="false">
      <c r="A84" s="12" t="str">
        <f aca="false">datos_base!A15</f>
        <v>ABC 25 kg s/ruedas</v>
      </c>
      <c r="B84" s="30" t="n">
        <f aca="false">$B$5+INDEX(B$60:B$67,MATCH($B$23,$A$60:$A$67,0))</f>
        <v>1</v>
      </c>
      <c r="C84" s="30" t="n">
        <f aca="false">$B$5+INDEX(C$60:C$67,MATCH($B$23,$A$60:$A$67,0))</f>
        <v>1</v>
      </c>
      <c r="D84" s="30" t="n">
        <f aca="false">$B$5+INDEX(D$60:D$67,MATCH($B$23,$A$60:$A$67,0))</f>
        <v>1</v>
      </c>
      <c r="E84" s="30" t="n">
        <f aca="false">$B$5+INDEX(E$60:E$67,MATCH($B$23,$A$60:$A$67,0))</f>
        <v>1</v>
      </c>
      <c r="F84" s="30" t="n">
        <f aca="false">$B$5+INDEX(F$60:F$67,MATCH($B$23,$A$60:$A$67,0))</f>
        <v>1</v>
      </c>
      <c r="G84" s="30" t="n">
        <f aca="false">$B$5+INDEX(G$60:G$67,MATCH($B$23,$A$60:$A$67,0))</f>
        <v>5.06803620185089</v>
      </c>
      <c r="H84" s="30" t="n">
        <f aca="false">$B$5+INDEX(H$60:H$67,MATCH($B$23,$A$60:$A$67,0))</f>
        <v>9.95617553912241</v>
      </c>
      <c r="I84" s="30" t="n">
        <f aca="false">$B$5+INDEX(I$60:I$67,MATCH($B$23,$A$60:$A$67,0))</f>
        <v>13.4526737502342</v>
      </c>
      <c r="J84" s="30" t="n">
        <f aca="false">$B$5+INDEX(J$60:J$67,MATCH($B$23,$A$60:$A$67,0))</f>
        <v>16.0229292864071</v>
      </c>
      <c r="K84" s="30" t="n">
        <f aca="false">$B$5+INDEX(K$60:K$67,MATCH($B$23,$A$60:$A$67,0))</f>
        <v>18.6742560026845</v>
      </c>
    </row>
    <row r="85" customFormat="false" ht="15" hidden="false" customHeight="false" outlineLevel="0" collapsed="false">
      <c r="A85" s="12" t="str">
        <f aca="false">datos_base!A16</f>
        <v>ABC 50 kg s/ruedas</v>
      </c>
      <c r="B85" s="30" t="n">
        <f aca="false">$B$5+INDEX(B$60:B$67,MATCH($B$24,$A$60:$A$67,0))</f>
        <v>1</v>
      </c>
      <c r="C85" s="30" t="n">
        <f aca="false">$B$5+INDEX(C$60:C$67,MATCH($B$24,$A$60:$A$67,0))</f>
        <v>1</v>
      </c>
      <c r="D85" s="30" t="n">
        <f aca="false">$B$5+INDEX(D$60:D$67,MATCH($B$24,$A$60:$A$67,0))</f>
        <v>1</v>
      </c>
      <c r="E85" s="30" t="n">
        <f aca="false">$B$5+INDEX(E$60:E$67,MATCH($B$24,$A$60:$A$67,0))</f>
        <v>1</v>
      </c>
      <c r="F85" s="30" t="n">
        <f aca="false">$B$5+INDEX(F$60:F$67,MATCH($B$24,$A$60:$A$67,0))</f>
        <v>1</v>
      </c>
      <c r="G85" s="30" t="n">
        <f aca="false">$B$5+INDEX(G$60:G$67,MATCH($B$24,$A$60:$A$67,0))</f>
        <v>5.06803620185089</v>
      </c>
      <c r="H85" s="30" t="n">
        <f aca="false">$B$5+INDEX(H$60:H$67,MATCH($B$24,$A$60:$A$67,0))</f>
        <v>9.95617553912241</v>
      </c>
      <c r="I85" s="30" t="n">
        <f aca="false">$B$5+INDEX(I$60:I$67,MATCH($B$24,$A$60:$A$67,0))</f>
        <v>13.4526737502342</v>
      </c>
      <c r="J85" s="30" t="n">
        <f aca="false">$B$5+INDEX(J$60:J$67,MATCH($B$24,$A$60:$A$67,0))</f>
        <v>16.0229292864071</v>
      </c>
      <c r="K85" s="30" t="n">
        <f aca="false">$B$5+INDEX(K$60:K$67,MATCH($B$24,$A$60:$A$67,0))</f>
        <v>18.6742560026845</v>
      </c>
    </row>
    <row r="86" customFormat="false" ht="15" hidden="false" customHeight="false" outlineLevel="0" collapsed="false">
      <c r="A86" s="12" t="str">
        <f aca="false">datos_base!A17</f>
        <v>ABC 70 kg s/ruedas</v>
      </c>
      <c r="B86" s="30" t="n">
        <f aca="false">$B$5+INDEX(B$60:B$67,MATCH($B$25,$A$60:$A$67,0))</f>
        <v>1</v>
      </c>
      <c r="C86" s="30" t="n">
        <f aca="false">$B$5+INDEX(C$60:C$67,MATCH($B$25,$A$60:$A$67,0))</f>
        <v>1</v>
      </c>
      <c r="D86" s="30" t="n">
        <f aca="false">$B$5+INDEX(D$60:D$67,MATCH($B$25,$A$60:$A$67,0))</f>
        <v>1</v>
      </c>
      <c r="E86" s="30" t="n">
        <f aca="false">$B$5+INDEX(E$60:E$67,MATCH($B$25,$A$60:$A$67,0))</f>
        <v>1</v>
      </c>
      <c r="F86" s="30" t="n">
        <f aca="false">$B$5+INDEX(F$60:F$67,MATCH($B$25,$A$60:$A$67,0))</f>
        <v>1</v>
      </c>
      <c r="G86" s="30" t="n">
        <f aca="false">$B$5+INDEX(G$60:G$67,MATCH($B$25,$A$60:$A$67,0))</f>
        <v>5.06803620185089</v>
      </c>
      <c r="H86" s="30" t="n">
        <f aca="false">$B$5+INDEX(H$60:H$67,MATCH($B$25,$A$60:$A$67,0))</f>
        <v>9.95617553912241</v>
      </c>
      <c r="I86" s="30" t="n">
        <f aca="false">$B$5+INDEX(I$60:I$67,MATCH($B$25,$A$60:$A$67,0))</f>
        <v>13.4526737502342</v>
      </c>
      <c r="J86" s="30" t="n">
        <f aca="false">$B$5+INDEX(J$60:J$67,MATCH($B$25,$A$60:$A$67,0))</f>
        <v>16.0229292864071</v>
      </c>
      <c r="K86" s="30" t="n">
        <f aca="false">$B$5+INDEX(K$60:K$67,MATCH($B$25,$A$60:$A$67,0))</f>
        <v>18.6742560026845</v>
      </c>
    </row>
    <row r="87" customFormat="false" ht="15" hidden="false" customHeight="false" outlineLevel="0" collapsed="false">
      <c r="A87" s="12" t="str">
        <f aca="false">datos_base!A18</f>
        <v>ABC 100 kg s/ruedas</v>
      </c>
      <c r="B87" s="30" t="n">
        <f aca="false">$B$5+INDEX(B$60:B$67,MATCH($B$26,$A$60:$A$67,0))</f>
        <v>1</v>
      </c>
      <c r="C87" s="30" t="n">
        <f aca="false">$B$5+INDEX(C$60:C$67,MATCH($B$26,$A$60:$A$67,0))</f>
        <v>1</v>
      </c>
      <c r="D87" s="30" t="n">
        <f aca="false">$B$5+INDEX(D$60:D$67,MATCH($B$26,$A$60:$A$67,0))</f>
        <v>1</v>
      </c>
      <c r="E87" s="30" t="n">
        <f aca="false">$B$5+INDEX(E$60:E$67,MATCH($B$26,$A$60:$A$67,0))</f>
        <v>1</v>
      </c>
      <c r="F87" s="30" t="n">
        <f aca="false">$B$5+INDEX(F$60:F$67,MATCH($B$26,$A$60:$A$67,0))</f>
        <v>1</v>
      </c>
      <c r="G87" s="30" t="n">
        <f aca="false">$B$5+INDEX(G$60:G$67,MATCH($B$26,$A$60:$A$67,0))</f>
        <v>5.06803620185089</v>
      </c>
      <c r="H87" s="30" t="n">
        <f aca="false">$B$5+INDEX(H$60:H$67,MATCH($B$26,$A$60:$A$67,0))</f>
        <v>9.95617553912241</v>
      </c>
      <c r="I87" s="30" t="n">
        <f aca="false">$B$5+INDEX(I$60:I$67,MATCH($B$26,$A$60:$A$67,0))</f>
        <v>13.4526737502342</v>
      </c>
      <c r="J87" s="30" t="n">
        <f aca="false">$B$5+INDEX(J$60:J$67,MATCH($B$26,$A$60:$A$67,0))</f>
        <v>16.0229292864071</v>
      </c>
      <c r="K87" s="30" t="n">
        <f aca="false">$B$5+INDEX(K$60:K$67,MATCH($B$26,$A$60:$A$67,0))</f>
        <v>18.6742560026845</v>
      </c>
    </row>
    <row r="89" customFormat="false" ht="15" hidden="false" customHeight="false" outlineLevel="0" collapsed="false">
      <c r="A89" s="1" t="s">
        <v>327</v>
      </c>
    </row>
    <row r="90" customFormat="false" ht="15" hidden="false" customHeight="false" outlineLevel="0" collapsed="false">
      <c r="A90" s="3" t="s">
        <v>138</v>
      </c>
      <c r="B90" s="3" t="n">
        <v>2026</v>
      </c>
      <c r="C90" s="3" t="n">
        <v>2027</v>
      </c>
      <c r="D90" s="3" t="n">
        <v>2028</v>
      </c>
      <c r="E90" s="3" t="n">
        <v>2029</v>
      </c>
      <c r="F90" s="3" t="n">
        <v>2030</v>
      </c>
      <c r="G90" s="3" t="n">
        <v>2031</v>
      </c>
      <c r="H90" s="3" t="n">
        <v>2032</v>
      </c>
      <c r="I90" s="3" t="n">
        <v>2033</v>
      </c>
      <c r="J90" s="3" t="n">
        <v>2034</v>
      </c>
      <c r="K90" s="3" t="n">
        <v>2035</v>
      </c>
    </row>
    <row r="91" customFormat="false" ht="15" hidden="false" customHeight="false" outlineLevel="0" collapsed="false">
      <c r="A91" s="12" t="str">
        <f aca="false">datos_base!A2</f>
        <v>ABC 1 kg</v>
      </c>
      <c r="B91" s="25" t="n">
        <f aca="false">B30*B71*$C$10</f>
        <v>0</v>
      </c>
      <c r="C91" s="25" t="n">
        <f aca="false">C30*C71*$C$10</f>
        <v>0</v>
      </c>
      <c r="D91" s="25" t="n">
        <f aca="false">D30*D71*$C$10</f>
        <v>0</v>
      </c>
      <c r="E91" s="25" t="n">
        <f aca="false">E30*E71*$C$10</f>
        <v>0</v>
      </c>
      <c r="F91" s="25" t="n">
        <f aca="false">F30*F71*$C$10</f>
        <v>0</v>
      </c>
      <c r="G91" s="25" t="n">
        <f aca="false">G30*G71*$C$10</f>
        <v>0</v>
      </c>
      <c r="H91" s="25" t="n">
        <f aca="false">H30*H71*$C$10</f>
        <v>0</v>
      </c>
      <c r="I91" s="25" t="n">
        <f aca="false">I30*I71*$C$10</f>
        <v>0</v>
      </c>
      <c r="J91" s="25" t="n">
        <f aca="false">J30*J71*$C$10</f>
        <v>0</v>
      </c>
      <c r="K91" s="25" t="n">
        <f aca="false">K30*K71*$C$10</f>
        <v>0</v>
      </c>
    </row>
    <row r="92" customFormat="false" ht="15" hidden="false" customHeight="false" outlineLevel="0" collapsed="false">
      <c r="A92" s="12" t="str">
        <f aca="false">datos_base!A3</f>
        <v>ABC 2,5 kg</v>
      </c>
      <c r="B92" s="25" t="n">
        <f aca="false">B31*B72*$C$11</f>
        <v>0.719759177018816</v>
      </c>
      <c r="C92" s="25" t="n">
        <f aca="false">C31*C72*$C$11</f>
        <v>2.08485812700743</v>
      </c>
      <c r="D92" s="25" t="n">
        <f aca="false">D31*D72*$C$11</f>
        <v>4.6248175117642</v>
      </c>
      <c r="E92" s="25" t="n">
        <f aca="false">E31*E72*$C$11</f>
        <v>7.73183122575785</v>
      </c>
      <c r="F92" s="25" t="n">
        <f aca="false">F31*F72*$C$11</f>
        <v>10.8172517346907</v>
      </c>
      <c r="G92" s="25" t="n">
        <f aca="false">G31*G72*$C$11</f>
        <v>69.9359056296471</v>
      </c>
      <c r="H92" s="25" t="n">
        <f aca="false">H31*H72*$C$11</f>
        <v>162.334413288201</v>
      </c>
      <c r="I92" s="25" t="n">
        <f aca="false">I31*I72*$C$11</f>
        <v>238.216377555641</v>
      </c>
      <c r="J92" s="25" t="n">
        <f aca="false">J31*J72*$C$11</f>
        <v>306.504133477857</v>
      </c>
      <c r="K92" s="25" t="n">
        <f aca="false">K31*K72*$C$11</f>
        <v>384.71750166838</v>
      </c>
    </row>
    <row r="93" customFormat="false" ht="15" hidden="false" customHeight="false" outlineLevel="0" collapsed="false">
      <c r="A93" s="12" t="str">
        <f aca="false">datos_base!A4</f>
        <v>ABC 5 kg</v>
      </c>
      <c r="B93" s="25" t="n">
        <f aca="false">B32*B73*$C$12</f>
        <v>4.25402492281855</v>
      </c>
      <c r="C93" s="25" t="n">
        <f aca="false">C32*C73*$C$12</f>
        <v>12.7166515468307</v>
      </c>
      <c r="D93" s="25" t="n">
        <f aca="false">D32*D73*$C$12</f>
        <v>27.8945960551403</v>
      </c>
      <c r="E93" s="25" t="n">
        <f aca="false">E32*E73*$C$12</f>
        <v>47.8861980722383</v>
      </c>
      <c r="F93" s="25" t="n">
        <f aca="false">F32*F73*$C$12</f>
        <v>66.6978951060569</v>
      </c>
      <c r="G93" s="25" t="n">
        <f aca="false">G32*G73*$C$12</f>
        <v>431.553584643094</v>
      </c>
      <c r="H93" s="25" t="n">
        <f aca="false">H32*H73*$C$12</f>
        <v>997.599350885913</v>
      </c>
      <c r="I93" s="25" t="n">
        <f aca="false">I32*I73*$C$12</f>
        <v>1457.00295857168</v>
      </c>
      <c r="J93" s="25" t="n">
        <f aca="false">J32*J73*$C$12</f>
        <v>1868.94358700694</v>
      </c>
      <c r="K93" s="25" t="n">
        <f aca="false">K32*K73*$C$12</f>
        <v>2340.03023210451</v>
      </c>
    </row>
    <row r="94" customFormat="false" ht="15" hidden="false" customHeight="false" outlineLevel="0" collapsed="false">
      <c r="A94" s="12" t="str">
        <f aca="false">datos_base!A5</f>
        <v>ABC 10 kg</v>
      </c>
      <c r="B94" s="25" t="n">
        <f aca="false">B33*B74*$C$13</f>
        <v>0.258120531004082</v>
      </c>
      <c r="C94" s="25" t="n">
        <f aca="false">C33*C74*$C$13</f>
        <v>0.708844977572797</v>
      </c>
      <c r="D94" s="25" t="n">
        <f aca="false">D33*D74*$C$13</f>
        <v>1.60843207629316</v>
      </c>
      <c r="E94" s="25" t="n">
        <f aca="false">E33*E74*$C$13</f>
        <v>2.79348273407497</v>
      </c>
      <c r="F94" s="25" t="n">
        <f aca="false">F33*F74*$C$13</f>
        <v>3.91992326499788</v>
      </c>
      <c r="G94" s="25" t="n">
        <f aca="false">G33*G74*$C$13</f>
        <v>25.5645202909634</v>
      </c>
      <c r="H94" s="25" t="n">
        <f aca="false">H33*H74*$C$13</f>
        <v>59.1008280159137</v>
      </c>
      <c r="I94" s="25" t="n">
        <f aca="false">I33*I74*$C$13</f>
        <v>86.2557711492695</v>
      </c>
      <c r="J94" s="25" t="n">
        <f aca="false">J33*J74*$C$13</f>
        <v>110.653519740541</v>
      </c>
      <c r="K94" s="25" t="n">
        <f aca="false">K33*K74*$C$13</f>
        <v>138.555631387206</v>
      </c>
    </row>
    <row r="95" customFormat="false" ht="15" hidden="false" customHeight="false" outlineLevel="0" collapsed="false">
      <c r="A95" s="12" t="str">
        <f aca="false">datos_base!A6</f>
        <v>Agua 10 l</v>
      </c>
      <c r="B95" s="25" t="n">
        <f aca="false">B34*B75*$C$14</f>
        <v>0.347469946924639</v>
      </c>
      <c r="C95" s="25" t="n">
        <f aca="false">C34*C75*$C$14</f>
        <v>1.04197000781359</v>
      </c>
      <c r="D95" s="25" t="n">
        <f aca="false">D34*D75*$C$14</f>
        <v>2.31362983375756</v>
      </c>
      <c r="E95" s="25" t="n">
        <f aca="false">E34*E75*$C$14</f>
        <v>3.94204998945695</v>
      </c>
      <c r="F95" s="25" t="n">
        <f aca="false">F34*F75*$C$14</f>
        <v>5.49960095570768</v>
      </c>
      <c r="G95" s="25" t="n">
        <f aca="false">G34*G75*$C$14</f>
        <v>12.3375170565183</v>
      </c>
      <c r="H95" s="25" t="n">
        <f aca="false">H34*H75*$C$14</f>
        <v>49.1787394157773</v>
      </c>
      <c r="I95" s="25" t="n">
        <f aca="false">I34*I75*$C$14</f>
        <v>80.006008922703</v>
      </c>
      <c r="J95" s="25" t="n">
        <f aca="false">J34*J75*$C$14</f>
        <v>108.247744435426</v>
      </c>
      <c r="K95" s="25" t="n">
        <f aca="false">K34*K75*$C$14</f>
        <v>140.75721069334</v>
      </c>
    </row>
    <row r="96" customFormat="false" ht="15" hidden="false" customHeight="false" outlineLevel="0" collapsed="false">
      <c r="A96" s="12" t="str">
        <f aca="false">datos_base!A7</f>
        <v>AFFF 10 l</v>
      </c>
      <c r="B96" s="25" t="n">
        <f aca="false">B35*B76*$C$15</f>
        <v>0.0496385641579643</v>
      </c>
      <c r="C96" s="25" t="n">
        <f aca="false">C35*C76*$C$15</f>
        <v>0.261237215236874</v>
      </c>
      <c r="D96" s="25" t="n">
        <f aca="false">D35*D76*$C$15</f>
        <v>0.49683298347697</v>
      </c>
      <c r="E96" s="25" t="n">
        <f aca="false">E35*E76*$C$15</f>
        <v>0.751510076322005</v>
      </c>
      <c r="F96" s="25" t="n">
        <f aca="false">F35*F76*$C$15</f>
        <v>1.02482225743698</v>
      </c>
      <c r="G96" s="25" t="n">
        <f aca="false">G35*G76*$C$15</f>
        <v>2.22639097836413</v>
      </c>
      <c r="H96" s="25" t="n">
        <f aca="false">H35*H76*$C$15</f>
        <v>8.987019559306</v>
      </c>
      <c r="I96" s="25" t="n">
        <f aca="false">I35*I76*$C$15</f>
        <v>14.874852630224</v>
      </c>
      <c r="J96" s="25" t="n">
        <f aca="false">J35*J76*$C$15</f>
        <v>20.3605785400857</v>
      </c>
      <c r="K96" s="25" t="n">
        <f aca="false">K35*K76*$C$15</f>
        <v>26.7236620184705</v>
      </c>
    </row>
    <row r="97" customFormat="false" ht="15" hidden="false" customHeight="false" outlineLevel="0" collapsed="false">
      <c r="A97" s="12" t="str">
        <f aca="false">datos_base!A8</f>
        <v>AFFF 50 l s/ruedas</v>
      </c>
      <c r="B97" s="25" t="n">
        <f aca="false">B36*B77*$C$16</f>
        <v>0.0248192809884269</v>
      </c>
      <c r="C97" s="25" t="n">
        <f aca="false">C36*C77*$C$16</f>
        <v>0.134773451893177</v>
      </c>
      <c r="D97" s="25" t="n">
        <f aca="false">D36*D77*$C$16</f>
        <v>0.258083321244585</v>
      </c>
      <c r="E97" s="25" t="n">
        <f aca="false">E36*E77*$C$16</f>
        <v>0.400896591154969</v>
      </c>
      <c r="F97" s="25" t="n">
        <f aca="false">F36*F77*$C$16</f>
        <v>0.549623884529543</v>
      </c>
      <c r="G97" s="25" t="n">
        <f aca="false">G36*G77*$C$16</f>
        <v>1.1897075886022</v>
      </c>
      <c r="H97" s="25" t="n">
        <f aca="false">H36*H77*$C$16</f>
        <v>4.73112755110817</v>
      </c>
      <c r="I97" s="25" t="n">
        <f aca="false">I36*I77*$C$16</f>
        <v>7.82667491498876</v>
      </c>
      <c r="J97" s="25" t="n">
        <f aca="false">J36*J77*$C$16</f>
        <v>10.6575798800012</v>
      </c>
      <c r="K97" s="25" t="n">
        <f aca="false">K36*K77*$C$16</f>
        <v>13.9303036777965</v>
      </c>
    </row>
    <row r="98" customFormat="false" ht="15" hidden="false" customHeight="false" outlineLevel="0" collapsed="false">
      <c r="A98" s="12" t="str">
        <f aca="false">datos_base!A9</f>
        <v>BC 5 kg</v>
      </c>
      <c r="B98" s="25" t="n">
        <f aca="false">B37*B78*$C$17</f>
        <v>0.0148915685930562</v>
      </c>
      <c r="C98" s="25" t="n">
        <f aca="false">C37*C78*$C$17</f>
        <v>0.0762309236090248</v>
      </c>
      <c r="D98" s="25" t="n">
        <f aca="false">D37*D78*$C$17</f>
        <v>0.139489286176042</v>
      </c>
      <c r="E98" s="25" t="n">
        <f aca="false">E37*E78*$C$17</f>
        <v>0.227282806155588</v>
      </c>
      <c r="F98" s="25" t="n">
        <f aca="false">F37*F78*$C$17</f>
        <v>0.302844027356268</v>
      </c>
      <c r="G98" s="25" t="n">
        <f aca="false">G37*G78*$C$17</f>
        <v>1.95820153877626</v>
      </c>
      <c r="H98" s="25" t="n">
        <f aca="false">H37*H78*$C$17</f>
        <v>4.67420681049316</v>
      </c>
      <c r="I98" s="25" t="n">
        <f aca="false">I37*I78*$C$17</f>
        <v>6.82109201403327</v>
      </c>
      <c r="J98" s="25" t="n">
        <f aca="false">J37*J78*$C$17</f>
        <v>8.85344138652627</v>
      </c>
      <c r="K98" s="25" t="n">
        <f aca="false">K37*K78*$C$17</f>
        <v>11.1909983654966</v>
      </c>
    </row>
    <row r="99" customFormat="false" ht="15" hidden="false" customHeight="false" outlineLevel="0" collapsed="false">
      <c r="A99" s="12" t="str">
        <f aca="false">datos_base!A10</f>
        <v>Sales K 6 l</v>
      </c>
      <c r="B99" s="25" t="n">
        <f aca="false">B38*B79*$C$18</f>
        <v>0.178698829660005</v>
      </c>
      <c r="C99" s="25" t="n">
        <f aca="false">C38*C79*$C$18</f>
        <v>0.543150078840324</v>
      </c>
      <c r="D99" s="25" t="n">
        <f aca="false">D38*D79*$C$18</f>
        <v>1.17159242633182</v>
      </c>
      <c r="E99" s="25" t="n">
        <f aca="false">E38*E79*$C$18</f>
        <v>1.93636203611222</v>
      </c>
      <c r="F99" s="25" t="n">
        <f aca="false">F38*F79*$C$18</f>
        <v>2.70211744256456</v>
      </c>
      <c r="G99" s="25" t="n">
        <f aca="false">G38*G79*$C$18</f>
        <v>6.00843635175132</v>
      </c>
      <c r="H99" s="25" t="n">
        <f aca="false">H38*H79*$C$18</f>
        <v>24.0462419318106</v>
      </c>
      <c r="I99" s="25" t="n">
        <f aca="false">I38*I79*$C$18</f>
        <v>39.3826355934559</v>
      </c>
      <c r="J99" s="25" t="n">
        <f aca="false">J38*J79*$C$18</f>
        <v>53.3387901648125</v>
      </c>
      <c r="K99" s="25" t="n">
        <f aca="false">K38*K79*$C$18</f>
        <v>69.4150956544879</v>
      </c>
    </row>
    <row r="100" customFormat="false" ht="15" hidden="false" customHeight="false" outlineLevel="0" collapsed="false">
      <c r="A100" s="12" t="str">
        <f aca="false">datos_base!A11</f>
        <v>CO₂ 2 kg</v>
      </c>
      <c r="B100" s="25" t="n">
        <f aca="false">B39*B80*$C$19</f>
        <v>0.982843564220583</v>
      </c>
      <c r="C100" s="25" t="n">
        <f aca="false">C39*C80*$C$19</f>
        <v>2.74844188153188</v>
      </c>
      <c r="D100" s="25" t="n">
        <f aca="false">D39*D80*$C$19</f>
        <v>6.20665538715818</v>
      </c>
      <c r="E100" s="25" t="n">
        <f aca="false">E39*E80*$C$19</f>
        <v>10.7744051838998</v>
      </c>
      <c r="F100" s="25" t="n">
        <f aca="false">F39*F80*$C$19</f>
        <v>15.0462137356407</v>
      </c>
      <c r="G100" s="25" t="n">
        <f aca="false">G39*G80*$C$19</f>
        <v>33.5618141756772</v>
      </c>
      <c r="H100" s="25" t="n">
        <f aca="false">H39*H80*$C$19</f>
        <v>133.469330244102</v>
      </c>
      <c r="I100" s="25" t="n">
        <f aca="false">I39*I80*$C$19</f>
        <v>215.891780531118</v>
      </c>
      <c r="J100" s="25" t="n">
        <f aca="false">J39*J80*$C$19</f>
        <v>291.609049194625</v>
      </c>
      <c r="K100" s="25" t="n">
        <f aca="false">K39*K80*$C$19</f>
        <v>378.667074737478</v>
      </c>
    </row>
    <row r="101" customFormat="false" ht="15" hidden="false" customHeight="false" outlineLevel="0" collapsed="false">
      <c r="A101" s="12" t="str">
        <f aca="false">datos_base!A12</f>
        <v>CO₂ 5 kg</v>
      </c>
      <c r="B101" s="25" t="n">
        <f aca="false">B40*B81*$C$20</f>
        <v>0.273012101778248</v>
      </c>
      <c r="C101" s="25" t="n">
        <f aca="false">C40*C81*$C$20</f>
        <v>1.04230494988624</v>
      </c>
      <c r="D101" s="25" t="n">
        <f aca="false">D40*D81*$C$20</f>
        <v>2.1586892619341</v>
      </c>
      <c r="E101" s="25" t="n">
        <f aca="false">E40*E81*$C$20</f>
        <v>3.5057779234911</v>
      </c>
      <c r="F101" s="25" t="n">
        <f aca="false">F40*F81*$C$20</f>
        <v>4.88479830391006</v>
      </c>
      <c r="G101" s="25" t="n">
        <f aca="false">G40*G81*$C$20</f>
        <v>10.9217499317243</v>
      </c>
      <c r="H101" s="25" t="n">
        <f aca="false">H40*H81*$C$20</f>
        <v>44.0265311785147</v>
      </c>
      <c r="I101" s="25" t="n">
        <f aca="false">I40*I81*$C$20</f>
        <v>72.7275951323254</v>
      </c>
      <c r="J101" s="25" t="n">
        <f aca="false">J40*J81*$C$20</f>
        <v>99.0188440761762</v>
      </c>
      <c r="K101" s="25" t="n">
        <f aca="false">K40*K81*$C$20</f>
        <v>129.410491602471</v>
      </c>
    </row>
    <row r="102" customFormat="false" ht="15" hidden="false" customHeight="false" outlineLevel="0" collapsed="false">
      <c r="A102" s="12" t="str">
        <f aca="false">datos_base!A13</f>
        <v>HCFC/HFC 5 kg</v>
      </c>
      <c r="B102" s="25" t="n">
        <f aca="false">B41*B82*$C$21</f>
        <v>0.0397108517625935</v>
      </c>
      <c r="C102" s="25" t="n">
        <f aca="false">C41*C82*$C$21</f>
        <v>0.181496181167163</v>
      </c>
      <c r="D102" s="25" t="n">
        <f aca="false">D41*D82*$C$21</f>
        <v>0.36226552777563</v>
      </c>
      <c r="E102" s="25" t="n">
        <f aca="false">E41*E82*$C$21</f>
        <v>0.570998640899556</v>
      </c>
      <c r="F102" s="25" t="n">
        <f aca="false">F41*F82*$C$21</f>
        <v>0.791579886208886</v>
      </c>
      <c r="G102" s="25" t="n">
        <f aca="false">G41*G82*$C$21</f>
        <v>1.74422375648393</v>
      </c>
      <c r="H102" s="25" t="n">
        <f aca="false">H41*H82*$C$21</f>
        <v>7.10609681031008</v>
      </c>
      <c r="I102" s="25" t="n">
        <f aca="false">I41*I82*$C$21</f>
        <v>11.8001849316099</v>
      </c>
      <c r="J102" s="25" t="n">
        <f aca="false">J41*J82*$C$21</f>
        <v>16.1459319890385</v>
      </c>
      <c r="K102" s="25" t="n">
        <f aca="false">K41*K82*$C$21</f>
        <v>21.1855188796527</v>
      </c>
    </row>
    <row r="103" customFormat="false" ht="15" hidden="false" customHeight="false" outlineLevel="0" collapsed="false">
      <c r="A103" s="12" t="str">
        <f aca="false">datos_base!A14</f>
        <v>Clase D 9 l</v>
      </c>
      <c r="B103" s="25" t="n">
        <f aca="false">B42*B83*$C$22</f>
        <v>0.0148915685930562</v>
      </c>
      <c r="C103" s="25" t="n">
        <f aca="false">C42*C83*$C$22</f>
        <v>0.0762309236090248</v>
      </c>
      <c r="D103" s="25" t="n">
        <f aca="false">D42*D83*$C$22</f>
        <v>0.139489286176042</v>
      </c>
      <c r="E103" s="25" t="n">
        <f aca="false">E42*E83*$C$22</f>
        <v>0.211290170881501</v>
      </c>
      <c r="F103" s="25" t="n">
        <f aca="false">F42*F83*$C$22</f>
        <v>0.282768691375982</v>
      </c>
      <c r="G103" s="25" t="n">
        <f aca="false">G42*G83*$C$22</f>
        <v>1.7159692765677</v>
      </c>
      <c r="H103" s="25" t="n">
        <f aca="false">H42*H83*$C$22</f>
        <v>4.16190175482014</v>
      </c>
      <c r="I103" s="25" t="n">
        <f aca="false">I42*I83*$C$22</f>
        <v>6.12795996414518</v>
      </c>
      <c r="J103" s="25" t="n">
        <f aca="false">J42*J83*$C$22</f>
        <v>7.97758970911643</v>
      </c>
      <c r="K103" s="25" t="n">
        <f aca="false">K42*K83*$C$22</f>
        <v>10.1079033664163</v>
      </c>
    </row>
    <row r="104" customFormat="false" ht="15" hidden="false" customHeight="false" outlineLevel="0" collapsed="false">
      <c r="A104" s="12" t="str">
        <f aca="false">datos_base!A15</f>
        <v>ABC 25 kg s/ruedas</v>
      </c>
      <c r="B104" s="25" t="n">
        <f aca="false">B43*B84*$C$23</f>
        <v>0.0384698871678946</v>
      </c>
      <c r="C104" s="25" t="n">
        <f aca="false">C43*C84*$C$23</f>
        <v>0.139250000329183</v>
      </c>
      <c r="D104" s="25" t="n">
        <f aca="false">D43*D84*$C$23</f>
        <v>0.293243306555152</v>
      </c>
      <c r="E104" s="25" t="n">
        <f aca="false">E43*E84*$C$23</f>
        <v>0.479614264374648</v>
      </c>
      <c r="F104" s="25" t="n">
        <f aca="false">F43*F84*$C$23</f>
        <v>0.66705732136706</v>
      </c>
      <c r="G104" s="25" t="n">
        <f aca="false">G43*G84*$C$23</f>
        <v>4.31546846902087</v>
      </c>
      <c r="H104" s="25" t="n">
        <f aca="false">H43*H84*$C$23</f>
        <v>10.0421537240226</v>
      </c>
      <c r="I104" s="25" t="n">
        <f aca="false">I43*I84*$C$23</f>
        <v>14.8590608939984</v>
      </c>
      <c r="J104" s="25" t="n">
        <f aca="false">J43*J84*$C$23</f>
        <v>19.171537670327</v>
      </c>
      <c r="K104" s="25" t="n">
        <f aca="false">K43*K84*$C$23</f>
        <v>24.1175740955874</v>
      </c>
    </row>
    <row r="105" customFormat="false" ht="15" hidden="false" customHeight="false" outlineLevel="0" collapsed="false">
      <c r="A105" s="12" t="str">
        <f aca="false">datos_base!A16</f>
        <v>ABC 50 kg s/ruedas</v>
      </c>
      <c r="B105" s="25" t="n">
        <f aca="false">B44*B85*$C$24</f>
        <v>0.0846337504607017</v>
      </c>
      <c r="C105" s="25" t="n">
        <f aca="false">C44*C85*$C$24</f>
        <v>0.3063500026675</v>
      </c>
      <c r="D105" s="25" t="n">
        <f aca="false">D44*D85*$C$24</f>
        <v>0.645135275362878</v>
      </c>
      <c r="E105" s="25" t="n">
        <f aca="false">E44*E85*$C$24</f>
        <v>1.05515138133924</v>
      </c>
      <c r="F105" s="25" t="n">
        <f aca="false">F44*F85*$C$24</f>
        <v>1.46752610618083</v>
      </c>
      <c r="G105" s="25" t="n">
        <f aca="false">G44*G85*$C$24</f>
        <v>9.49403063855507</v>
      </c>
      <c r="H105" s="25" t="n">
        <f aca="false">H44*H85*$C$24</f>
        <v>22.0927382004532</v>
      </c>
      <c r="I105" s="25" t="n">
        <f aca="false">I44*I85*$C$24</f>
        <v>32.6899339601158</v>
      </c>
      <c r="J105" s="25" t="n">
        <f aca="false">J44*J85*$C$24</f>
        <v>42.177382854859</v>
      </c>
      <c r="K105" s="25" t="n">
        <f aca="false">K44*K85*$C$24</f>
        <v>53.0586629778867</v>
      </c>
    </row>
    <row r="106" customFormat="false" ht="15" hidden="false" customHeight="false" outlineLevel="0" collapsed="false">
      <c r="A106" s="12" t="str">
        <f aca="false">datos_base!A17</f>
        <v>ABC 70 kg s/ruedas</v>
      </c>
      <c r="B106" s="25" t="n">
        <f aca="false">B45*B86*$C$25</f>
        <v>0.0184655448809008</v>
      </c>
      <c r="C106" s="25" t="n">
        <f aca="false">C45*C86*$C$25</f>
        <v>0.0668399999636778</v>
      </c>
      <c r="D106" s="25" t="n">
        <f aca="false">D45*D86*$C$25</f>
        <v>0.140756786895394</v>
      </c>
      <c r="E106" s="25" t="n">
        <f aca="false">E45*E86*$C$25</f>
        <v>0.230214846785835</v>
      </c>
      <c r="F106" s="25" t="n">
        <f aca="false">F45*F86*$C$25</f>
        <v>0.320187514201075</v>
      </c>
      <c r="G106" s="25" t="n">
        <f aca="false">G45*G86*$C$25</f>
        <v>2.07142486647185</v>
      </c>
      <c r="H106" s="25" t="n">
        <f aca="false">H45*H86*$C$25</f>
        <v>4.82023378550322</v>
      </c>
      <c r="I106" s="25" t="n">
        <f aca="false">I45*I86*$C$25</f>
        <v>7.13234922310665</v>
      </c>
      <c r="J106" s="25" t="n">
        <f aca="false">J45*J86*$C$25</f>
        <v>9.20233808572907</v>
      </c>
      <c r="K106" s="25" t="n">
        <f aca="false">K45*K86*$C$25</f>
        <v>11.5764355668078</v>
      </c>
    </row>
    <row r="107" customFormat="false" ht="15" hidden="false" customHeight="false" outlineLevel="0" collapsed="false">
      <c r="A107" s="12" t="str">
        <f aca="false">datos_base!A18</f>
        <v>ABC 100 kg s/ruedas</v>
      </c>
      <c r="B107" s="25" t="n">
        <f aca="false">B46*B87*$C$26</f>
        <v>0.0123103639809707</v>
      </c>
      <c r="C107" s="25" t="n">
        <f aca="false">C46*C87*$C$26</f>
        <v>0.0445599999757852</v>
      </c>
      <c r="D107" s="25" t="n">
        <f aca="false">D46*D87*$C$26</f>
        <v>0.0938378589764232</v>
      </c>
      <c r="E107" s="25" t="n">
        <f aca="false">E46*E87*$C$26</f>
        <v>0.153476564998873</v>
      </c>
      <c r="F107" s="25" t="n">
        <f aca="false">F46*F87*$C$26</f>
        <v>0.213458342341437</v>
      </c>
      <c r="G107" s="25" t="n">
        <f aca="false">G46*G87*$C$26</f>
        <v>1.38094990874485</v>
      </c>
      <c r="H107" s="25" t="n">
        <f aca="false">H46*H87*$C$26</f>
        <v>3.21348919878387</v>
      </c>
      <c r="I107" s="25" t="n">
        <f aca="false">I46*I87*$C$26</f>
        <v>4.7548994820711</v>
      </c>
      <c r="J107" s="25" t="n">
        <f aca="false">J46*J87*$C$26</f>
        <v>6.13489205053255</v>
      </c>
      <c r="K107" s="25" t="n">
        <f aca="false">K46*K87*$C$26</f>
        <v>7.71762369577401</v>
      </c>
    </row>
    <row r="109" customFormat="false" ht="15" hidden="false" customHeight="false" outlineLevel="0" collapsed="false">
      <c r="A109" s="1" t="s">
        <v>328</v>
      </c>
    </row>
    <row r="110" customFormat="false" ht="15" hidden="false" customHeight="false" outlineLevel="0" collapsed="false">
      <c r="A110" s="3" t="s">
        <v>319</v>
      </c>
      <c r="B110" s="3" t="n">
        <v>2026</v>
      </c>
      <c r="C110" s="3" t="n">
        <v>2027</v>
      </c>
      <c r="D110" s="3" t="n">
        <v>2028</v>
      </c>
      <c r="E110" s="3" t="n">
        <v>2029</v>
      </c>
      <c r="F110" s="3" t="n">
        <v>2030</v>
      </c>
      <c r="G110" s="3" t="n">
        <v>2031</v>
      </c>
      <c r="H110" s="3" t="n">
        <v>2032</v>
      </c>
      <c r="I110" s="3" t="n">
        <v>2033</v>
      </c>
      <c r="J110" s="3" t="n">
        <v>2034</v>
      </c>
      <c r="K110" s="3" t="n">
        <v>2035</v>
      </c>
    </row>
    <row r="111" customFormat="false" ht="15" hidden="false" customHeight="false" outlineLevel="0" collapsed="false">
      <c r="A111" s="4" t="s">
        <v>5</v>
      </c>
      <c r="B111" s="13" t="n">
        <f aca="false">ROUNDUP(SUMIF($D$10:$D$26,$A111,B$91:B$107),0)</f>
        <v>5</v>
      </c>
      <c r="C111" s="13" t="n">
        <f aca="false">ROUNDUP(SUMIF($D$10:$D$26,$A111,C$91:C$107),0)</f>
        <v>15</v>
      </c>
      <c r="D111" s="13" t="n">
        <f aca="false">ROUNDUP(SUMIF($D$10:$D$26,$A111,D$91:D$107),0)</f>
        <v>33</v>
      </c>
      <c r="E111" s="13" t="n">
        <f aca="false">ROUNDUP(SUMIF($D$10:$D$26,$A111,E$91:E$107),0)</f>
        <v>56</v>
      </c>
      <c r="F111" s="13" t="n">
        <f aca="false">ROUNDUP(SUMIF($D$10:$D$26,$A111,F$91:F$107),0)</f>
        <v>78</v>
      </c>
      <c r="G111" s="13" t="n">
        <f aca="false">ROUNDUP(SUMIF($D$10:$D$26,$A111,G$91:G$107),0)</f>
        <v>502</v>
      </c>
      <c r="H111" s="13" t="n">
        <f aca="false">ROUNDUP(SUMIF($D$10:$D$26,$A111,H$91:H$107),0)</f>
        <v>1160</v>
      </c>
      <c r="I111" s="13" t="n">
        <f aca="false">ROUNDUP(SUMIF($D$10:$D$26,$A111,I$91:I$107),0)</f>
        <v>1696</v>
      </c>
      <c r="J111" s="13" t="n">
        <f aca="false">ROUNDUP(SUMIF($D$10:$D$26,$A111,J$91:J$107),0)</f>
        <v>2176</v>
      </c>
      <c r="K111" s="13" t="n">
        <f aca="false">ROUNDUP(SUMIF($D$10:$D$26,$A111,K$91:K$107),0)</f>
        <v>2725</v>
      </c>
    </row>
    <row r="112" customFormat="false" ht="15" hidden="false" customHeight="false" outlineLevel="0" collapsed="false">
      <c r="A112" s="4" t="s">
        <v>6</v>
      </c>
      <c r="B112" s="13" t="n">
        <f aca="false">ROUNDUP(SUMIF($D$10:$D$26,$A112,B$91:B$107),0)</f>
        <v>1</v>
      </c>
      <c r="C112" s="13" t="n">
        <f aca="false">ROUNDUP(SUMIF($D$10:$D$26,$A112,C$91:C$107),0)</f>
        <v>1</v>
      </c>
      <c r="D112" s="13" t="n">
        <f aca="false">ROUNDUP(SUMIF($D$10:$D$26,$A112,D$91:D$107),0)</f>
        <v>2</v>
      </c>
      <c r="E112" s="13" t="n">
        <f aca="false">ROUNDUP(SUMIF($D$10:$D$26,$A112,E$91:E$107),0)</f>
        <v>3</v>
      </c>
      <c r="F112" s="13" t="n">
        <f aca="false">ROUNDUP(SUMIF($D$10:$D$26,$A112,F$91:F$107),0)</f>
        <v>4</v>
      </c>
      <c r="G112" s="13" t="n">
        <f aca="false">ROUNDUP(SUMIF($D$10:$D$26,$A112,G$91:G$107),0)</f>
        <v>26</v>
      </c>
      <c r="H112" s="13" t="n">
        <f aca="false">ROUNDUP(SUMIF($D$10:$D$26,$A112,H$91:H$107),0)</f>
        <v>60</v>
      </c>
      <c r="I112" s="13" t="n">
        <f aca="false">ROUNDUP(SUMIF($D$10:$D$26,$A112,I$91:I$107),0)</f>
        <v>87</v>
      </c>
      <c r="J112" s="13" t="n">
        <f aca="false">ROUNDUP(SUMIF($D$10:$D$26,$A112,J$91:J$107),0)</f>
        <v>111</v>
      </c>
      <c r="K112" s="13" t="n">
        <f aca="false">ROUNDUP(SUMIF($D$10:$D$26,$A112,K$91:K$107),0)</f>
        <v>139</v>
      </c>
    </row>
    <row r="113" customFormat="false" ht="15" hidden="false" customHeight="false" outlineLevel="0" collapsed="false">
      <c r="A113" s="4" t="s">
        <v>7</v>
      </c>
      <c r="B113" s="13" t="n">
        <f aca="false">ROUNDUP(SUMIF($D$10:$D$26,$A113,B$91:B$107),0)</f>
        <v>1</v>
      </c>
      <c r="C113" s="13" t="n">
        <f aca="false">ROUNDUP(SUMIF($D$10:$D$26,$A113,C$91:C$107),0)</f>
        <v>2</v>
      </c>
      <c r="D113" s="13" t="n">
        <f aca="false">ROUNDUP(SUMIF($D$10:$D$26,$A113,D$91:D$107),0)</f>
        <v>3</v>
      </c>
      <c r="E113" s="13" t="n">
        <f aca="false">ROUNDUP(SUMIF($D$10:$D$26,$A113,E$91:E$107),0)</f>
        <v>4</v>
      </c>
      <c r="F113" s="13" t="n">
        <f aca="false">ROUNDUP(SUMIF($D$10:$D$26,$A113,F$91:F$107),0)</f>
        <v>6</v>
      </c>
      <c r="G113" s="13" t="n">
        <f aca="false">ROUNDUP(SUMIF($D$10:$D$26,$A113,G$91:G$107),0)</f>
        <v>13</v>
      </c>
      <c r="H113" s="13" t="n">
        <f aca="false">ROUNDUP(SUMIF($D$10:$D$26,$A113,H$91:H$107),0)</f>
        <v>50</v>
      </c>
      <c r="I113" s="13" t="n">
        <f aca="false">ROUNDUP(SUMIF($D$10:$D$26,$A113,I$91:I$107),0)</f>
        <v>81</v>
      </c>
      <c r="J113" s="13" t="n">
        <f aca="false">ROUNDUP(SUMIF($D$10:$D$26,$A113,J$91:J$107),0)</f>
        <v>109</v>
      </c>
      <c r="K113" s="13" t="n">
        <f aca="false">ROUNDUP(SUMIF($D$10:$D$26,$A113,K$91:K$107),0)</f>
        <v>141</v>
      </c>
    </row>
    <row r="114" customFormat="false" ht="15" hidden="false" customHeight="false" outlineLevel="0" collapsed="false">
      <c r="A114" s="4" t="s">
        <v>8</v>
      </c>
      <c r="B114" s="13" t="n">
        <f aca="false">ROUNDUP(SUMIF($D$10:$D$26,$A114,B$91:B$107),0)</f>
        <v>1</v>
      </c>
      <c r="C114" s="13" t="n">
        <f aca="false">ROUNDUP(SUMIF($D$10:$D$26,$A114,C$91:C$107),0)</f>
        <v>1</v>
      </c>
      <c r="D114" s="13" t="n">
        <f aca="false">ROUNDUP(SUMIF($D$10:$D$26,$A114,D$91:D$107),0)</f>
        <v>1</v>
      </c>
      <c r="E114" s="13" t="n">
        <f aca="false">ROUNDUP(SUMIF($D$10:$D$26,$A114,E$91:E$107),0)</f>
        <v>1</v>
      </c>
      <c r="F114" s="13" t="n">
        <f aca="false">ROUNDUP(SUMIF($D$10:$D$26,$A114,F$91:F$107),0)</f>
        <v>2</v>
      </c>
      <c r="G114" s="13" t="n">
        <f aca="false">ROUNDUP(SUMIF($D$10:$D$26,$A114,G$91:G$107),0)</f>
        <v>3</v>
      </c>
      <c r="H114" s="13" t="n">
        <f aca="false">ROUNDUP(SUMIF($D$10:$D$26,$A114,H$91:H$107),0)</f>
        <v>9</v>
      </c>
      <c r="I114" s="13" t="n">
        <f aca="false">ROUNDUP(SUMIF($D$10:$D$26,$A114,I$91:I$107),0)</f>
        <v>15</v>
      </c>
      <c r="J114" s="13" t="n">
        <f aca="false">ROUNDUP(SUMIF($D$10:$D$26,$A114,J$91:J$107),0)</f>
        <v>21</v>
      </c>
      <c r="K114" s="13" t="n">
        <f aca="false">ROUNDUP(SUMIF($D$10:$D$26,$A114,K$91:K$107),0)</f>
        <v>27</v>
      </c>
    </row>
    <row r="115" customFormat="false" ht="15" hidden="false" customHeight="false" outlineLevel="0" collapsed="false">
      <c r="A115" s="4" t="s">
        <v>9</v>
      </c>
      <c r="B115" s="13" t="n">
        <f aca="false">ROUNDUP(SUMIF($D$10:$D$26,$A115,B$91:B$107),0)</f>
        <v>1</v>
      </c>
      <c r="C115" s="13" t="n">
        <f aca="false">ROUNDUP(SUMIF($D$10:$D$26,$A115,C$91:C$107),0)</f>
        <v>1</v>
      </c>
      <c r="D115" s="13" t="n">
        <f aca="false">ROUNDUP(SUMIF($D$10:$D$26,$A115,D$91:D$107),0)</f>
        <v>1</v>
      </c>
      <c r="E115" s="13" t="n">
        <f aca="false">ROUNDUP(SUMIF($D$10:$D$26,$A115,E$91:E$107),0)</f>
        <v>1</v>
      </c>
      <c r="F115" s="13" t="n">
        <f aca="false">ROUNDUP(SUMIF($D$10:$D$26,$A115,F$91:F$107),0)</f>
        <v>1</v>
      </c>
      <c r="G115" s="13" t="n">
        <f aca="false">ROUNDUP(SUMIF($D$10:$D$26,$A115,G$91:G$107),0)</f>
        <v>2</v>
      </c>
      <c r="H115" s="13" t="n">
        <f aca="false">ROUNDUP(SUMIF($D$10:$D$26,$A115,H$91:H$107),0)</f>
        <v>5</v>
      </c>
      <c r="I115" s="13" t="n">
        <f aca="false">ROUNDUP(SUMIF($D$10:$D$26,$A115,I$91:I$107),0)</f>
        <v>8</v>
      </c>
      <c r="J115" s="13" t="n">
        <f aca="false">ROUNDUP(SUMIF($D$10:$D$26,$A115,J$91:J$107),0)</f>
        <v>11</v>
      </c>
      <c r="K115" s="13" t="n">
        <f aca="false">ROUNDUP(SUMIF($D$10:$D$26,$A115,K$91:K$107),0)</f>
        <v>14</v>
      </c>
    </row>
    <row r="116" customFormat="false" ht="15" hidden="false" customHeight="false" outlineLevel="0" collapsed="false">
      <c r="A116" s="4" t="s">
        <v>10</v>
      </c>
      <c r="B116" s="13" t="n">
        <f aca="false">ROUNDUP(SUMIF($D$10:$D$26,$A116,B$91:B$107),0)</f>
        <v>1</v>
      </c>
      <c r="C116" s="13" t="n">
        <f aca="false">ROUNDUP(SUMIF($D$10:$D$26,$A116,C$91:C$107),0)</f>
        <v>1</v>
      </c>
      <c r="D116" s="13" t="n">
        <f aca="false">ROUNDUP(SUMIF($D$10:$D$26,$A116,D$91:D$107),0)</f>
        <v>1</v>
      </c>
      <c r="E116" s="13" t="n">
        <f aca="false">ROUNDUP(SUMIF($D$10:$D$26,$A116,E$91:E$107),0)</f>
        <v>1</v>
      </c>
      <c r="F116" s="13" t="n">
        <f aca="false">ROUNDUP(SUMIF($D$10:$D$26,$A116,F$91:F$107),0)</f>
        <v>1</v>
      </c>
      <c r="G116" s="13" t="n">
        <f aca="false">ROUNDUP(SUMIF($D$10:$D$26,$A116,G$91:G$107),0)</f>
        <v>2</v>
      </c>
      <c r="H116" s="13" t="n">
        <f aca="false">ROUNDUP(SUMIF($D$10:$D$26,$A116,H$91:H$107),0)</f>
        <v>5</v>
      </c>
      <c r="I116" s="13" t="n">
        <f aca="false">ROUNDUP(SUMIF($D$10:$D$26,$A116,I$91:I$107),0)</f>
        <v>7</v>
      </c>
      <c r="J116" s="13" t="n">
        <f aca="false">ROUNDUP(SUMIF($D$10:$D$26,$A116,J$91:J$107),0)</f>
        <v>9</v>
      </c>
      <c r="K116" s="13" t="n">
        <f aca="false">ROUNDUP(SUMIF($D$10:$D$26,$A116,K$91:K$107),0)</f>
        <v>12</v>
      </c>
    </row>
    <row r="117" customFormat="false" ht="15" hidden="false" customHeight="false" outlineLevel="0" collapsed="false">
      <c r="A117" s="4" t="s">
        <v>11</v>
      </c>
      <c r="B117" s="13" t="n">
        <f aca="false">ROUNDUP(SUMIF($D$10:$D$26,$A117,B$91:B$107),0)</f>
        <v>1</v>
      </c>
      <c r="C117" s="13" t="n">
        <f aca="false">ROUNDUP(SUMIF($D$10:$D$26,$A117,C$91:C$107),0)</f>
        <v>1</v>
      </c>
      <c r="D117" s="13" t="n">
        <f aca="false">ROUNDUP(SUMIF($D$10:$D$26,$A117,D$91:D$107),0)</f>
        <v>2</v>
      </c>
      <c r="E117" s="13" t="n">
        <f aca="false">ROUNDUP(SUMIF($D$10:$D$26,$A117,E$91:E$107),0)</f>
        <v>2</v>
      </c>
      <c r="F117" s="13" t="n">
        <f aca="false">ROUNDUP(SUMIF($D$10:$D$26,$A117,F$91:F$107),0)</f>
        <v>3</v>
      </c>
      <c r="G117" s="13" t="n">
        <f aca="false">ROUNDUP(SUMIF($D$10:$D$26,$A117,G$91:G$107),0)</f>
        <v>7</v>
      </c>
      <c r="H117" s="13" t="n">
        <f aca="false">ROUNDUP(SUMIF($D$10:$D$26,$A117,H$91:H$107),0)</f>
        <v>25</v>
      </c>
      <c r="I117" s="13" t="n">
        <f aca="false">ROUNDUP(SUMIF($D$10:$D$26,$A117,I$91:I$107),0)</f>
        <v>40</v>
      </c>
      <c r="J117" s="13" t="n">
        <f aca="false">ROUNDUP(SUMIF($D$10:$D$26,$A117,J$91:J$107),0)</f>
        <v>54</v>
      </c>
      <c r="K117" s="13" t="n">
        <f aca="false">ROUNDUP(SUMIF($D$10:$D$26,$A117,K$91:K$107),0)</f>
        <v>70</v>
      </c>
    </row>
    <row r="118" customFormat="false" ht="15" hidden="false" customHeight="false" outlineLevel="0" collapsed="false">
      <c r="A118" s="4" t="s">
        <v>13</v>
      </c>
      <c r="B118" s="13" t="n">
        <f aca="false">ROUNDUP(SUMIF($D$10:$D$26,$A118,B$91:B$107),0)</f>
        <v>2</v>
      </c>
      <c r="C118" s="13" t="n">
        <f aca="false">ROUNDUP(SUMIF($D$10:$D$26,$A118,C$91:C$107),0)</f>
        <v>4</v>
      </c>
      <c r="D118" s="13" t="n">
        <f aca="false">ROUNDUP(SUMIF($D$10:$D$26,$A118,D$91:D$107),0)</f>
        <v>9</v>
      </c>
      <c r="E118" s="13" t="n">
        <f aca="false">ROUNDUP(SUMIF($D$10:$D$26,$A118,E$91:E$107),0)</f>
        <v>15</v>
      </c>
      <c r="F118" s="13" t="n">
        <f aca="false">ROUNDUP(SUMIF($D$10:$D$26,$A118,F$91:F$107),0)</f>
        <v>20</v>
      </c>
      <c r="G118" s="13" t="n">
        <f aca="false">ROUNDUP(SUMIF($D$10:$D$26,$A118,G$91:G$107),0)</f>
        <v>45</v>
      </c>
      <c r="H118" s="13" t="n">
        <f aca="false">ROUNDUP(SUMIF($D$10:$D$26,$A118,H$91:H$107),0)</f>
        <v>178</v>
      </c>
      <c r="I118" s="13" t="n">
        <f aca="false">ROUNDUP(SUMIF($D$10:$D$26,$A118,I$91:I$107),0)</f>
        <v>289</v>
      </c>
      <c r="J118" s="13" t="n">
        <f aca="false">ROUNDUP(SUMIF($D$10:$D$26,$A118,J$91:J$107),0)</f>
        <v>391</v>
      </c>
      <c r="K118" s="13" t="n">
        <f aca="false">ROUNDUP(SUMIF($D$10:$D$26,$A118,K$91:K$107),0)</f>
        <v>509</v>
      </c>
    </row>
    <row r="119" customFormat="false" ht="15" hidden="false" customHeight="false" outlineLevel="0" collapsed="false">
      <c r="A119" s="4" t="s">
        <v>14</v>
      </c>
      <c r="B119" s="13" t="n">
        <f aca="false">ROUNDUP(SUMIF($D$10:$D$26,$A119,B$91:B$107),0)</f>
        <v>1</v>
      </c>
      <c r="C119" s="13" t="n">
        <f aca="false">ROUNDUP(SUMIF($D$10:$D$26,$A119,C$91:C$107),0)</f>
        <v>1</v>
      </c>
      <c r="D119" s="13" t="n">
        <f aca="false">ROUNDUP(SUMIF($D$10:$D$26,$A119,D$91:D$107),0)</f>
        <v>1</v>
      </c>
      <c r="E119" s="13" t="n">
        <f aca="false">ROUNDUP(SUMIF($D$10:$D$26,$A119,E$91:E$107),0)</f>
        <v>1</v>
      </c>
      <c r="F119" s="13" t="n">
        <f aca="false">ROUNDUP(SUMIF($D$10:$D$26,$A119,F$91:F$107),0)</f>
        <v>1</v>
      </c>
      <c r="G119" s="13" t="n">
        <f aca="false">ROUNDUP(SUMIF($D$10:$D$26,$A119,G$91:G$107),0)</f>
        <v>2</v>
      </c>
      <c r="H119" s="13" t="n">
        <f aca="false">ROUNDUP(SUMIF($D$10:$D$26,$A119,H$91:H$107),0)</f>
        <v>8</v>
      </c>
      <c r="I119" s="13" t="n">
        <f aca="false">ROUNDUP(SUMIF($D$10:$D$26,$A119,I$91:I$107),0)</f>
        <v>12</v>
      </c>
      <c r="J119" s="13" t="n">
        <f aca="false">ROUNDUP(SUMIF($D$10:$D$26,$A119,J$91:J$107),0)</f>
        <v>17</v>
      </c>
      <c r="K119" s="13" t="n">
        <f aca="false">ROUNDUP(SUMIF($D$10:$D$26,$A119,K$91:K$107),0)</f>
        <v>22</v>
      </c>
    </row>
    <row r="120" customFormat="false" ht="15" hidden="false" customHeight="false" outlineLevel="0" collapsed="false">
      <c r="A120" s="4" t="s">
        <v>15</v>
      </c>
      <c r="B120" s="13" t="n">
        <f aca="false">ROUNDUP(SUMIF($D$10:$D$26,$A120,B$91:B$107),0)</f>
        <v>1</v>
      </c>
      <c r="C120" s="13" t="n">
        <f aca="false">ROUNDUP(SUMIF($D$10:$D$26,$A120,C$91:C$107),0)</f>
        <v>1</v>
      </c>
      <c r="D120" s="13" t="n">
        <f aca="false">ROUNDUP(SUMIF($D$10:$D$26,$A120,D$91:D$107),0)</f>
        <v>1</v>
      </c>
      <c r="E120" s="13" t="n">
        <f aca="false">ROUNDUP(SUMIF($D$10:$D$26,$A120,E$91:E$107),0)</f>
        <v>1</v>
      </c>
      <c r="F120" s="13" t="n">
        <f aca="false">ROUNDUP(SUMIF($D$10:$D$26,$A120,F$91:F$107),0)</f>
        <v>1</v>
      </c>
      <c r="G120" s="13" t="n">
        <f aca="false">ROUNDUP(SUMIF($D$10:$D$26,$A120,G$91:G$107),0)</f>
        <v>2</v>
      </c>
      <c r="H120" s="13" t="n">
        <f aca="false">ROUNDUP(SUMIF($D$10:$D$26,$A120,H$91:H$107),0)</f>
        <v>5</v>
      </c>
      <c r="I120" s="13" t="n">
        <f aca="false">ROUNDUP(SUMIF($D$10:$D$26,$A120,I$91:I$107),0)</f>
        <v>7</v>
      </c>
      <c r="J120" s="13" t="n">
        <f aca="false">ROUNDUP(SUMIF($D$10:$D$26,$A120,J$91:J$107),0)</f>
        <v>8</v>
      </c>
      <c r="K120" s="13" t="n">
        <f aca="false">ROUNDUP(SUMIF($D$10:$D$26,$A120,K$91:K$107),0)</f>
        <v>11</v>
      </c>
    </row>
    <row r="121" customFormat="false" ht="15" hidden="false" customHeight="false" outlineLevel="0" collapsed="false">
      <c r="A121" s="4" t="s">
        <v>17</v>
      </c>
      <c r="B121" s="13" t="n">
        <f aca="false">ROUNDUP(SUMIF($D$10:$D$26,$A121,B$91:B$107),0)</f>
        <v>1</v>
      </c>
      <c r="C121" s="13" t="n">
        <f aca="false">ROUNDUP(SUMIF($D$10:$D$26,$A121,C$91:C$107),0)</f>
        <v>1</v>
      </c>
      <c r="D121" s="13" t="n">
        <f aca="false">ROUNDUP(SUMIF($D$10:$D$26,$A121,D$91:D$107),0)</f>
        <v>1</v>
      </c>
      <c r="E121" s="13" t="n">
        <f aca="false">ROUNDUP(SUMIF($D$10:$D$26,$A121,E$91:E$107),0)</f>
        <v>2</v>
      </c>
      <c r="F121" s="13" t="n">
        <f aca="false">ROUNDUP(SUMIF($D$10:$D$26,$A121,F$91:F$107),0)</f>
        <v>3</v>
      </c>
      <c r="G121" s="13" t="n">
        <f aca="false">ROUNDUP(SUMIF($D$10:$D$26,$A121,G$91:G$107),0)</f>
        <v>14</v>
      </c>
      <c r="H121" s="13" t="n">
        <f aca="false">ROUNDUP(SUMIF($D$10:$D$26,$A121,H$91:H$107),0)</f>
        <v>33</v>
      </c>
      <c r="I121" s="13" t="n">
        <f aca="false">ROUNDUP(SUMIF($D$10:$D$26,$A121,I$91:I$107),0)</f>
        <v>48</v>
      </c>
      <c r="J121" s="13" t="n">
        <f aca="false">ROUNDUP(SUMIF($D$10:$D$26,$A121,J$91:J$107),0)</f>
        <v>62</v>
      </c>
      <c r="K121" s="13" t="n">
        <f aca="false">ROUNDUP(SUMIF($D$10:$D$26,$A121,K$91:K$107),0)</f>
        <v>78</v>
      </c>
    </row>
    <row r="122" customFormat="false" ht="15" hidden="false" customHeight="false" outlineLevel="0" collapsed="false">
      <c r="A122" s="4" t="s">
        <v>19</v>
      </c>
      <c r="B122" s="13" t="n">
        <f aca="false">ROUNDUP(SUMIF($D$10:$D$26,$A122,B$91:B$107),0)</f>
        <v>1</v>
      </c>
      <c r="C122" s="13" t="n">
        <f aca="false">ROUNDUP(SUMIF($D$10:$D$26,$A122,C$91:C$107),0)</f>
        <v>1</v>
      </c>
      <c r="D122" s="13" t="n">
        <f aca="false">ROUNDUP(SUMIF($D$10:$D$26,$A122,D$91:D$107),0)</f>
        <v>1</v>
      </c>
      <c r="E122" s="13" t="n">
        <f aca="false">ROUNDUP(SUMIF($D$10:$D$26,$A122,E$91:E$107),0)</f>
        <v>1</v>
      </c>
      <c r="F122" s="13" t="n">
        <f aca="false">ROUNDUP(SUMIF($D$10:$D$26,$A122,F$91:F$107),0)</f>
        <v>1</v>
      </c>
      <c r="G122" s="13" t="n">
        <f aca="false">ROUNDUP(SUMIF($D$10:$D$26,$A122,G$91:G$107),0)</f>
        <v>4</v>
      </c>
      <c r="H122" s="13" t="n">
        <f aca="false">ROUNDUP(SUMIF($D$10:$D$26,$A122,H$91:H$107),0)</f>
        <v>9</v>
      </c>
      <c r="I122" s="13" t="n">
        <f aca="false">ROUNDUP(SUMIF($D$10:$D$26,$A122,I$91:I$107),0)</f>
        <v>12</v>
      </c>
      <c r="J122" s="13" t="n">
        <f aca="false">ROUNDUP(SUMIF($D$10:$D$26,$A122,J$91:J$107),0)</f>
        <v>16</v>
      </c>
      <c r="K122" s="13" t="n">
        <f aca="false">ROUNDUP(SUMIF($D$10:$D$26,$A122,K$91:K$107),0)</f>
        <v>20</v>
      </c>
    </row>
    <row r="123" customFormat="false" ht="15" hidden="false" customHeight="false" outlineLevel="0" collapsed="false">
      <c r="A123" s="6" t="s">
        <v>136</v>
      </c>
      <c r="B123" s="7" t="n">
        <f aca="false">SUM(B111:B122)</f>
        <v>17</v>
      </c>
      <c r="C123" s="7" t="n">
        <f aca="false">SUM(C111:C122)</f>
        <v>30</v>
      </c>
      <c r="D123" s="7" t="n">
        <f aca="false">SUM(D111:D122)</f>
        <v>56</v>
      </c>
      <c r="E123" s="7" t="n">
        <f aca="false">SUM(E111:E122)</f>
        <v>88</v>
      </c>
      <c r="F123" s="7" t="n">
        <f aca="false">SUM(F111:F122)</f>
        <v>121</v>
      </c>
      <c r="G123" s="7" t="n">
        <f aca="false">SUM(G111:G122)</f>
        <v>622</v>
      </c>
      <c r="H123" s="7" t="n">
        <f aca="false">SUM(H111:H122)</f>
        <v>1547</v>
      </c>
      <c r="I123" s="7" t="n">
        <f aca="false">SUM(I111:I122)</f>
        <v>2302</v>
      </c>
      <c r="J123" s="7" t="n">
        <f aca="false">SUM(J111:J122)</f>
        <v>2985</v>
      </c>
      <c r="K123" s="7" t="n">
        <f aca="false">SUM(K111:K122)</f>
        <v>3768</v>
      </c>
    </row>
    <row r="125" customFormat="false" ht="15" hidden="false" customHeight="false" outlineLevel="0" collapsed="false">
      <c r="A125" s="1" t="s">
        <v>329</v>
      </c>
    </row>
    <row r="126" customFormat="false" ht="15" hidden="false" customHeight="false" outlineLevel="0" collapsed="false">
      <c r="A126" s="3" t="s">
        <v>319</v>
      </c>
      <c r="B126" s="3" t="n">
        <v>2026</v>
      </c>
      <c r="C126" s="3" t="n">
        <v>2027</v>
      </c>
      <c r="D126" s="3" t="n">
        <v>2028</v>
      </c>
      <c r="E126" s="3" t="n">
        <v>2029</v>
      </c>
      <c r="F126" s="3" t="n">
        <v>2030</v>
      </c>
      <c r="G126" s="3" t="n">
        <v>2031</v>
      </c>
      <c r="H126" s="3" t="n">
        <v>2032</v>
      </c>
      <c r="I126" s="3" t="n">
        <v>2033</v>
      </c>
      <c r="J126" s="3" t="n">
        <v>2034</v>
      </c>
      <c r="K126" s="3" t="n">
        <v>2035</v>
      </c>
    </row>
    <row r="127" customFormat="false" ht="15" hidden="false" customHeight="false" outlineLevel="0" collapsed="false">
      <c r="A127" s="4" t="s">
        <v>5</v>
      </c>
      <c r="B127" s="25" t="n">
        <f aca="false">SUMPRODUCT(($D$10:$D$26=$A127)*$C$10:$C$26*datos_base!B$2:B$18*B$71:B$87)/(12*$B$6)</f>
        <v>2.7387161053253</v>
      </c>
      <c r="C127" s="25" t="n">
        <f aca="false">SUMPRODUCT(($D$10:$D$26=$A127)*$C$10:$C$26*datos_base!C$2:C$18*C$71:C$87)/(12*$B$6)</f>
        <v>10.9770460026618</v>
      </c>
      <c r="D127" s="25" t="n">
        <f aca="false">SUMPRODUCT(($D$10:$D$26=$A127)*$C$10:$C$26*datos_base!D$2:D$18*D$71:D$87)/(12*$B$6)</f>
        <v>24.8880527615296</v>
      </c>
      <c r="E127" s="25" t="n">
        <f aca="false">SUMPRODUCT(($D$10:$D$26=$A127)*$C$10:$C$26*datos_base!E$2:E$18*E$71:E$87)/(12*$B$6)</f>
        <v>46.8763972378907</v>
      </c>
      <c r="F127" s="25" t="n">
        <f aca="false">SUMPRODUCT(($D$10:$D$26=$A127)*$C$10:$C$26*datos_base!F$2:F$18*F$71:F$87)/(12*$B$6)</f>
        <v>67.5655765364565</v>
      </c>
      <c r="G127" s="25" t="n">
        <f aca="false">SUMPRODUCT(($D$10:$D$26=$A127)*$C$10:$C$26*datos_base!G$2:G$18*G$71:G$87)/(12*$B$6)</f>
        <v>454.957824375921</v>
      </c>
      <c r="H127" s="25" t="n">
        <f aca="false">SUMPRODUCT(($D$10:$D$26=$A127)*$C$10:$C$26*datos_base!H$2:H$18*H$71:H$87)/(12*$B$6)</f>
        <v>1094.45642710698</v>
      </c>
      <c r="I127" s="25" t="n">
        <f aca="false">SUMPRODUCT(($D$10:$D$26=$A127)*$C$10:$C$26*datos_base!I$2:I$18*I$71:I$87)/(12*$B$6)</f>
        <v>1639.88576297724</v>
      </c>
      <c r="J127" s="25" t="n">
        <f aca="false">SUMPRODUCT(($D$10:$D$26=$A127)*$C$10:$C$26*datos_base!J$2:J$18*J$71:J$87)/(12*$B$6)</f>
        <v>2107.84497367662</v>
      </c>
      <c r="K127" s="25" t="n">
        <f aca="false">SUMPRODUCT(($D$10:$D$26=$A127)*$C$10:$C$26*datos_base!K$2:K$18*K$71:K$87)/(12*$B$6)</f>
        <v>2640.07531005619</v>
      </c>
    </row>
    <row r="128" customFormat="false" ht="15" hidden="false" customHeight="false" outlineLevel="0" collapsed="false">
      <c r="A128" s="4" t="s">
        <v>6</v>
      </c>
      <c r="B128" s="25" t="n">
        <f aca="false">SUMPRODUCT(($D$10:$D$26=$A128)*$C$10:$C$26*datos_base!B$2:B$18*B$71:B$87)/(12*$B$6)</f>
        <v>0.142128978899408</v>
      </c>
      <c r="C128" s="25" t="n">
        <f aca="false">SUMPRODUCT(($D$10:$D$26=$A128)*$C$10:$C$26*datos_base!C$2:C$18*C$71:C$87)/(12*$B$6)</f>
        <v>0.525691236842243</v>
      </c>
      <c r="D128" s="25" t="n">
        <f aca="false">SUMPRODUCT(($D$10:$D$26=$A128)*$C$10:$C$26*datos_base!D$2:D$18*D$71:D$87)/(12*$B$6)</f>
        <v>1.23097983596053</v>
      </c>
      <c r="E128" s="25" t="n">
        <f aca="false">SUMPRODUCT(($D$10:$D$26=$A128)*$C$10:$C$26*datos_base!E$2:E$18*E$71:E$87)/(12*$B$6)</f>
        <v>2.35442369987757</v>
      </c>
      <c r="F128" s="25" t="n">
        <f aca="false">SUMPRODUCT(($D$10:$D$26=$A128)*$C$10:$C$26*datos_base!F$2:F$18*F$71:F$87)/(12*$B$6)</f>
        <v>3.41677576799772</v>
      </c>
      <c r="G128" s="25" t="n">
        <f aca="false">SUMPRODUCT(($D$10:$D$26=$A128)*$C$10:$C$26*datos_base!G$2:G$18*G$71:G$87)/(12*$B$6)</f>
        <v>23.1924671571188</v>
      </c>
      <c r="H128" s="25" t="n">
        <f aca="false">SUMPRODUCT(($D$10:$D$26=$A128)*$C$10:$C$26*datos_base!H$2:H$18*H$71:H$87)/(12*$B$6)</f>
        <v>55.7646333499189</v>
      </c>
      <c r="I128" s="25" t="n">
        <f aca="false">SUMPRODUCT(($D$10:$D$26=$A128)*$C$10:$C$26*datos_base!I$2:I$18*I$71:I$87)/(12*$B$6)</f>
        <v>83.440300654809</v>
      </c>
      <c r="J128" s="25" t="n">
        <f aca="false">SUMPRODUCT(($D$10:$D$26=$A128)*$C$10:$C$26*datos_base!J$2:J$18*J$71:J$87)/(12*$B$6)</f>
        <v>107.21492555691</v>
      </c>
      <c r="K128" s="25" t="n">
        <f aca="false">SUMPRODUCT(($D$10:$D$26=$A128)*$C$10:$C$26*datos_base!K$2:K$18*K$71:K$87)/(12*$B$6)</f>
        <v>134.249969991937</v>
      </c>
    </row>
    <row r="129" customFormat="false" ht="15" hidden="false" customHeight="false" outlineLevel="0" collapsed="false">
      <c r="A129" s="4" t="s">
        <v>7</v>
      </c>
      <c r="B129" s="25" t="n">
        <f aca="false">SUMPRODUCT(($D$10:$D$26=$A129)*$C$10:$C$26*datos_base!B$2:B$18*B$71:B$87)/(12*$B$6)</f>
        <v>0.191327472334425</v>
      </c>
      <c r="C129" s="25" t="n">
        <f aca="false">SUMPRODUCT(($D$10:$D$26=$A129)*$C$10:$C$26*datos_base!C$2:C$18*C$71:C$87)/(12*$B$6)</f>
        <v>0.772742305427135</v>
      </c>
      <c r="D129" s="25" t="n">
        <f aca="false">SUMPRODUCT(($D$10:$D$26=$A129)*$C$10:$C$26*datos_base!D$2:D$18*D$71:D$87)/(12*$B$6)</f>
        <v>1.77068818460517</v>
      </c>
      <c r="E129" s="25" t="n">
        <f aca="false">SUMPRODUCT(($D$10:$D$26=$A129)*$C$10:$C$26*datos_base!E$2:E$18*E$71:E$87)/(12*$B$6)</f>
        <v>3.32246761652277</v>
      </c>
      <c r="F129" s="25" t="n">
        <f aca="false">SUMPRODUCT(($D$10:$D$26=$A129)*$C$10:$C$26*datos_base!F$2:F$18*F$71:F$87)/(12*$B$6)</f>
        <v>4.79369161302427</v>
      </c>
      <c r="G129" s="25" t="n">
        <f aca="false">SUMPRODUCT(($D$10:$D$26=$A129)*$C$10:$C$26*datos_base!G$2:G$18*G$71:G$87)/(12*$B$6)</f>
        <v>11.1927568316171</v>
      </c>
      <c r="H129" s="25" t="n">
        <f aca="false">SUMPRODUCT(($D$10:$D$26=$A129)*$C$10:$C$26*datos_base!H$2:H$18*H$71:H$87)/(12*$B$6)</f>
        <v>46.4026387480322</v>
      </c>
      <c r="I129" s="25" t="n">
        <f aca="false">SUMPRODUCT(($D$10:$D$26=$A129)*$C$10:$C$26*datos_base!I$2:I$18*I$71:I$87)/(12*$B$6)</f>
        <v>77.3945366177183</v>
      </c>
      <c r="J129" s="25" t="n">
        <f aca="false">SUMPRODUCT(($D$10:$D$26=$A129)*$C$10:$C$26*datos_base!J$2:J$18*J$71:J$87)/(12*$B$6)</f>
        <v>104.88391050335</v>
      </c>
      <c r="K129" s="25" t="n">
        <f aca="false">SUMPRODUCT(($D$10:$D$26=$A129)*$C$10:$C$26*datos_base!K$2:K$18*K$71:K$87)/(12*$B$6)</f>
        <v>136.383134503723</v>
      </c>
    </row>
    <row r="130" customFormat="false" ht="15" hidden="false" customHeight="false" outlineLevel="0" collapsed="false">
      <c r="A130" s="4" t="s">
        <v>8</v>
      </c>
      <c r="B130" s="25" t="n">
        <f aca="false">SUMPRODUCT(($D$10:$D$26=$A130)*$C$10:$C$26*datos_base!B$2:B$18*B$71:B$87)/(12*$B$6)</f>
        <v>0.0273324962193444</v>
      </c>
      <c r="C130" s="25" t="n">
        <f aca="false">SUMPRODUCT(($D$10:$D$26=$A130)*$C$10:$C$26*datos_base!C$2:C$18*C$71:C$87)/(12*$B$6)</f>
        <v>0.193737868126451</v>
      </c>
      <c r="D130" s="25" t="n">
        <f aca="false">SUMPRODUCT(($D$10:$D$26=$A130)*$C$10:$C$26*datos_base!D$2:D$18*D$71:D$87)/(12*$B$6)</f>
        <v>0.380240728542142</v>
      </c>
      <c r="E130" s="25" t="n">
        <f aca="false">SUMPRODUCT(($D$10:$D$26=$A130)*$C$10:$C$26*datos_base!E$2:E$18*E$71:E$87)/(12*$B$6)</f>
        <v>0.633393259534585</v>
      </c>
      <c r="F130" s="25" t="n">
        <f aca="false">SUMPRODUCT(($D$10:$D$26=$A130)*$C$10:$C$26*datos_base!F$2:F$18*F$71:F$87)/(12*$B$6)</f>
        <v>0.893279694269034</v>
      </c>
      <c r="G130" s="25" t="n">
        <f aca="false">SUMPRODUCT(($D$10:$D$26=$A130)*$C$10:$C$26*datos_base!G$2:G$18*G$71:G$87)/(12*$B$6)</f>
        <v>2.01981101373797</v>
      </c>
      <c r="H130" s="25" t="n">
        <f aca="false">SUMPRODUCT(($D$10:$D$26=$A130)*$C$10:$C$26*datos_base!H$2:H$18*H$71:H$87)/(12*$B$6)</f>
        <v>8.47970946360184</v>
      </c>
      <c r="I130" s="25" t="n">
        <f aca="false">SUMPRODUCT(($D$10:$D$26=$A130)*$C$10:$C$26*datos_base!I$2:I$18*I$71:I$87)/(12*$B$6)</f>
        <v>14.3893232780213</v>
      </c>
      <c r="J130" s="25" t="n">
        <f aca="false">SUMPRODUCT(($D$10:$D$26=$A130)*$C$10:$C$26*datos_base!J$2:J$18*J$71:J$87)/(12*$B$6)</f>
        <v>19.727866927229</v>
      </c>
      <c r="K130" s="25" t="n">
        <f aca="false">SUMPRODUCT(($D$10:$D$26=$A130)*$C$10:$C$26*datos_base!K$2:K$18*K$71:K$87)/(12*$B$6)</f>
        <v>25.8932155130406</v>
      </c>
    </row>
    <row r="131" customFormat="false" ht="15" hidden="false" customHeight="false" outlineLevel="0" collapsed="false">
      <c r="A131" s="4" t="s">
        <v>9</v>
      </c>
      <c r="B131" s="25" t="n">
        <f aca="false">SUMPRODUCT(($D$10:$D$26=$A131)*$C$10:$C$26*datos_base!B$2:B$18*B$71:B$87)/(12*$B$6)</f>
        <v>0.0136662475091795</v>
      </c>
      <c r="C131" s="25" t="n">
        <f aca="false">SUMPRODUCT(($D$10:$D$26=$A131)*$C$10:$C$26*datos_base!C$2:C$18*C$71:C$87)/(12*$B$6)</f>
        <v>0.0999502357508723</v>
      </c>
      <c r="D131" s="25" t="n">
        <f aca="false">SUMPRODUCT(($D$10:$D$26=$A131)*$C$10:$C$26*datos_base!D$2:D$18*D$71:D$87)/(12*$B$6)</f>
        <v>0.19751866997205</v>
      </c>
      <c r="E131" s="25" t="n">
        <f aca="false">SUMPRODUCT(($D$10:$D$26=$A131)*$C$10:$C$26*datos_base!E$2:E$18*E$71:E$87)/(12*$B$6)</f>
        <v>0.337886618700703</v>
      </c>
      <c r="F131" s="25" t="n">
        <f aca="false">SUMPRODUCT(($D$10:$D$26=$A131)*$C$10:$C$26*datos_base!F$2:F$18*F$71:F$87)/(12*$B$6)</f>
        <v>0.47907610512226</v>
      </c>
      <c r="G131" s="25" t="n">
        <f aca="false">SUMPRODUCT(($D$10:$D$26=$A131)*$C$10:$C$26*datos_base!G$2:G$18*G$71:G$87)/(12*$B$6)</f>
        <v>1.07931828413713</v>
      </c>
      <c r="H131" s="25" t="n">
        <f aca="false">SUMPRODUCT(($D$10:$D$26=$A131)*$C$10:$C$26*datos_base!H$2:H$18*H$71:H$87)/(12*$B$6)</f>
        <v>4.46405916932682</v>
      </c>
      <c r="I131" s="25" t="n">
        <f aca="false">SUMPRODUCT(($D$10:$D$26=$A131)*$C$10:$C$26*datos_base!I$2:I$18*I$71:I$87)/(12*$B$6)</f>
        <v>7.57120479398374</v>
      </c>
      <c r="J131" s="25" t="n">
        <f aca="false">SUMPRODUCT(($D$10:$D$26=$A131)*$C$10:$C$26*datos_base!J$2:J$18*J$71:J$87)/(12*$B$6)</f>
        <v>10.3263921123378</v>
      </c>
      <c r="K131" s="25" t="n">
        <f aca="false">SUMPRODUCT(($D$10:$D$26=$A131)*$C$10:$C$26*datos_base!K$2:K$18*K$71:K$87)/(12*$B$6)</f>
        <v>13.4974149516628</v>
      </c>
    </row>
    <row r="132" customFormat="false" ht="15" hidden="false" customHeight="false" outlineLevel="0" collapsed="false">
      <c r="A132" s="4" t="s">
        <v>10</v>
      </c>
      <c r="B132" s="25" t="n">
        <f aca="false">SUMPRODUCT(($D$10:$D$26=$A132)*$C$10:$C$26*datos_base!B$2:B$18*B$71:B$87)/(12*$B$6)</f>
        <v>0.00819974850550768</v>
      </c>
      <c r="C132" s="25" t="n">
        <f aca="false">SUMPRODUCT(($D$10:$D$26=$A132)*$C$10:$C$26*datos_base!C$2:C$18*C$71:C$87)/(12*$B$6)</f>
        <v>0.0565341221078755</v>
      </c>
      <c r="D132" s="25" t="n">
        <f aca="false">SUMPRODUCT(($D$10:$D$26=$A132)*$C$10:$C$26*datos_base!D$2:D$18*D$71:D$87)/(12*$B$6)</f>
        <v>0.10675520660528</v>
      </c>
      <c r="E132" s="25" t="n">
        <f aca="false">SUMPRODUCT(($D$10:$D$26=$A132)*$C$10:$C$26*datos_base!E$2:E$18*E$71:E$87)/(12*$B$6)</f>
        <v>0.191560169268272</v>
      </c>
      <c r="F132" s="25" t="n">
        <f aca="false">SUMPRODUCT(($D$10:$D$26=$A132)*$C$10:$C$26*datos_base!F$2:F$18*F$71:F$87)/(12*$B$6)</f>
        <v>0.263972038277717</v>
      </c>
      <c r="G132" s="25" t="n">
        <f aca="false">SUMPRODUCT(($D$10:$D$26=$A132)*$C$10:$C$26*datos_base!G$2:G$18*G$71:G$87)/(12*$B$6)</f>
        <v>1.77650604659073</v>
      </c>
      <c r="H132" s="25" t="n">
        <f aca="false">SUMPRODUCT(($D$10:$D$26=$A132)*$C$10:$C$26*datos_base!H$2:H$18*H$71:H$87)/(12*$B$6)</f>
        <v>4.41035155918052</v>
      </c>
      <c r="I132" s="25" t="n">
        <f aca="false">SUMPRODUCT(($D$10:$D$26=$A132)*$C$10:$C$26*datos_base!I$2:I$18*I$71:I$87)/(12*$B$6)</f>
        <v>6.59844507633125</v>
      </c>
      <c r="J132" s="25" t="n">
        <f aca="false">SUMPRODUCT(($D$10:$D$26=$A132)*$C$10:$C$26*datos_base!J$2:J$18*J$71:J$87)/(12*$B$6)</f>
        <v>8.57831781044649</v>
      </c>
      <c r="K132" s="25" t="n">
        <f aca="false">SUMPRODUCT(($D$10:$D$26=$A132)*$C$10:$C$26*datos_base!K$2:K$18*K$71:K$87)/(12*$B$6)</f>
        <v>10.8432344445761</v>
      </c>
    </row>
    <row r="133" customFormat="false" ht="15" hidden="false" customHeight="false" outlineLevel="0" collapsed="false">
      <c r="A133" s="4" t="s">
        <v>11</v>
      </c>
      <c r="B133" s="25" t="n">
        <f aca="false">SUMPRODUCT(($D$10:$D$26=$A133)*$C$10:$C$26*datos_base!B$2:B$18*B$71:B$87)/(12*$B$6)</f>
        <v>0.0983969856690485</v>
      </c>
      <c r="C133" s="25" t="n">
        <f aca="false">SUMPRODUCT(($D$10:$D$26=$A133)*$C$10:$C$26*datos_base!C$2:C$18*C$71:C$87)/(12*$B$6)</f>
        <v>0.402809141307922</v>
      </c>
      <c r="D133" s="25" t="n">
        <f aca="false">SUMPRODUCT(($D$10:$D$26=$A133)*$C$10:$C$26*datos_base!D$2:D$18*D$71:D$87)/(12*$B$6)</f>
        <v>0.896653749968912</v>
      </c>
      <c r="E133" s="25" t="n">
        <f aca="false">SUMPRODUCT(($D$10:$D$26=$A133)*$C$10:$C$26*datos_base!E$2:E$18*E$71:E$87)/(12*$B$6)</f>
        <v>1.63201891808917</v>
      </c>
      <c r="F133" s="25" t="n">
        <f aca="false">SUMPRODUCT(($D$10:$D$26=$A133)*$C$10:$C$26*datos_base!F$2:F$18*F$71:F$87)/(12*$B$6)</f>
        <v>2.35528319711726</v>
      </c>
      <c r="G133" s="25" t="n">
        <f aca="false">SUMPRODUCT(($D$10:$D$26=$A133)*$C$10:$C$26*datos_base!G$2:G$18*G$71:G$87)/(12*$B$6)</f>
        <v>5.4509320404846</v>
      </c>
      <c r="H133" s="25" t="n">
        <f aca="false">SUMPRODUCT(($D$10:$D$26=$A133)*$C$10:$C$26*datos_base!H$2:H$18*H$71:H$87)/(12*$B$6)</f>
        <v>22.6888507282808</v>
      </c>
      <c r="I133" s="25" t="n">
        <f aca="false">SUMPRODUCT(($D$10:$D$26=$A133)*$C$10:$C$26*datos_base!I$2:I$18*I$71:I$87)/(12*$B$6)</f>
        <v>38.0971488714651</v>
      </c>
      <c r="J133" s="25" t="n">
        <f aca="false">SUMPRODUCT(($D$10:$D$26=$A133)*$C$10:$C$26*datos_base!J$2:J$18*J$71:J$87)/(12*$B$6)</f>
        <v>51.6812698793961</v>
      </c>
      <c r="K133" s="25" t="n">
        <f aca="false">SUMPRODUCT(($D$10:$D$26=$A133)*$C$10:$C$26*datos_base!K$2:K$18*K$71:K$87)/(12*$B$6)</f>
        <v>67.2579989373349</v>
      </c>
    </row>
    <row r="134" customFormat="false" ht="15" hidden="false" customHeight="false" outlineLevel="0" collapsed="false">
      <c r="A134" s="4" t="s">
        <v>13</v>
      </c>
      <c r="B134" s="25" t="n">
        <f aca="false">SUMPRODUCT(($D$10:$D$26=$A134)*$C$10:$C$26*datos_base!B$2:B$18*B$71:B$87)/(12*$B$6)</f>
        <v>0.691512150386161</v>
      </c>
      <c r="C134" s="25" t="n">
        <f aca="false">SUMPRODUCT(($D$10:$D$26=$A134)*$C$10:$C$26*datos_base!C$2:C$18*C$71:C$87)/(12*$B$6)</f>
        <v>2.81128096186497</v>
      </c>
      <c r="D134" s="25" t="n">
        <f aca="false">SUMPRODUCT(($D$10:$D$26=$A134)*$C$10:$C$26*datos_base!D$2:D$18*D$71:D$87)/(12*$B$6)</f>
        <v>6.40224149696454</v>
      </c>
      <c r="E134" s="25" t="n">
        <f aca="false">SUMPRODUCT(($D$10:$D$26=$A134)*$C$10:$C$26*datos_base!E$2:E$18*E$71:E$87)/(12*$B$6)</f>
        <v>12.0357291407301</v>
      </c>
      <c r="F134" s="25" t="n">
        <f aca="false">SUMPRODUCT(($D$10:$D$26=$A134)*$C$10:$C$26*datos_base!F$2:F$18*F$71:F$87)/(12*$B$6)</f>
        <v>17.3727377718055</v>
      </c>
      <c r="G134" s="25" t="n">
        <f aca="false">SUMPRODUCT(($D$10:$D$26=$A134)*$C$10:$C$26*datos_base!G$2:G$18*G$71:G$87)/(12*$B$6)</f>
        <v>40.3560711427541</v>
      </c>
      <c r="H134" s="25" t="n">
        <f aca="false">SUMPRODUCT(($D$10:$D$26=$A134)*$C$10:$C$26*datos_base!H$2:H$18*H$71:H$87)/(12*$B$6)</f>
        <v>167.476361425851</v>
      </c>
      <c r="I134" s="25" t="n">
        <f aca="false">SUMPRODUCT(($D$10:$D$26=$A134)*$C$10:$C$26*datos_base!I$2:I$18*I$71:I$87)/(12*$B$6)</f>
        <v>279.198564447186</v>
      </c>
      <c r="J134" s="25" t="n">
        <f aca="false">SUMPRODUCT(($D$10:$D$26=$A134)*$C$10:$C$26*datos_base!J$2:J$18*J$71:J$87)/(12*$B$6)</f>
        <v>378.489004196917</v>
      </c>
      <c r="K134" s="25" t="n">
        <f aca="false">SUMPRODUCT(($D$10:$D$26=$A134)*$C$10:$C$26*datos_base!K$2:K$18*K$71:K$87)/(12*$B$6)</f>
        <v>492.288890403144</v>
      </c>
    </row>
    <row r="135" customFormat="false" ht="15" hidden="false" customHeight="false" outlineLevel="0" collapsed="false">
      <c r="A135" s="4" t="s">
        <v>14</v>
      </c>
      <c r="B135" s="25" t="n">
        <f aca="false">SUMPRODUCT(($D$10:$D$26=$A135)*$C$10:$C$26*datos_base!B$2:B$18*B$71:B$87)/(12*$B$6)</f>
        <v>0.0218659972156726</v>
      </c>
      <c r="C135" s="25" t="n">
        <f aca="false">SUMPRODUCT(($D$10:$D$26=$A135)*$C$10:$C$26*datos_base!C$2:C$18*C$71:C$87)/(12*$B$6)</f>
        <v>0.134600589661526</v>
      </c>
      <c r="D135" s="25" t="n">
        <f aca="false">SUMPRODUCT(($D$10:$D$26=$A135)*$C$10:$C$26*datos_base!D$2:D$18*D$71:D$87)/(12*$B$6)</f>
        <v>0.277252341909974</v>
      </c>
      <c r="E135" s="25" t="n">
        <f aca="false">SUMPRODUCT(($D$10:$D$26=$A135)*$C$10:$C$26*datos_base!E$2:E$18*E$71:E$87)/(12*$B$6)</f>
        <v>0.481253281551772</v>
      </c>
      <c r="F135" s="25" t="n">
        <f aca="false">SUMPRODUCT(($D$10:$D$26=$A135)*$C$10:$C$26*datos_base!F$2:F$18*F$71:F$87)/(12*$B$6)</f>
        <v>0.689975489516214</v>
      </c>
      <c r="G135" s="25" t="n">
        <f aca="false">SUMPRODUCT(($D$10:$D$26=$A135)*$C$10:$C$26*datos_base!G$2:G$18*G$71:G$87)/(12*$B$6)</f>
        <v>1.58238260395675</v>
      </c>
      <c r="H135" s="25" t="n">
        <f aca="false">SUMPRODUCT(($D$10:$D$26=$A135)*$C$10:$C$26*datos_base!H$2:H$18*H$71:H$87)/(12*$B$6)</f>
        <v>6.70496330557786</v>
      </c>
      <c r="I135" s="25" t="n">
        <f aca="false">SUMPRODUCT(($D$10:$D$26=$A135)*$C$10:$C$26*datos_base!I$2:I$18*I$71:I$87)/(12*$B$6)</f>
        <v>11.4150156604822</v>
      </c>
      <c r="J135" s="25" t="n">
        <f aca="false">SUMPRODUCT(($D$10:$D$26=$A135)*$C$10:$C$26*datos_base!J$2:J$18*J$71:J$87)/(12*$B$6)</f>
        <v>15.6441918911455</v>
      </c>
      <c r="K135" s="25" t="n">
        <f aca="false">SUMPRODUCT(($D$10:$D$26=$A135)*$C$10:$C$26*datos_base!K$2:K$18*K$71:K$87)/(12*$B$6)</f>
        <v>20.5271719769279</v>
      </c>
    </row>
    <row r="136" customFormat="false" ht="15" hidden="false" customHeight="false" outlineLevel="0" collapsed="false">
      <c r="A136" s="4" t="s">
        <v>15</v>
      </c>
      <c r="B136" s="25" t="n">
        <f aca="false">SUMPRODUCT(($D$10:$D$26=$A136)*$C$10:$C$26*datos_base!B$2:B$18*B$71:B$87)/(12*$B$6)</f>
        <v>0.00819974850550768</v>
      </c>
      <c r="C136" s="25" t="n">
        <f aca="false">SUMPRODUCT(($D$10:$D$26=$A136)*$C$10:$C$26*datos_base!C$2:C$18*C$71:C$87)/(12*$B$6)</f>
        <v>0.0565341221078755</v>
      </c>
      <c r="D136" s="25" t="n">
        <f aca="false">SUMPRODUCT(($D$10:$D$26=$A136)*$C$10:$C$26*datos_base!D$2:D$18*D$71:D$87)/(12*$B$6)</f>
        <v>0.10675520660528</v>
      </c>
      <c r="E136" s="25" t="n">
        <f aca="false">SUMPRODUCT(($D$10:$D$26=$A136)*$C$10:$C$26*datos_base!E$2:E$18*E$71:E$87)/(12*$B$6)</f>
        <v>0.178081138575327</v>
      </c>
      <c r="F136" s="25" t="n">
        <f aca="false">SUMPRODUCT(($D$10:$D$26=$A136)*$C$10:$C$26*datos_base!F$2:F$18*F$71:F$87)/(12*$B$6)</f>
        <v>0.246473501476157</v>
      </c>
      <c r="G136" s="25" t="n">
        <f aca="false">SUMPRODUCT(($D$10:$D$26=$A136)*$C$10:$C$26*datos_base!G$2:G$18*G$71:G$87)/(12*$B$6)</f>
        <v>1.55674977024658</v>
      </c>
      <c r="H136" s="25" t="n">
        <f aca="false">SUMPRODUCT(($D$10:$D$26=$A136)*$C$10:$C$26*datos_base!H$2:H$18*H$71:H$87)/(12*$B$6)</f>
        <v>3.92696571583458</v>
      </c>
      <c r="I136" s="25" t="n">
        <f aca="false">SUMPRODUCT(($D$10:$D$26=$A136)*$C$10:$C$26*datos_base!I$2:I$18*I$71:I$87)/(12*$B$6)</f>
        <v>5.92793751648277</v>
      </c>
      <c r="J136" s="25" t="n">
        <f aca="false">SUMPRODUCT(($D$10:$D$26=$A136)*$C$10:$C$26*datos_base!J$2:J$18*J$71:J$87)/(12*$B$6)</f>
        <v>7.72968350931829</v>
      </c>
      <c r="K136" s="25" t="n">
        <f aca="false">SUMPRODUCT(($D$10:$D$26=$A136)*$C$10:$C$26*datos_base!K$2:K$18*K$71:K$87)/(12*$B$6)</f>
        <v>9.7937969755309</v>
      </c>
    </row>
    <row r="137" customFormat="false" ht="15" hidden="false" customHeight="false" outlineLevel="0" collapsed="false">
      <c r="A137" s="4" t="s">
        <v>17</v>
      </c>
      <c r="B137" s="25" t="n">
        <f aca="false">SUMPRODUCT(($D$10:$D$26=$A137)*$C$10:$C$26*datos_base!B$2:B$18*B$71:B$87)/(12*$B$6)</f>
        <v>0.067784589807304</v>
      </c>
      <c r="C137" s="25" t="n">
        <f aca="false">SUMPRODUCT(($D$10:$D$26=$A137)*$C$10:$C$26*datos_base!C$2:C$18*C$71:C$87)/(12*$B$6)</f>
        <v>0.330464380962869</v>
      </c>
      <c r="D137" s="25" t="n">
        <f aca="false">SUMPRODUCT(($D$10:$D$26=$A137)*$C$10:$C$26*datos_base!D$2:D$18*D$71:D$87)/(12*$B$6)</f>
        <v>0.718168413738966</v>
      </c>
      <c r="E137" s="25" t="n">
        <f aca="false">SUMPRODUCT(($D$10:$D$26=$A137)*$C$10:$C$26*datos_base!E$2:E$18*E$71:E$87)/(12*$B$6)</f>
        <v>1.29354248943416</v>
      </c>
      <c r="F137" s="25" t="n">
        <f aca="false">SUMPRODUCT(($D$10:$D$26=$A137)*$C$10:$C$26*datos_base!F$2:F$18*F$71:F$87)/(12*$B$6)</f>
        <v>1.86059584256149</v>
      </c>
      <c r="G137" s="25" t="n">
        <f aca="false">SUMPRODUCT(($D$10:$D$26=$A137)*$C$10:$C$26*datos_base!G$2:G$18*G$71:G$87)/(12*$B$6)</f>
        <v>12.5281581998598</v>
      </c>
      <c r="H137" s="25" t="n">
        <f aca="false">SUMPRODUCT(($D$10:$D$26=$A137)*$C$10:$C$26*datos_base!H$2:H$18*H$71:H$87)/(12*$B$6)</f>
        <v>30.3209028717016</v>
      </c>
      <c r="I137" s="25" t="n">
        <f aca="false">SUMPRODUCT(($D$10:$D$26=$A137)*$C$10:$C$26*datos_base!I$2:I$18*I$71:I$87)/(12*$B$6)</f>
        <v>45.9969503906622</v>
      </c>
      <c r="J137" s="25" t="n">
        <f aca="false">SUMPRODUCT(($D$10:$D$26=$A137)*$C$10:$C$26*datos_base!J$2:J$18*J$71:J$87)/(12*$B$6)</f>
        <v>59.4424828286299</v>
      </c>
      <c r="K137" s="25" t="n">
        <f aca="false">SUMPRODUCT(($D$10:$D$26=$A137)*$C$10:$C$26*datos_base!K$2:K$18*K$71:K$87)/(12*$B$6)</f>
        <v>74.7779603576708</v>
      </c>
    </row>
    <row r="138" customFormat="false" ht="15" hidden="false" customHeight="false" outlineLevel="0" collapsed="false">
      <c r="A138" s="4" t="s">
        <v>19</v>
      </c>
      <c r="B138" s="25" t="n">
        <f aca="false">SUMPRODUCT(($D$10:$D$26=$A138)*$C$10:$C$26*datos_base!B$2:B$18*B$71:B$87)/(12*$B$6)</f>
        <v>0.0169461471515796</v>
      </c>
      <c r="C138" s="25" t="n">
        <f aca="false">SUMPRODUCT(($D$10:$D$26=$A138)*$C$10:$C$26*datos_base!C$2:C$18*C$71:C$87)/(12*$B$6)</f>
        <v>0.0826160946402246</v>
      </c>
      <c r="D138" s="25" t="n">
        <f aca="false">SUMPRODUCT(($D$10:$D$26=$A138)*$C$10:$C$26*datos_base!D$2:D$18*D$71:D$87)/(12*$B$6)</f>
        <v>0.179542103734988</v>
      </c>
      <c r="E138" s="25" t="n">
        <f aca="false">SUMPRODUCT(($D$10:$D$26=$A138)*$C$10:$C$26*datos_base!E$2:E$18*E$71:E$87)/(12*$B$6)</f>
        <v>0.323385622658785</v>
      </c>
      <c r="F138" s="25" t="n">
        <f aca="false">SUMPRODUCT(($D$10:$D$26=$A138)*$C$10:$C$26*datos_base!F$2:F$18*F$71:F$87)/(12*$B$6)</f>
        <v>0.465148960340127</v>
      </c>
      <c r="G138" s="25" t="n">
        <f aca="false">SUMPRODUCT(($D$10:$D$26=$A138)*$C$10:$C$26*datos_base!G$2:G$18*G$71:G$87)/(12*$B$6)</f>
        <v>3.1320395484433</v>
      </c>
      <c r="H138" s="25" t="n">
        <f aca="false">SUMPRODUCT(($D$10:$D$26=$A138)*$C$10:$C$26*datos_base!H$2:H$18*H$71:H$87)/(12*$B$6)</f>
        <v>7.5802257209147</v>
      </c>
      <c r="I138" s="25" t="n">
        <f aca="false">SUMPRODUCT(($D$10:$D$26=$A138)*$C$10:$C$26*datos_base!I$2:I$18*I$71:I$87)/(12*$B$6)</f>
        <v>11.4992375895873</v>
      </c>
      <c r="J138" s="25" t="n">
        <f aca="false">SUMPRODUCT(($D$10:$D$26=$A138)*$C$10:$C$26*datos_base!J$2:J$18*J$71:J$87)/(12*$B$6)</f>
        <v>14.8606207119683</v>
      </c>
      <c r="K138" s="25" t="n">
        <f aca="false">SUMPRODUCT(($D$10:$D$26=$A138)*$C$10:$C$26*datos_base!K$2:K$18*K$71:K$87)/(12*$B$6)</f>
        <v>18.6944900838108</v>
      </c>
    </row>
    <row r="139" customFormat="false" ht="15" hidden="false" customHeight="false" outlineLevel="0" collapsed="false">
      <c r="A139" s="6" t="s">
        <v>136</v>
      </c>
      <c r="B139" s="26" t="n">
        <f aca="false">SUM(B127:B138)</f>
        <v>4.02607666752844</v>
      </c>
      <c r="C139" s="26" t="n">
        <f aca="false">SUM(C127:C138)</f>
        <v>16.4440070614618</v>
      </c>
      <c r="D139" s="26" t="n">
        <f aca="false">SUM(D127:D138)</f>
        <v>37.1548487001374</v>
      </c>
      <c r="E139" s="26" t="n">
        <f aca="false">SUM(E127:E138)</f>
        <v>69.6601391928338</v>
      </c>
      <c r="F139" s="26" t="n">
        <f aca="false">SUM(F127:F138)</f>
        <v>100.402586517964</v>
      </c>
      <c r="G139" s="26" t="n">
        <f aca="false">SUM(G127:G138)</f>
        <v>558.825017014868</v>
      </c>
      <c r="H139" s="26" t="n">
        <f aca="false">SUM(H127:H138)</f>
        <v>1452.6760891652</v>
      </c>
      <c r="I139" s="26" t="n">
        <f aca="false">SUM(I127:I138)</f>
        <v>2221.41442787397</v>
      </c>
      <c r="J139" s="26" t="n">
        <f aca="false">SUM(J127:J138)</f>
        <v>2886.42363960426</v>
      </c>
      <c r="K139" s="26" t="n">
        <f aca="false">SUM(K127:K138)</f>
        <v>3644.28258819555</v>
      </c>
    </row>
    <row r="141" customFormat="false" ht="15" hidden="false" customHeight="false" outlineLevel="0" collapsed="false">
      <c r="A141" s="1" t="s">
        <v>330</v>
      </c>
    </row>
    <row r="142" customFormat="false" ht="15" hidden="false" customHeight="false" outlineLevel="0" collapsed="false">
      <c r="A142" s="3" t="s">
        <v>319</v>
      </c>
      <c r="B142" s="3" t="n">
        <v>2026</v>
      </c>
      <c r="C142" s="3" t="n">
        <v>2027</v>
      </c>
      <c r="D142" s="3" t="n">
        <v>2028</v>
      </c>
      <c r="E142" s="3" t="n">
        <v>2029</v>
      </c>
      <c r="F142" s="3" t="n">
        <v>2030</v>
      </c>
      <c r="G142" s="3" t="n">
        <v>2031</v>
      </c>
      <c r="H142" s="3" t="n">
        <v>2032</v>
      </c>
      <c r="I142" s="3" t="n">
        <v>2033</v>
      </c>
      <c r="J142" s="3" t="n">
        <v>2034</v>
      </c>
      <c r="K142" s="3" t="n">
        <v>2035</v>
      </c>
    </row>
    <row r="143" customFormat="false" ht="15" hidden="false" customHeight="false" outlineLevel="0" collapsed="false">
      <c r="A143" s="4" t="s">
        <v>5</v>
      </c>
      <c r="B143" s="13" t="n">
        <f aca="false">B111-B127</f>
        <v>2.2612838946747</v>
      </c>
      <c r="C143" s="13" t="n">
        <f aca="false">C111-C127</f>
        <v>4.02295399733819</v>
      </c>
      <c r="D143" s="13" t="n">
        <f aca="false">D111-D127</f>
        <v>8.11194723847045</v>
      </c>
      <c r="E143" s="13" t="n">
        <f aca="false">E111-E127</f>
        <v>9.12360276210934</v>
      </c>
      <c r="F143" s="13" t="n">
        <f aca="false">F111-F127</f>
        <v>10.4344234635435</v>
      </c>
      <c r="G143" s="13" t="n">
        <f aca="false">G111-G127</f>
        <v>47.0421756240788</v>
      </c>
      <c r="H143" s="13" t="n">
        <f aca="false">H111-H127</f>
        <v>65.5435728930249</v>
      </c>
      <c r="I143" s="13" t="n">
        <f aca="false">I111-I127</f>
        <v>56.1142370227631</v>
      </c>
      <c r="J143" s="13" t="n">
        <f aca="false">J111-J127</f>
        <v>68.1550263233844</v>
      </c>
      <c r="K143" s="13" t="n">
        <f aca="false">K111-K127</f>
        <v>84.9246899438067</v>
      </c>
    </row>
    <row r="144" customFormat="false" ht="15" hidden="false" customHeight="false" outlineLevel="0" collapsed="false">
      <c r="A144" s="4" t="s">
        <v>6</v>
      </c>
      <c r="B144" s="13" t="n">
        <f aca="false">B112-B128</f>
        <v>0.857871021100592</v>
      </c>
      <c r="C144" s="13" t="n">
        <f aca="false">C112-C128</f>
        <v>0.474308763157758</v>
      </c>
      <c r="D144" s="13" t="n">
        <f aca="false">D112-D128</f>
        <v>0.769020164039467</v>
      </c>
      <c r="E144" s="13" t="n">
        <f aca="false">E112-E128</f>
        <v>0.645576300122428</v>
      </c>
      <c r="F144" s="13" t="n">
        <f aca="false">F112-F128</f>
        <v>0.583224232002285</v>
      </c>
      <c r="G144" s="13" t="n">
        <f aca="false">G112-G128</f>
        <v>2.80753284288116</v>
      </c>
      <c r="H144" s="13" t="n">
        <f aca="false">H112-H128</f>
        <v>4.23536665008115</v>
      </c>
      <c r="I144" s="13" t="n">
        <f aca="false">I112-I128</f>
        <v>3.55969934519102</v>
      </c>
      <c r="J144" s="13" t="n">
        <f aca="false">J112-J128</f>
        <v>3.78507444309028</v>
      </c>
      <c r="K144" s="13" t="n">
        <f aca="false">K112-K128</f>
        <v>4.75003000806277</v>
      </c>
    </row>
    <row r="145" customFormat="false" ht="15" hidden="false" customHeight="false" outlineLevel="0" collapsed="false">
      <c r="A145" s="4" t="s">
        <v>7</v>
      </c>
      <c r="B145" s="13" t="n">
        <f aca="false">B113-B129</f>
        <v>0.808672527665575</v>
      </c>
      <c r="C145" s="13" t="n">
        <f aca="false">C113-C129</f>
        <v>1.22725769457286</v>
      </c>
      <c r="D145" s="13" t="n">
        <f aca="false">D113-D129</f>
        <v>1.22931181539483</v>
      </c>
      <c r="E145" s="13" t="n">
        <f aca="false">E113-E129</f>
        <v>0.677532383477233</v>
      </c>
      <c r="F145" s="13" t="n">
        <f aca="false">F113-F129</f>
        <v>1.20630838697573</v>
      </c>
      <c r="G145" s="13" t="n">
        <f aca="false">G113-G129</f>
        <v>1.80724316838291</v>
      </c>
      <c r="H145" s="13" t="n">
        <f aca="false">H113-H129</f>
        <v>3.59736125196783</v>
      </c>
      <c r="I145" s="13" t="n">
        <f aca="false">I113-I129</f>
        <v>3.60546338228167</v>
      </c>
      <c r="J145" s="13" t="n">
        <f aca="false">J113-J129</f>
        <v>4.11608949665023</v>
      </c>
      <c r="K145" s="13" t="n">
        <f aca="false">K113-K129</f>
        <v>4.61686549627666</v>
      </c>
    </row>
    <row r="146" customFormat="false" ht="15" hidden="false" customHeight="false" outlineLevel="0" collapsed="false">
      <c r="A146" s="4" t="s">
        <v>8</v>
      </c>
      <c r="B146" s="13" t="n">
        <f aca="false">B114-B130</f>
        <v>0.972667503780656</v>
      </c>
      <c r="C146" s="13" t="n">
        <f aca="false">C114-C130</f>
        <v>0.806262131873549</v>
      </c>
      <c r="D146" s="13" t="n">
        <f aca="false">D114-D130</f>
        <v>0.619759271457858</v>
      </c>
      <c r="E146" s="13" t="n">
        <f aca="false">E114-E130</f>
        <v>0.366606740465415</v>
      </c>
      <c r="F146" s="13" t="n">
        <f aca="false">F114-F130</f>
        <v>1.10672030573097</v>
      </c>
      <c r="G146" s="13" t="n">
        <f aca="false">G114-G130</f>
        <v>0.980188986262034</v>
      </c>
      <c r="H146" s="13" t="n">
        <f aca="false">H114-H130</f>
        <v>0.520290536398157</v>
      </c>
      <c r="I146" s="13" t="n">
        <f aca="false">I114-I130</f>
        <v>0.610676721978683</v>
      </c>
      <c r="J146" s="13" t="n">
        <f aca="false">J114-J130</f>
        <v>1.27213307277104</v>
      </c>
      <c r="K146" s="13" t="n">
        <f aca="false">K114-K130</f>
        <v>1.1067844869594</v>
      </c>
    </row>
    <row r="147" customFormat="false" ht="15" hidden="false" customHeight="false" outlineLevel="0" collapsed="false">
      <c r="A147" s="4" t="s">
        <v>9</v>
      </c>
      <c r="B147" s="13" t="n">
        <f aca="false">B115-B131</f>
        <v>0.986333752490821</v>
      </c>
      <c r="C147" s="13" t="n">
        <f aca="false">C115-C131</f>
        <v>0.900049764249128</v>
      </c>
      <c r="D147" s="13" t="n">
        <f aca="false">D115-D131</f>
        <v>0.80248133002795</v>
      </c>
      <c r="E147" s="13" t="n">
        <f aca="false">E115-E131</f>
        <v>0.662113381299297</v>
      </c>
      <c r="F147" s="13" t="n">
        <f aca="false">F115-F131</f>
        <v>0.52092389487774</v>
      </c>
      <c r="G147" s="13" t="n">
        <f aca="false">G115-G131</f>
        <v>0.920681715862868</v>
      </c>
      <c r="H147" s="13" t="n">
        <f aca="false">H115-H131</f>
        <v>0.535940830673183</v>
      </c>
      <c r="I147" s="13" t="n">
        <f aca="false">I115-I131</f>
        <v>0.428795206016257</v>
      </c>
      <c r="J147" s="13" t="n">
        <f aca="false">J115-J131</f>
        <v>0.673607887662181</v>
      </c>
      <c r="K147" s="13" t="n">
        <f aca="false">K115-K131</f>
        <v>0.502585048337158</v>
      </c>
    </row>
    <row r="148" customFormat="false" ht="15" hidden="false" customHeight="false" outlineLevel="0" collapsed="false">
      <c r="A148" s="4" t="s">
        <v>10</v>
      </c>
      <c r="B148" s="13" t="n">
        <f aca="false">B116-B132</f>
        <v>0.991800251494492</v>
      </c>
      <c r="C148" s="13" t="n">
        <f aca="false">C116-C132</f>
        <v>0.943465877892125</v>
      </c>
      <c r="D148" s="13" t="n">
        <f aca="false">D116-D132</f>
        <v>0.89324479339472</v>
      </c>
      <c r="E148" s="13" t="n">
        <f aca="false">E116-E132</f>
        <v>0.808439830731728</v>
      </c>
      <c r="F148" s="13" t="n">
        <f aca="false">F116-F132</f>
        <v>0.736027961722283</v>
      </c>
      <c r="G148" s="13" t="n">
        <f aca="false">G116-G132</f>
        <v>0.223493953409273</v>
      </c>
      <c r="H148" s="13" t="n">
        <f aca="false">H116-H132</f>
        <v>0.589648440819478</v>
      </c>
      <c r="I148" s="13" t="n">
        <f aca="false">I116-I132</f>
        <v>0.401554923668747</v>
      </c>
      <c r="J148" s="13" t="n">
        <f aca="false">J116-J132</f>
        <v>0.421682189553513</v>
      </c>
      <c r="K148" s="13" t="n">
        <f aca="false">K116-K132</f>
        <v>1.1567655554239</v>
      </c>
    </row>
    <row r="149" customFormat="false" ht="15" hidden="false" customHeight="false" outlineLevel="0" collapsed="false">
      <c r="A149" s="4" t="s">
        <v>11</v>
      </c>
      <c r="B149" s="13" t="n">
        <f aca="false">B117-B133</f>
        <v>0.901603014330952</v>
      </c>
      <c r="C149" s="13" t="n">
        <f aca="false">C117-C133</f>
        <v>0.597190858692078</v>
      </c>
      <c r="D149" s="13" t="n">
        <f aca="false">D117-D133</f>
        <v>1.10334625003109</v>
      </c>
      <c r="E149" s="13" t="n">
        <f aca="false">E117-E133</f>
        <v>0.367981081910835</v>
      </c>
      <c r="F149" s="13" t="n">
        <f aca="false">F117-F133</f>
        <v>0.644716802882736</v>
      </c>
      <c r="G149" s="13" t="n">
        <f aca="false">G117-G133</f>
        <v>1.5490679595154</v>
      </c>
      <c r="H149" s="13" t="n">
        <f aca="false">H117-H133</f>
        <v>2.31114927171918</v>
      </c>
      <c r="I149" s="13" t="n">
        <f aca="false">I117-I133</f>
        <v>1.90285112853493</v>
      </c>
      <c r="J149" s="13" t="n">
        <f aca="false">J117-J133</f>
        <v>2.31873012060391</v>
      </c>
      <c r="K149" s="13" t="n">
        <f aca="false">K117-K133</f>
        <v>2.74200106266515</v>
      </c>
    </row>
    <row r="150" customFormat="false" ht="15" hidden="false" customHeight="false" outlineLevel="0" collapsed="false">
      <c r="A150" s="4" t="s">
        <v>13</v>
      </c>
      <c r="B150" s="13" t="n">
        <f aca="false">B118-B134</f>
        <v>1.30848784961384</v>
      </c>
      <c r="C150" s="13" t="n">
        <f aca="false">C118-C134</f>
        <v>1.18871903813503</v>
      </c>
      <c r="D150" s="13" t="n">
        <f aca="false">D118-D134</f>
        <v>2.59775850303546</v>
      </c>
      <c r="E150" s="13" t="n">
        <f aca="false">E118-E134</f>
        <v>2.96427085926995</v>
      </c>
      <c r="F150" s="13" t="n">
        <f aca="false">F118-F134</f>
        <v>2.62726222819455</v>
      </c>
      <c r="G150" s="13" t="n">
        <f aca="false">G118-G134</f>
        <v>4.64392885724595</v>
      </c>
      <c r="H150" s="13" t="n">
        <f aca="false">H118-H134</f>
        <v>10.5236385741485</v>
      </c>
      <c r="I150" s="13" t="n">
        <f aca="false">I118-I134</f>
        <v>9.80143555281421</v>
      </c>
      <c r="J150" s="13" t="n">
        <f aca="false">J118-J134</f>
        <v>12.5109958030831</v>
      </c>
      <c r="K150" s="13" t="n">
        <f aca="false">K118-K134</f>
        <v>16.7111095968564</v>
      </c>
    </row>
    <row r="151" customFormat="false" ht="15" hidden="false" customHeight="false" outlineLevel="0" collapsed="false">
      <c r="A151" s="4" t="s">
        <v>14</v>
      </c>
      <c r="B151" s="13" t="n">
        <f aca="false">B119-B135</f>
        <v>0.978134002784327</v>
      </c>
      <c r="C151" s="13" t="n">
        <f aca="false">C119-C135</f>
        <v>0.865399410338474</v>
      </c>
      <c r="D151" s="13" t="n">
        <f aca="false">D119-D135</f>
        <v>0.722747658090026</v>
      </c>
      <c r="E151" s="13" t="n">
        <f aca="false">E119-E135</f>
        <v>0.518746718448228</v>
      </c>
      <c r="F151" s="13" t="n">
        <f aca="false">F119-F135</f>
        <v>0.310024510483786</v>
      </c>
      <c r="G151" s="13" t="n">
        <f aca="false">G119-G135</f>
        <v>0.417617396043247</v>
      </c>
      <c r="H151" s="13" t="n">
        <f aca="false">H119-H135</f>
        <v>1.29503669442214</v>
      </c>
      <c r="I151" s="13" t="n">
        <f aca="false">I119-I135</f>
        <v>0.584984339517808</v>
      </c>
      <c r="J151" s="13" t="n">
        <f aca="false">J119-J135</f>
        <v>1.35580810885446</v>
      </c>
      <c r="K151" s="13" t="n">
        <f aca="false">K119-K135</f>
        <v>1.47282802307213</v>
      </c>
    </row>
    <row r="152" customFormat="false" ht="15" hidden="false" customHeight="false" outlineLevel="0" collapsed="false">
      <c r="A152" s="4" t="s">
        <v>15</v>
      </c>
      <c r="B152" s="13" t="n">
        <f aca="false">B120-B136</f>
        <v>0.991800251494492</v>
      </c>
      <c r="C152" s="13" t="n">
        <f aca="false">C120-C136</f>
        <v>0.943465877892125</v>
      </c>
      <c r="D152" s="13" t="n">
        <f aca="false">D120-D136</f>
        <v>0.89324479339472</v>
      </c>
      <c r="E152" s="13" t="n">
        <f aca="false">E120-E136</f>
        <v>0.821918861424673</v>
      </c>
      <c r="F152" s="13" t="n">
        <f aca="false">F120-F136</f>
        <v>0.753526498523843</v>
      </c>
      <c r="G152" s="13" t="n">
        <f aca="false">G120-G136</f>
        <v>0.443250229753417</v>
      </c>
      <c r="H152" s="13" t="n">
        <f aca="false">H120-H136</f>
        <v>1.07303428416542</v>
      </c>
      <c r="I152" s="13" t="n">
        <f aca="false">I120-I136</f>
        <v>1.07206248351723</v>
      </c>
      <c r="J152" s="13" t="n">
        <f aca="false">J120-J136</f>
        <v>0.270316490681714</v>
      </c>
      <c r="K152" s="13" t="n">
        <f aca="false">K120-K136</f>
        <v>1.2062030244691</v>
      </c>
    </row>
    <row r="153" customFormat="false" ht="15" hidden="false" customHeight="false" outlineLevel="0" collapsed="false">
      <c r="A153" s="4" t="s">
        <v>17</v>
      </c>
      <c r="B153" s="13" t="n">
        <f aca="false">B121-B137</f>
        <v>0.932215410192696</v>
      </c>
      <c r="C153" s="13" t="n">
        <f aca="false">C121-C137</f>
        <v>0.669535619037131</v>
      </c>
      <c r="D153" s="13" t="n">
        <f aca="false">D121-D137</f>
        <v>0.281831586261034</v>
      </c>
      <c r="E153" s="13" t="n">
        <f aca="false">E121-E137</f>
        <v>0.706457510565845</v>
      </c>
      <c r="F153" s="13" t="n">
        <f aca="false">F121-F137</f>
        <v>1.13940415743851</v>
      </c>
      <c r="G153" s="13" t="n">
        <f aca="false">G121-G137</f>
        <v>1.47184180014016</v>
      </c>
      <c r="H153" s="13" t="n">
        <f aca="false">H121-H137</f>
        <v>2.67909712829841</v>
      </c>
      <c r="I153" s="13" t="n">
        <f aca="false">I121-I137</f>
        <v>2.00304960933784</v>
      </c>
      <c r="J153" s="13" t="n">
        <f aca="false">J121-J137</f>
        <v>2.55751717137009</v>
      </c>
      <c r="K153" s="13" t="n">
        <f aca="false">K121-K137</f>
        <v>3.22203964232919</v>
      </c>
    </row>
    <row r="154" customFormat="false" ht="15" hidden="false" customHeight="false" outlineLevel="0" collapsed="false">
      <c r="A154" s="4" t="s">
        <v>19</v>
      </c>
      <c r="B154" s="13" t="n">
        <f aca="false">B122-B138</f>
        <v>0.98305385284842</v>
      </c>
      <c r="C154" s="13" t="n">
        <f aca="false">C122-C138</f>
        <v>0.917383905359775</v>
      </c>
      <c r="D154" s="13" t="n">
        <f aca="false">D122-D138</f>
        <v>0.820457896265012</v>
      </c>
      <c r="E154" s="13" t="n">
        <f aca="false">E122-E138</f>
        <v>0.676614377341215</v>
      </c>
      <c r="F154" s="13" t="n">
        <f aca="false">F122-F138</f>
        <v>0.534851039659873</v>
      </c>
      <c r="G154" s="13" t="n">
        <f aca="false">G122-G138</f>
        <v>0.867960451556699</v>
      </c>
      <c r="H154" s="13" t="n">
        <f aca="false">H122-H138</f>
        <v>1.4197742790853</v>
      </c>
      <c r="I154" s="13" t="n">
        <f aca="false">I122-I138</f>
        <v>0.500762410412692</v>
      </c>
      <c r="J154" s="13" t="n">
        <f aca="false">J122-J138</f>
        <v>1.1393792880317</v>
      </c>
      <c r="K154" s="13" t="n">
        <f aca="false">K122-K138</f>
        <v>1.30550991618917</v>
      </c>
    </row>
    <row r="155" customFormat="false" ht="15" hidden="false" customHeight="false" outlineLevel="0" collapsed="false">
      <c r="A155" s="6" t="s">
        <v>136</v>
      </c>
      <c r="B155" s="7" t="n">
        <f aca="false">SUM(B143:B154)</f>
        <v>12.9739233324716</v>
      </c>
      <c r="C155" s="7" t="n">
        <f aca="false">SUM(C143:C154)</f>
        <v>13.5559929385382</v>
      </c>
      <c r="D155" s="7" t="n">
        <f aca="false">SUM(D143:D154)</f>
        <v>18.8451512998626</v>
      </c>
      <c r="E155" s="7" t="n">
        <f aca="false">SUM(E143:E154)</f>
        <v>18.3398608071662</v>
      </c>
      <c r="F155" s="7" t="n">
        <f aca="false">SUM(F143:F154)</f>
        <v>20.5974134820358</v>
      </c>
      <c r="G155" s="7" t="n">
        <f aca="false">SUM(G143:G154)</f>
        <v>63.1749829851319</v>
      </c>
      <c r="H155" s="7" t="n">
        <f aca="false">SUM(H143:H154)</f>
        <v>94.3239108348037</v>
      </c>
      <c r="I155" s="7" t="n">
        <f aca="false">SUM(I143:I154)</f>
        <v>80.5855721260342</v>
      </c>
      <c r="J155" s="7" t="n">
        <f aca="false">SUM(J143:J154)</f>
        <v>98.5763603957366</v>
      </c>
      <c r="K155" s="7" t="n">
        <f aca="false">SUM(K143:K154)</f>
        <v>123.717411804448</v>
      </c>
    </row>
    <row r="157" customFormat="false" ht="15" hidden="false" customHeight="false" outlineLevel="0" collapsed="false">
      <c r="A157" s="1" t="s">
        <v>331</v>
      </c>
    </row>
    <row r="158" customFormat="false" ht="15" hidden="false" customHeight="false" outlineLevel="0" collapsed="false">
      <c r="A158" s="3" t="s">
        <v>319</v>
      </c>
      <c r="B158" s="3" t="n">
        <v>2026</v>
      </c>
      <c r="C158" s="3" t="n">
        <v>2027</v>
      </c>
      <c r="D158" s="3" t="n">
        <v>2028</v>
      </c>
      <c r="E158" s="3" t="n">
        <v>2029</v>
      </c>
      <c r="F158" s="3" t="n">
        <v>2030</v>
      </c>
      <c r="G158" s="3" t="n">
        <v>2031</v>
      </c>
      <c r="H158" s="3" t="n">
        <v>2032</v>
      </c>
      <c r="I158" s="3" t="n">
        <v>2033</v>
      </c>
      <c r="J158" s="3" t="n">
        <v>2034</v>
      </c>
      <c r="K158" s="3" t="n">
        <v>2035</v>
      </c>
    </row>
    <row r="159" customFormat="false" ht="15" hidden="false" customHeight="false" outlineLevel="0" collapsed="false">
      <c r="A159" s="4" t="s">
        <v>5</v>
      </c>
      <c r="B159" s="13" t="n">
        <f aca="false">B111</f>
        <v>5</v>
      </c>
      <c r="C159" s="13" t="n">
        <f aca="false">MAX(0,C111-B111)+B111*IF(INDEX($B$10:$B$26,MATCH($A159,$A$10:$A$26,0))="CO₂",parametros_recargas!$B$23,parametros_recargas!$B$24)</f>
        <v>10.4</v>
      </c>
      <c r="D159" s="13" t="n">
        <f aca="false">MAX(0,D111-C111)+C111*IF(INDEX($B$10:$B$26,MATCH($A159,$A$10:$A$26,0))="CO₂",parametros_recargas!$B$23,parametros_recargas!$B$24)</f>
        <v>19.2</v>
      </c>
      <c r="E159" s="13" t="n">
        <f aca="false">MAX(0,E111-D111)+D111*IF(INDEX($B$10:$B$26,MATCH($A159,$A$10:$A$26,0))="CO₂",parametros_recargas!$B$23,parametros_recargas!$B$24)</f>
        <v>25.64</v>
      </c>
      <c r="F159" s="13" t="n">
        <f aca="false">MAX(0,F111-E111)+E111*IF(INDEX($B$10:$B$26,MATCH($A159,$A$10:$A$26,0))="CO₂",parametros_recargas!$B$23,parametros_recargas!$B$24)</f>
        <v>26.48</v>
      </c>
      <c r="G159" s="13" t="n">
        <f aca="false">MAX(0,G111-F111)+F111*IF(INDEX($B$10:$B$26,MATCH($A159,$A$10:$A$26,0))="CO₂",parametros_recargas!$B$23,parametros_recargas!$B$24)</f>
        <v>430.24</v>
      </c>
      <c r="H159" s="13" t="n">
        <f aca="false">MAX(0,H111-G111)+G111*IF(INDEX($B$10:$B$26,MATCH($A159,$A$10:$A$26,0))="CO₂",parametros_recargas!$B$23,parametros_recargas!$B$24)</f>
        <v>698.16</v>
      </c>
      <c r="I159" s="13" t="n">
        <f aca="false">MAX(0,I111-H111)+H111*IF(INDEX($B$10:$B$26,MATCH($A159,$A$10:$A$26,0))="CO₂",parametros_recargas!$B$23,parametros_recargas!$B$24)</f>
        <v>628.8</v>
      </c>
      <c r="J159" s="13" t="n">
        <f aca="false">MAX(0,J111-I111)+I111*IF(INDEX($B$10:$B$26,MATCH($A159,$A$10:$A$26,0))="CO₂",parametros_recargas!$B$23,parametros_recargas!$B$24)</f>
        <v>615.68</v>
      </c>
      <c r="K159" s="13" t="n">
        <f aca="false">MAX(0,K111-J111)+J111*IF(INDEX($B$10:$B$26,MATCH($A159,$A$10:$A$26,0))="CO₂",parametros_recargas!$B$23,parametros_recargas!$B$24)</f>
        <v>723.08</v>
      </c>
    </row>
    <row r="160" customFormat="false" ht="15" hidden="false" customHeight="false" outlineLevel="0" collapsed="false">
      <c r="A160" s="4" t="s">
        <v>6</v>
      </c>
      <c r="B160" s="13" t="n">
        <f aca="false">B112</f>
        <v>1</v>
      </c>
      <c r="C160" s="13" t="n">
        <f aca="false">MAX(0,C112-B112)+B112*IF(INDEX($B$10:$B$26,MATCH($A160,$A$10:$A$26,0))="CO₂",parametros_recargas!$B$23,parametros_recargas!$B$24)</f>
        <v>0.08</v>
      </c>
      <c r="D160" s="13" t="n">
        <f aca="false">MAX(0,D112-C112)+C112*IF(INDEX($B$10:$B$26,MATCH($A160,$A$10:$A$26,0))="CO₂",parametros_recargas!$B$23,parametros_recargas!$B$24)</f>
        <v>1.08</v>
      </c>
      <c r="E160" s="13" t="n">
        <f aca="false">MAX(0,E112-D112)+D112*IF(INDEX($B$10:$B$26,MATCH($A160,$A$10:$A$26,0))="CO₂",parametros_recargas!$B$23,parametros_recargas!$B$24)</f>
        <v>1.16</v>
      </c>
      <c r="F160" s="13" t="n">
        <f aca="false">MAX(0,F112-E112)+E112*IF(INDEX($B$10:$B$26,MATCH($A160,$A$10:$A$26,0))="CO₂",parametros_recargas!$B$23,parametros_recargas!$B$24)</f>
        <v>1.24</v>
      </c>
      <c r="G160" s="13" t="n">
        <f aca="false">MAX(0,G112-F112)+F112*IF(INDEX($B$10:$B$26,MATCH($A160,$A$10:$A$26,0))="CO₂",parametros_recargas!$B$23,parametros_recargas!$B$24)</f>
        <v>22.32</v>
      </c>
      <c r="H160" s="13" t="n">
        <f aca="false">MAX(0,H112-G112)+G112*IF(INDEX($B$10:$B$26,MATCH($A160,$A$10:$A$26,0))="CO₂",parametros_recargas!$B$23,parametros_recargas!$B$24)</f>
        <v>36.08</v>
      </c>
      <c r="I160" s="13" t="n">
        <f aca="false">MAX(0,I112-H112)+H112*IF(INDEX($B$10:$B$26,MATCH($A160,$A$10:$A$26,0))="CO₂",parametros_recargas!$B$23,parametros_recargas!$B$24)</f>
        <v>31.8</v>
      </c>
      <c r="J160" s="13" t="n">
        <f aca="false">MAX(0,J112-I112)+I112*IF(INDEX($B$10:$B$26,MATCH($A160,$A$10:$A$26,0))="CO₂",parametros_recargas!$B$23,parametros_recargas!$B$24)</f>
        <v>30.96</v>
      </c>
      <c r="K160" s="13" t="n">
        <f aca="false">MAX(0,K112-J112)+J112*IF(INDEX($B$10:$B$26,MATCH($A160,$A$10:$A$26,0))="CO₂",parametros_recargas!$B$23,parametros_recargas!$B$24)</f>
        <v>36.88</v>
      </c>
    </row>
    <row r="161" customFormat="false" ht="15" hidden="false" customHeight="false" outlineLevel="0" collapsed="false">
      <c r="A161" s="4" t="s">
        <v>7</v>
      </c>
      <c r="B161" s="13" t="n">
        <f aca="false">B113</f>
        <v>1</v>
      </c>
      <c r="C161" s="13" t="n">
        <f aca="false">MAX(0,C113-B113)+B113*IF(INDEX($B$10:$B$26,MATCH($A161,$A$10:$A$26,0))="CO₂",parametros_recargas!$B$23,parametros_recargas!$B$24)</f>
        <v>1.08</v>
      </c>
      <c r="D161" s="13" t="n">
        <f aca="false">MAX(0,D113-C113)+C113*IF(INDEX($B$10:$B$26,MATCH($A161,$A$10:$A$26,0))="CO₂",parametros_recargas!$B$23,parametros_recargas!$B$24)</f>
        <v>1.16</v>
      </c>
      <c r="E161" s="13" t="n">
        <f aca="false">MAX(0,E113-D113)+D113*IF(INDEX($B$10:$B$26,MATCH($A161,$A$10:$A$26,0))="CO₂",parametros_recargas!$B$23,parametros_recargas!$B$24)</f>
        <v>1.24</v>
      </c>
      <c r="F161" s="13" t="n">
        <f aca="false">MAX(0,F113-E113)+E113*IF(INDEX($B$10:$B$26,MATCH($A161,$A$10:$A$26,0))="CO₂",parametros_recargas!$B$23,parametros_recargas!$B$24)</f>
        <v>2.32</v>
      </c>
      <c r="G161" s="13" t="n">
        <f aca="false">MAX(0,G113-F113)+F113*IF(INDEX($B$10:$B$26,MATCH($A161,$A$10:$A$26,0))="CO₂",parametros_recargas!$B$23,parametros_recargas!$B$24)</f>
        <v>7.48</v>
      </c>
      <c r="H161" s="13" t="n">
        <f aca="false">MAX(0,H113-G113)+G113*IF(INDEX($B$10:$B$26,MATCH($A161,$A$10:$A$26,0))="CO₂",parametros_recargas!$B$23,parametros_recargas!$B$24)</f>
        <v>38.04</v>
      </c>
      <c r="I161" s="13" t="n">
        <f aca="false">MAX(0,I113-H113)+H113*IF(INDEX($B$10:$B$26,MATCH($A161,$A$10:$A$26,0))="CO₂",parametros_recargas!$B$23,parametros_recargas!$B$24)</f>
        <v>35</v>
      </c>
      <c r="J161" s="13" t="n">
        <f aca="false">MAX(0,J113-I113)+I113*IF(INDEX($B$10:$B$26,MATCH($A161,$A$10:$A$26,0))="CO₂",parametros_recargas!$B$23,parametros_recargas!$B$24)</f>
        <v>34.48</v>
      </c>
      <c r="K161" s="13" t="n">
        <f aca="false">MAX(0,K113-J113)+J113*IF(INDEX($B$10:$B$26,MATCH($A161,$A$10:$A$26,0))="CO₂",parametros_recargas!$B$23,parametros_recargas!$B$24)</f>
        <v>40.72</v>
      </c>
    </row>
    <row r="162" customFormat="false" ht="15" hidden="false" customHeight="false" outlineLevel="0" collapsed="false">
      <c r="A162" s="4" t="s">
        <v>8</v>
      </c>
      <c r="B162" s="13" t="n">
        <f aca="false">B114</f>
        <v>1</v>
      </c>
      <c r="C162" s="13" t="n">
        <f aca="false">MAX(0,C114-B114)+B114*IF(INDEX($B$10:$B$26,MATCH($A162,$A$10:$A$26,0))="CO₂",parametros_recargas!$B$23,parametros_recargas!$B$24)</f>
        <v>0.08</v>
      </c>
      <c r="D162" s="13" t="n">
        <f aca="false">MAX(0,D114-C114)+C114*IF(INDEX($B$10:$B$26,MATCH($A162,$A$10:$A$26,0))="CO₂",parametros_recargas!$B$23,parametros_recargas!$B$24)</f>
        <v>0.08</v>
      </c>
      <c r="E162" s="13" t="n">
        <f aca="false">MAX(0,E114-D114)+D114*IF(INDEX($B$10:$B$26,MATCH($A162,$A$10:$A$26,0))="CO₂",parametros_recargas!$B$23,parametros_recargas!$B$24)</f>
        <v>0.08</v>
      </c>
      <c r="F162" s="13" t="n">
        <f aca="false">MAX(0,F114-E114)+E114*IF(INDEX($B$10:$B$26,MATCH($A162,$A$10:$A$26,0))="CO₂",parametros_recargas!$B$23,parametros_recargas!$B$24)</f>
        <v>1.08</v>
      </c>
      <c r="G162" s="13" t="n">
        <f aca="false">MAX(0,G114-F114)+F114*IF(INDEX($B$10:$B$26,MATCH($A162,$A$10:$A$26,0))="CO₂",parametros_recargas!$B$23,parametros_recargas!$B$24)</f>
        <v>1.16</v>
      </c>
      <c r="H162" s="13" t="n">
        <f aca="false">MAX(0,H114-G114)+G114*IF(INDEX($B$10:$B$26,MATCH($A162,$A$10:$A$26,0))="CO₂",parametros_recargas!$B$23,parametros_recargas!$B$24)</f>
        <v>6.24</v>
      </c>
      <c r="I162" s="13" t="n">
        <f aca="false">MAX(0,I114-H114)+H114*IF(INDEX($B$10:$B$26,MATCH($A162,$A$10:$A$26,0))="CO₂",parametros_recargas!$B$23,parametros_recargas!$B$24)</f>
        <v>6.72</v>
      </c>
      <c r="J162" s="13" t="n">
        <f aca="false">MAX(0,J114-I114)+I114*IF(INDEX($B$10:$B$26,MATCH($A162,$A$10:$A$26,0))="CO₂",parametros_recargas!$B$23,parametros_recargas!$B$24)</f>
        <v>7.2</v>
      </c>
      <c r="K162" s="13" t="n">
        <f aca="false">MAX(0,K114-J114)+J114*IF(INDEX($B$10:$B$26,MATCH($A162,$A$10:$A$26,0))="CO₂",parametros_recargas!$B$23,parametros_recargas!$B$24)</f>
        <v>7.68</v>
      </c>
    </row>
    <row r="163" customFormat="false" ht="15" hidden="false" customHeight="false" outlineLevel="0" collapsed="false">
      <c r="A163" s="4" t="s">
        <v>9</v>
      </c>
      <c r="B163" s="13" t="n">
        <f aca="false">B115</f>
        <v>1</v>
      </c>
      <c r="C163" s="13" t="n">
        <f aca="false">MAX(0,C115-B115)+B115*IF(INDEX($B$10:$B$26,MATCH($A163,$A$10:$A$26,0))="CO₂",parametros_recargas!$B$23,parametros_recargas!$B$24)</f>
        <v>0.08</v>
      </c>
      <c r="D163" s="13" t="n">
        <f aca="false">MAX(0,D115-C115)+C115*IF(INDEX($B$10:$B$26,MATCH($A163,$A$10:$A$26,0))="CO₂",parametros_recargas!$B$23,parametros_recargas!$B$24)</f>
        <v>0.08</v>
      </c>
      <c r="E163" s="13" t="n">
        <f aca="false">MAX(0,E115-D115)+D115*IF(INDEX($B$10:$B$26,MATCH($A163,$A$10:$A$26,0))="CO₂",parametros_recargas!$B$23,parametros_recargas!$B$24)</f>
        <v>0.08</v>
      </c>
      <c r="F163" s="13" t="n">
        <f aca="false">MAX(0,F115-E115)+E115*IF(INDEX($B$10:$B$26,MATCH($A163,$A$10:$A$26,0))="CO₂",parametros_recargas!$B$23,parametros_recargas!$B$24)</f>
        <v>0.08</v>
      </c>
      <c r="G163" s="13" t="n">
        <f aca="false">MAX(0,G115-F115)+F115*IF(INDEX($B$10:$B$26,MATCH($A163,$A$10:$A$26,0))="CO₂",parametros_recargas!$B$23,parametros_recargas!$B$24)</f>
        <v>1.08</v>
      </c>
      <c r="H163" s="13" t="n">
        <f aca="false">MAX(0,H115-G115)+G115*IF(INDEX($B$10:$B$26,MATCH($A163,$A$10:$A$26,0))="CO₂",parametros_recargas!$B$23,parametros_recargas!$B$24)</f>
        <v>3.16</v>
      </c>
      <c r="I163" s="13" t="n">
        <f aca="false">MAX(0,I115-H115)+H115*IF(INDEX($B$10:$B$26,MATCH($A163,$A$10:$A$26,0))="CO₂",parametros_recargas!$B$23,parametros_recargas!$B$24)</f>
        <v>3.4</v>
      </c>
      <c r="J163" s="13" t="n">
        <f aca="false">MAX(0,J115-I115)+I115*IF(INDEX($B$10:$B$26,MATCH($A163,$A$10:$A$26,0))="CO₂",parametros_recargas!$B$23,parametros_recargas!$B$24)</f>
        <v>3.64</v>
      </c>
      <c r="K163" s="13" t="n">
        <f aca="false">MAX(0,K115-J115)+J115*IF(INDEX($B$10:$B$26,MATCH($A163,$A$10:$A$26,0))="CO₂",parametros_recargas!$B$23,parametros_recargas!$B$24)</f>
        <v>3.88</v>
      </c>
    </row>
    <row r="164" customFormat="false" ht="15" hidden="false" customHeight="false" outlineLevel="0" collapsed="false">
      <c r="A164" s="4" t="s">
        <v>10</v>
      </c>
      <c r="B164" s="13" t="n">
        <f aca="false">B116</f>
        <v>1</v>
      </c>
      <c r="C164" s="13" t="n">
        <f aca="false">MAX(0,C116-B116)+B116*IF(INDEX($B$10:$B$26,MATCH($A164,$A$10:$A$26,0))="CO₂",parametros_recargas!$B$23,parametros_recargas!$B$24)</f>
        <v>0.08</v>
      </c>
      <c r="D164" s="13" t="n">
        <f aca="false">MAX(0,D116-C116)+C116*IF(INDEX($B$10:$B$26,MATCH($A164,$A$10:$A$26,0))="CO₂",parametros_recargas!$B$23,parametros_recargas!$B$24)</f>
        <v>0.08</v>
      </c>
      <c r="E164" s="13" t="n">
        <f aca="false">MAX(0,E116-D116)+D116*IF(INDEX($B$10:$B$26,MATCH($A164,$A$10:$A$26,0))="CO₂",parametros_recargas!$B$23,parametros_recargas!$B$24)</f>
        <v>0.08</v>
      </c>
      <c r="F164" s="13" t="n">
        <f aca="false">MAX(0,F116-E116)+E116*IF(INDEX($B$10:$B$26,MATCH($A164,$A$10:$A$26,0))="CO₂",parametros_recargas!$B$23,parametros_recargas!$B$24)</f>
        <v>0.08</v>
      </c>
      <c r="G164" s="13" t="n">
        <f aca="false">MAX(0,G116-F116)+F116*IF(INDEX($B$10:$B$26,MATCH($A164,$A$10:$A$26,0))="CO₂",parametros_recargas!$B$23,parametros_recargas!$B$24)</f>
        <v>1.08</v>
      </c>
      <c r="H164" s="13" t="n">
        <f aca="false">MAX(0,H116-G116)+G116*IF(INDEX($B$10:$B$26,MATCH($A164,$A$10:$A$26,0))="CO₂",parametros_recargas!$B$23,parametros_recargas!$B$24)</f>
        <v>3.16</v>
      </c>
      <c r="I164" s="13" t="n">
        <f aca="false">MAX(0,I116-H116)+H116*IF(INDEX($B$10:$B$26,MATCH($A164,$A$10:$A$26,0))="CO₂",parametros_recargas!$B$23,parametros_recargas!$B$24)</f>
        <v>2.4</v>
      </c>
      <c r="J164" s="13" t="n">
        <f aca="false">MAX(0,J116-I116)+I116*IF(INDEX($B$10:$B$26,MATCH($A164,$A$10:$A$26,0))="CO₂",parametros_recargas!$B$23,parametros_recargas!$B$24)</f>
        <v>2.56</v>
      </c>
      <c r="K164" s="13" t="n">
        <f aca="false">MAX(0,K116-J116)+J116*IF(INDEX($B$10:$B$26,MATCH($A164,$A$10:$A$26,0))="CO₂",parametros_recargas!$B$23,parametros_recargas!$B$24)</f>
        <v>3.72</v>
      </c>
    </row>
    <row r="165" customFormat="false" ht="15" hidden="false" customHeight="false" outlineLevel="0" collapsed="false">
      <c r="A165" s="4" t="s">
        <v>11</v>
      </c>
      <c r="B165" s="13" t="n">
        <f aca="false">B117</f>
        <v>1</v>
      </c>
      <c r="C165" s="13" t="n">
        <f aca="false">MAX(0,C117-B117)+B117*IF(INDEX($B$10:$B$26,MATCH($A165,$A$10:$A$26,0))="CO₂",parametros_recargas!$B$23,parametros_recargas!$B$24)</f>
        <v>0.08</v>
      </c>
      <c r="D165" s="13" t="n">
        <f aca="false">MAX(0,D117-C117)+C117*IF(INDEX($B$10:$B$26,MATCH($A165,$A$10:$A$26,0))="CO₂",parametros_recargas!$B$23,parametros_recargas!$B$24)</f>
        <v>1.08</v>
      </c>
      <c r="E165" s="13" t="n">
        <f aca="false">MAX(0,E117-D117)+D117*IF(INDEX($B$10:$B$26,MATCH($A165,$A$10:$A$26,0))="CO₂",parametros_recargas!$B$23,parametros_recargas!$B$24)</f>
        <v>0.16</v>
      </c>
      <c r="F165" s="13" t="n">
        <f aca="false">MAX(0,F117-E117)+E117*IF(INDEX($B$10:$B$26,MATCH($A165,$A$10:$A$26,0))="CO₂",parametros_recargas!$B$23,parametros_recargas!$B$24)</f>
        <v>1.16</v>
      </c>
      <c r="G165" s="13" t="n">
        <f aca="false">MAX(0,G117-F117)+F117*IF(INDEX($B$10:$B$26,MATCH($A165,$A$10:$A$26,0))="CO₂",parametros_recargas!$B$23,parametros_recargas!$B$24)</f>
        <v>4.24</v>
      </c>
      <c r="H165" s="13" t="n">
        <f aca="false">MAX(0,H117-G117)+G117*IF(INDEX($B$10:$B$26,MATCH($A165,$A$10:$A$26,0))="CO₂",parametros_recargas!$B$23,parametros_recargas!$B$24)</f>
        <v>18.56</v>
      </c>
      <c r="I165" s="13" t="n">
        <f aca="false">MAX(0,I117-H117)+H117*IF(INDEX($B$10:$B$26,MATCH($A165,$A$10:$A$26,0))="CO₂",parametros_recargas!$B$23,parametros_recargas!$B$24)</f>
        <v>17</v>
      </c>
      <c r="J165" s="13" t="n">
        <f aca="false">MAX(0,J117-I117)+I117*IF(INDEX($B$10:$B$26,MATCH($A165,$A$10:$A$26,0))="CO₂",parametros_recargas!$B$23,parametros_recargas!$B$24)</f>
        <v>17.2</v>
      </c>
      <c r="K165" s="13" t="n">
        <f aca="false">MAX(0,K117-J117)+J117*IF(INDEX($B$10:$B$26,MATCH($A165,$A$10:$A$26,0))="CO₂",parametros_recargas!$B$23,parametros_recargas!$B$24)</f>
        <v>20.32</v>
      </c>
    </row>
    <row r="166" customFormat="false" ht="15" hidden="false" customHeight="false" outlineLevel="0" collapsed="false">
      <c r="A166" s="4" t="s">
        <v>13</v>
      </c>
      <c r="B166" s="13" t="n">
        <f aca="false">B118</f>
        <v>2</v>
      </c>
      <c r="C166" s="13" t="n">
        <f aca="false">MAX(0,C118-B118)+B118*IF(INDEX($B$10:$B$26,MATCH($A166,$A$10:$A$26,0))="CO₂",parametros_recargas!$B$23,parametros_recargas!$B$24)</f>
        <v>2.12666666666667</v>
      </c>
      <c r="D166" s="13" t="n">
        <f aca="false">MAX(0,D118-C118)+C118*IF(INDEX($B$10:$B$26,MATCH($A166,$A$10:$A$26,0))="CO₂",parametros_recargas!$B$23,parametros_recargas!$B$24)</f>
        <v>5.25333333333333</v>
      </c>
      <c r="E166" s="13" t="n">
        <f aca="false">MAX(0,E118-D118)+D118*IF(INDEX($B$10:$B$26,MATCH($A166,$A$10:$A$26,0))="CO₂",parametros_recargas!$B$23,parametros_recargas!$B$24)</f>
        <v>6.57</v>
      </c>
      <c r="F166" s="13" t="n">
        <f aca="false">MAX(0,F118-E118)+E118*IF(INDEX($B$10:$B$26,MATCH($A166,$A$10:$A$26,0))="CO₂",parametros_recargas!$B$23,parametros_recargas!$B$24)</f>
        <v>5.95</v>
      </c>
      <c r="G166" s="13" t="n">
        <f aca="false">MAX(0,G118-F118)+F118*IF(INDEX($B$10:$B$26,MATCH($A166,$A$10:$A$26,0))="CO₂",parametros_recargas!$B$23,parametros_recargas!$B$24)</f>
        <v>26.2666666666667</v>
      </c>
      <c r="H166" s="13" t="n">
        <f aca="false">MAX(0,H118-G118)+G118*IF(INDEX($B$10:$B$26,MATCH($A166,$A$10:$A$26,0))="CO₂",parametros_recargas!$B$23,parametros_recargas!$B$24)</f>
        <v>135.85</v>
      </c>
      <c r="I166" s="13" t="n">
        <f aca="false">MAX(0,I118-H118)+H118*IF(INDEX($B$10:$B$26,MATCH($A166,$A$10:$A$26,0))="CO₂",parametros_recargas!$B$23,parametros_recargas!$B$24)</f>
        <v>122.273333333333</v>
      </c>
      <c r="J166" s="13" t="n">
        <f aca="false">MAX(0,J118-I118)+I118*IF(INDEX($B$10:$B$26,MATCH($A166,$A$10:$A$26,0))="CO₂",parametros_recargas!$B$23,parametros_recargas!$B$24)</f>
        <v>120.303333333333</v>
      </c>
      <c r="K166" s="13" t="n">
        <f aca="false">MAX(0,K118-J118)+J118*IF(INDEX($B$10:$B$26,MATCH($A166,$A$10:$A$26,0))="CO₂",parametros_recargas!$B$23,parametros_recargas!$B$24)</f>
        <v>142.763333333333</v>
      </c>
    </row>
    <row r="167" customFormat="false" ht="15" hidden="false" customHeight="false" outlineLevel="0" collapsed="false">
      <c r="A167" s="4" t="s">
        <v>14</v>
      </c>
      <c r="B167" s="13" t="n">
        <f aca="false">B119</f>
        <v>1</v>
      </c>
      <c r="C167" s="13" t="n">
        <f aca="false">MAX(0,C119-B119)+B119*IF(INDEX($B$10:$B$26,MATCH($A167,$A$10:$A$26,0))="CO₂",parametros_recargas!$B$23,parametros_recargas!$B$24)</f>
        <v>0.08</v>
      </c>
      <c r="D167" s="13" t="n">
        <f aca="false">MAX(0,D119-C119)+C119*IF(INDEX($B$10:$B$26,MATCH($A167,$A$10:$A$26,0))="CO₂",parametros_recargas!$B$23,parametros_recargas!$B$24)</f>
        <v>0.08</v>
      </c>
      <c r="E167" s="13" t="n">
        <f aca="false">MAX(0,E119-D119)+D119*IF(INDEX($B$10:$B$26,MATCH($A167,$A$10:$A$26,0))="CO₂",parametros_recargas!$B$23,parametros_recargas!$B$24)</f>
        <v>0.08</v>
      </c>
      <c r="F167" s="13" t="n">
        <f aca="false">MAX(0,F119-E119)+E119*IF(INDEX($B$10:$B$26,MATCH($A167,$A$10:$A$26,0))="CO₂",parametros_recargas!$B$23,parametros_recargas!$B$24)</f>
        <v>0.08</v>
      </c>
      <c r="G167" s="13" t="n">
        <f aca="false">MAX(0,G119-F119)+F119*IF(INDEX($B$10:$B$26,MATCH($A167,$A$10:$A$26,0))="CO₂",parametros_recargas!$B$23,parametros_recargas!$B$24)</f>
        <v>1.08</v>
      </c>
      <c r="H167" s="13" t="n">
        <f aca="false">MAX(0,H119-G119)+G119*IF(INDEX($B$10:$B$26,MATCH($A167,$A$10:$A$26,0))="CO₂",parametros_recargas!$B$23,parametros_recargas!$B$24)</f>
        <v>6.16</v>
      </c>
      <c r="I167" s="13" t="n">
        <f aca="false">MAX(0,I119-H119)+H119*IF(INDEX($B$10:$B$26,MATCH($A167,$A$10:$A$26,0))="CO₂",parametros_recargas!$B$23,parametros_recargas!$B$24)</f>
        <v>4.64</v>
      </c>
      <c r="J167" s="13" t="n">
        <f aca="false">MAX(0,J119-I119)+I119*IF(INDEX($B$10:$B$26,MATCH($A167,$A$10:$A$26,0))="CO₂",parametros_recargas!$B$23,parametros_recargas!$B$24)</f>
        <v>5.96</v>
      </c>
      <c r="K167" s="13" t="n">
        <f aca="false">MAX(0,K119-J119)+J119*IF(INDEX($B$10:$B$26,MATCH($A167,$A$10:$A$26,0))="CO₂",parametros_recargas!$B$23,parametros_recargas!$B$24)</f>
        <v>6.36</v>
      </c>
    </row>
    <row r="168" customFormat="false" ht="15" hidden="false" customHeight="false" outlineLevel="0" collapsed="false">
      <c r="A168" s="4" t="s">
        <v>15</v>
      </c>
      <c r="B168" s="13" t="n">
        <f aca="false">B120</f>
        <v>1</v>
      </c>
      <c r="C168" s="13" t="n">
        <f aca="false">MAX(0,C120-B120)+B120*IF(INDEX($B$10:$B$26,MATCH($A168,$A$10:$A$26,0))="CO₂",parametros_recargas!$B$23,parametros_recargas!$B$24)</f>
        <v>0.08</v>
      </c>
      <c r="D168" s="13" t="n">
        <f aca="false">MAX(0,D120-C120)+C120*IF(INDEX($B$10:$B$26,MATCH($A168,$A$10:$A$26,0))="CO₂",parametros_recargas!$B$23,parametros_recargas!$B$24)</f>
        <v>0.08</v>
      </c>
      <c r="E168" s="13" t="n">
        <f aca="false">MAX(0,E120-D120)+D120*IF(INDEX($B$10:$B$26,MATCH($A168,$A$10:$A$26,0))="CO₂",parametros_recargas!$B$23,parametros_recargas!$B$24)</f>
        <v>0.08</v>
      </c>
      <c r="F168" s="13" t="n">
        <f aca="false">MAX(0,F120-E120)+E120*IF(INDEX($B$10:$B$26,MATCH($A168,$A$10:$A$26,0))="CO₂",parametros_recargas!$B$23,parametros_recargas!$B$24)</f>
        <v>0.08</v>
      </c>
      <c r="G168" s="13" t="n">
        <f aca="false">MAX(0,G120-F120)+F120*IF(INDEX($B$10:$B$26,MATCH($A168,$A$10:$A$26,0))="CO₂",parametros_recargas!$B$23,parametros_recargas!$B$24)</f>
        <v>1.08</v>
      </c>
      <c r="H168" s="13" t="n">
        <f aca="false">MAX(0,H120-G120)+G120*IF(INDEX($B$10:$B$26,MATCH($A168,$A$10:$A$26,0))="CO₂",parametros_recargas!$B$23,parametros_recargas!$B$24)</f>
        <v>3.16</v>
      </c>
      <c r="I168" s="13" t="n">
        <f aca="false">MAX(0,I120-H120)+H120*IF(INDEX($B$10:$B$26,MATCH($A168,$A$10:$A$26,0))="CO₂",parametros_recargas!$B$23,parametros_recargas!$B$24)</f>
        <v>2.4</v>
      </c>
      <c r="J168" s="13" t="n">
        <f aca="false">MAX(0,J120-I120)+I120*IF(INDEX($B$10:$B$26,MATCH($A168,$A$10:$A$26,0))="CO₂",parametros_recargas!$B$23,parametros_recargas!$B$24)</f>
        <v>1.56</v>
      </c>
      <c r="K168" s="13" t="n">
        <f aca="false">MAX(0,K120-J120)+J120*IF(INDEX($B$10:$B$26,MATCH($A168,$A$10:$A$26,0))="CO₂",parametros_recargas!$B$23,parametros_recargas!$B$24)</f>
        <v>3.64</v>
      </c>
    </row>
    <row r="169" customFormat="false" ht="15" hidden="false" customHeight="false" outlineLevel="0" collapsed="false">
      <c r="A169" s="4" t="s">
        <v>17</v>
      </c>
      <c r="B169" s="13" t="n">
        <f aca="false">B121</f>
        <v>1</v>
      </c>
      <c r="C169" s="13" t="n">
        <f aca="false">MAX(0,C121-B121)+B121*IF(INDEX($B$10:$B$26,MATCH($A169,$A$10:$A$26,0))="CO₂",parametros_recargas!$B$23,parametros_recargas!$B$24)</f>
        <v>0.08</v>
      </c>
      <c r="D169" s="13" t="n">
        <f aca="false">MAX(0,D121-C121)+C121*IF(INDEX($B$10:$B$26,MATCH($A169,$A$10:$A$26,0))="CO₂",parametros_recargas!$B$23,parametros_recargas!$B$24)</f>
        <v>0.08</v>
      </c>
      <c r="E169" s="13" t="n">
        <f aca="false">MAX(0,E121-D121)+D121*IF(INDEX($B$10:$B$26,MATCH($A169,$A$10:$A$26,0))="CO₂",parametros_recargas!$B$23,parametros_recargas!$B$24)</f>
        <v>1.08</v>
      </c>
      <c r="F169" s="13" t="n">
        <f aca="false">MAX(0,F121-E121)+E121*IF(INDEX($B$10:$B$26,MATCH($A169,$A$10:$A$26,0))="CO₂",parametros_recargas!$B$23,parametros_recargas!$B$24)</f>
        <v>1.16</v>
      </c>
      <c r="G169" s="13" t="n">
        <f aca="false">MAX(0,G121-F121)+F121*IF(INDEX($B$10:$B$26,MATCH($A169,$A$10:$A$26,0))="CO₂",parametros_recargas!$B$23,parametros_recargas!$B$24)</f>
        <v>11.24</v>
      </c>
      <c r="H169" s="13" t="n">
        <f aca="false">MAX(0,H121-G121)+G121*IF(INDEX($B$10:$B$26,MATCH($A169,$A$10:$A$26,0))="CO₂",parametros_recargas!$B$23,parametros_recargas!$B$24)</f>
        <v>20.12</v>
      </c>
      <c r="I169" s="13" t="n">
        <f aca="false">MAX(0,I121-H121)+H121*IF(INDEX($B$10:$B$26,MATCH($A169,$A$10:$A$26,0))="CO₂",parametros_recargas!$B$23,parametros_recargas!$B$24)</f>
        <v>17.64</v>
      </c>
      <c r="J169" s="13" t="n">
        <f aca="false">MAX(0,J121-I121)+I121*IF(INDEX($B$10:$B$26,MATCH($A169,$A$10:$A$26,0))="CO₂",parametros_recargas!$B$23,parametros_recargas!$B$24)</f>
        <v>17.84</v>
      </c>
      <c r="K169" s="13" t="n">
        <f aca="false">MAX(0,K121-J121)+J121*IF(INDEX($B$10:$B$26,MATCH($A169,$A$10:$A$26,0))="CO₂",parametros_recargas!$B$23,parametros_recargas!$B$24)</f>
        <v>20.96</v>
      </c>
    </row>
    <row r="170" customFormat="false" ht="15" hidden="false" customHeight="false" outlineLevel="0" collapsed="false">
      <c r="A170" s="4" t="s">
        <v>19</v>
      </c>
      <c r="B170" s="13" t="n">
        <f aca="false">B122</f>
        <v>1</v>
      </c>
      <c r="C170" s="13" t="n">
        <f aca="false">MAX(0,C122-B122)+B122*IF(INDEX($B$10:$B$26,MATCH($A170,$A$10:$A$26,0))="CO₂",parametros_recargas!$B$23,parametros_recargas!$B$24)</f>
        <v>0.08</v>
      </c>
      <c r="D170" s="13" t="n">
        <f aca="false">MAX(0,D122-C122)+C122*IF(INDEX($B$10:$B$26,MATCH($A170,$A$10:$A$26,0))="CO₂",parametros_recargas!$B$23,parametros_recargas!$B$24)</f>
        <v>0.08</v>
      </c>
      <c r="E170" s="13" t="n">
        <f aca="false">MAX(0,E122-D122)+D122*IF(INDEX($B$10:$B$26,MATCH($A170,$A$10:$A$26,0))="CO₂",parametros_recargas!$B$23,parametros_recargas!$B$24)</f>
        <v>0.08</v>
      </c>
      <c r="F170" s="13" t="n">
        <f aca="false">MAX(0,F122-E122)+E122*IF(INDEX($B$10:$B$26,MATCH($A170,$A$10:$A$26,0))="CO₂",parametros_recargas!$B$23,parametros_recargas!$B$24)</f>
        <v>0.08</v>
      </c>
      <c r="G170" s="13" t="n">
        <f aca="false">MAX(0,G122-F122)+F122*IF(INDEX($B$10:$B$26,MATCH($A170,$A$10:$A$26,0))="CO₂",parametros_recargas!$B$23,parametros_recargas!$B$24)</f>
        <v>3.08</v>
      </c>
      <c r="H170" s="13" t="n">
        <f aca="false">MAX(0,H122-G122)+G122*IF(INDEX($B$10:$B$26,MATCH($A170,$A$10:$A$26,0))="CO₂",parametros_recargas!$B$23,parametros_recargas!$B$24)</f>
        <v>5.32</v>
      </c>
      <c r="I170" s="13" t="n">
        <f aca="false">MAX(0,I122-H122)+H122*IF(INDEX($B$10:$B$26,MATCH($A170,$A$10:$A$26,0))="CO₂",parametros_recargas!$B$23,parametros_recargas!$B$24)</f>
        <v>3.72</v>
      </c>
      <c r="J170" s="13" t="n">
        <f aca="false">MAX(0,J122-I122)+I122*IF(INDEX($B$10:$B$26,MATCH($A170,$A$10:$A$26,0))="CO₂",parametros_recargas!$B$23,parametros_recargas!$B$24)</f>
        <v>4.96</v>
      </c>
      <c r="K170" s="13" t="n">
        <f aca="false">MAX(0,K122-J122)+J122*IF(INDEX($B$10:$B$26,MATCH($A170,$A$10:$A$26,0))="CO₂",parametros_recargas!$B$23,parametros_recargas!$B$24)</f>
        <v>5.28</v>
      </c>
    </row>
    <row r="171" customFormat="false" ht="15" hidden="false" customHeight="false" outlineLevel="0" collapsed="false">
      <c r="A171" s="6" t="s">
        <v>136</v>
      </c>
      <c r="B171" s="7" t="n">
        <f aca="false">SUM(B159:B170)</f>
        <v>17</v>
      </c>
      <c r="C171" s="7" t="n">
        <f aca="false">SUM(C159:C170)</f>
        <v>14.3266666666667</v>
      </c>
      <c r="D171" s="7" t="n">
        <f aca="false">SUM(D159:D170)</f>
        <v>28.3333333333333</v>
      </c>
      <c r="E171" s="7" t="n">
        <f aca="false">SUM(E159:E170)</f>
        <v>36.33</v>
      </c>
      <c r="F171" s="7" t="n">
        <f aca="false">SUM(F159:F170)</f>
        <v>39.79</v>
      </c>
      <c r="G171" s="7" t="n">
        <f aca="false">SUM(G159:G170)</f>
        <v>510.346666666667</v>
      </c>
      <c r="H171" s="7" t="n">
        <f aca="false">SUM(H159:H170)</f>
        <v>974.01</v>
      </c>
      <c r="I171" s="7" t="n">
        <f aca="false">SUM(I159:I170)</f>
        <v>875.793333333333</v>
      </c>
      <c r="J171" s="7" t="n">
        <f aca="false">SUM(J159:J170)</f>
        <v>862.343333333334</v>
      </c>
      <c r="K171" s="7" t="n">
        <f aca="false">SUM(K159:K170)</f>
        <v>1015.28333333333</v>
      </c>
    </row>
    <row r="173" customFormat="false" ht="15" hidden="false" customHeight="false" outlineLevel="0" collapsed="false">
      <c r="A173" s="1" t="s">
        <v>332</v>
      </c>
    </row>
    <row r="174" customFormat="false" ht="15" hidden="false" customHeight="false" outlineLevel="0" collapsed="false">
      <c r="A174" s="3" t="s">
        <v>138</v>
      </c>
      <c r="B174" s="3" t="n">
        <v>2026</v>
      </c>
      <c r="C174" s="3" t="n">
        <v>2027</v>
      </c>
      <c r="D174" s="3" t="n">
        <v>2028</v>
      </c>
      <c r="E174" s="3" t="n">
        <v>2029</v>
      </c>
      <c r="F174" s="3" t="n">
        <v>2030</v>
      </c>
      <c r="G174" s="3" t="n">
        <v>2031</v>
      </c>
      <c r="H174" s="3" t="n">
        <v>2032</v>
      </c>
      <c r="I174" s="3" t="n">
        <v>2033</v>
      </c>
      <c r="J174" s="3" t="n">
        <v>2034</v>
      </c>
      <c r="K174" s="3" t="n">
        <v>2035</v>
      </c>
    </row>
    <row r="175" customFormat="false" ht="15" hidden="false" customHeight="false" outlineLevel="0" collapsed="false">
      <c r="A175" s="12" t="str">
        <f aca="false">datos_base!A2</f>
        <v>ABC 1 kg</v>
      </c>
      <c r="B175" s="13" t="n">
        <v>0</v>
      </c>
      <c r="C175" s="13" t="n">
        <f aca="false">SUMIF($A$111:$A$122,$A175,B$111:B$122)</f>
        <v>0</v>
      </c>
      <c r="D175" s="13" t="n">
        <f aca="false">SUMIF($A$111:$A$122,$A175,C$111:C$122)</f>
        <v>0</v>
      </c>
      <c r="E175" s="13" t="n">
        <f aca="false">SUMIF($A$111:$A$122,$A175,D$111:D$122)</f>
        <v>0</v>
      </c>
      <c r="F175" s="13" t="n">
        <f aca="false">SUMIF($A$111:$A$122,$A175,E$111:E$122)</f>
        <v>0</v>
      </c>
      <c r="G175" s="13" t="n">
        <f aca="false">SUMIF($A$111:$A$122,$A175,F$111:F$122)</f>
        <v>0</v>
      </c>
      <c r="H175" s="13" t="n">
        <f aca="false">SUMIF($A$111:$A$122,$A175,G$111:G$122)</f>
        <v>0</v>
      </c>
      <c r="I175" s="13" t="n">
        <f aca="false">SUMIF($A$111:$A$122,$A175,H$111:H$122)</f>
        <v>0</v>
      </c>
      <c r="J175" s="13" t="n">
        <f aca="false">SUMIF($A$111:$A$122,$A175,I$111:I$122)</f>
        <v>0</v>
      </c>
      <c r="K175" s="13" t="n">
        <f aca="false">SUMIF($A$111:$A$122,$A175,J$111:J$122)</f>
        <v>0</v>
      </c>
    </row>
    <row r="176" customFormat="false" ht="15" hidden="false" customHeight="false" outlineLevel="0" collapsed="false">
      <c r="A176" s="12" t="str">
        <f aca="false">datos_base!A3</f>
        <v>ABC 2,5 kg</v>
      </c>
      <c r="B176" s="13" t="n">
        <v>0</v>
      </c>
      <c r="C176" s="13" t="n">
        <f aca="false">SUMIF($A$111:$A$122,$A176,B$111:B$122)</f>
        <v>0</v>
      </c>
      <c r="D176" s="13" t="n">
        <f aca="false">SUMIF($A$111:$A$122,$A176,C$111:C$122)</f>
        <v>0</v>
      </c>
      <c r="E176" s="13" t="n">
        <f aca="false">SUMIF($A$111:$A$122,$A176,D$111:D$122)</f>
        <v>0</v>
      </c>
      <c r="F176" s="13" t="n">
        <f aca="false">SUMIF($A$111:$A$122,$A176,E$111:E$122)</f>
        <v>0</v>
      </c>
      <c r="G176" s="13" t="n">
        <f aca="false">SUMIF($A$111:$A$122,$A176,F$111:F$122)</f>
        <v>0</v>
      </c>
      <c r="H176" s="13" t="n">
        <f aca="false">SUMIF($A$111:$A$122,$A176,G$111:G$122)</f>
        <v>0</v>
      </c>
      <c r="I176" s="13" t="n">
        <f aca="false">SUMIF($A$111:$A$122,$A176,H$111:H$122)</f>
        <v>0</v>
      </c>
      <c r="J176" s="13" t="n">
        <f aca="false">SUMIF($A$111:$A$122,$A176,I$111:I$122)</f>
        <v>0</v>
      </c>
      <c r="K176" s="13" t="n">
        <f aca="false">SUMIF($A$111:$A$122,$A176,J$111:J$122)</f>
        <v>0</v>
      </c>
    </row>
    <row r="177" customFormat="false" ht="15" hidden="false" customHeight="false" outlineLevel="0" collapsed="false">
      <c r="A177" s="12" t="str">
        <f aca="false">datos_base!A4</f>
        <v>ABC 5 kg</v>
      </c>
      <c r="B177" s="13" t="n">
        <v>0</v>
      </c>
      <c r="C177" s="13" t="n">
        <f aca="false">SUMIF($A$111:$A$122,$A177,B$111:B$122)</f>
        <v>5</v>
      </c>
      <c r="D177" s="13" t="n">
        <f aca="false">SUMIF($A$111:$A$122,$A177,C$111:C$122)</f>
        <v>15</v>
      </c>
      <c r="E177" s="13" t="n">
        <f aca="false">SUMIF($A$111:$A$122,$A177,D$111:D$122)</f>
        <v>33</v>
      </c>
      <c r="F177" s="13" t="n">
        <f aca="false">SUMIF($A$111:$A$122,$A177,E$111:E$122)</f>
        <v>56</v>
      </c>
      <c r="G177" s="13" t="n">
        <f aca="false">SUMIF($A$111:$A$122,$A177,F$111:F$122)</f>
        <v>78</v>
      </c>
      <c r="H177" s="13" t="n">
        <f aca="false">SUMIF($A$111:$A$122,$A177,G$111:G$122)</f>
        <v>502</v>
      </c>
      <c r="I177" s="13" t="n">
        <f aca="false">SUMIF($A$111:$A$122,$A177,H$111:H$122)</f>
        <v>1160</v>
      </c>
      <c r="J177" s="13" t="n">
        <f aca="false">SUMIF($A$111:$A$122,$A177,I$111:I$122)</f>
        <v>1696</v>
      </c>
      <c r="K177" s="13" t="n">
        <f aca="false">SUMIF($A$111:$A$122,$A177,J$111:J$122)</f>
        <v>2176</v>
      </c>
    </row>
    <row r="178" customFormat="false" ht="15" hidden="false" customHeight="false" outlineLevel="0" collapsed="false">
      <c r="A178" s="12" t="str">
        <f aca="false">datos_base!A5</f>
        <v>ABC 10 kg</v>
      </c>
      <c r="B178" s="13" t="n">
        <v>0</v>
      </c>
      <c r="C178" s="13" t="n">
        <f aca="false">SUMIF($A$111:$A$122,$A178,B$111:B$122)</f>
        <v>1</v>
      </c>
      <c r="D178" s="13" t="n">
        <f aca="false">SUMIF($A$111:$A$122,$A178,C$111:C$122)</f>
        <v>1</v>
      </c>
      <c r="E178" s="13" t="n">
        <f aca="false">SUMIF($A$111:$A$122,$A178,D$111:D$122)</f>
        <v>2</v>
      </c>
      <c r="F178" s="13" t="n">
        <f aca="false">SUMIF($A$111:$A$122,$A178,E$111:E$122)</f>
        <v>3</v>
      </c>
      <c r="G178" s="13" t="n">
        <f aca="false">SUMIF($A$111:$A$122,$A178,F$111:F$122)</f>
        <v>4</v>
      </c>
      <c r="H178" s="13" t="n">
        <f aca="false">SUMIF($A$111:$A$122,$A178,G$111:G$122)</f>
        <v>26</v>
      </c>
      <c r="I178" s="13" t="n">
        <f aca="false">SUMIF($A$111:$A$122,$A178,H$111:H$122)</f>
        <v>60</v>
      </c>
      <c r="J178" s="13" t="n">
        <f aca="false">SUMIF($A$111:$A$122,$A178,I$111:I$122)</f>
        <v>87</v>
      </c>
      <c r="K178" s="13" t="n">
        <f aca="false">SUMIF($A$111:$A$122,$A178,J$111:J$122)</f>
        <v>111</v>
      </c>
    </row>
    <row r="179" customFormat="false" ht="15" hidden="false" customHeight="false" outlineLevel="0" collapsed="false">
      <c r="A179" s="12" t="str">
        <f aca="false">datos_base!A6</f>
        <v>Agua 10 l</v>
      </c>
      <c r="B179" s="13" t="n">
        <v>0</v>
      </c>
      <c r="C179" s="13" t="n">
        <f aca="false">SUMIF($A$111:$A$122,$A179,B$111:B$122)</f>
        <v>1</v>
      </c>
      <c r="D179" s="13" t="n">
        <f aca="false">SUMIF($A$111:$A$122,$A179,C$111:C$122)</f>
        <v>2</v>
      </c>
      <c r="E179" s="13" t="n">
        <f aca="false">SUMIF($A$111:$A$122,$A179,D$111:D$122)</f>
        <v>3</v>
      </c>
      <c r="F179" s="13" t="n">
        <f aca="false">SUMIF($A$111:$A$122,$A179,E$111:E$122)</f>
        <v>4</v>
      </c>
      <c r="G179" s="13" t="n">
        <f aca="false">SUMIF($A$111:$A$122,$A179,F$111:F$122)</f>
        <v>6</v>
      </c>
      <c r="H179" s="13" t="n">
        <f aca="false">SUMIF($A$111:$A$122,$A179,G$111:G$122)</f>
        <v>13</v>
      </c>
      <c r="I179" s="13" t="n">
        <f aca="false">SUMIF($A$111:$A$122,$A179,H$111:H$122)</f>
        <v>50</v>
      </c>
      <c r="J179" s="13" t="n">
        <f aca="false">SUMIF($A$111:$A$122,$A179,I$111:I$122)</f>
        <v>81</v>
      </c>
      <c r="K179" s="13" t="n">
        <f aca="false">SUMIF($A$111:$A$122,$A179,J$111:J$122)</f>
        <v>109</v>
      </c>
    </row>
    <row r="180" customFormat="false" ht="15" hidden="false" customHeight="false" outlineLevel="0" collapsed="false">
      <c r="A180" s="12" t="str">
        <f aca="false">datos_base!A7</f>
        <v>AFFF 10 l</v>
      </c>
      <c r="B180" s="13" t="n">
        <v>0</v>
      </c>
      <c r="C180" s="13" t="n">
        <f aca="false">SUMIF($A$111:$A$122,$A180,B$111:B$122)</f>
        <v>1</v>
      </c>
      <c r="D180" s="13" t="n">
        <f aca="false">SUMIF($A$111:$A$122,$A180,C$111:C$122)</f>
        <v>1</v>
      </c>
      <c r="E180" s="13" t="n">
        <f aca="false">SUMIF($A$111:$A$122,$A180,D$111:D$122)</f>
        <v>1</v>
      </c>
      <c r="F180" s="13" t="n">
        <f aca="false">SUMIF($A$111:$A$122,$A180,E$111:E$122)</f>
        <v>1</v>
      </c>
      <c r="G180" s="13" t="n">
        <f aca="false">SUMIF($A$111:$A$122,$A180,F$111:F$122)</f>
        <v>2</v>
      </c>
      <c r="H180" s="13" t="n">
        <f aca="false">SUMIF($A$111:$A$122,$A180,G$111:G$122)</f>
        <v>3</v>
      </c>
      <c r="I180" s="13" t="n">
        <f aca="false">SUMIF($A$111:$A$122,$A180,H$111:H$122)</f>
        <v>9</v>
      </c>
      <c r="J180" s="13" t="n">
        <f aca="false">SUMIF($A$111:$A$122,$A180,I$111:I$122)</f>
        <v>15</v>
      </c>
      <c r="K180" s="13" t="n">
        <f aca="false">SUMIF($A$111:$A$122,$A180,J$111:J$122)</f>
        <v>21</v>
      </c>
    </row>
    <row r="181" customFormat="false" ht="15" hidden="false" customHeight="false" outlineLevel="0" collapsed="false">
      <c r="A181" s="12" t="str">
        <f aca="false">datos_base!A8</f>
        <v>AFFF 50 l s/ruedas</v>
      </c>
      <c r="B181" s="13" t="n">
        <v>0</v>
      </c>
      <c r="C181" s="13" t="n">
        <f aca="false">SUMIF($A$111:$A$122,$A181,B$111:B$122)</f>
        <v>1</v>
      </c>
      <c r="D181" s="13" t="n">
        <f aca="false">SUMIF($A$111:$A$122,$A181,C$111:C$122)</f>
        <v>1</v>
      </c>
      <c r="E181" s="13" t="n">
        <f aca="false">SUMIF($A$111:$A$122,$A181,D$111:D$122)</f>
        <v>1</v>
      </c>
      <c r="F181" s="13" t="n">
        <f aca="false">SUMIF($A$111:$A$122,$A181,E$111:E$122)</f>
        <v>1</v>
      </c>
      <c r="G181" s="13" t="n">
        <f aca="false">SUMIF($A$111:$A$122,$A181,F$111:F$122)</f>
        <v>1</v>
      </c>
      <c r="H181" s="13" t="n">
        <f aca="false">SUMIF($A$111:$A$122,$A181,G$111:G$122)</f>
        <v>2</v>
      </c>
      <c r="I181" s="13" t="n">
        <f aca="false">SUMIF($A$111:$A$122,$A181,H$111:H$122)</f>
        <v>5</v>
      </c>
      <c r="J181" s="13" t="n">
        <f aca="false">SUMIF($A$111:$A$122,$A181,I$111:I$122)</f>
        <v>8</v>
      </c>
      <c r="K181" s="13" t="n">
        <f aca="false">SUMIF($A$111:$A$122,$A181,J$111:J$122)</f>
        <v>11</v>
      </c>
    </row>
    <row r="182" customFormat="false" ht="15" hidden="false" customHeight="false" outlineLevel="0" collapsed="false">
      <c r="A182" s="12" t="str">
        <f aca="false">datos_base!A9</f>
        <v>BC 5 kg</v>
      </c>
      <c r="B182" s="13" t="n">
        <v>0</v>
      </c>
      <c r="C182" s="13" t="n">
        <f aca="false">SUMIF($A$111:$A$122,$A182,B$111:B$122)</f>
        <v>1</v>
      </c>
      <c r="D182" s="13" t="n">
        <f aca="false">SUMIF($A$111:$A$122,$A182,C$111:C$122)</f>
        <v>1</v>
      </c>
      <c r="E182" s="13" t="n">
        <f aca="false">SUMIF($A$111:$A$122,$A182,D$111:D$122)</f>
        <v>1</v>
      </c>
      <c r="F182" s="13" t="n">
        <f aca="false">SUMIF($A$111:$A$122,$A182,E$111:E$122)</f>
        <v>1</v>
      </c>
      <c r="G182" s="13" t="n">
        <f aca="false">SUMIF($A$111:$A$122,$A182,F$111:F$122)</f>
        <v>1</v>
      </c>
      <c r="H182" s="13" t="n">
        <f aca="false">SUMIF($A$111:$A$122,$A182,G$111:G$122)</f>
        <v>2</v>
      </c>
      <c r="I182" s="13" t="n">
        <f aca="false">SUMIF($A$111:$A$122,$A182,H$111:H$122)</f>
        <v>5</v>
      </c>
      <c r="J182" s="13" t="n">
        <f aca="false">SUMIF($A$111:$A$122,$A182,I$111:I$122)</f>
        <v>7</v>
      </c>
      <c r="K182" s="13" t="n">
        <f aca="false">SUMIF($A$111:$A$122,$A182,J$111:J$122)</f>
        <v>9</v>
      </c>
    </row>
    <row r="183" customFormat="false" ht="15" hidden="false" customHeight="false" outlineLevel="0" collapsed="false">
      <c r="A183" s="12" t="str">
        <f aca="false">datos_base!A10</f>
        <v>Sales K 6 l</v>
      </c>
      <c r="B183" s="13" t="n">
        <v>0</v>
      </c>
      <c r="C183" s="13" t="n">
        <f aca="false">SUMIF($A$111:$A$122,$A183,B$111:B$122)</f>
        <v>1</v>
      </c>
      <c r="D183" s="13" t="n">
        <f aca="false">SUMIF($A$111:$A$122,$A183,C$111:C$122)</f>
        <v>1</v>
      </c>
      <c r="E183" s="13" t="n">
        <f aca="false">SUMIF($A$111:$A$122,$A183,D$111:D$122)</f>
        <v>2</v>
      </c>
      <c r="F183" s="13" t="n">
        <f aca="false">SUMIF($A$111:$A$122,$A183,E$111:E$122)</f>
        <v>2</v>
      </c>
      <c r="G183" s="13" t="n">
        <f aca="false">SUMIF($A$111:$A$122,$A183,F$111:F$122)</f>
        <v>3</v>
      </c>
      <c r="H183" s="13" t="n">
        <f aca="false">SUMIF($A$111:$A$122,$A183,G$111:G$122)</f>
        <v>7</v>
      </c>
      <c r="I183" s="13" t="n">
        <f aca="false">SUMIF($A$111:$A$122,$A183,H$111:H$122)</f>
        <v>25</v>
      </c>
      <c r="J183" s="13" t="n">
        <f aca="false">SUMIF($A$111:$A$122,$A183,I$111:I$122)</f>
        <v>40</v>
      </c>
      <c r="K183" s="13" t="n">
        <f aca="false">SUMIF($A$111:$A$122,$A183,J$111:J$122)</f>
        <v>54</v>
      </c>
    </row>
    <row r="184" customFormat="false" ht="15" hidden="false" customHeight="false" outlineLevel="0" collapsed="false">
      <c r="A184" s="12" t="str">
        <f aca="false">datos_base!A11</f>
        <v>CO₂ 2 kg</v>
      </c>
      <c r="B184" s="13" t="n">
        <v>0</v>
      </c>
      <c r="C184" s="13" t="n">
        <f aca="false">SUMIF($A$111:$A$122,$A184,B$111:B$122)</f>
        <v>0</v>
      </c>
      <c r="D184" s="13" t="n">
        <f aca="false">SUMIF($A$111:$A$122,$A184,C$111:C$122)</f>
        <v>0</v>
      </c>
      <c r="E184" s="13" t="n">
        <f aca="false">SUMIF($A$111:$A$122,$A184,D$111:D$122)</f>
        <v>0</v>
      </c>
      <c r="F184" s="13" t="n">
        <f aca="false">SUMIF($A$111:$A$122,$A184,E$111:E$122)</f>
        <v>0</v>
      </c>
      <c r="G184" s="13" t="n">
        <f aca="false">SUMIF($A$111:$A$122,$A184,F$111:F$122)</f>
        <v>0</v>
      </c>
      <c r="H184" s="13" t="n">
        <f aca="false">SUMIF($A$111:$A$122,$A184,G$111:G$122)</f>
        <v>0</v>
      </c>
      <c r="I184" s="13" t="n">
        <f aca="false">SUMIF($A$111:$A$122,$A184,H$111:H$122)</f>
        <v>0</v>
      </c>
      <c r="J184" s="13" t="n">
        <f aca="false">SUMIF($A$111:$A$122,$A184,I$111:I$122)</f>
        <v>0</v>
      </c>
      <c r="K184" s="13" t="n">
        <f aca="false">SUMIF($A$111:$A$122,$A184,J$111:J$122)</f>
        <v>0</v>
      </c>
    </row>
    <row r="185" customFormat="false" ht="15" hidden="false" customHeight="false" outlineLevel="0" collapsed="false">
      <c r="A185" s="12" t="str">
        <f aca="false">datos_base!A12</f>
        <v>CO₂ 5 kg</v>
      </c>
      <c r="B185" s="13" t="n">
        <v>0</v>
      </c>
      <c r="C185" s="13" t="n">
        <f aca="false">SUMIF($A$111:$A$122,$A185,B$111:B$122)</f>
        <v>2</v>
      </c>
      <c r="D185" s="13" t="n">
        <f aca="false">SUMIF($A$111:$A$122,$A185,C$111:C$122)</f>
        <v>4</v>
      </c>
      <c r="E185" s="13" t="n">
        <f aca="false">SUMIF($A$111:$A$122,$A185,D$111:D$122)</f>
        <v>9</v>
      </c>
      <c r="F185" s="13" t="n">
        <f aca="false">SUMIF($A$111:$A$122,$A185,E$111:E$122)</f>
        <v>15</v>
      </c>
      <c r="G185" s="13" t="n">
        <f aca="false">SUMIF($A$111:$A$122,$A185,F$111:F$122)</f>
        <v>20</v>
      </c>
      <c r="H185" s="13" t="n">
        <f aca="false">SUMIF($A$111:$A$122,$A185,G$111:G$122)</f>
        <v>45</v>
      </c>
      <c r="I185" s="13" t="n">
        <f aca="false">SUMIF($A$111:$A$122,$A185,H$111:H$122)</f>
        <v>178</v>
      </c>
      <c r="J185" s="13" t="n">
        <f aca="false">SUMIF($A$111:$A$122,$A185,I$111:I$122)</f>
        <v>289</v>
      </c>
      <c r="K185" s="13" t="n">
        <f aca="false">SUMIF($A$111:$A$122,$A185,J$111:J$122)</f>
        <v>391</v>
      </c>
    </row>
    <row r="186" customFormat="false" ht="15" hidden="false" customHeight="false" outlineLevel="0" collapsed="false">
      <c r="A186" s="12" t="str">
        <f aca="false">datos_base!A13</f>
        <v>HCFC/HFC 5 kg</v>
      </c>
      <c r="B186" s="13" t="n">
        <v>0</v>
      </c>
      <c r="C186" s="13" t="n">
        <f aca="false">SUMIF($A$111:$A$122,$A186,B$111:B$122)</f>
        <v>1</v>
      </c>
      <c r="D186" s="13" t="n">
        <f aca="false">SUMIF($A$111:$A$122,$A186,C$111:C$122)</f>
        <v>1</v>
      </c>
      <c r="E186" s="13" t="n">
        <f aca="false">SUMIF($A$111:$A$122,$A186,D$111:D$122)</f>
        <v>1</v>
      </c>
      <c r="F186" s="13" t="n">
        <f aca="false">SUMIF($A$111:$A$122,$A186,E$111:E$122)</f>
        <v>1</v>
      </c>
      <c r="G186" s="13" t="n">
        <f aca="false">SUMIF($A$111:$A$122,$A186,F$111:F$122)</f>
        <v>1</v>
      </c>
      <c r="H186" s="13" t="n">
        <f aca="false">SUMIF($A$111:$A$122,$A186,G$111:G$122)</f>
        <v>2</v>
      </c>
      <c r="I186" s="13" t="n">
        <f aca="false">SUMIF($A$111:$A$122,$A186,H$111:H$122)</f>
        <v>8</v>
      </c>
      <c r="J186" s="13" t="n">
        <f aca="false">SUMIF($A$111:$A$122,$A186,I$111:I$122)</f>
        <v>12</v>
      </c>
      <c r="K186" s="13" t="n">
        <f aca="false">SUMIF($A$111:$A$122,$A186,J$111:J$122)</f>
        <v>17</v>
      </c>
    </row>
    <row r="187" customFormat="false" ht="15" hidden="false" customHeight="false" outlineLevel="0" collapsed="false">
      <c r="A187" s="12" t="str">
        <f aca="false">datos_base!A14</f>
        <v>Clase D 9 l</v>
      </c>
      <c r="B187" s="13" t="n">
        <v>0</v>
      </c>
      <c r="C187" s="13" t="n">
        <f aca="false">SUMIF($A$111:$A$122,$A187,B$111:B$122)</f>
        <v>1</v>
      </c>
      <c r="D187" s="13" t="n">
        <f aca="false">SUMIF($A$111:$A$122,$A187,C$111:C$122)</f>
        <v>1</v>
      </c>
      <c r="E187" s="13" t="n">
        <f aca="false">SUMIF($A$111:$A$122,$A187,D$111:D$122)</f>
        <v>1</v>
      </c>
      <c r="F187" s="13" t="n">
        <f aca="false">SUMIF($A$111:$A$122,$A187,E$111:E$122)</f>
        <v>1</v>
      </c>
      <c r="G187" s="13" t="n">
        <f aca="false">SUMIF($A$111:$A$122,$A187,F$111:F$122)</f>
        <v>1</v>
      </c>
      <c r="H187" s="13" t="n">
        <f aca="false">SUMIF($A$111:$A$122,$A187,G$111:G$122)</f>
        <v>2</v>
      </c>
      <c r="I187" s="13" t="n">
        <f aca="false">SUMIF($A$111:$A$122,$A187,H$111:H$122)</f>
        <v>5</v>
      </c>
      <c r="J187" s="13" t="n">
        <f aca="false">SUMIF($A$111:$A$122,$A187,I$111:I$122)</f>
        <v>7</v>
      </c>
      <c r="K187" s="13" t="n">
        <f aca="false">SUMIF($A$111:$A$122,$A187,J$111:J$122)</f>
        <v>8</v>
      </c>
    </row>
    <row r="188" customFormat="false" ht="15" hidden="false" customHeight="false" outlineLevel="0" collapsed="false">
      <c r="A188" s="12" t="str">
        <f aca="false">datos_base!A15</f>
        <v>ABC 25 kg s/ruedas</v>
      </c>
      <c r="B188" s="13" t="n">
        <v>0</v>
      </c>
      <c r="C188" s="13" t="n">
        <f aca="false">SUMIF($A$111:$A$122,$A188,B$111:B$122)</f>
        <v>0</v>
      </c>
      <c r="D188" s="13" t="n">
        <f aca="false">SUMIF($A$111:$A$122,$A188,C$111:C$122)</f>
        <v>0</v>
      </c>
      <c r="E188" s="13" t="n">
        <f aca="false">SUMIF($A$111:$A$122,$A188,D$111:D$122)</f>
        <v>0</v>
      </c>
      <c r="F188" s="13" t="n">
        <f aca="false">SUMIF($A$111:$A$122,$A188,E$111:E$122)</f>
        <v>0</v>
      </c>
      <c r="G188" s="13" t="n">
        <f aca="false">SUMIF($A$111:$A$122,$A188,F$111:F$122)</f>
        <v>0</v>
      </c>
      <c r="H188" s="13" t="n">
        <f aca="false">SUMIF($A$111:$A$122,$A188,G$111:G$122)</f>
        <v>0</v>
      </c>
      <c r="I188" s="13" t="n">
        <f aca="false">SUMIF($A$111:$A$122,$A188,H$111:H$122)</f>
        <v>0</v>
      </c>
      <c r="J188" s="13" t="n">
        <f aca="false">SUMIF($A$111:$A$122,$A188,I$111:I$122)</f>
        <v>0</v>
      </c>
      <c r="K188" s="13" t="n">
        <f aca="false">SUMIF($A$111:$A$122,$A188,J$111:J$122)</f>
        <v>0</v>
      </c>
    </row>
    <row r="189" customFormat="false" ht="15" hidden="false" customHeight="false" outlineLevel="0" collapsed="false">
      <c r="A189" s="12" t="str">
        <f aca="false">datos_base!A16</f>
        <v>ABC 50 kg s/ruedas</v>
      </c>
      <c r="B189" s="13" t="n">
        <v>0</v>
      </c>
      <c r="C189" s="13" t="n">
        <f aca="false">SUMIF($A$111:$A$122,$A189,B$111:B$122)</f>
        <v>1</v>
      </c>
      <c r="D189" s="13" t="n">
        <f aca="false">SUMIF($A$111:$A$122,$A189,C$111:C$122)</f>
        <v>1</v>
      </c>
      <c r="E189" s="13" t="n">
        <f aca="false">SUMIF($A$111:$A$122,$A189,D$111:D$122)</f>
        <v>1</v>
      </c>
      <c r="F189" s="13" t="n">
        <f aca="false">SUMIF($A$111:$A$122,$A189,E$111:E$122)</f>
        <v>2</v>
      </c>
      <c r="G189" s="13" t="n">
        <f aca="false">SUMIF($A$111:$A$122,$A189,F$111:F$122)</f>
        <v>3</v>
      </c>
      <c r="H189" s="13" t="n">
        <f aca="false">SUMIF($A$111:$A$122,$A189,G$111:G$122)</f>
        <v>14</v>
      </c>
      <c r="I189" s="13" t="n">
        <f aca="false">SUMIF($A$111:$A$122,$A189,H$111:H$122)</f>
        <v>33</v>
      </c>
      <c r="J189" s="13" t="n">
        <f aca="false">SUMIF($A$111:$A$122,$A189,I$111:I$122)</f>
        <v>48</v>
      </c>
      <c r="K189" s="13" t="n">
        <f aca="false">SUMIF($A$111:$A$122,$A189,J$111:J$122)</f>
        <v>62</v>
      </c>
    </row>
    <row r="190" customFormat="false" ht="15" hidden="false" customHeight="false" outlineLevel="0" collapsed="false">
      <c r="A190" s="12" t="str">
        <f aca="false">datos_base!A17</f>
        <v>ABC 70 kg s/ruedas</v>
      </c>
      <c r="B190" s="13" t="n">
        <v>0</v>
      </c>
      <c r="C190" s="13" t="n">
        <f aca="false">SUMIF($A$111:$A$122,$A190,B$111:B$122)</f>
        <v>0</v>
      </c>
      <c r="D190" s="13" t="n">
        <f aca="false">SUMIF($A$111:$A$122,$A190,C$111:C$122)</f>
        <v>0</v>
      </c>
      <c r="E190" s="13" t="n">
        <f aca="false">SUMIF($A$111:$A$122,$A190,D$111:D$122)</f>
        <v>0</v>
      </c>
      <c r="F190" s="13" t="n">
        <f aca="false">SUMIF($A$111:$A$122,$A190,E$111:E$122)</f>
        <v>0</v>
      </c>
      <c r="G190" s="13" t="n">
        <f aca="false">SUMIF($A$111:$A$122,$A190,F$111:F$122)</f>
        <v>0</v>
      </c>
      <c r="H190" s="13" t="n">
        <f aca="false">SUMIF($A$111:$A$122,$A190,G$111:G$122)</f>
        <v>0</v>
      </c>
      <c r="I190" s="13" t="n">
        <f aca="false">SUMIF($A$111:$A$122,$A190,H$111:H$122)</f>
        <v>0</v>
      </c>
      <c r="J190" s="13" t="n">
        <f aca="false">SUMIF($A$111:$A$122,$A190,I$111:I$122)</f>
        <v>0</v>
      </c>
      <c r="K190" s="13" t="n">
        <f aca="false">SUMIF($A$111:$A$122,$A190,J$111:J$122)</f>
        <v>0</v>
      </c>
    </row>
    <row r="191" customFormat="false" ht="15" hidden="false" customHeight="false" outlineLevel="0" collapsed="false">
      <c r="A191" s="12" t="str">
        <f aca="false">datos_base!A18</f>
        <v>ABC 100 kg s/ruedas</v>
      </c>
      <c r="B191" s="13" t="n">
        <v>0</v>
      </c>
      <c r="C191" s="13" t="n">
        <f aca="false">SUMIF($A$111:$A$122,$A191,B$111:B$122)</f>
        <v>1</v>
      </c>
      <c r="D191" s="13" t="n">
        <f aca="false">SUMIF($A$111:$A$122,$A191,C$111:C$122)</f>
        <v>1</v>
      </c>
      <c r="E191" s="13" t="n">
        <f aca="false">SUMIF($A$111:$A$122,$A191,D$111:D$122)</f>
        <v>1</v>
      </c>
      <c r="F191" s="13" t="n">
        <f aca="false">SUMIF($A$111:$A$122,$A191,E$111:E$122)</f>
        <v>1</v>
      </c>
      <c r="G191" s="13" t="n">
        <f aca="false">SUMIF($A$111:$A$122,$A191,F$111:F$122)</f>
        <v>1</v>
      </c>
      <c r="H191" s="13" t="n">
        <f aca="false">SUMIF($A$111:$A$122,$A191,G$111:G$122)</f>
        <v>4</v>
      </c>
      <c r="I191" s="13" t="n">
        <f aca="false">SUMIF($A$111:$A$122,$A191,H$111:H$122)</f>
        <v>9</v>
      </c>
      <c r="J191" s="13" t="n">
        <f aca="false">SUMIF($A$111:$A$122,$A191,I$111:I$122)</f>
        <v>12</v>
      </c>
      <c r="K191" s="13" t="n">
        <f aca="false">SUMIF($A$111:$A$122,$A191,J$111:J$122)</f>
        <v>16</v>
      </c>
    </row>
    <row r="192" customFormat="false" ht="15" hidden="false" customHeight="false" outlineLevel="0" collapsed="false">
      <c r="A192" s="6" t="s">
        <v>136</v>
      </c>
      <c r="B192" s="7" t="n">
        <f aca="false">SUM(B175:B191)</f>
        <v>0</v>
      </c>
      <c r="C192" s="7" t="n">
        <f aca="false">SUM(C175:C191)</f>
        <v>17</v>
      </c>
      <c r="D192" s="7" t="n">
        <f aca="false">SUM(D175:D191)</f>
        <v>30</v>
      </c>
      <c r="E192" s="7" t="n">
        <f aca="false">SUM(E175:E191)</f>
        <v>56</v>
      </c>
      <c r="F192" s="7" t="n">
        <f aca="false">SUM(F175:F191)</f>
        <v>88</v>
      </c>
      <c r="G192" s="7" t="n">
        <f aca="false">SUM(G175:G191)</f>
        <v>121</v>
      </c>
      <c r="H192" s="7" t="n">
        <f aca="false">SUM(H175:H191)</f>
        <v>622</v>
      </c>
      <c r="I192" s="7" t="n">
        <f aca="false">SUM(I175:I191)</f>
        <v>1547</v>
      </c>
      <c r="J192" s="7" t="n">
        <f aca="false">SUM(J175:J191)</f>
        <v>2302</v>
      </c>
      <c r="K192" s="7" t="n">
        <f aca="false">SUM(K175:K191)</f>
        <v>2985</v>
      </c>
    </row>
    <row r="194" customFormat="false" ht="15" hidden="false" customHeight="false" outlineLevel="0" collapsed="false">
      <c r="A194" s="2" t="s">
        <v>333</v>
      </c>
    </row>
  </sheetData>
  <mergeCells count="17">
    <mergeCell ref="D10:F10"/>
    <mergeCell ref="D11:F11"/>
    <mergeCell ref="D12:F12"/>
    <mergeCell ref="D13:F13"/>
    <mergeCell ref="D14:F14"/>
    <mergeCell ref="D15:F15"/>
    <mergeCell ref="D16:F16"/>
    <mergeCell ref="D17:F17"/>
    <mergeCell ref="D18:F18"/>
    <mergeCell ref="D19:F19"/>
    <mergeCell ref="D20:F20"/>
    <mergeCell ref="D21:F21"/>
    <mergeCell ref="D22:F22"/>
    <mergeCell ref="D23:F23"/>
    <mergeCell ref="D24:F24"/>
    <mergeCell ref="D25:F25"/>
    <mergeCell ref="D26:F26"/>
  </mergeCells>
  <dataValidations count="1">
    <dataValidation allowBlank="false" errorStyle="stop" operator="between" showDropDown="false" showErrorMessage="false" showInputMessage="false" sqref="D10:D26" type="list">
      <formula1>$A$111:$A$122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2026-10-18T19:39:25Z</dcterms:created>
  <dc:creator>openpyxl</dc:creator>
  <dc:description/>
  <dc:language>en-US</dc:language>
  <cp:lastModifiedBy/>
  <dcterms:modified xsi:type="dcterms:W3CDTF">2026-10-18T19:39:26Z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