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ROY_Indexado" sheetId="1" state="visible" r:id="rId3"/>
    <sheet name="datos_base" sheetId="2" state="visible" r:id="rId4"/>
    <sheet name="parametros_recargas" sheetId="3" state="visible" r:id="rId5"/>
    <sheet name="Plan mensual" sheetId="4" state="visible" r:id="rId6"/>
    <sheet name="Demanda por puesto" sheetId="5" state="visible" r:id="rId7"/>
    <sheet name="Resumen Capacida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<sst xmlns="http://schemas.openxmlformats.org/spreadsheetml/2006/main" count="797" uniqueCount="312">
  <si>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</si>
  <si>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</si>
  <si>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</si>
  <si>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</si>
  <si>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</si>
  <si>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</si>
  <si>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</si>
  <si>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</si>
  <si>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</si>
  <si>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</si>
  <si>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</si>
  <si>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</si>
  <si>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</si>
  <si>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</si>
  <si>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</si>
  <si>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</si>
  <si>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</si>
  <si>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</si>
  <si>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</si>
  <si>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</si>
  <si>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</si>
  <si>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</si>
  <si>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</si>
  <si>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</si>
  <si>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</si>
  <si>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</si>
  <si>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</si>
  <si>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</si>
  <si>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</si>
  <si>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</si>
  <si>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</si>
  <si>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</si>
  <si>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</si>
  <si>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</si>
  <si>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</si>
  <si>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</si>
  <si>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</si>
  <si>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</si>
  <si>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</si>
  <si>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</si>
  <si>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</si>
  <si>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</si>
  <si>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</si>
  <si>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</si>
  <si>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</si>
  <si>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</si>
  <si>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</si>
  <si>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</si>
  <si>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</si>
  <si>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</si>
  <si>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</si>
  <si>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</si>
  <si>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</si>
  <si>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</si>
  <si>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</si>
  <si>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</si>
  <si>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</si>
  <si>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</si>
  <si>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</si>
  <si>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</si>
  <si>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</si>
  <si>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</si>
  <si>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</si>
  <si>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</si>
  <si>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</si>
  <si>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</si>
  <si>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</si>
  <si>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</si>
  <si>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</si>
  <si>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</si>
  <si>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</si>
  <si>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</si>
  <si>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</si>
  <si>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</si>
  <si>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</si>
  <si>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</si>
  <si>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</si>
  <si>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INDUSTRIAL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</si>
  <si>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</si>
  <si>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</si>
  <si>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</si>
  <si>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</si>
  <si>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</si>
  <si>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</si>
  <si>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</si>
  <si>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</si>
  <si>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</si>
  <si>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</si>
  <si>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</si>
  <si>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</si>
  <si>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</si>
  <si>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</si>
  <si>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</si>
  <si>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</si>
  <si>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</si>
  <si>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</si>
  <si>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</si>
  <si>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</si>
  <si>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</si>
  <si>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</si>
  <si>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</si>
  <si>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</si>
  <si>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</si>
  <si>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</si>
  <si>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</si>
  <si>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</si>
  <si>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</si>
  <si>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</si>
  <si>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</si>
  <si>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</si>
  <si>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</si>
  <si>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</si>
  <si>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</si>
  <si>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</si>
  <si>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</si>
  <si>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</si>
  <si>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</si>
  <si>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(rampa del crecimiento anual)</t>
  </si>
  <si>
    <t xml:space="preserve">Cada equipo vuelve en su mes (IRAM 3517-2 9.2.1 y 9.4.14 a). Criterio: el crecimiento al año siguiente se reparte parejo mes a mes; 2035 usa el crecimiento 2034→2035.</t>
  </si>
  <si>
    <t xml:space="preserve">Año</t>
  </si>
  <si>
    <t xml:space="preserve">Recargas del año</t>
  </si>
  <si>
    <t xml:space="preserve">Recargas del año siguiente</t>
  </si>
  <si>
    <t xml:space="preserve">Crecimiento</t>
  </si>
  <si>
    <t xml:space="preserve">Factor mensual (q)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</si>
  <si>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</si>
  <si>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</si>
  <si>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</si>
  <si>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</si>
  <si>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</si>
  <si>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</si>
  <si>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</si>
  <si>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</si>
  <si>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</si>
  <si>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</si>
  <si>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</si>
  <si>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</si>
  <si>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</si>
  <si>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</si>
  <si>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</si>
  <si>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</si>
  <si>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</si>
  <si>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</si>
  <si>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</si>
  <si>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</si>
  <si>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</si>
  <si>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</si>
  <si>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</si>
  <si>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</si>
  <si>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</si>
  <si>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</si>
  <si>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</si>
  <si>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</si>
  <si>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</si>
  <si>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</si>
  <si>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</si>
  <si>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</si>
  <si>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</si>
  <si>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</si>
  <si>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</si>
  <si>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</si>
  <si>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</si>
  <si>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</si>
  <si>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</si>
  <si>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</si>
  <si>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</si>
  <si>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</si>
  <si>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</si>
  <si>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</si>
  <si>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</si>
  <si>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</si>
  <si>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</si>
  <si>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</si>
  <si>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</si>
  <si>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</si>
  <si>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</si>
  <si>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</si>
  <si>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</si>
  <si>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</si>
  <si>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</si>
  <si>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</si>
  <si>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</si>
  <si>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</si>
  <si>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</si>
  <si>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</si>
  <si>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</si>
  <si>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</si>
  <si>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</si>
  <si>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</si>
  <si>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</si>
  <si>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</si>
  <si>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</si>
  <si>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</si>
  <si>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</si>
  <si>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</si>
  <si>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</si>
  <si>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</si>
  <si>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</si>
  <si>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</si>
  <si>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</si>
  <si>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</si>
  <si>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</si>
  <si>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</si>
  <si>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</si>
  <si>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</si>
  <si>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</si>
  <si>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</si>
  <si>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</si>
  <si>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</si>
  <si>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</si>
  <si>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</si>
  <si>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</si>
  <si>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</si>
  <si>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</si>
  <si>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</si>
  <si>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</si>
  <si>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</si>
  <si>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</si>
  <si>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</si>
  <si>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</si>
  <si>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</si>
  <si>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</si>
  <si>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</si>
  <si>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</si>
  <si>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</si>
  <si>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</si>
  <si>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</si>
  <si>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</si>
  <si>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</si>
  <si>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</si>
  <si>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</si>
  <si>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</si>
  <si>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</si>
  <si>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</si>
  <si>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</si>
  <si>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</si>
  <si>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</si>
  <si>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</si>
  <si>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</si>
  <si>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</si>
  <si>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</si>
  <si>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</si>
  <si>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</si>
  <si>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</si>
  <si>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</si>
  <si>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</si>
  <si>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</si>
  <si>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</si>
  <si>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</si>
  <si>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</si>
  <si>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</si>
  <si>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</si>
  <si>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</si>
  <si>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</si>
  <si>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</si>
  <si>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</si>
  <si>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</si>
  <si>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</si>
  <si>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</si>
  <si>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</si>
  <si>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</si>
  <si>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</si>
  <si>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</si>
  <si>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</si>
  <si>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</si>
  <si>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</si>
  <si>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</si>
  <si>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</si>
  <si>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</si>
  <si>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</si>
  <si>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</si>
  <si>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Agente</t>
  </si>
  <si>
    <t xml:space="preserve">u. equiv.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</si>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</sst>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000"/>
    <numFmt numFmtId="172" formatCode="0.0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29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0.2882365055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1002.33729536048</v>
      </c>
      <c r="C2" s="13" t="n">
        <f aca="false">PROY_Indexado!C5*PROY_Indexado!$B$53</f>
        <v>4891.54230116208</v>
      </c>
      <c r="D2" s="13" t="n">
        <f aca="false">PROY_Indexado!D5*PROY_Indexado!$B$53</f>
        <v>8804.49809705261</v>
      </c>
      <c r="E2" s="13" t="n">
        <f aca="false">PROY_Indexado!E5*PROY_Indexado!$B$53</f>
        <v>16155.1693191114</v>
      </c>
      <c r="F2" s="13" t="n">
        <f aca="false">PROY_Indexado!F5*PROY_Indexado!$B$53</f>
        <v>24289.755497406</v>
      </c>
      <c r="G2" s="13" t="n">
        <f aca="false">PROY_Indexado!G5*PROY_Indexado!$B$53</f>
        <v>33841.2206487062</v>
      </c>
      <c r="H2" s="13" t="n">
        <f aca="false">PROY_Indexado!H5*PROY_Indexado!$B$53</f>
        <v>42546.7737799779</v>
      </c>
      <c r="I2" s="13" t="n">
        <f aca="false">PROY_Indexado!I5*PROY_Indexado!$B$53</f>
        <v>49404.9939556295</v>
      </c>
      <c r="J2" s="13" t="n">
        <f aca="false">PROY_Indexado!J5*PROY_Indexado!$B$53</f>
        <v>52946.3268371571</v>
      </c>
      <c r="K2" s="13" t="n">
        <f aca="false">PROY_Indexado!K5*PROY_Indexado!$B$53</f>
        <v>56575.8368575054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95.1170864109637</v>
      </c>
      <c r="C3" s="13" t="n">
        <f aca="false">PROY_Indexado!C6*PROY_Indexado!$B$53</f>
        <v>371.079719409453</v>
      </c>
      <c r="D3" s="13" t="n">
        <f aca="false">PROY_Indexado!D6*PROY_Indexado!$B$53</f>
        <v>849.481755937015</v>
      </c>
      <c r="E3" s="13" t="n">
        <f aca="false">PROY_Indexado!E6*PROY_Indexado!$B$53</f>
        <v>1563.98375054836</v>
      </c>
      <c r="F3" s="13" t="n">
        <f aca="false">PROY_Indexado!F6*PROY_Indexado!$B$53</f>
        <v>2262.90900743594</v>
      </c>
      <c r="G3" s="13" t="n">
        <f aca="false">PROY_Indexado!G6*PROY_Indexado!$B$53</f>
        <v>3004.56109120492</v>
      </c>
      <c r="H3" s="13" t="n">
        <f aca="false">PROY_Indexado!H6*PROY_Indexado!$B$53</f>
        <v>3692.27957526984</v>
      </c>
      <c r="I3" s="13" t="n">
        <f aca="false">PROY_Indexado!I6*PROY_Indexado!$B$53</f>
        <v>4111.13696738219</v>
      </c>
      <c r="J3" s="13" t="n">
        <f aca="false">PROY_Indexado!J6*PROY_Indexado!$B$53</f>
        <v>4448.31646963558</v>
      </c>
      <c r="K3" s="13" t="n">
        <f aca="false">PROY_Indexado!K6*PROY_Indexado!$B$53</f>
        <v>4790.71011839089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562.174778867108</v>
      </c>
      <c r="C4" s="13" t="n">
        <f aca="false">PROY_Indexado!C7*PROY_Indexado!$B$53</f>
        <v>2263.41132122938</v>
      </c>
      <c r="D4" s="13" t="n">
        <f aca="false">PROY_Indexado!D7*PROY_Indexado!$B$53</f>
        <v>5123.65090683008</v>
      </c>
      <c r="E4" s="13" t="n">
        <f aca="false">PROY_Indexado!E7*PROY_Indexado!$B$53</f>
        <v>9686.3515865454</v>
      </c>
      <c r="F4" s="13" t="n">
        <f aca="false">PROY_Indexado!F7*PROY_Indexado!$B$53</f>
        <v>13952.8293613136</v>
      </c>
      <c r="G4" s="13" t="n">
        <f aca="false">PROY_Indexado!G7*PROY_Indexado!$B$53</f>
        <v>18540.2490682695</v>
      </c>
      <c r="H4" s="13" t="n">
        <f aca="false">PROY_Indexado!H7*PROY_Indexado!$B$53</f>
        <v>22690.2948855283</v>
      </c>
      <c r="I4" s="13" t="n">
        <f aca="false">PROY_Indexado!I7*PROY_Indexado!$B$53</f>
        <v>25144.9492517373</v>
      </c>
      <c r="J4" s="13" t="n">
        <f aca="false">PROY_Indexado!J7*PROY_Indexado!$B$53</f>
        <v>27124.1123066399</v>
      </c>
      <c r="K4" s="13" t="n">
        <f aca="false">PROY_Indexado!K7*PROY_Indexado!$B$53</f>
        <v>29139.3203107948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34.110954935858</v>
      </c>
      <c r="C5" s="13" t="n">
        <f aca="false">PROY_Indexado!C8*PROY_Indexado!$B$53</f>
        <v>126.165896842138</v>
      </c>
      <c r="D5" s="13" t="n">
        <f aca="false">PROY_Indexado!D8*PROY_Indexado!$B$53</f>
        <v>295.435160630528</v>
      </c>
      <c r="E5" s="13" t="n">
        <f aca="false">PROY_Indexado!E8*PROY_Indexado!$B$53</f>
        <v>565.061687970617</v>
      </c>
      <c r="F5" s="13" t="n">
        <f aca="false">PROY_Indexado!F8*PROY_Indexado!$B$53</f>
        <v>820.026184319452</v>
      </c>
      <c r="G5" s="13" t="n">
        <f aca="false">PROY_Indexado!G8*PROY_Indexado!$B$53</f>
        <v>1098.29367747525</v>
      </c>
      <c r="H5" s="13" t="n">
        <f aca="false">PROY_Indexado!H8*PROY_Indexado!$B$53</f>
        <v>1344.24226967378</v>
      </c>
      <c r="I5" s="13" t="n">
        <f aca="false">PROY_Indexado!I8*PROY_Indexado!$B$53</f>
        <v>1488.60163629595</v>
      </c>
      <c r="J5" s="13" t="n">
        <f aca="false">PROY_Indexado!J8*PROY_Indexado!$B$53</f>
        <v>1605.92246734107</v>
      </c>
      <c r="K5" s="13" t="n">
        <f aca="false">PROY_Indexado!K8*PROY_Indexado!$B$53</f>
        <v>1725.36955653994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45.9185933602621</v>
      </c>
      <c r="C6" s="13" t="n">
        <f aca="false">PROY_Indexado!C9*PROY_Indexado!$B$53</f>
        <v>185.458153302513</v>
      </c>
      <c r="D6" s="13" t="n">
        <f aca="false">PROY_Indexado!D9*PROY_Indexado!$B$53</f>
        <v>424.965164305242</v>
      </c>
      <c r="E6" s="13" t="n">
        <f aca="false">PROY_Indexado!E9*PROY_Indexado!$B$53</f>
        <v>797.392227965464</v>
      </c>
      <c r="F6" s="13" t="n">
        <f aca="false">PROY_Indexado!F9*PROY_Indexado!$B$53</f>
        <v>1150.48598712583</v>
      </c>
      <c r="G6" s="13" t="n">
        <f aca="false">PROY_Indexado!G9*PROY_Indexado!$B$53</f>
        <v>1537.95960022863</v>
      </c>
      <c r="H6" s="13" t="n">
        <f aca="false">PROY_Indexado!H9*PROY_Indexado!$B$53</f>
        <v>1884.76665919705</v>
      </c>
      <c r="I6" s="13" t="n">
        <f aca="false">PROY_Indexado!I9*PROY_Indexado!$B$53</f>
        <v>2095.42742046657</v>
      </c>
      <c r="J6" s="13" t="n">
        <f aca="false">PROY_Indexado!J9*PROY_Indexado!$B$53</f>
        <v>2264.22497541366</v>
      </c>
      <c r="K6" s="13" t="n">
        <f aca="false">PROY_Indexado!K9*PROY_Indexado!$B$53</f>
        <v>2435.83311933763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6.55979909264265</v>
      </c>
      <c r="C7" s="13" t="n">
        <f aca="false">PROY_Indexado!C10*PROY_Indexado!$B$53</f>
        <v>46.4970883503481</v>
      </c>
      <c r="D7" s="13" t="n">
        <f aca="false">PROY_Indexado!D10*PROY_Indexado!$B$53</f>
        <v>91.257774850114</v>
      </c>
      <c r="E7" s="13" t="n">
        <f aca="false">PROY_Indexado!E10*PROY_Indexado!$B$53</f>
        <v>152.0143822883</v>
      </c>
      <c r="F7" s="13" t="n">
        <f aca="false">PROY_Indexado!F10*PROY_Indexado!$B$53</f>
        <v>214.387126624568</v>
      </c>
      <c r="G7" s="13" t="n">
        <f aca="false">PROY_Indexado!G10*PROY_Indexado!$B$53</f>
        <v>277.535533556036</v>
      </c>
      <c r="H7" s="13" t="n">
        <f aca="false">PROY_Indexado!H10*PROY_Indexado!$B$53</f>
        <v>344.425966020138</v>
      </c>
      <c r="I7" s="13" t="n">
        <f aca="false">PROY_Indexado!I10*PROY_Indexado!$B$53</f>
        <v>389.585413601674</v>
      </c>
      <c r="J7" s="13" t="n">
        <f aca="false">PROY_Indexado!J10*PROY_Indexado!$B$53</f>
        <v>425.883520111909</v>
      </c>
      <c r="K7" s="13" t="n">
        <f aca="false">PROY_Indexado!K10*PROY_Indexado!$B$53</f>
        <v>462.458588756731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3.27989940220307</v>
      </c>
      <c r="C8" s="13" t="n">
        <f aca="false">PROY_Indexado!C11*PROY_Indexado!$B$53</f>
        <v>23.9880565802094</v>
      </c>
      <c r="D8" s="13" t="n">
        <f aca="false">PROY_Indexado!D11*PROY_Indexado!$B$53</f>
        <v>47.4044807932921</v>
      </c>
      <c r="E8" s="13" t="n">
        <f aca="false">PROY_Indexado!E11*PROY_Indexado!$B$53</f>
        <v>81.0927884881688</v>
      </c>
      <c r="F8" s="13" t="n">
        <f aca="false">PROY_Indexado!F11*PROY_Indexado!$B$53</f>
        <v>114.978265229342</v>
      </c>
      <c r="G8" s="13" t="n">
        <f aca="false">PROY_Indexado!G11*PROY_Indexado!$B$53</f>
        <v>148.305546324566</v>
      </c>
      <c r="H8" s="13" t="n">
        <f aca="false">PROY_Indexado!H11*PROY_Indexado!$B$53</f>
        <v>181.319642891793</v>
      </c>
      <c r="I8" s="13" t="n">
        <f aca="false">PROY_Indexado!I11*PROY_Indexado!$B$53</f>
        <v>204.987468426155</v>
      </c>
      <c r="J8" s="13" t="n">
        <f aca="false">PROY_Indexado!J11*PROY_Indexado!$B$53</f>
        <v>222.92527819053</v>
      </c>
      <c r="K8" s="13" t="n">
        <f aca="false">PROY_Indexado!K11*PROY_Indexado!$B$53</f>
        <v>241.066833405312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1.96793964132184</v>
      </c>
      <c r="C9" s="13" t="n">
        <f aca="false">PROY_Indexado!C12*PROY_Indexado!$B$53</f>
        <v>13.5681893058901</v>
      </c>
      <c r="D9" s="13" t="n">
        <f aca="false">PROY_Indexado!D12*PROY_Indexado!$B$53</f>
        <v>25.6212495852672</v>
      </c>
      <c r="E9" s="13" t="n">
        <f aca="false">PROY_Indexado!E12*PROY_Indexado!$B$53</f>
        <v>45.9744406243852</v>
      </c>
      <c r="F9" s="13" t="n">
        <f aca="false">PROY_Indexado!F12*PROY_Indexado!$B$53</f>
        <v>63.3532891866521</v>
      </c>
      <c r="G9" s="13" t="n">
        <f aca="false">PROY_Indexado!G12*PROY_Indexado!$B$53</f>
        <v>84.1275464895187</v>
      </c>
      <c r="H9" s="13" t="n">
        <f aca="false">PROY_Indexado!H12*PROY_Indexado!$B$53</f>
        <v>106.314354346611</v>
      </c>
      <c r="I9" s="13" t="n">
        <f aca="false">PROY_Indexado!I12*PROY_Indexado!$B$53</f>
        <v>117.718369427634</v>
      </c>
      <c r="J9" s="13" t="n">
        <f aca="false">PROY_Indexado!J12*PROY_Indexado!$B$53</f>
        <v>128.490629753557</v>
      </c>
      <c r="K9" s="13" t="n">
        <f aca="false">PROY_Indexado!K12*PROY_Indexado!$B$53</f>
        <v>139.356355954645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23.6152765605716</v>
      </c>
      <c r="C10" s="13" t="n">
        <f aca="false">PROY_Indexado!C13*PROY_Indexado!$B$53</f>
        <v>96.6741939139012</v>
      </c>
      <c r="D10" s="13" t="n">
        <f aca="false">PROY_Indexado!D13*PROY_Indexado!$B$53</f>
        <v>215.196899992539</v>
      </c>
      <c r="E10" s="13" t="n">
        <f aca="false">PROY_Indexado!E13*PROY_Indexado!$B$53</f>
        <v>391.6845403414</v>
      </c>
      <c r="F10" s="13" t="n">
        <f aca="false">PROY_Indexado!F13*PROY_Indexado!$B$53</f>
        <v>565.267967308143</v>
      </c>
      <c r="G10" s="13" t="n">
        <f aca="false">PROY_Indexado!G13*PROY_Indexado!$B$53</f>
        <v>748.994495991916</v>
      </c>
      <c r="H10" s="13" t="n">
        <f aca="false">PROY_Indexado!H13*PROY_Indexado!$B$53</f>
        <v>921.56805177326</v>
      </c>
      <c r="I10" s="13" t="n">
        <f aca="false">PROY_Indexado!I13*PROY_Indexado!$B$53</f>
        <v>1031.46570643837</v>
      </c>
      <c r="J10" s="13" t="n">
        <f aca="false">PROY_Indexado!J13*PROY_Indexado!$B$53</f>
        <v>1115.6908763264</v>
      </c>
      <c r="K10" s="13" t="n">
        <f aca="false">PROY_Indexado!K13*PROY_Indexado!$B$53</f>
        <v>1201.24282190818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129.884021227262</v>
      </c>
      <c r="C11" s="13" t="n">
        <f aca="false">PROY_Indexado!C14*PROY_Indexado!$B$53</f>
        <v>489.189661876883</v>
      </c>
      <c r="D11" s="13" t="n">
        <f aca="false">PROY_Indexado!D14*PROY_Indexado!$B$53</f>
        <v>1140.0321209145</v>
      </c>
      <c r="E11" s="13" t="n">
        <f aca="false">PROY_Indexado!E14*PROY_Indexado!$B$53</f>
        <v>2179.43125469498</v>
      </c>
      <c r="F11" s="13" t="n">
        <f aca="false">PROY_Indexado!F14*PROY_Indexado!$B$53</f>
        <v>3147.58437958836</v>
      </c>
      <c r="G11" s="13" t="n">
        <f aca="false">PROY_Indexado!G14*PROY_Indexado!$B$53</f>
        <v>4183.7197935464</v>
      </c>
      <c r="H11" s="13" t="n">
        <f aca="false">PROY_Indexado!H14*PROY_Indexado!$B$53</f>
        <v>5115.1889344431</v>
      </c>
      <c r="I11" s="13" t="n">
        <f aca="false">PROY_Indexado!I14*PROY_Indexado!$B$53</f>
        <v>5654.39474946592</v>
      </c>
      <c r="J11" s="13" t="n">
        <f aca="false">PROY_Indexado!J14*PROY_Indexado!$B$53</f>
        <v>6099.60508356806</v>
      </c>
      <c r="K11" s="13" t="n">
        <f aca="false">PROY_Indexado!K14*PROY_Indexado!$B$53</f>
        <v>6552.91332717418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36.0788948654163</v>
      </c>
      <c r="C12" s="13" t="n">
        <f aca="false">PROY_Indexado!C15*PROY_Indexado!$B$53</f>
        <v>185.517768970709</v>
      </c>
      <c r="D12" s="13" t="n">
        <f aca="false">PROY_Indexado!D15*PROY_Indexado!$B$53</f>
        <v>396.505838356991</v>
      </c>
      <c r="E12" s="13" t="n">
        <f aca="false">PROY_Indexado!E15*PROY_Indexado!$B$53</f>
        <v>709.143739080236</v>
      </c>
      <c r="F12" s="13" t="n">
        <f aca="false">PROY_Indexado!F15*PROY_Indexado!$B$53</f>
        <v>1021.87268564495</v>
      </c>
      <c r="G12" s="13" t="n">
        <f aca="false">PROY_Indexado!G15*PROY_Indexado!$B$53</f>
        <v>1361.47411848296</v>
      </c>
      <c r="H12" s="13" t="n">
        <f aca="false">PROY_Indexado!H15*PROY_Indexado!$B$53</f>
        <v>1687.30917203508</v>
      </c>
      <c r="I12" s="13" t="n">
        <f aca="false">PROY_Indexado!I15*PROY_Indexado!$B$53</f>
        <v>1904.79939090701</v>
      </c>
      <c r="J12" s="13" t="n">
        <f aca="false">PROY_Indexado!J15*PROY_Indexado!$B$53</f>
        <v>2071.18347789329</v>
      </c>
      <c r="K12" s="13" t="n">
        <f aca="false">PROY_Indexado!K15*PROY_Indexado!$B$53</f>
        <v>2239.47576029921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5.24783933176142</v>
      </c>
      <c r="C13" s="13" t="n">
        <f aca="false">PROY_Indexado!C16*PROY_Indexado!$B$53</f>
        <v>32.3041415187662</v>
      </c>
      <c r="D13" s="13" t="n">
        <f aca="false">PROY_Indexado!D16*PROY_Indexado!$B$53</f>
        <v>66.5405620583937</v>
      </c>
      <c r="E13" s="13" t="n">
        <f aca="false">PROY_Indexado!E16*PROY_Indexado!$B$53</f>
        <v>115.500787572425</v>
      </c>
      <c r="F13" s="13" t="n">
        <f aca="false">PROY_Indexado!F16*PROY_Indexado!$B$53</f>
        <v>165.594117483891</v>
      </c>
      <c r="G13" s="13" t="n">
        <f aca="false">PROY_Indexado!G16*PROY_Indexado!$B$53</f>
        <v>217.42994631274</v>
      </c>
      <c r="H13" s="13" t="n">
        <f aca="false">PROY_Indexado!H16*PROY_Indexado!$B$53</f>
        <v>272.339927867329</v>
      </c>
      <c r="I13" s="13" t="n">
        <f aca="false">PROY_Indexado!I16*PROY_Indexado!$B$53</f>
        <v>309.057174644982</v>
      </c>
      <c r="J13" s="13" t="n">
        <f aca="false">PROY_Indexado!J16*PROY_Indexado!$B$53</f>
        <v>337.725489353911</v>
      </c>
      <c r="K13" s="13" t="n">
        <f aca="false">PROY_Indexado!K16*PROY_Indexado!$B$53</f>
        <v>366.61985757759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1.96793964132184</v>
      </c>
      <c r="C14" s="13" t="n">
        <f aca="false">PROY_Indexado!C17*PROY_Indexado!$B$53</f>
        <v>13.5681893058901</v>
      </c>
      <c r="D14" s="13" t="n">
        <f aca="false">PROY_Indexado!D17*PROY_Indexado!$B$53</f>
        <v>25.6212495852672</v>
      </c>
      <c r="E14" s="13" t="n">
        <f aca="false">PROY_Indexado!E17*PROY_Indexado!$B$53</f>
        <v>42.7394732580785</v>
      </c>
      <c r="F14" s="13" t="n">
        <f aca="false">PROY_Indexado!F17*PROY_Indexado!$B$53</f>
        <v>59.1536403542778</v>
      </c>
      <c r="G14" s="13" t="n">
        <f aca="false">PROY_Indexado!G17*PROY_Indexado!$B$53</f>
        <v>73.7208516235008</v>
      </c>
      <c r="H14" s="13" t="n">
        <f aca="false">PROY_Indexado!H17*PROY_Indexado!$B$53</f>
        <v>94.6620284161215</v>
      </c>
      <c r="I14" s="13" t="n">
        <f aca="false">PROY_Indexado!I17*PROY_Indexado!$B$53</f>
        <v>105.756300224786</v>
      </c>
      <c r="J14" s="13" t="n">
        <f aca="false">PROY_Indexado!J17*PROY_Indexado!$B$53</f>
        <v>115.779331548955</v>
      </c>
      <c r="K14" s="13" t="n">
        <f aca="false">PROY_Indexado!K17*PROY_Indexado!$B$53</f>
        <v>125.86907204172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5.08384428959214</v>
      </c>
      <c r="C15" s="13" t="n">
        <f aca="false">PROY_Indexado!C18*PROY_Indexado!$B$53</f>
        <v>24.7848284641265</v>
      </c>
      <c r="D15" s="13" t="n">
        <f aca="false">PROY_Indexado!D18*PROY_Indexado!$B$53</f>
        <v>53.8626309763781</v>
      </c>
      <c r="E15" s="13" t="n">
        <f aca="false">PROY_Indexado!E18*PROY_Indexado!$B$53</f>
        <v>97.0156867255764</v>
      </c>
      <c r="F15" s="13" t="n">
        <f aca="false">PROY_Indexado!F18*PROY_Indexado!$B$53</f>
        <v>139.544688246156</v>
      </c>
      <c r="G15" s="13" t="n">
        <f aca="false">PROY_Indexado!G18*PROY_Indexado!$B$53</f>
        <v>185.399596038765</v>
      </c>
      <c r="H15" s="13" t="n">
        <f aca="false">PROY_Indexado!H18*PROY_Indexado!$B$53</f>
        <v>228.407756161358</v>
      </c>
      <c r="I15" s="13" t="n">
        <f aca="false">PROY_Indexado!I18*PROY_Indexado!$B$53</f>
        <v>256.437593286933</v>
      </c>
      <c r="J15" s="13" t="n">
        <f aca="false">PROY_Indexado!J18*PROY_Indexado!$B$53</f>
        <v>278.237901066726</v>
      </c>
      <c r="K15" s="13" t="n">
        <f aca="false">PROY_Indexado!K18*PROY_Indexado!$B$53</f>
        <v>300.325058646191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11.1844572641608</v>
      </c>
      <c r="C16" s="13" t="n">
        <f aca="false">PROY_Indexado!C19*PROY_Indexado!$B$53</f>
        <v>54.5266229669621</v>
      </c>
      <c r="D16" s="13" t="n">
        <f aca="false">PROY_Indexado!D19*PROY_Indexado!$B$53</f>
        <v>118.497788320974</v>
      </c>
      <c r="E16" s="13" t="n">
        <f aca="false">PROY_Indexado!E19*PROY_Indexado!$B$53</f>
        <v>213.434510738621</v>
      </c>
      <c r="F16" s="13" t="n">
        <f aca="false">PROY_Indexado!F19*PROY_Indexado!$B$53</f>
        <v>306.998313968602</v>
      </c>
      <c r="G16" s="13" t="n">
        <f aca="false">PROY_Indexado!G19*PROY_Indexado!$B$53</f>
        <v>407.879111573519</v>
      </c>
      <c r="H16" s="13" t="n">
        <f aca="false">PROY_Indexado!H19*PROY_Indexado!$B$53</f>
        <v>502.497063727929</v>
      </c>
      <c r="I16" s="13" t="n">
        <f aca="false">PROY_Indexado!I19*PROY_Indexado!$B$53</f>
        <v>564.162705115958</v>
      </c>
      <c r="J16" s="13" t="n">
        <f aca="false">PROY_Indexado!J19*PROY_Indexado!$B$53</f>
        <v>612.123382058561</v>
      </c>
      <c r="K16" s="13" t="n">
        <f aca="false">PROY_Indexado!K19*PROY_Indexado!$B$53</f>
        <v>660.71512861809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2.44024513218017</v>
      </c>
      <c r="C17" s="13" t="n">
        <f aca="false">PROY_Indexado!C20*PROY_Indexado!$B$53</f>
        <v>11.8967176281923</v>
      </c>
      <c r="D17" s="13" t="n">
        <f aca="false">PROY_Indexado!D20*PROY_Indexado!$B$53</f>
        <v>25.8540628225437</v>
      </c>
      <c r="E17" s="13" t="n">
        <f aca="false">PROY_Indexado!E20*PROY_Indexado!$B$53</f>
        <v>46.5675296052178</v>
      </c>
      <c r="F17" s="13" t="n">
        <f aca="false">PROY_Indexado!F20*PROY_Indexado!$B$53</f>
        <v>66.9814503466256</v>
      </c>
      <c r="G17" s="13" t="n">
        <f aca="false">PROY_Indexado!G20*PROY_Indexado!$B$53</f>
        <v>88.9918061562543</v>
      </c>
      <c r="H17" s="13" t="n">
        <f aca="false">PROY_Indexado!H20*PROY_Indexado!$B$53</f>
        <v>109.635722911334</v>
      </c>
      <c r="I17" s="13" t="n">
        <f aca="false">PROY_Indexado!I20*PROY_Indexado!$B$53</f>
        <v>123.090044673963</v>
      </c>
      <c r="J17" s="13" t="n">
        <f aca="false">PROY_Indexado!J20*PROY_Indexado!$B$53</f>
        <v>133.554192569676</v>
      </c>
      <c r="K17" s="13" t="n">
        <f aca="false">PROY_Indexado!K20*PROY_Indexado!$B$53</f>
        <v>144.156028161701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1.62683018419895</v>
      </c>
      <c r="C18" s="13" t="n">
        <f aca="false">PROY_Indexado!C21*PROY_Indexado!$B$53</f>
        <v>7.93114508546156</v>
      </c>
      <c r="D18" s="13" t="n">
        <f aca="false">PROY_Indexado!D21*PROY_Indexado!$B$53</f>
        <v>17.2360420738534</v>
      </c>
      <c r="E18" s="13" t="n">
        <f aca="false">PROY_Indexado!E21*PROY_Indexado!$B$53</f>
        <v>31.0450198328907</v>
      </c>
      <c r="F18" s="13" t="n">
        <f aca="false">PROY_Indexado!F21*PROY_Indexado!$B$53</f>
        <v>44.6543001350049</v>
      </c>
      <c r="G18" s="13" t="n">
        <f aca="false">PROY_Indexado!G21*PROY_Indexado!$B$53</f>
        <v>59.3278706747574</v>
      </c>
      <c r="H18" s="13" t="n">
        <f aca="false">PROY_Indexado!H21*PROY_Indexado!$B$53</f>
        <v>73.0904821330469</v>
      </c>
      <c r="I18" s="13" t="n">
        <f aca="false">PROY_Indexado!I21*PROY_Indexado!$B$53</f>
        <v>82.0600297826418</v>
      </c>
      <c r="J18" s="13" t="n">
        <f aca="false">PROY_Indexado!J21*PROY_Indexado!$B$53</f>
        <v>89.0361282837051</v>
      </c>
      <c r="K18" s="13" t="n">
        <f aca="false">PROY_Indexado!K21*PROY_Indexado!$B$53</f>
        <v>96.1040185823099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1968.5956955673</v>
      </c>
      <c r="C19" s="7" t="n">
        <f aca="false">SUM(C2:C18)</f>
        <v>8838.10399591291</v>
      </c>
      <c r="D19" s="7" t="n">
        <f aca="false">SUM(D2:D18)</f>
        <v>17721.6617850856</v>
      </c>
      <c r="E19" s="7" t="n">
        <f aca="false">SUM(E2:E18)</f>
        <v>32873.6027253915</v>
      </c>
      <c r="F19" s="7" t="n">
        <f aca="false">SUM(F2:F18)</f>
        <v>48386.3762617174</v>
      </c>
      <c r="G19" s="7" t="n">
        <f aca="false">SUM(G2:G18)</f>
        <v>65859.1903026554</v>
      </c>
      <c r="H19" s="7" t="n">
        <f aca="false">SUM(H2:H18)</f>
        <v>81795.116272374</v>
      </c>
      <c r="I19" s="7" t="n">
        <f aca="false">SUM(I2:I18)</f>
        <v>92988.6241775075</v>
      </c>
      <c r="J19" s="7" t="n">
        <f aca="false">SUM(J2:J18)</f>
        <v>100019.138346913</v>
      </c>
      <c r="K19" s="7" t="n">
        <f aca="false">SUM(K2:K18)</f>
        <v>107197.372813694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23.8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  <c r="O36" s="3" t="s">
        <v>133</v>
      </c>
      <c r="P36" s="3" t="s">
        <v>134</v>
      </c>
      <c r="Q36" s="3" t="s">
        <v>135</v>
      </c>
      <c r="R36" s="3" t="s">
        <v>136</v>
      </c>
    </row>
    <row r="37" customFormat="false" ht="15" hidden="false" customHeight="false" outlineLevel="0" collapsed="false">
      <c r="A37" s="19" t="n">
        <v>2026</v>
      </c>
      <c r="B37" s="13" t="n">
        <f aca="false">datos_base!B19</f>
        <v>1968.5956955673</v>
      </c>
      <c r="C37" s="13" t="n">
        <f aca="false">datos_base!C19</f>
        <v>8838.10399591291</v>
      </c>
      <c r="D37" s="20" t="n">
        <f aca="false">IF(B37&gt;0,C37/B37,1)</f>
        <v>4.48954755708026</v>
      </c>
      <c r="E37" s="21" t="n">
        <f aca="false">D37^(1/12)</f>
        <v>1.13331389819629</v>
      </c>
      <c r="F37" s="11" t="n">
        <f aca="false">IF(ABS($E37-1)&lt;0.000000001,1/12,$E37^0*($E37-1)/($E37^12-1))</f>
        <v>0.0382037774283359</v>
      </c>
      <c r="G37" s="11" t="n">
        <f aca="false">IF(ABS($E37-1)&lt;0.000000001,1/12,$E37^1*($E37-1)/($E37^12-1))</f>
        <v>0.0432968719231306</v>
      </c>
      <c r="H37" s="11" t="n">
        <f aca="false">IF(ABS($E37-1)&lt;0.000000001,1/12,$E37^2*($E37-1)/($E37^12-1))</f>
        <v>0.0490689466989086</v>
      </c>
      <c r="I37" s="11" t="n">
        <f aca="false">IF(ABS($E37-1)&lt;0.000000001,1/12,$E37^3*($E37-1)/($E37^12-1))</f>
        <v>0.0556105192637259</v>
      </c>
      <c r="J37" s="11" t="n">
        <f aca="false">IF(ABS($E37-1)&lt;0.000000001,1/12,$E37^4*($E37-1)/($E37^12-1))</f>
        <v>0.063024174367493</v>
      </c>
      <c r="K37" s="11" t="n">
        <f aca="false">IF(ABS($E37-1)&lt;0.000000001,1/12,$E37^5*($E37-1)/($E37^12-1))</f>
        <v>0.071426172733026</v>
      </c>
      <c r="L37" s="11" t="n">
        <f aca="false">IF(ABS($E37-1)&lt;0.000000001,1/12,$E37^6*($E37-1)/($E37^12-1))</f>
        <v>0.080948274253307</v>
      </c>
      <c r="M37" s="11" t="n">
        <f aca="false">IF(ABS($E37-1)&lt;0.000000001,1/12,$E37^7*($E37-1)/($E37^12-1))</f>
        <v>0.0917398042462776</v>
      </c>
      <c r="N37" s="11" t="n">
        <f aca="false">IF(ABS($E37-1)&lt;0.000000001,1/12,$E37^8*($E37-1)/($E37^12-1))</f>
        <v>0.103969995170113</v>
      </c>
      <c r="O37" s="11" t="n">
        <f aca="false">IF(ABS($E37-1)&lt;0.000000001,1/12,$E37^9*($E37-1)/($E37^12-1))</f>
        <v>0.11783064052169</v>
      </c>
      <c r="P37" s="11" t="n">
        <f aca="false">IF(ABS($E37-1)&lt;0.000000001,1/12,$E37^10*($E37-1)/($E37^12-1))</f>
        <v>0.133539102536602</v>
      </c>
      <c r="Q37" s="11" t="n">
        <f aca="false">IF(ABS($E37-1)&lt;0.000000001,1/12,$E37^11*($E37-1)/($E37^12-1))</f>
        <v>0.15134172085739</v>
      </c>
      <c r="R37" s="10" t="n">
        <f aca="false">SUM(F37:Q37)</f>
        <v>1</v>
      </c>
    </row>
    <row r="38" customFormat="false" ht="15" hidden="false" customHeight="false" outlineLevel="0" collapsed="false">
      <c r="A38" s="19" t="n">
        <v>2027</v>
      </c>
      <c r="B38" s="13" t="n">
        <f aca="false">datos_base!C19</f>
        <v>8838.10399591291</v>
      </c>
      <c r="C38" s="13" t="n">
        <f aca="false">datos_base!D19</f>
        <v>17721.6617850856</v>
      </c>
      <c r="D38" s="20" t="n">
        <f aca="false">IF(B38&gt;0,C38/B38,1)</f>
        <v>2.0051429348739</v>
      </c>
      <c r="E38" s="21" t="n">
        <f aca="false">D38^(1/12)</f>
        <v>1.05968985845881</v>
      </c>
      <c r="F38" s="11" t="n">
        <f aca="false">IF(ABS($E38-1)&lt;0.000000001,1/12,$E38^0*($E38-1)/($E38^12-1))</f>
        <v>0.0593844481096613</v>
      </c>
      <c r="G38" s="11" t="n">
        <f aca="false">IF(ABS($E38-1)&lt;0.000000001,1/12,$E38^1*($E38-1)/($E38^12-1))</f>
        <v>0.0629290974119816</v>
      </c>
      <c r="H38" s="11" t="n">
        <f aca="false">IF(ABS($E38-1)&lt;0.000000001,1/12,$E38^2*($E38-1)/($E38^12-1))</f>
        <v>0.0666853263294436</v>
      </c>
      <c r="I38" s="11" t="n">
        <f aca="false">IF(ABS($E38-1)&lt;0.000000001,1/12,$E38^3*($E38-1)/($E38^12-1))</f>
        <v>0.0706657640193278</v>
      </c>
      <c r="J38" s="11" t="n">
        <f aca="false">IF(ABS($E38-1)&lt;0.000000001,1/12,$E38^4*($E38-1)/($E38^12-1))</f>
        <v>0.0748837934715252</v>
      </c>
      <c r="K38" s="11" t="n">
        <f aca="false">IF(ABS($E38-1)&lt;0.000000001,1/12,$E38^5*($E38-1)/($E38^12-1))</f>
        <v>0.0793535965046995</v>
      </c>
      <c r="L38" s="11" t="n">
        <f aca="false">IF(ABS($E38-1)&lt;0.000000001,1/12,$E38^6*($E38-1)/($E38^12-1))</f>
        <v>0.0840902014482627</v>
      </c>
      <c r="M38" s="11" t="n">
        <f aca="false">IF(ABS($E38-1)&lt;0.000000001,1/12,$E38^7*($E38-1)/($E38^12-1))</f>
        <v>0.0891095336704824</v>
      </c>
      <c r="N38" s="11" t="n">
        <f aca="false">IF(ABS($E38-1)&lt;0.000000001,1/12,$E38^8*($E38-1)/($E38^12-1))</f>
        <v>0.0944284691226043</v>
      </c>
      <c r="O38" s="11" t="n">
        <f aca="false">IF(ABS($E38-1)&lt;0.000000001,1/12,$E38^9*($E38-1)/($E38^12-1))</f>
        <v>0.100064891079015</v>
      </c>
      <c r="P38" s="11" t="n">
        <f aca="false">IF(ABS($E38-1)&lt;0.000000001,1/12,$E38^10*($E38-1)/($E38^12-1))</f>
        <v>0.106037750264218</v>
      </c>
      <c r="Q38" s="11" t="n">
        <f aca="false">IF(ABS($E38-1)&lt;0.000000001,1/12,$E38^11*($E38-1)/($E38^12-1))</f>
        <v>0.11236712856878</v>
      </c>
      <c r="R38" s="10" t="n">
        <f aca="false">SUM(F38:Q38)</f>
        <v>1</v>
      </c>
    </row>
    <row r="39" customFormat="false" ht="15" hidden="false" customHeight="false" outlineLevel="0" collapsed="false">
      <c r="A39" s="19" t="n">
        <v>2028</v>
      </c>
      <c r="B39" s="13" t="n">
        <f aca="false">datos_base!D19</f>
        <v>17721.6617850856</v>
      </c>
      <c r="C39" s="13" t="n">
        <f aca="false">datos_base!E19</f>
        <v>32873.6027253915</v>
      </c>
      <c r="D39" s="20" t="n">
        <f aca="false">IF(B39&gt;0,C39/B39,1)</f>
        <v>1.85499549218673</v>
      </c>
      <c r="E39" s="21" t="n">
        <f aca="false">D39^(1/12)</f>
        <v>1.05283885666119</v>
      </c>
      <c r="F39" s="11" t="n">
        <f aca="false">IF(ABS($E39-1)&lt;0.000000001,1/12,$E39^0*($E39-1)/($E39^12-1))</f>
        <v>0.0618001581810152</v>
      </c>
      <c r="G39" s="11" t="n">
        <f aca="false">IF(ABS($E39-1)&lt;0.000000001,1/12,$E39^1*($E39-1)/($E39^12-1))</f>
        <v>0.065065607880781</v>
      </c>
      <c r="H39" s="11" t="n">
        <f aca="false">IF(ABS($E39-1)&lt;0.000000001,1/12,$E39^2*($E39-1)/($E39^12-1))</f>
        <v>0.0685036002091671</v>
      </c>
      <c r="I39" s="11" t="n">
        <f aca="false">IF(ABS($E39-1)&lt;0.000000001,1/12,$E39^3*($E39-1)/($E39^12-1))</f>
        <v>0.0721232521213951</v>
      </c>
      <c r="J39" s="11" t="n">
        <f aca="false">IF(ABS($E39-1)&lt;0.000000001,1/12,$E39^4*($E39-1)/($E39^12-1))</f>
        <v>0.0759341623021766</v>
      </c>
      <c r="K39" s="11" t="n">
        <f aca="false">IF(ABS($E39-1)&lt;0.000000001,1/12,$E39^5*($E39-1)/($E39^12-1))</f>
        <v>0.0799464366197492</v>
      </c>
      <c r="L39" s="11" t="n">
        <f aca="false">IF(ABS($E39-1)&lt;0.000000001,1/12,$E39^6*($E39-1)/($E39^12-1))</f>
        <v>0.0841707149248734</v>
      </c>
      <c r="M39" s="11" t="n">
        <f aca="false">IF(ABS($E39-1)&lt;0.000000001,1/12,$E39^7*($E39-1)/($E39^12-1))</f>
        <v>0.0886181992658591</v>
      </c>
      <c r="N39" s="11" t="n">
        <f aca="false">IF(ABS($E39-1)&lt;0.000000001,1/12,$E39^8*($E39-1)/($E39^12-1))</f>
        <v>0.093300683594441</v>
      </c>
      <c r="O39" s="11" t="n">
        <f aca="false">IF(ABS($E39-1)&lt;0.000000001,1/12,$E39^9*($E39-1)/($E39^12-1))</f>
        <v>0.0982305850412791</v>
      </c>
      <c r="P39" s="11" t="n">
        <f aca="false">IF(ABS($E39-1)&lt;0.000000001,1/12,$E39^10*($E39-1)/($E39^12-1))</f>
        <v>0.103420976844021</v>
      </c>
      <c r="Q39" s="11" t="n">
        <f aca="false">IF(ABS($E39-1)&lt;0.000000001,1/12,$E39^11*($E39-1)/($E39^12-1))</f>
        <v>0.108885623015243</v>
      </c>
      <c r="R39" s="10" t="n">
        <f aca="false">SUM(F39:Q39)</f>
        <v>1</v>
      </c>
    </row>
    <row r="40" customFormat="false" ht="15" hidden="false" customHeight="false" outlineLevel="0" collapsed="false">
      <c r="A40" s="19" t="n">
        <v>2029</v>
      </c>
      <c r="B40" s="13" t="n">
        <f aca="false">datos_base!E19</f>
        <v>32873.6027253915</v>
      </c>
      <c r="C40" s="13" t="n">
        <f aca="false">datos_base!F19</f>
        <v>48386.3762617174</v>
      </c>
      <c r="D40" s="20" t="n">
        <f aca="false">IF(B40&gt;0,C40/B40,1)</f>
        <v>1.47189149500623</v>
      </c>
      <c r="E40" s="21" t="n">
        <f aca="false">D40^(1/12)</f>
        <v>1.03273679271127</v>
      </c>
      <c r="F40" s="11" t="n">
        <f aca="false">IF(ABS($E40-1)&lt;0.000000001,1/12,$E40^0*($E40-1)/($E40^12-1))</f>
        <v>0.0693735595104109</v>
      </c>
      <c r="G40" s="11" t="n">
        <f aca="false">IF(ABS($E40-1)&lt;0.000000001,1/12,$E40^1*($E40-1)/($E40^12-1))</f>
        <v>0.0716446273477462</v>
      </c>
      <c r="H40" s="11" t="n">
        <f aca="false">IF(ABS($E40-1)&lt;0.000000001,1/12,$E40^2*($E40-1)/($E40^12-1))</f>
        <v>0.0739900426621057</v>
      </c>
      <c r="I40" s="11" t="n">
        <f aca="false">IF(ABS($E40-1)&lt;0.000000001,1/12,$E40^3*($E40-1)/($E40^12-1))</f>
        <v>0.0764122393514332</v>
      </c>
      <c r="J40" s="11" t="n">
        <f aca="false">IF(ABS($E40-1)&lt;0.000000001,1/12,$E40^4*($E40-1)/($E40^12-1))</f>
        <v>0.0789137309916851</v>
      </c>
      <c r="K40" s="11" t="n">
        <f aca="false">IF(ABS($E40-1)&lt;0.000000001,1/12,$E40^5*($E40-1)/($E40^12-1))</f>
        <v>0.0814971134452329</v>
      </c>
      <c r="L40" s="11" t="n">
        <f aca="false">IF(ABS($E40-1)&lt;0.000000001,1/12,$E40^6*($E40-1)/($E40^12-1))</f>
        <v>0.0841650675546565</v>
      </c>
      <c r="M40" s="11" t="n">
        <f aca="false">IF(ABS($E40-1)&lt;0.000000001,1/12,$E40^7*($E40-1)/($E40^12-1))</f>
        <v>0.0869203619247234</v>
      </c>
      <c r="N40" s="11" t="n">
        <f aca="false">IF(ABS($E40-1)&lt;0.000000001,1/12,$E40^8*($E40-1)/($E40^12-1))</f>
        <v>0.0897658557954418</v>
      </c>
      <c r="O40" s="11" t="n">
        <f aca="false">IF(ABS($E40-1)&lt;0.000000001,1/12,$E40^9*($E40-1)/($E40^12-1))</f>
        <v>0.092704502009167</v>
      </c>
      <c r="P40" s="11" t="n">
        <f aca="false">IF(ABS($E40-1)&lt;0.000000001,1/12,$E40^10*($E40-1)/($E40^12-1))</f>
        <v>0.0957393500748428</v>
      </c>
      <c r="Q40" s="11" t="n">
        <f aca="false">IF(ABS($E40-1)&lt;0.000000001,1/12,$E40^11*($E40-1)/($E40^12-1))</f>
        <v>0.0988735493325547</v>
      </c>
      <c r="R40" s="10" t="n">
        <f aca="false">SUM(F40:Q40)</f>
        <v>1</v>
      </c>
    </row>
    <row r="41" customFormat="false" ht="15" hidden="false" customHeight="false" outlineLevel="0" collapsed="false">
      <c r="A41" s="19" t="n">
        <v>2030</v>
      </c>
      <c r="B41" s="13" t="n">
        <f aca="false">datos_base!F19</f>
        <v>48386.3762617174</v>
      </c>
      <c r="C41" s="13" t="n">
        <f aca="false">datos_base!G19</f>
        <v>65859.1903026554</v>
      </c>
      <c r="D41" s="20" t="n">
        <f aca="false">IF(B41&gt;0,C41/B41,1)</f>
        <v>1.36111020065708</v>
      </c>
      <c r="E41" s="21" t="n">
        <f aca="false">D41^(1/12)</f>
        <v>1.02602460118996</v>
      </c>
      <c r="F41" s="11" t="n">
        <f aca="false">IF(ABS($E41-1)&lt;0.000000001,1/12,$E41^0*($E41-1)/($E41^12-1))</f>
        <v>0.0720683080749448</v>
      </c>
      <c r="G41" s="11" t="n">
        <f aca="false">IF(ABS($E41-1)&lt;0.000000001,1/12,$E41^1*($E41-1)/($E41^12-1))</f>
        <v>0.0739438570510304</v>
      </c>
      <c r="H41" s="11" t="n">
        <f aca="false">IF(ABS($E41-1)&lt;0.000000001,1/12,$E41^2*($E41-1)/($E41^12-1))</f>
        <v>0.0758682164412309</v>
      </c>
      <c r="I41" s="11" t="n">
        <f aca="false">IF(ABS($E41-1)&lt;0.000000001,1/12,$E41^3*($E41-1)/($E41^12-1))</f>
        <v>0.0778426565171075</v>
      </c>
      <c r="J41" s="11" t="n">
        <f aca="false">IF(ABS($E41-1)&lt;0.000000001,1/12,$E41^4*($E41-1)/($E41^12-1))</f>
        <v>0.0798684806085322</v>
      </c>
      <c r="K41" s="11" t="n">
        <f aca="false">IF(ABS($E41-1)&lt;0.000000001,1/12,$E41^5*($E41-1)/($E41^12-1))</f>
        <v>0.0819470259640173</v>
      </c>
      <c r="L41" s="11" t="n">
        <f aca="false">IF(ABS($E41-1)&lt;0.000000001,1/12,$E41^6*($E41-1)/($E41^12-1))</f>
        <v>0.0840796646334342</v>
      </c>
      <c r="M41" s="11" t="n">
        <f aca="false">IF(ABS($E41-1)&lt;0.000000001,1/12,$E41^7*($E41-1)/($E41^12-1))</f>
        <v>0.0862678043737049</v>
      </c>
      <c r="N41" s="11" t="n">
        <f aca="false">IF(ABS($E41-1)&lt;0.000000001,1/12,$E41^8*($E41-1)/($E41^12-1))</f>
        <v>0.088512889578064</v>
      </c>
      <c r="O41" s="11" t="n">
        <f aca="false">IF(ABS($E41-1)&lt;0.000000001,1/12,$E41^9*($E41-1)/($E41^12-1))</f>
        <v>0.0908164022295041</v>
      </c>
      <c r="P41" s="11" t="n">
        <f aca="false">IF(ABS($E41-1)&lt;0.000000001,1/12,$E41^10*($E41-1)/($E41^12-1))</f>
        <v>0.0931798628790339</v>
      </c>
      <c r="Q41" s="11" t="n">
        <f aca="false">IF(ABS($E41-1)&lt;0.000000001,1/12,$E41^11*($E41-1)/($E41^12-1))</f>
        <v>0.0956048316493959</v>
      </c>
      <c r="R41" s="10" t="n">
        <f aca="false">SUM(F41:Q41)</f>
        <v>1</v>
      </c>
    </row>
    <row r="42" customFormat="false" ht="15" hidden="false" customHeight="false" outlineLevel="0" collapsed="false">
      <c r="A42" s="19" t="n">
        <v>2031</v>
      </c>
      <c r="B42" s="13" t="n">
        <f aca="false">datos_base!G19</f>
        <v>65859.1903026554</v>
      </c>
      <c r="C42" s="13" t="n">
        <f aca="false">datos_base!H19</f>
        <v>81795.116272374</v>
      </c>
      <c r="D42" s="20" t="n">
        <f aca="false">IF(B42&gt;0,C42/B42,1)</f>
        <v>1.24196966128015</v>
      </c>
      <c r="E42" s="21" t="n">
        <f aca="false">D42^(1/12)</f>
        <v>1.01822224842803</v>
      </c>
      <c r="F42" s="11" t="n">
        <f aca="false">IF(ABS($E42-1)&lt;0.000000001,1/12,$E42^0*($E42-1)/($E42^12-1))</f>
        <v>0.0753079883305414</v>
      </c>
      <c r="G42" s="11" t="n">
        <f aca="false">IF(ABS($E42-1)&lt;0.000000001,1/12,$E42^1*($E42-1)/($E42^12-1))</f>
        <v>0.0766802692025157</v>
      </c>
      <c r="H42" s="11" t="n">
        <f aca="false">IF(ABS($E42-1)&lt;0.000000001,1/12,$E42^2*($E42-1)/($E42^12-1))</f>
        <v>0.0780775561174523</v>
      </c>
      <c r="I42" s="11" t="n">
        <f aca="false">IF(ABS($E42-1)&lt;0.000000001,1/12,$E42^3*($E42-1)/($E42^12-1))</f>
        <v>0.079500304741678</v>
      </c>
      <c r="J42" s="11" t="n">
        <f aca="false">IF(ABS($E42-1)&lt;0.000000001,1/12,$E42^4*($E42-1)/($E42^12-1))</f>
        <v>0.080948979044785</v>
      </c>
      <c r="K42" s="11" t="n">
        <f aca="false">IF(ABS($E42-1)&lt;0.000000001,1/12,$E42^5*($E42-1)/($E42^12-1))</f>
        <v>0.0824240514509345</v>
      </c>
      <c r="L42" s="11" t="n">
        <f aca="false">IF(ABS($E42-1)&lt;0.000000001,1/12,$E42^6*($E42-1)/($E42^12-1))</f>
        <v>0.0839260029929182</v>
      </c>
      <c r="M42" s="11" t="n">
        <f aca="false">IF(ABS($E42-1)&lt;0.000000001,1/12,$E42^7*($E42-1)/($E42^12-1))</f>
        <v>0.0854553234690268</v>
      </c>
      <c r="N42" s="11" t="n">
        <f aca="false">IF(ABS($E42-1)&lt;0.000000001,1/12,$E42^8*($E42-1)/($E42^12-1))</f>
        <v>0.0870125116027772</v>
      </c>
      <c r="O42" s="11" t="n">
        <f aca="false">IF(ABS($E42-1)&lt;0.000000001,1/12,$E42^9*($E42-1)/($E42^12-1))</f>
        <v>0.0885980752055499</v>
      </c>
      <c r="P42" s="11" t="n">
        <f aca="false">IF(ABS($E42-1)&lt;0.000000001,1/12,$E42^10*($E42-1)/($E42^12-1))</f>
        <v>0.0902125313421908</v>
      </c>
      <c r="Q42" s="11" t="n">
        <f aca="false">IF(ABS($E42-1)&lt;0.000000001,1/12,$E42^11*($E42-1)/($E42^12-1))</f>
        <v>0.0918564064996297</v>
      </c>
      <c r="R42" s="10" t="n">
        <f aca="false">SUM(F42:Q42)</f>
        <v>1</v>
      </c>
    </row>
    <row r="43" customFormat="false" ht="15" hidden="false" customHeight="false" outlineLevel="0" collapsed="false">
      <c r="A43" s="19" t="n">
        <v>2032</v>
      </c>
      <c r="B43" s="13" t="n">
        <f aca="false">datos_base!H19</f>
        <v>81795.116272374</v>
      </c>
      <c r="C43" s="13" t="n">
        <f aca="false">datos_base!I19</f>
        <v>92988.6241775075</v>
      </c>
      <c r="D43" s="20" t="n">
        <f aca="false">IF(B43&gt;0,C43/B43,1)</f>
        <v>1.13684812022101</v>
      </c>
      <c r="E43" s="21" t="n">
        <f aca="false">D43^(1/12)</f>
        <v>1.01074562615561</v>
      </c>
      <c r="F43" s="11" t="n">
        <f aca="false">IF(ABS($E43-1)&lt;0.000000001,1/12,$E43^0*($E43-1)/($E43^12-1))</f>
        <v>0.0785222781156994</v>
      </c>
      <c r="G43" s="11" t="n">
        <f aca="false">IF(ABS($E43-1)&lt;0.000000001,1/12,$E43^1*($E43-1)/($E43^12-1))</f>
        <v>0.0793660491612171</v>
      </c>
      <c r="H43" s="11" t="n">
        <f aca="false">IF(ABS($E43-1)&lt;0.000000001,1/12,$E43^2*($E43-1)/($E43^12-1))</f>
        <v>0.0802188870549509</v>
      </c>
      <c r="I43" s="11" t="n">
        <f aca="false">IF(ABS($E43-1)&lt;0.000000001,1/12,$E43^3*($E43-1)/($E43^12-1))</f>
        <v>0.0810808892258621</v>
      </c>
      <c r="J43" s="11" t="n">
        <f aca="false">IF(ABS($E43-1)&lt;0.000000001,1/12,$E43^4*($E43-1)/($E43^12-1))</f>
        <v>0.0819521541498473</v>
      </c>
      <c r="K43" s="11" t="n">
        <f aca="false">IF(ABS($E43-1)&lt;0.000000001,1/12,$E43^5*($E43-1)/($E43^12-1))</f>
        <v>0.0828327813609881</v>
      </c>
      <c r="L43" s="11" t="n">
        <f aca="false">IF(ABS($E43-1)&lt;0.000000001,1/12,$E43^6*($E43-1)/($E43^12-1))</f>
        <v>0.0837228714629223</v>
      </c>
      <c r="M43" s="11" t="n">
        <f aca="false">IF(ABS($E43-1)&lt;0.000000001,1/12,$E43^7*($E43-1)/($E43^12-1))</f>
        <v>0.0846225261403366</v>
      </c>
      <c r="N43" s="11" t="n">
        <f aca="false">IF(ABS($E43-1)&lt;0.000000001,1/12,$E43^8*($E43-1)/($E43^12-1))</f>
        <v>0.0855318481705836</v>
      </c>
      <c r="O43" s="11" t="n">
        <f aca="false">IF(ABS($E43-1)&lt;0.000000001,1/12,$E43^9*($E43-1)/($E43^12-1))</f>
        <v>0.0864509414354226</v>
      </c>
      <c r="P43" s="11" t="n">
        <f aca="false">IF(ABS($E43-1)&lt;0.000000001,1/12,$E43^10*($E43-1)/($E43^12-1))</f>
        <v>0.0873799109328878</v>
      </c>
      <c r="Q43" s="11" t="n">
        <f aca="false">IF(ABS($E43-1)&lt;0.000000001,1/12,$E43^11*($E43-1)/($E43^12-1))</f>
        <v>0.0883188627892827</v>
      </c>
      <c r="R43" s="10" t="n">
        <f aca="false">SUM(F43:Q43)</f>
        <v>1</v>
      </c>
    </row>
    <row r="44" customFormat="false" ht="15" hidden="false" customHeight="false" outlineLevel="0" collapsed="false">
      <c r="A44" s="19" t="n">
        <v>2033</v>
      </c>
      <c r="B44" s="13" t="n">
        <f aca="false">datos_base!I19</f>
        <v>92988.6241775075</v>
      </c>
      <c r="C44" s="13" t="n">
        <f aca="false">datos_base!J19</f>
        <v>100019.138346913</v>
      </c>
      <c r="D44" s="20" t="n">
        <f aca="false">IF(B44&gt;0,C44/B44,1)</f>
        <v>1.07560617475084</v>
      </c>
      <c r="E44" s="21" t="n">
        <f aca="false">D44^(1/12)</f>
        <v>1.00609218115406</v>
      </c>
      <c r="F44" s="11" t="n">
        <f aca="false">IF(ABS($E44-1)&lt;0.000000001,1/12,$E44^0*($E44-1)/($E44^12-1))</f>
        <v>0.080577825477091</v>
      </c>
      <c r="G44" s="11" t="n">
        <f aca="false">IF(ABS($E44-1)&lt;0.000000001,1/12,$E44^1*($E44-1)/($E44^12-1))</f>
        <v>0.081068720186898</v>
      </c>
      <c r="H44" s="11" t="n">
        <f aca="false">IF(ABS($E44-1)&lt;0.000000001,1/12,$E44^2*($E44-1)/($E44^12-1))</f>
        <v>0.0815626055162047</v>
      </c>
      <c r="I44" s="11" t="n">
        <f aca="false">IF(ABS($E44-1)&lt;0.000000001,1/12,$E44^3*($E44-1)/($E44^12-1))</f>
        <v>0.0820594996844069</v>
      </c>
      <c r="J44" s="11" t="n">
        <f aca="false">IF(ABS($E44-1)&lt;0.000000001,1/12,$E44^4*($E44-1)/($E44^12-1))</f>
        <v>0.0825594210218961</v>
      </c>
      <c r="K44" s="11" t="n">
        <f aca="false">IF(ABS($E44-1)&lt;0.000000001,1/12,$E44^5*($E44-1)/($E44^12-1))</f>
        <v>0.0830623879707362</v>
      </c>
      <c r="L44" s="11" t="n">
        <f aca="false">IF(ABS($E44-1)&lt;0.000000001,1/12,$E44^6*($E44-1)/($E44^12-1))</f>
        <v>0.083568419085343</v>
      </c>
      <c r="M44" s="11" t="n">
        <f aca="false">IF(ABS($E44-1)&lt;0.000000001,1/12,$E44^7*($E44-1)/($E44^12-1))</f>
        <v>0.0840775330331697</v>
      </c>
      <c r="N44" s="11" t="n">
        <f aca="false">IF(ABS($E44-1)&lt;0.000000001,1/12,$E44^8*($E44-1)/($E44^12-1))</f>
        <v>0.0845897485953945</v>
      </c>
      <c r="O44" s="11" t="n">
        <f aca="false">IF(ABS($E44-1)&lt;0.000000001,1/12,$E44^9*($E44-1)/($E44^12-1))</f>
        <v>0.0851050846676144</v>
      </c>
      <c r="P44" s="11" t="n">
        <f aca="false">IF(ABS($E44-1)&lt;0.000000001,1/12,$E44^10*($E44-1)/($E44^12-1))</f>
        <v>0.0856235602605415</v>
      </c>
      <c r="Q44" s="11" t="n">
        <f aca="false">IF(ABS($E44-1)&lt;0.000000001,1/12,$E44^11*($E44-1)/($E44^12-1))</f>
        <v>0.0861451945007046</v>
      </c>
      <c r="R44" s="10" t="n">
        <f aca="false">SUM(F44:Q44)</f>
        <v>1</v>
      </c>
    </row>
    <row r="45" customFormat="false" ht="15" hidden="false" customHeight="false" outlineLevel="0" collapsed="false">
      <c r="A45" s="19" t="n">
        <v>2034</v>
      </c>
      <c r="B45" s="13" t="n">
        <f aca="false">datos_base!J19</f>
        <v>100019.138346913</v>
      </c>
      <c r="C45" s="13" t="n">
        <f aca="false">datos_base!K19</f>
        <v>107197.372813694</v>
      </c>
      <c r="D45" s="20" t="n">
        <f aca="false">IF(B45&gt;0,C45/B45,1)</f>
        <v>1.07176860934239</v>
      </c>
      <c r="E45" s="21" t="n">
        <f aca="false">D45^(1/12)</f>
        <v>1.00579256153194</v>
      </c>
      <c r="F45" s="11" t="n">
        <f aca="false">IF(ABS($E45-1)&lt;0.000000001,1/12,$E45^0*($E45-1)/($E45^12-1))</f>
        <v>0.0807116312411818</v>
      </c>
      <c r="G45" s="11" t="n">
        <f aca="false">IF(ABS($E45-1)&lt;0.000000001,1/12,$E45^1*($E45-1)/($E45^12-1))</f>
        <v>0.0811791583314891</v>
      </c>
      <c r="H45" s="11" t="n">
        <f aca="false">IF(ABS($E45-1)&lt;0.000000001,1/12,$E45^2*($E45-1)/($E45^12-1))</f>
        <v>0.081649393601235</v>
      </c>
      <c r="I45" s="11" t="n">
        <f aca="false">IF(ABS($E45-1)&lt;0.000000001,1/12,$E45^3*($E45-1)/($E45^12-1))</f>
        <v>0.0821223527377154</v>
      </c>
      <c r="J45" s="11" t="n">
        <f aca="false">IF(ABS($E45-1)&lt;0.000000001,1/12,$E45^4*($E45-1)/($E45^12-1))</f>
        <v>0.0825980515190958</v>
      </c>
      <c r="K45" s="11" t="n">
        <f aca="false">IF(ABS($E45-1)&lt;0.000000001,1/12,$E45^5*($E45-1)/($E45^12-1))</f>
        <v>0.0830765058149382</v>
      </c>
      <c r="L45" s="11" t="n">
        <f aca="false">IF(ABS($E45-1)&lt;0.000000001,1/12,$E45^6*($E45-1)/($E45^12-1))</f>
        <v>0.0835577315867294</v>
      </c>
      <c r="M45" s="11" t="n">
        <f aca="false">IF(ABS($E45-1)&lt;0.000000001,1/12,$E45^7*($E45-1)/($E45^12-1))</f>
        <v>0.0840417448884144</v>
      </c>
      <c r="N45" s="11" t="n">
        <f aca="false">IF(ABS($E45-1)&lt;0.000000001,1/12,$E45^8*($E45-1)/($E45^12-1))</f>
        <v>0.0845285618669318</v>
      </c>
      <c r="O45" s="11" t="n">
        <f aca="false">IF(ABS($E45-1)&lt;0.000000001,1/12,$E45^9*($E45-1)/($E45^12-1))</f>
        <v>0.085018198762752</v>
      </c>
      <c r="P45" s="11" t="n">
        <f aca="false">IF(ABS($E45-1)&lt;0.000000001,1/12,$E45^10*($E45-1)/($E45^12-1))</f>
        <v>0.0855106719104195</v>
      </c>
      <c r="Q45" s="11" t="n">
        <f aca="false">IF(ABS($E45-1)&lt;0.000000001,1/12,$E45^11*($E45-1)/($E45^12-1))</f>
        <v>0.0860059977390977</v>
      </c>
      <c r="R45" s="10" t="n">
        <f aca="false">SUM(F45:Q45)</f>
        <v>1</v>
      </c>
    </row>
    <row r="46" customFormat="false" ht="15" hidden="false" customHeight="false" outlineLevel="0" collapsed="false">
      <c r="A46" s="19" t="n">
        <v>2035</v>
      </c>
      <c r="B46" s="13" t="n">
        <f aca="false">datos_base!K19</f>
        <v>107197.372813694</v>
      </c>
      <c r="C46" s="13" t="n">
        <f aca="false">IF(datos_base!J19&gt;0,datos_base!K19^2/datos_base!J19,0)</f>
        <v>114890.779185691</v>
      </c>
      <c r="D46" s="20" t="n">
        <f aca="false">IF(B46&gt;0,C46/B46,1)</f>
        <v>1.07176860934239</v>
      </c>
      <c r="E46" s="21" t="n">
        <f aca="false">D46^(1/12)</f>
        <v>1.00579256153194</v>
      </c>
      <c r="F46" s="11" t="n">
        <f aca="false">IF(ABS($E46-1)&lt;0.000000001,1/12,$E46^0*($E46-1)/($E46^12-1))</f>
        <v>0.0807116312411818</v>
      </c>
      <c r="G46" s="11" t="n">
        <f aca="false">IF(ABS($E46-1)&lt;0.000000001,1/12,$E46^1*($E46-1)/($E46^12-1))</f>
        <v>0.0811791583314891</v>
      </c>
      <c r="H46" s="11" t="n">
        <f aca="false">IF(ABS($E46-1)&lt;0.000000001,1/12,$E46^2*($E46-1)/($E46^12-1))</f>
        <v>0.081649393601235</v>
      </c>
      <c r="I46" s="11" t="n">
        <f aca="false">IF(ABS($E46-1)&lt;0.000000001,1/12,$E46^3*($E46-1)/($E46^12-1))</f>
        <v>0.0821223527377154</v>
      </c>
      <c r="J46" s="11" t="n">
        <f aca="false">IF(ABS($E46-1)&lt;0.000000001,1/12,$E46^4*($E46-1)/($E46^12-1))</f>
        <v>0.0825980515190958</v>
      </c>
      <c r="K46" s="11" t="n">
        <f aca="false">IF(ABS($E46-1)&lt;0.000000001,1/12,$E46^5*($E46-1)/($E46^12-1))</f>
        <v>0.0830765058149382</v>
      </c>
      <c r="L46" s="11" t="n">
        <f aca="false">IF(ABS($E46-1)&lt;0.000000001,1/12,$E46^6*($E46-1)/($E46^12-1))</f>
        <v>0.0835577315867294</v>
      </c>
      <c r="M46" s="11" t="n">
        <f aca="false">IF(ABS($E46-1)&lt;0.000000001,1/12,$E46^7*($E46-1)/($E46^12-1))</f>
        <v>0.0840417448884144</v>
      </c>
      <c r="N46" s="11" t="n">
        <f aca="false">IF(ABS($E46-1)&lt;0.000000001,1/12,$E46^8*($E46-1)/($E46^12-1))</f>
        <v>0.0845285618669318</v>
      </c>
      <c r="O46" s="11" t="n">
        <f aca="false">IF(ABS($E46-1)&lt;0.000000001,1/12,$E46^9*($E46-1)/($E46^12-1))</f>
        <v>0.085018198762752</v>
      </c>
      <c r="P46" s="11" t="n">
        <f aca="false">IF(ABS($E46-1)&lt;0.000000001,1/12,$E46^10*($E46-1)/($E46^12-1))</f>
        <v>0.0855106719104195</v>
      </c>
      <c r="Q46" s="11" t="n">
        <f aca="false">IF(ABS($E46-1)&lt;0.000000001,1/12,$E46^11*($E46-1)/($E46^12-1))</f>
        <v>0.0860059977390977</v>
      </c>
      <c r="R46" s="10" t="n">
        <f aca="false">SUM(F46:Q46)</f>
        <v>1</v>
      </c>
    </row>
    <row r="49" customFormat="false" ht="15" hidden="false" customHeight="false" outlineLevel="0" collapsed="false">
      <c r="A49" s="1" t="s">
        <v>137</v>
      </c>
    </row>
    <row r="50" customFormat="false" ht="35.05" hidden="false" customHeight="true" outlineLevel="0" collapsed="false">
      <c r="A50" s="3" t="s">
        <v>138</v>
      </c>
      <c r="B50" s="3" t="s">
        <v>139</v>
      </c>
      <c r="C50" s="3" t="s">
        <v>140</v>
      </c>
      <c r="D50" s="3" t="s">
        <v>141</v>
      </c>
      <c r="E50" s="3" t="s">
        <v>142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143</v>
      </c>
      <c r="C51" s="14" t="n">
        <v>1</v>
      </c>
      <c r="D51" s="14" t="n">
        <v>0</v>
      </c>
      <c r="E51" s="4" t="s">
        <v>144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143</v>
      </c>
      <c r="C52" s="14" t="n">
        <v>1</v>
      </c>
      <c r="D52" s="14" t="n">
        <v>0</v>
      </c>
      <c r="E52" s="4" t="s">
        <v>145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143</v>
      </c>
      <c r="C53" s="14" t="n">
        <v>1</v>
      </c>
      <c r="D53" s="14" t="n">
        <v>0</v>
      </c>
      <c r="E53" s="4" t="s">
        <v>145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143</v>
      </c>
      <c r="C54" s="14" t="n">
        <v>1</v>
      </c>
      <c r="D54" s="14" t="n">
        <v>0</v>
      </c>
      <c r="E54" s="4" t="s">
        <v>145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146</v>
      </c>
      <c r="C55" s="14" t="n">
        <v>1</v>
      </c>
      <c r="D55" s="14" t="n">
        <v>0</v>
      </c>
      <c r="E55" s="4" t="s">
        <v>145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147</v>
      </c>
      <c r="C56" s="14" t="n">
        <v>1</v>
      </c>
      <c r="D56" s="14" t="n">
        <v>0</v>
      </c>
      <c r="E56" s="4" t="s">
        <v>145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147</v>
      </c>
      <c r="C57" s="16" t="n">
        <f aca="false">$B$9</f>
        <v>3</v>
      </c>
      <c r="D57" s="14" t="n">
        <v>1</v>
      </c>
      <c r="E57" s="4" t="s">
        <v>148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149</v>
      </c>
      <c r="C58" s="14" t="n">
        <v>1</v>
      </c>
      <c r="D58" s="14" t="n">
        <v>0</v>
      </c>
      <c r="E58" s="4" t="s">
        <v>145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150</v>
      </c>
      <c r="C59" s="14" t="n">
        <v>1</v>
      </c>
      <c r="D59" s="14" t="n">
        <v>0</v>
      </c>
      <c r="E59" s="4" t="s">
        <v>145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151</v>
      </c>
      <c r="C60" s="14" t="n">
        <v>1</v>
      </c>
      <c r="D60" s="14" t="n">
        <v>0</v>
      </c>
      <c r="E60" s="4" t="s">
        <v>152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151</v>
      </c>
      <c r="C61" s="14" t="n">
        <v>1</v>
      </c>
      <c r="D61" s="14" t="n">
        <v>1</v>
      </c>
      <c r="E61" s="4" t="s">
        <v>153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154</v>
      </c>
      <c r="C62" s="14" t="n">
        <v>1</v>
      </c>
      <c r="D62" s="14" t="n">
        <v>0</v>
      </c>
      <c r="E62" s="4" t="s">
        <v>145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155</v>
      </c>
      <c r="C63" s="14" t="n">
        <v>1</v>
      </c>
      <c r="D63" s="14" t="n">
        <v>0</v>
      </c>
      <c r="E63" s="4" t="s">
        <v>145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143</v>
      </c>
      <c r="C64" s="16" t="n">
        <f aca="false">$B$9</f>
        <v>3</v>
      </c>
      <c r="D64" s="14" t="n">
        <v>1</v>
      </c>
      <c r="E64" s="4" t="s">
        <v>156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143</v>
      </c>
      <c r="C65" s="16" t="n">
        <f aca="false">$B$9</f>
        <v>3</v>
      </c>
      <c r="D65" s="14" t="n">
        <v>1</v>
      </c>
      <c r="E65" s="4" t="s">
        <v>156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143</v>
      </c>
      <c r="C66" s="16" t="n">
        <f aca="false">$B$9</f>
        <v>3</v>
      </c>
      <c r="D66" s="14" t="n">
        <v>1</v>
      </c>
      <c r="E66" s="4" t="s">
        <v>156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143</v>
      </c>
      <c r="C67" s="16" t="n">
        <f aca="false">$B$9</f>
        <v>3</v>
      </c>
      <c r="D67" s="14" t="n">
        <v>1</v>
      </c>
      <c r="E67" s="4" t="s">
        <v>156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157</v>
      </c>
    </row>
    <row r="71" customFormat="false" ht="35.05" hidden="false" customHeight="false" outlineLevel="0" collapsed="false">
      <c r="A71" s="3" t="s">
        <v>158</v>
      </c>
      <c r="B71" s="3" t="s">
        <v>159</v>
      </c>
      <c r="C71" s="3" t="s">
        <v>160</v>
      </c>
      <c r="D71" s="3" t="s">
        <v>161</v>
      </c>
      <c r="E71" s="3" t="s">
        <v>143</v>
      </c>
      <c r="F71" s="3" t="s">
        <v>149</v>
      </c>
      <c r="G71" s="3" t="s">
        <v>155</v>
      </c>
      <c r="H71" s="3" t="s">
        <v>146</v>
      </c>
      <c r="I71" s="3" t="s">
        <v>147</v>
      </c>
      <c r="J71" s="3" t="s">
        <v>150</v>
      </c>
      <c r="K71" s="3" t="s">
        <v>151</v>
      </c>
      <c r="L71" s="3" t="s">
        <v>154</v>
      </c>
      <c r="M71" s="3" t="s">
        <v>162</v>
      </c>
      <c r="N71" s="3" t="s">
        <v>163</v>
      </c>
      <c r="O71" s="3" t="s">
        <v>164</v>
      </c>
      <c r="P71" s="3" t="s">
        <v>165</v>
      </c>
      <c r="Q71" s="3" t="s">
        <v>166</v>
      </c>
    </row>
    <row r="72" customFormat="false" ht="23.85" hidden="false" customHeight="false" outlineLevel="0" collapsed="false">
      <c r="A72" s="19" t="n">
        <v>1</v>
      </c>
      <c r="B72" s="4" t="s">
        <v>167</v>
      </c>
      <c r="C72" s="4" t="s">
        <v>168</v>
      </c>
      <c r="D72" s="9" t="s">
        <v>169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2" t="n">
        <f aca="false">IF(M72&gt;0,3600/M72,0)</f>
        <v>48</v>
      </c>
      <c r="O72" s="7" t="n">
        <f aca="false">N72*$B$6</f>
        <v>7200</v>
      </c>
      <c r="P72" s="4" t="s">
        <v>170</v>
      </c>
      <c r="Q72" s="4"/>
    </row>
    <row r="73" customFormat="false" ht="15" hidden="false" customHeight="false" outlineLevel="0" collapsed="false">
      <c r="A73" s="19" t="n">
        <v>2</v>
      </c>
      <c r="B73" s="4" t="s">
        <v>171</v>
      </c>
      <c r="C73" s="4" t="s">
        <v>172</v>
      </c>
      <c r="D73" s="9" t="s">
        <v>169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2" t="n">
        <f aca="false">IF(M73&gt;0,3600/M73,0)</f>
        <v>40</v>
      </c>
      <c r="O73" s="7" t="n">
        <f aca="false">N73*$B$6</f>
        <v>6000</v>
      </c>
      <c r="P73" s="4" t="s">
        <v>173</v>
      </c>
      <c r="Q73" s="4" t="s">
        <v>174</v>
      </c>
    </row>
    <row r="74" customFormat="false" ht="15" hidden="false" customHeight="false" outlineLevel="0" collapsed="false">
      <c r="A74" s="19" t="n">
        <v>3</v>
      </c>
      <c r="B74" s="4" t="s">
        <v>175</v>
      </c>
      <c r="C74" s="4" t="s">
        <v>176</v>
      </c>
      <c r="D74" s="9" t="s">
        <v>177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2" t="n">
        <f aca="false">IF(M74&gt;0,3600/M74,0)</f>
        <v>42.3529411764706</v>
      </c>
      <c r="O74" s="7" t="n">
        <f aca="false">N74*$B$6</f>
        <v>6352.94117647059</v>
      </c>
      <c r="P74" s="4" t="s">
        <v>178</v>
      </c>
      <c r="Q74" s="4"/>
    </row>
    <row r="75" customFormat="false" ht="15" hidden="false" customHeight="false" outlineLevel="0" collapsed="false">
      <c r="A75" s="19" t="n">
        <v>4</v>
      </c>
      <c r="B75" s="4" t="s">
        <v>179</v>
      </c>
      <c r="C75" s="4" t="s">
        <v>180</v>
      </c>
      <c r="D75" s="9" t="s">
        <v>177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2" t="n">
        <f aca="false">IF(M75&gt;0,3600/M75,0)</f>
        <v>42.3529411764706</v>
      </c>
      <c r="O75" s="7" t="n">
        <f aca="false">N75*$B$6</f>
        <v>6352.94117647059</v>
      </c>
      <c r="P75" s="4" t="s">
        <v>181</v>
      </c>
      <c r="Q75" s="4"/>
    </row>
    <row r="76" customFormat="false" ht="15" hidden="false" customHeight="false" outlineLevel="0" collapsed="false">
      <c r="A76" s="19" t="n">
        <v>5</v>
      </c>
      <c r="B76" s="4" t="s">
        <v>182</v>
      </c>
      <c r="C76" s="4" t="s">
        <v>183</v>
      </c>
      <c r="D76" s="9" t="s">
        <v>177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2" t="n">
        <f aca="false">IF(M76&gt;0,3600/M76,0)</f>
        <v>42.3529411764706</v>
      </c>
      <c r="O76" s="7" t="n">
        <f aca="false">N76*$B$6</f>
        <v>6352.94117647059</v>
      </c>
      <c r="P76" s="4" t="s">
        <v>184</v>
      </c>
      <c r="Q76" s="4"/>
    </row>
    <row r="77" customFormat="false" ht="15" hidden="false" customHeight="false" outlineLevel="0" collapsed="false">
      <c r="A77" s="19" t="n">
        <v>6</v>
      </c>
      <c r="B77" s="4" t="s">
        <v>185</v>
      </c>
      <c r="C77" s="4" t="s">
        <v>186</v>
      </c>
      <c r="D77" s="9" t="s">
        <v>177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2" t="n">
        <f aca="false">IF(M77&gt;0,3600/M77,0)</f>
        <v>34.2857142857143</v>
      </c>
      <c r="O77" s="7" t="n">
        <f aca="false">N77*$B$6</f>
        <v>5142.85714285714</v>
      </c>
      <c r="P77" s="4" t="s">
        <v>187</v>
      </c>
      <c r="Q77" s="4" t="s">
        <v>188</v>
      </c>
    </row>
    <row r="78" customFormat="false" ht="23.85" hidden="false" customHeight="false" outlineLevel="0" collapsed="false">
      <c r="A78" s="19" t="n">
        <v>7</v>
      </c>
      <c r="B78" s="4" t="s">
        <v>189</v>
      </c>
      <c r="C78" s="4" t="s">
        <v>190</v>
      </c>
      <c r="D78" s="9" t="s">
        <v>177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2" t="n">
        <f aca="false">IF(M78&gt;0,3600/M78,0)</f>
        <v>17.5609756097561</v>
      </c>
      <c r="O78" s="7" t="n">
        <f aca="false">N78*$B$6</f>
        <v>2634.14634146342</v>
      </c>
      <c r="P78" s="4" t="s">
        <v>191</v>
      </c>
      <c r="Q78" s="4"/>
    </row>
    <row r="79" customFormat="false" ht="23.85" hidden="false" customHeight="false" outlineLevel="0" collapsed="false">
      <c r="A79" s="19" t="n">
        <v>8</v>
      </c>
      <c r="B79" s="4" t="s">
        <v>192</v>
      </c>
      <c r="C79" s="4" t="s">
        <v>193</v>
      </c>
      <c r="D79" s="9" t="s">
        <v>177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2" t="n">
        <f aca="false">IF(M79&gt;0,3600/M79,0)</f>
        <v>7.74193548387097</v>
      </c>
      <c r="O79" s="7" t="n">
        <f aca="false">N79*$B$6</f>
        <v>1161.29032258065</v>
      </c>
      <c r="P79" s="4" t="s">
        <v>194</v>
      </c>
      <c r="Q79" s="4"/>
    </row>
    <row r="80" customFormat="false" ht="23.85" hidden="false" customHeight="false" outlineLevel="0" collapsed="false">
      <c r="A80" s="19" t="n">
        <v>9</v>
      </c>
      <c r="B80" s="4" t="s">
        <v>195</v>
      </c>
      <c r="C80" s="4" t="s">
        <v>196</v>
      </c>
      <c r="D80" s="9" t="s">
        <v>169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2" t="n">
        <f aca="false">IF(M80&gt;0,3600/M80,0)</f>
        <v>36.3636363636364</v>
      </c>
      <c r="O80" s="7" t="n">
        <f aca="false">N80*$B$6</f>
        <v>5454.54545454546</v>
      </c>
      <c r="P80" s="4" t="s">
        <v>197</v>
      </c>
      <c r="Q80" s="4" t="s">
        <v>198</v>
      </c>
    </row>
    <row r="81" customFormat="false" ht="15" hidden="false" customHeight="false" outlineLevel="0" collapsed="false">
      <c r="A81" s="19" t="n">
        <v>10</v>
      </c>
      <c r="B81" s="4" t="s">
        <v>199</v>
      </c>
      <c r="C81" s="4" t="s">
        <v>200</v>
      </c>
      <c r="D81" s="9" t="s">
        <v>169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2" t="n">
        <f aca="false">IF(M81&gt;0,3600/M81,0)</f>
        <v>20.4545454545455</v>
      </c>
      <c r="O81" s="7" t="n">
        <f aca="false">N81*$B$6</f>
        <v>3068.18181818182</v>
      </c>
      <c r="P81" s="4" t="s">
        <v>201</v>
      </c>
      <c r="Q81" s="4"/>
    </row>
    <row r="82" customFormat="false" ht="15" hidden="false" customHeight="false" outlineLevel="0" collapsed="false">
      <c r="A82" s="19" t="n">
        <v>11</v>
      </c>
      <c r="B82" s="4" t="s">
        <v>202</v>
      </c>
      <c r="C82" s="4" t="s">
        <v>203</v>
      </c>
      <c r="D82" s="9" t="s">
        <v>177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2" t="n">
        <f aca="false">IF(M82&gt;0,3600/M82,0)</f>
        <v>1.13207547169811</v>
      </c>
      <c r="O82" s="7" t="n">
        <f aca="false">N82*$B$6</f>
        <v>169.811320754717</v>
      </c>
      <c r="P82" s="4" t="s">
        <v>204</v>
      </c>
      <c r="Q82" s="4"/>
    </row>
    <row r="83" customFormat="false" ht="23.85" hidden="false" customHeight="false" outlineLevel="0" collapsed="false">
      <c r="A83" s="19" t="n">
        <v>12</v>
      </c>
      <c r="B83" s="4" t="s">
        <v>205</v>
      </c>
      <c r="C83" s="4" t="s">
        <v>206</v>
      </c>
      <c r="D83" s="9" t="s">
        <v>177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2" t="n">
        <f aca="false">IF(M83&gt;0,3600/M83,0)</f>
        <v>11.9205298013245</v>
      </c>
      <c r="O83" s="7" t="n">
        <f aca="false">N83*$B$6</f>
        <v>1788.07947019868</v>
      </c>
      <c r="P83" s="4" t="s">
        <v>207</v>
      </c>
      <c r="Q83" s="4"/>
    </row>
    <row r="84" customFormat="false" ht="15" hidden="false" customHeight="false" outlineLevel="0" collapsed="false">
      <c r="A84" s="19" t="n">
        <v>13</v>
      </c>
      <c r="B84" s="4" t="s">
        <v>208</v>
      </c>
      <c r="C84" s="4" t="s">
        <v>209</v>
      </c>
      <c r="D84" s="9" t="s">
        <v>177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2" t="n">
        <f aca="false">IF(M84&gt;0,3600/M84,0)</f>
        <v>20</v>
      </c>
      <c r="O84" s="7" t="n">
        <f aca="false">N84*$B$6</f>
        <v>3000</v>
      </c>
      <c r="P84" s="4" t="s">
        <v>210</v>
      </c>
      <c r="Q84" s="4" t="s">
        <v>211</v>
      </c>
    </row>
    <row r="85" customFormat="false" ht="15" hidden="false" customHeight="false" outlineLevel="0" collapsed="false">
      <c r="A85" s="19" t="n">
        <v>14</v>
      </c>
      <c r="B85" s="4" t="s">
        <v>212</v>
      </c>
      <c r="C85" s="4" t="s">
        <v>213</v>
      </c>
      <c r="D85" s="9" t="s">
        <v>169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2" t="n">
        <f aca="false">IF(M85&gt;0,3600/M85,0)</f>
        <v>42.3529411764706</v>
      </c>
      <c r="O85" s="7" t="n">
        <f aca="false">N85*$B$6</f>
        <v>6352.94117647059</v>
      </c>
      <c r="P85" s="4" t="s">
        <v>214</v>
      </c>
      <c r="Q85" s="4"/>
    </row>
    <row r="86" customFormat="false" ht="23.85" hidden="false" customHeight="false" outlineLevel="0" collapsed="false">
      <c r="A86" s="19" t="n">
        <v>15</v>
      </c>
      <c r="B86" s="4" t="s">
        <v>215</v>
      </c>
      <c r="C86" s="4" t="s">
        <v>216</v>
      </c>
      <c r="D86" s="9" t="s">
        <v>177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2" t="n">
        <f aca="false">IF(M86&gt;0,3600/M86,0)</f>
        <v>4.8</v>
      </c>
      <c r="O86" s="7" t="n">
        <f aca="false">N86*$B$6</f>
        <v>720</v>
      </c>
      <c r="P86" s="4"/>
      <c r="Q86" s="4" t="s">
        <v>217</v>
      </c>
    </row>
    <row r="87" customFormat="false" ht="15" hidden="false" customHeight="false" outlineLevel="0" collapsed="false">
      <c r="A87" s="19" t="n">
        <v>16</v>
      </c>
      <c r="B87" s="4" t="s">
        <v>218</v>
      </c>
      <c r="C87" s="4" t="s">
        <v>219</v>
      </c>
      <c r="D87" s="9" t="s">
        <v>177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2" t="n">
        <f aca="false">IF(M87&gt;0,3600/M87,0)</f>
        <v>33.9622641509434</v>
      </c>
      <c r="O87" s="7" t="n">
        <f aca="false">N87*$B$6</f>
        <v>5094.33962264151</v>
      </c>
      <c r="P87" s="4" t="s">
        <v>220</v>
      </c>
      <c r="Q87" s="4" t="s">
        <v>221</v>
      </c>
    </row>
    <row r="88" customFormat="false" ht="15" hidden="false" customHeight="false" outlineLevel="0" collapsed="false">
      <c r="A88" s="19" t="n">
        <v>17</v>
      </c>
      <c r="B88" s="4" t="s">
        <v>222</v>
      </c>
      <c r="C88" s="4" t="s">
        <v>223</v>
      </c>
      <c r="D88" s="9" t="s">
        <v>177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2" t="n">
        <f aca="false">IF(M88&gt;0,3600/M88,0)</f>
        <v>25.7142857142857</v>
      </c>
      <c r="O88" s="7" t="n">
        <f aca="false">N88*$B$6</f>
        <v>3857.14285714286</v>
      </c>
      <c r="P88" s="4" t="s">
        <v>224</v>
      </c>
      <c r="Q88" s="4"/>
    </row>
    <row r="89" customFormat="false" ht="15" hidden="false" customHeight="false" outlineLevel="0" collapsed="false">
      <c r="A89" s="19" t="n">
        <v>18</v>
      </c>
      <c r="B89" s="4" t="s">
        <v>225</v>
      </c>
      <c r="C89" s="4" t="s">
        <v>226</v>
      </c>
      <c r="D89" s="9" t="s">
        <v>169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2" t="n">
        <f aca="false">IF(M89&gt;0,3600/M89,0)</f>
        <v>7.3469387755102</v>
      </c>
      <c r="O89" s="7" t="n">
        <f aca="false">N89*$B$6</f>
        <v>1102.04081632653</v>
      </c>
      <c r="P89" s="4" t="s">
        <v>227</v>
      </c>
      <c r="Q89" s="4" t="s">
        <v>228</v>
      </c>
    </row>
    <row r="90" customFormat="false" ht="23.85" hidden="false" customHeight="false" outlineLevel="0" collapsed="false">
      <c r="A90" s="19" t="n">
        <v>19</v>
      </c>
      <c r="B90" s="4" t="s">
        <v>229</v>
      </c>
      <c r="C90" s="4" t="s">
        <v>230</v>
      </c>
      <c r="D90" s="9" t="s">
        <v>177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2" t="n">
        <f aca="false">IF(M90&gt;0,3600/M90,0)</f>
        <v>36</v>
      </c>
      <c r="O90" s="7" t="n">
        <f aca="false">N90*$B$6</f>
        <v>5400</v>
      </c>
      <c r="P90" s="4" t="s">
        <v>231</v>
      </c>
      <c r="Q90" s="4"/>
    </row>
    <row r="91" customFormat="false" ht="15" hidden="false" customHeight="false" outlineLevel="0" collapsed="false">
      <c r="A91" s="19" t="n">
        <v>20</v>
      </c>
      <c r="B91" s="4" t="s">
        <v>232</v>
      </c>
      <c r="C91" s="4" t="s">
        <v>233</v>
      </c>
      <c r="D91" s="9" t="s">
        <v>177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2" t="n">
        <f aca="false">IF(M91&gt;0,3600/M91,0)</f>
        <v>15</v>
      </c>
      <c r="O91" s="7" t="n">
        <f aca="false">N91*$B$6</f>
        <v>2250</v>
      </c>
      <c r="P91" s="4" t="s">
        <v>234</v>
      </c>
      <c r="Q91" s="4"/>
    </row>
    <row r="92" customFormat="false" ht="15" hidden="false" customHeight="false" outlineLevel="0" collapsed="false">
      <c r="A92" s="19" t="n">
        <v>21</v>
      </c>
      <c r="B92" s="4" t="s">
        <v>235</v>
      </c>
      <c r="C92" s="4" t="s">
        <v>236</v>
      </c>
      <c r="D92" s="9" t="s">
        <v>169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2" t="n">
        <f aca="false">IF(M92&gt;0,3600/M92,0)</f>
        <v>30</v>
      </c>
      <c r="O92" s="7" t="n">
        <f aca="false">N92*$B$6</f>
        <v>4500</v>
      </c>
      <c r="P92" s="4" t="s">
        <v>237</v>
      </c>
      <c r="Q92" s="4"/>
    </row>
    <row r="93" customFormat="false" ht="15" hidden="false" customHeight="false" outlineLevel="0" collapsed="false">
      <c r="A93" s="19" t="n">
        <v>22</v>
      </c>
      <c r="B93" s="4" t="s">
        <v>238</v>
      </c>
      <c r="C93" s="4" t="s">
        <v>239</v>
      </c>
      <c r="D93" s="9" t="s">
        <v>177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2" t="n">
        <f aca="false">IF(M93&gt;0,3600/M93,0)</f>
        <v>49.3150684931507</v>
      </c>
      <c r="O93" s="7" t="n">
        <f aca="false">N93*$B$6</f>
        <v>7397.2602739726</v>
      </c>
      <c r="P93" s="4" t="s">
        <v>240</v>
      </c>
      <c r="Q93" s="4"/>
    </row>
    <row r="94" customFormat="false" ht="15" hidden="false" customHeight="false" outlineLevel="0" collapsed="false">
      <c r="A94" s="19" t="n">
        <v>23</v>
      </c>
      <c r="B94" s="4" t="s">
        <v>241</v>
      </c>
      <c r="C94" s="4" t="s">
        <v>242</v>
      </c>
      <c r="D94" s="9" t="s">
        <v>169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2" t="n">
        <f aca="false">IF(M94&gt;0,3600/M94,0)</f>
        <v>21.1764705882353</v>
      </c>
      <c r="O94" s="7" t="n">
        <f aca="false">N94*$B$6</f>
        <v>3176.47058823529</v>
      </c>
      <c r="P94" s="4" t="s">
        <v>243</v>
      </c>
      <c r="Q94" s="4"/>
    </row>
    <row r="95" customFormat="false" ht="15" hidden="false" customHeight="false" outlineLevel="0" collapsed="false">
      <c r="A95" s="19" t="n">
        <v>24</v>
      </c>
      <c r="B95" s="4" t="s">
        <v>244</v>
      </c>
      <c r="C95" s="4" t="s">
        <v>245</v>
      </c>
      <c r="D95" s="9" t="s">
        <v>177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2" t="n">
        <f aca="false">IF(M95&gt;0,3600/M95,0)</f>
        <v>8.37209302325582</v>
      </c>
      <c r="O95" s="7" t="n">
        <f aca="false">N95*$B$6</f>
        <v>1255.81395348837</v>
      </c>
      <c r="P95" s="4" t="s">
        <v>246</v>
      </c>
      <c r="Q95" s="4"/>
    </row>
    <row r="96" customFormat="false" ht="23.85" hidden="false" customHeight="false" outlineLevel="0" collapsed="false">
      <c r="A96" s="19" t="n">
        <v>25</v>
      </c>
      <c r="B96" s="4" t="s">
        <v>247</v>
      </c>
      <c r="C96" s="4" t="s">
        <v>248</v>
      </c>
      <c r="D96" s="9" t="s">
        <v>169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2" t="n">
        <f aca="false">IF(M96&gt;0,3600/M96,0)</f>
        <v>90</v>
      </c>
      <c r="O96" s="7" t="n">
        <f aca="false">N96*$B$6</f>
        <v>13500</v>
      </c>
      <c r="P96" s="4" t="s">
        <v>249</v>
      </c>
      <c r="Q96" s="4" t="s">
        <v>250</v>
      </c>
    </row>
    <row r="97" customFormat="false" ht="23.85" hidden="false" customHeight="false" outlineLevel="0" collapsed="false">
      <c r="A97" s="19" t="n">
        <v>26</v>
      </c>
      <c r="B97" s="4" t="s">
        <v>251</v>
      </c>
      <c r="C97" s="4" t="s">
        <v>252</v>
      </c>
      <c r="D97" s="9" t="s">
        <v>177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2" t="n">
        <f aca="false">IF(M97&gt;0,3600/M97,0)</f>
        <v>45</v>
      </c>
      <c r="O97" s="7" t="n">
        <f aca="false">N97*$B$6</f>
        <v>6750</v>
      </c>
      <c r="P97" s="4" t="s">
        <v>253</v>
      </c>
      <c r="Q97" s="4"/>
    </row>
    <row r="98" customFormat="false" ht="15" hidden="false" customHeight="false" outlineLevel="0" collapsed="false">
      <c r="A98" s="19" t="n">
        <v>27</v>
      </c>
      <c r="B98" s="4" t="s">
        <v>254</v>
      </c>
      <c r="C98" s="4" t="s">
        <v>255</v>
      </c>
      <c r="D98" s="9" t="s">
        <v>169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2" t="n">
        <f aca="false">IF(M98&gt;0,3600/M98,0)</f>
        <v>41.8604651162791</v>
      </c>
      <c r="O98" s="7" t="n">
        <f aca="false">N98*$B$6</f>
        <v>6279.06976744186</v>
      </c>
      <c r="P98" s="4" t="s">
        <v>256</v>
      </c>
      <c r="Q98" s="4" t="s">
        <v>257</v>
      </c>
    </row>
    <row r="99" customFormat="false" ht="15" hidden="false" customHeight="false" outlineLevel="0" collapsed="false">
      <c r="A99" s="19" t="n">
        <v>28</v>
      </c>
      <c r="B99" s="4" t="s">
        <v>258</v>
      </c>
      <c r="C99" s="4" t="s">
        <v>259</v>
      </c>
      <c r="D99" s="9" t="s">
        <v>177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2" t="n">
        <f aca="false">IF(M99&gt;0,3600/M99,0)</f>
        <v>9.23076923076923</v>
      </c>
      <c r="O99" s="7" t="n">
        <f aca="false">N99*$B$6</f>
        <v>1384.61538461538</v>
      </c>
      <c r="P99" s="4" t="s">
        <v>260</v>
      </c>
      <c r="Q99" s="4" t="s">
        <v>261</v>
      </c>
    </row>
    <row r="100" customFormat="false" ht="35.05" hidden="false" customHeight="false" outlineLevel="0" collapsed="false">
      <c r="A100" s="19" t="n">
        <v>29</v>
      </c>
      <c r="B100" s="4" t="s">
        <v>262</v>
      </c>
      <c r="C100" s="4" t="s">
        <v>263</v>
      </c>
      <c r="D100" s="9" t="s">
        <v>177</v>
      </c>
      <c r="E100" s="12" t="s">
        <v>264</v>
      </c>
      <c r="F100" s="12" t="s">
        <v>264</v>
      </c>
      <c r="G100" s="12" t="s">
        <v>264</v>
      </c>
      <c r="H100" s="12" t="s">
        <v>264</v>
      </c>
      <c r="I100" s="12" t="s">
        <v>264</v>
      </c>
      <c r="J100" s="12" t="s">
        <v>264</v>
      </c>
      <c r="K100" s="12" t="s">
        <v>264</v>
      </c>
      <c r="L100" s="12" t="s">
        <v>264</v>
      </c>
      <c r="M100" s="14" t="n">
        <f aca="false">12+20+90+90+75+15</f>
        <v>302</v>
      </c>
      <c r="N100" s="22" t="n">
        <f aca="false">IF(M100&gt;0,3600/M100,0)</f>
        <v>11.9205298013245</v>
      </c>
      <c r="O100" s="7" t="n">
        <f aca="false">N100*$B$6</f>
        <v>1788.07947019868</v>
      </c>
      <c r="P100" s="4" t="s">
        <v>265</v>
      </c>
      <c r="Q100" s="4" t="s">
        <v>266</v>
      </c>
    </row>
    <row r="102" customFormat="false" ht="23.85" hidden="false" customHeight="false" outlineLevel="0" collapsed="false">
      <c r="A102" s="12" t="s">
        <v>264</v>
      </c>
      <c r="B102" s="4" t="s">
        <v>267</v>
      </c>
      <c r="C102" s="4" t="s">
        <v>268</v>
      </c>
      <c r="M102" s="14" t="n">
        <v>60</v>
      </c>
      <c r="N102" s="22" t="n">
        <f aca="false">IF(M102&gt;0,3600/M102,0)</f>
        <v>60</v>
      </c>
      <c r="Q102" s="4" t="s">
        <v>269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3" t="n">
        <v>2026</v>
      </c>
      <c r="B1" s="3" t="s">
        <v>270</v>
      </c>
      <c r="C1" s="3" t="s">
        <v>271</v>
      </c>
      <c r="D1" s="3" t="s">
        <v>124</v>
      </c>
      <c r="E1" s="3" t="s">
        <v>125</v>
      </c>
      <c r="F1" s="3" t="s">
        <v>126</v>
      </c>
      <c r="G1" s="3" t="s">
        <v>127</v>
      </c>
      <c r="H1" s="3" t="s">
        <v>128</v>
      </c>
      <c r="I1" s="3" t="s">
        <v>129</v>
      </c>
      <c r="J1" s="3" t="s">
        <v>130</v>
      </c>
      <c r="K1" s="3" t="s">
        <v>131</v>
      </c>
      <c r="L1" s="3" t="s">
        <v>132</v>
      </c>
      <c r="M1" s="3" t="s">
        <v>133</v>
      </c>
      <c r="N1" s="3" t="s">
        <v>134</v>
      </c>
      <c r="O1" s="3" t="s">
        <v>135</v>
      </c>
      <c r="P1" s="3" t="s">
        <v>136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4" t="n">
        <f aca="false">parametros_recargas!C51</f>
        <v>1</v>
      </c>
      <c r="D2" s="25" t="n">
        <f aca="false">datos_base!$B$2*parametros_recargas!$F$37</f>
        <v>38.2930709400718</v>
      </c>
      <c r="E2" s="25" t="n">
        <f aca="false">datos_base!$B$2*parametros_recargas!$G$37</f>
        <v>43.3980695009998</v>
      </c>
      <c r="F2" s="25" t="n">
        <f aca="false">datos_base!$B$2*parametros_recargas!$H$37</f>
        <v>49.1836353203715</v>
      </c>
      <c r="G2" s="25" t="n">
        <f aca="false">datos_base!$B$2*parametros_recargas!$I$37</f>
        <v>55.7404974723948</v>
      </c>
      <c r="H2" s="25" t="n">
        <f aca="false">datos_base!$B$2*parametros_recargas!$J$37</f>
        <v>63.17148047784</v>
      </c>
      <c r="I2" s="25" t="n">
        <f aca="false">datos_base!$B$2*parametros_recargas!$K$37</f>
        <v>71.5931167951716</v>
      </c>
      <c r="J2" s="25" t="n">
        <f aca="false">datos_base!$B$2*parametros_recargas!$L$37</f>
        <v>81.137474279158</v>
      </c>
      <c r="K2" s="25" t="n">
        <f aca="false">datos_base!$B$2*parametros_recargas!$M$37</f>
        <v>91.9542272651135</v>
      </c>
      <c r="L2" s="25" t="n">
        <f aca="false">datos_base!$B$2*parametros_recargas!$N$37</f>
        <v>104.213003757453</v>
      </c>
      <c r="M2" s="25" t="n">
        <f aca="false">datos_base!$B$2*parametros_recargas!$O$37</f>
        <v>118.106045531104</v>
      </c>
      <c r="N2" s="25" t="n">
        <f aca="false">datos_base!$B$2*parametros_recargas!$P$37</f>
        <v>133.851222861403</v>
      </c>
      <c r="O2" s="25" t="n">
        <f aca="false">datos_base!$B$2*parametros_recargas!$Q$37</f>
        <v>151.695451159397</v>
      </c>
      <c r="P2" s="7" t="n">
        <f aca="false">SUM(D2:O2)</f>
        <v>1002.33729536048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4" t="n">
        <f aca="false">parametros_recargas!C52</f>
        <v>1</v>
      </c>
      <c r="D3" s="25" t="n">
        <f aca="false">datos_base!$B$3*parametros_recargas!$F$37</f>
        <v>3.63383199887625</v>
      </c>
      <c r="E3" s="25" t="n">
        <f aca="false">datos_base!$B$3*parametros_recargas!$G$37</f>
        <v>4.11827230803684</v>
      </c>
      <c r="F3" s="25" t="n">
        <f aca="false">datos_base!$B$3*parametros_recargas!$H$37</f>
        <v>4.66729524325506</v>
      </c>
      <c r="G3" s="25" t="n">
        <f aca="false">datos_base!$B$3*parametros_recargas!$I$37</f>
        <v>5.28951056616638</v>
      </c>
      <c r="H3" s="25" t="n">
        <f aca="false">datos_base!$B$3*parametros_recargas!$J$37</f>
        <v>5.99467583929247</v>
      </c>
      <c r="I3" s="25" t="n">
        <f aca="false">datos_base!$B$3*parametros_recargas!$K$37</f>
        <v>6.79384944385165</v>
      </c>
      <c r="J3" s="25" t="n">
        <f aca="false">datos_base!$B$3*parametros_recargas!$L$37</f>
        <v>7.69956399697019</v>
      </c>
      <c r="K3" s="25" t="n">
        <f aca="false">datos_base!$B$3*parametros_recargas!$M$37</f>
        <v>8.72602288781807</v>
      </c>
      <c r="L3" s="25" t="n">
        <f aca="false">datos_base!$B$3*parametros_recargas!$N$37</f>
        <v>9.88932301474313</v>
      </c>
      <c r="M3" s="25" t="n">
        <f aca="false">datos_base!$B$3*parametros_recargas!$O$37</f>
        <v>11.2077072163608</v>
      </c>
      <c r="N3" s="25" t="n">
        <f aca="false">datos_base!$B$3*parametros_recargas!$P$37</f>
        <v>12.7018503552165</v>
      </c>
      <c r="O3" s="25" t="n">
        <f aca="false">datos_base!$B$3*parametros_recargas!$Q$37</f>
        <v>14.3951835403763</v>
      </c>
      <c r="P3" s="7" t="n">
        <f aca="false">SUM(D3:O3)</f>
        <v>95.1170864109637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4" t="n">
        <f aca="false">parametros_recargas!C53</f>
        <v>1</v>
      </c>
      <c r="D4" s="25" t="n">
        <f aca="false">datos_base!$B$4*parametros_recargas!$F$37</f>
        <v>21.4772001276629</v>
      </c>
      <c r="E4" s="25" t="n">
        <f aca="false">datos_base!$B$4*parametros_recargas!$G$37</f>
        <v>24.3404093990235</v>
      </c>
      <c r="F4" s="25" t="n">
        <f aca="false">datos_base!$B$4*parametros_recargas!$H$37</f>
        <v>27.5853242597008</v>
      </c>
      <c r="G4" s="25" t="n">
        <f aca="false">datos_base!$B$4*parametros_recargas!$I$37</f>
        <v>31.2628313697702</v>
      </c>
      <c r="H4" s="25" t="n">
        <f aca="false">datos_base!$B$4*parametros_recargas!$J$37</f>
        <v>35.4306012883274</v>
      </c>
      <c r="I4" s="25" t="n">
        <f aca="false">datos_base!$B$4*parametros_recargas!$K$37</f>
        <v>40.1539928615128</v>
      </c>
      <c r="J4" s="25" t="n">
        <f aca="false">datos_base!$B$4*parametros_recargas!$L$37</f>
        <v>45.5070781780269</v>
      </c>
      <c r="K4" s="25" t="n">
        <f aca="false">datos_base!$B$4*parametros_recargas!$M$37</f>
        <v>51.5738041654629</v>
      </c>
      <c r="L4" s="25" t="n">
        <f aca="false">datos_base!$B$4*parametros_recargas!$N$37</f>
        <v>58.4493090435727</v>
      </c>
      <c r="M4" s="25" t="n">
        <f aca="false">datos_base!$B$4*parametros_recargas!$O$37</f>
        <v>66.2414142790508</v>
      </c>
      <c r="N4" s="25" t="n">
        <f aca="false">datos_base!$B$4*parametros_recargas!$P$37</f>
        <v>75.0723154386263</v>
      </c>
      <c r="O4" s="25" t="n">
        <f aca="false">datos_base!$B$4*parametros_recargas!$Q$37</f>
        <v>85.0804984563709</v>
      </c>
      <c r="P4" s="7" t="n">
        <f aca="false">SUM(D4:O4)</f>
        <v>562.174778867108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4" t="n">
        <f aca="false">parametros_recargas!C54</f>
        <v>1</v>
      </c>
      <c r="D5" s="25" t="n">
        <f aca="false">datos_base!$B$5*parametros_recargas!$F$37</f>
        <v>1.30316733023751</v>
      </c>
      <c r="E5" s="25" t="n">
        <f aca="false">datos_base!$B$5*parametros_recargas!$G$37</f>
        <v>1.47689764703352</v>
      </c>
      <c r="F5" s="25" t="n">
        <f aca="false">datos_base!$B$5*parametros_recargas!$H$37</f>
        <v>1.67378862959649</v>
      </c>
      <c r="G5" s="25" t="n">
        <f aca="false">datos_base!$B$5*parametros_recargas!$I$37</f>
        <v>1.89692791656462</v>
      </c>
      <c r="H5" s="25" t="n">
        <f aca="false">datos_base!$B$5*parametros_recargas!$J$37</f>
        <v>2.14981477171921</v>
      </c>
      <c r="I5" s="25" t="n">
        <f aca="false">datos_base!$B$5*parametros_recargas!$K$37</f>
        <v>2.43641495933706</v>
      </c>
      <c r="J5" s="25" t="n">
        <f aca="false">datos_base!$B$5*parametros_recargas!$L$37</f>
        <v>2.76122293519003</v>
      </c>
      <c r="K5" s="25" t="n">
        <f aca="false">datos_base!$B$5*parametros_recargas!$M$37</f>
        <v>3.12933232846921</v>
      </c>
      <c r="L5" s="25" t="n">
        <f aca="false">datos_base!$B$5*parametros_recargas!$N$37</f>
        <v>3.5465158199291</v>
      </c>
      <c r="M5" s="25" t="n">
        <f aca="false">datos_base!$B$5*parametros_recargas!$O$37</f>
        <v>4.01931566889865</v>
      </c>
      <c r="N5" s="25" t="n">
        <f aca="false">datos_base!$B$5*parametros_recargas!$P$37</f>
        <v>4.55514630880095</v>
      </c>
      <c r="O5" s="25" t="n">
        <f aca="false">datos_base!$B$5*parametros_recargas!$Q$37</f>
        <v>5.16241062008163</v>
      </c>
      <c r="P5" s="7" t="n">
        <f aca="false">SUM(D5:O5)</f>
        <v>34.110954935858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4" t="n">
        <f aca="false">parametros_recargas!C55</f>
        <v>1</v>
      </c>
      <c r="D6" s="25" t="n">
        <f aca="false">datos_base!$B$6*parametros_recargas!$F$37</f>
        <v>1.75426372055771</v>
      </c>
      <c r="E6" s="25" t="n">
        <f aca="false">datos_base!$B$6*parametros_recargas!$G$37</f>
        <v>1.98813145560958</v>
      </c>
      <c r="F6" s="25" t="n">
        <f aca="false">datos_base!$B$6*parametros_recargas!$H$37</f>
        <v>2.25317701008356</v>
      </c>
      <c r="G6" s="25" t="n">
        <f aca="false">datos_base!$B$6*parametros_recargas!$I$37</f>
        <v>2.55355682062405</v>
      </c>
      <c r="H6" s="25" t="n">
        <f aca="false">datos_base!$B$6*parametros_recargas!$J$37</f>
        <v>2.89398143464716</v>
      </c>
      <c r="I6" s="25" t="n">
        <f aca="false">datos_base!$B$6*parametros_recargas!$K$37</f>
        <v>3.27978938100766</v>
      </c>
      <c r="J6" s="25" t="n">
        <f aca="false">datos_base!$B$6*parametros_recargas!$L$37</f>
        <v>3.71703088865258</v>
      </c>
      <c r="K6" s="25" t="n">
        <f aca="false">datos_base!$B$6*parametros_recargas!$M$37</f>
        <v>4.21256276613486</v>
      </c>
      <c r="L6" s="25" t="n">
        <f aca="false">datos_base!$B$6*parametros_recargas!$N$37</f>
        <v>4.77415592988483</v>
      </c>
      <c r="M6" s="25" t="n">
        <f aca="false">datos_base!$B$6*parametros_recargas!$O$37</f>
        <v>5.4106172674947</v>
      </c>
      <c r="N6" s="25" t="n">
        <f aca="false">datos_base!$B$6*parametros_recargas!$P$37</f>
        <v>6.13192774707257</v>
      </c>
      <c r="O6" s="25" t="n">
        <f aca="false">datos_base!$B$6*parametros_recargas!$Q$37</f>
        <v>6.94939893849279</v>
      </c>
      <c r="P6" s="7" t="n">
        <f aca="false">SUM(D6:O6)</f>
        <v>45.9185933602621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4" t="n">
        <f aca="false">parametros_recargas!C56</f>
        <v>1</v>
      </c>
      <c r="D7" s="25" t="n">
        <f aca="false">datos_base!$B$7*parametros_recargas!$F$37</f>
        <v>0.250609104509919</v>
      </c>
      <c r="E7" s="25" t="n">
        <f aca="false">datos_base!$B$7*parametros_recargas!$G$37</f>
        <v>0.284018781155617</v>
      </c>
      <c r="F7" s="25" t="n">
        <f aca="false">datos_base!$B$7*parametros_recargas!$H$37</f>
        <v>0.321882432032431</v>
      </c>
      <c r="G7" s="25" t="n">
        <f aca="false">datos_base!$B$7*parametros_recargas!$I$37</f>
        <v>0.364793833807576</v>
      </c>
      <c r="H7" s="25" t="n">
        <f aca="false">datos_base!$B$7*parametros_recargas!$J$37</f>
        <v>0.413425921830433</v>
      </c>
      <c r="I7" s="25" t="n">
        <f aca="false">datos_base!$B$7*parametros_recargas!$K$37</f>
        <v>0.468541343085041</v>
      </c>
      <c r="J7" s="25" t="n">
        <f aca="false">datos_base!$B$7*parametros_recargas!$L$37</f>
        <v>0.531004415997832</v>
      </c>
      <c r="K7" s="25" t="n">
        <f aca="false">datos_base!$B$7*parametros_recargas!$M$37</f>
        <v>0.601794684653946</v>
      </c>
      <c r="L7" s="25" t="n">
        <f aca="false">datos_base!$B$7*parametros_recargas!$N$37</f>
        <v>0.682022279978969</v>
      </c>
      <c r="M7" s="25" t="n">
        <f aca="false">datos_base!$B$7*parametros_recargas!$O$37</f>
        <v>0.772945328779685</v>
      </c>
      <c r="N7" s="25" t="n">
        <f aca="false">datos_base!$B$7*parametros_recargas!$P$37</f>
        <v>0.875989683651916</v>
      </c>
      <c r="O7" s="25" t="n">
        <f aca="false">datos_base!$B$7*parametros_recargas!$Q$37</f>
        <v>0.992771283159285</v>
      </c>
      <c r="P7" s="7" t="n">
        <f aca="false">SUM(D7:O7)</f>
        <v>6.55979909264265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4" t="n">
        <f aca="false">parametros_recargas!C57</f>
        <v>3</v>
      </c>
      <c r="D8" s="25" t="n">
        <f aca="false">datos_base!$B$8*parametros_recargas!$F$37</f>
        <v>0.125304546749098</v>
      </c>
      <c r="E8" s="25" t="n">
        <f aca="false">datos_base!$B$8*parametros_recargas!$G$37</f>
        <v>0.142009384337939</v>
      </c>
      <c r="F8" s="25" t="n">
        <f aca="false">datos_base!$B$8*parametros_recargas!$H$37</f>
        <v>0.160941208944485</v>
      </c>
      <c r="G8" s="25" t="n">
        <f aca="false">datos_base!$B$8*parametros_recargas!$I$37</f>
        <v>0.182396908889297</v>
      </c>
      <c r="H8" s="25" t="n">
        <f aca="false">datos_base!$B$8*parametros_recargas!$J$37</f>
        <v>0.206712951832282</v>
      </c>
      <c r="I8" s="25" t="n">
        <f aca="false">datos_base!$B$8*parametros_recargas!$K$37</f>
        <v>0.234270661248705</v>
      </c>
      <c r="J8" s="25" t="n">
        <f aca="false">datos_base!$B$8*parametros_recargas!$L$37</f>
        <v>0.265502196332792</v>
      </c>
      <c r="K8" s="25" t="n">
        <f aca="false">datos_base!$B$8*parametros_recargas!$M$37</f>
        <v>0.300897329105593</v>
      </c>
      <c r="L8" s="25" t="n">
        <f aca="false">datos_base!$B$8*parametros_recargas!$N$37</f>
        <v>0.34101112500551</v>
      </c>
      <c r="M8" s="25" t="n">
        <f aca="false">datos_base!$B$8*parametros_recargas!$O$37</f>
        <v>0.386472647408296</v>
      </c>
      <c r="N8" s="25" t="n">
        <f aca="false">datos_base!$B$8*parametros_recargas!$P$37</f>
        <v>0.437994822580536</v>
      </c>
      <c r="O8" s="25" t="n">
        <f aca="false">datos_base!$B$8*parametros_recargas!$Q$37</f>
        <v>0.496385619768538</v>
      </c>
      <c r="P8" s="7" t="n">
        <f aca="false">SUM(D8:O8)</f>
        <v>3.27989940220307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4" t="n">
        <f aca="false">parametros_recargas!C58</f>
        <v>1</v>
      </c>
      <c r="D9" s="25" t="n">
        <f aca="false">datos_base!$B$9*parametros_recargas!$F$37</f>
        <v>0.0751827280494588</v>
      </c>
      <c r="E9" s="25" t="n">
        <f aca="false">datos_base!$B$9*parametros_recargas!$G$37</f>
        <v>0.0852056306027635</v>
      </c>
      <c r="F9" s="25" t="n">
        <f aca="false">datos_base!$B$9*parametros_recargas!$H$37</f>
        <v>0.0965647253666908</v>
      </c>
      <c r="G9" s="25" t="n">
        <f aca="false">datos_base!$B$9*parametros_recargas!$I$37</f>
        <v>0.109438145333578</v>
      </c>
      <c r="H9" s="25" t="n">
        <f aca="false">datos_base!$B$9*parametros_recargas!$J$37</f>
        <v>0.124027771099369</v>
      </c>
      <c r="I9" s="25" t="n">
        <f aca="false">datos_base!$B$9*parametros_recargas!$K$37</f>
        <v>0.140562396749223</v>
      </c>
      <c r="J9" s="25" t="n">
        <f aca="false">datos_base!$B$9*parametros_recargas!$L$37</f>
        <v>0.159301317799675</v>
      </c>
      <c r="K9" s="25" t="n">
        <f aca="false">datos_base!$B$9*parametros_recargas!$M$37</f>
        <v>0.180538397463356</v>
      </c>
      <c r="L9" s="25" t="n">
        <f aca="false">datos_base!$B$9*parametros_recargas!$N$37</f>
        <v>0.204606675003306</v>
      </c>
      <c r="M9" s="25" t="n">
        <f aca="false">datos_base!$B$9*parametros_recargas!$O$37</f>
        <v>0.231883588444978</v>
      </c>
      <c r="N9" s="25" t="n">
        <f aca="false">datos_base!$B$9*parametros_recargas!$P$37</f>
        <v>0.262796893548322</v>
      </c>
      <c r="O9" s="25" t="n">
        <f aca="false">datos_base!$B$9*parametros_recargas!$Q$37</f>
        <v>0.297831371861123</v>
      </c>
      <c r="P9" s="7" t="n">
        <f aca="false">SUM(D9:O9)</f>
        <v>1.96793964132184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4" t="n">
        <f aca="false">parametros_recargas!C59</f>
        <v>1</v>
      </c>
      <c r="D10" s="25" t="n">
        <f aca="false">datos_base!$B$10*parametros_recargas!$F$37</f>
        <v>0.902192769628676</v>
      </c>
      <c r="E10" s="25" t="n">
        <f aca="false">datos_base!$B$10*parametros_recargas!$G$37</f>
        <v>1.02246760467238</v>
      </c>
      <c r="F10" s="25" t="n">
        <f aca="false">datos_base!$B$10*parametros_recargas!$H$37</f>
        <v>1.15877674683067</v>
      </c>
      <c r="G10" s="25" t="n">
        <f aca="false">datos_base!$B$10*parametros_recargas!$I$37</f>
        <v>1.31325779208988</v>
      </c>
      <c r="H10" s="25" t="n">
        <f aca="false">datos_base!$B$10*parametros_recargas!$J$37</f>
        <v>1.48833330769004</v>
      </c>
      <c r="I10" s="25" t="n">
        <f aca="false">datos_base!$B$10*parametros_recargas!$K$37</f>
        <v>1.68674882275357</v>
      </c>
      <c r="J10" s="25" t="n">
        <f aca="false">datos_base!$B$10*parametros_recargas!$L$37</f>
        <v>1.91161588359285</v>
      </c>
      <c r="K10" s="25" t="n">
        <f aca="false">datos_base!$B$10*parametros_recargas!$M$37</f>
        <v>2.16646084888855</v>
      </c>
      <c r="L10" s="25" t="n">
        <f aca="false">datos_base!$B$10*parametros_recargas!$N$37</f>
        <v>2.45528018994352</v>
      </c>
      <c r="M10" s="25" t="n">
        <f aca="false">datos_base!$B$10*parametros_recargas!$O$37</f>
        <v>2.78260316322901</v>
      </c>
      <c r="N10" s="25" t="n">
        <f aca="false">datos_base!$B$10*parametros_recargas!$P$37</f>
        <v>3.15356283805239</v>
      </c>
      <c r="O10" s="25" t="n">
        <f aca="false">datos_base!$B$10*parametros_recargas!$Q$37</f>
        <v>3.5739765932001</v>
      </c>
      <c r="P10" s="7" t="n">
        <f aca="false">SUM(D10:O10)</f>
        <v>23.6152765605716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4" t="n">
        <f aca="false">parametros_recargas!C60</f>
        <v>1</v>
      </c>
      <c r="D11" s="25" t="n">
        <f aca="false">datos_base!$B$11*parametros_recargas!$F$37</f>
        <v>4.96206023846358</v>
      </c>
      <c r="E11" s="25" t="n">
        <f aca="false">datos_base!$B$11*parametros_recargas!$G$37</f>
        <v>5.62357183193796</v>
      </c>
      <c r="F11" s="25" t="n">
        <f aca="false">datos_base!$B$11*parametros_recargas!$H$37</f>
        <v>6.37327211464044</v>
      </c>
      <c r="G11" s="25" t="n">
        <f aca="false">datos_base!$B$11*parametros_recargas!$I$37</f>
        <v>7.22291786450885</v>
      </c>
      <c r="H11" s="25" t="n">
        <f aca="false">datos_base!$B$11*parametros_recargas!$J$37</f>
        <v>8.18583320137813</v>
      </c>
      <c r="I11" s="25" t="n">
        <f aca="false">datos_base!$B$11*parametros_recargas!$K$37</f>
        <v>9.27711853543845</v>
      </c>
      <c r="J11" s="25" t="n">
        <f aca="false">datos_base!$B$11*parametros_recargas!$L$37</f>
        <v>10.5138873714268</v>
      </c>
      <c r="K11" s="25" t="n">
        <f aca="false">datos_base!$B$11*parametros_recargas!$M$37</f>
        <v>11.9155346821084</v>
      </c>
      <c r="L11" s="25" t="n">
        <f aca="false">datos_base!$B$11*parametros_recargas!$N$37</f>
        <v>13.5040410596733</v>
      </c>
      <c r="M11" s="25" t="n">
        <f aca="false">datos_base!$B$11*parametros_recargas!$O$37</f>
        <v>15.3043174147411</v>
      </c>
      <c r="N11" s="25" t="n">
        <f aca="false">datos_base!$B$11*parametros_recargas!$P$37</f>
        <v>17.3445956285336</v>
      </c>
      <c r="O11" s="25" t="n">
        <f aca="false">datos_base!$B$11*parametros_recargas!$Q$37</f>
        <v>19.6568712844117</v>
      </c>
      <c r="P11" s="7" t="n">
        <f aca="false">SUM(D11:O11)</f>
        <v>129.884021227262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4" t="n">
        <f aca="false">parametros_recargas!C61</f>
        <v>1</v>
      </c>
      <c r="D12" s="25" t="n">
        <f aca="false">datos_base!$B$12*parametros_recargas!$F$37</f>
        <v>1.37835006929869</v>
      </c>
      <c r="E12" s="25" t="n">
        <f aca="false">datos_base!$B$12*parametros_recargas!$G$37</f>
        <v>1.56210329011603</v>
      </c>
      <c r="F12" s="25" t="n">
        <f aca="false">datos_base!$B$12*parametros_recargas!$H$37</f>
        <v>1.77035336910664</v>
      </c>
      <c r="G12" s="25" t="n">
        <f aca="false">datos_base!$B$12*parametros_recargas!$I$37</f>
        <v>2.00636607792718</v>
      </c>
      <c r="H12" s="25" t="n">
        <f aca="false">datos_base!$B$12*parametros_recargas!$J$37</f>
        <v>2.27384256098445</v>
      </c>
      <c r="I12" s="25" t="n">
        <f aca="false">datos_base!$B$12*parametros_recargas!$K$37</f>
        <v>2.57697737667391</v>
      </c>
      <c r="J12" s="25" t="n">
        <f aca="false">datos_base!$B$12*parametros_recargas!$L$37</f>
        <v>2.92052427632195</v>
      </c>
      <c r="K12" s="25" t="n">
        <f aca="false">datos_base!$B$12*parametros_recargas!$M$37</f>
        <v>3.30987075237532</v>
      </c>
      <c r="L12" s="25" t="n">
        <f aca="false">datos_base!$B$12*parametros_recargas!$N$37</f>
        <v>3.75112252490036</v>
      </c>
      <c r="M12" s="25" t="n">
        <f aca="false">datos_base!$B$12*parametros_recargas!$O$37</f>
        <v>4.25119929130672</v>
      </c>
      <c r="N12" s="25" t="n">
        <f aca="false">datos_base!$B$12*parametros_recargas!$P$37</f>
        <v>4.81794324084011</v>
      </c>
      <c r="O12" s="25" t="n">
        <f aca="false">datos_base!$B$12*parametros_recargas!$Q$37</f>
        <v>5.46024203556496</v>
      </c>
      <c r="P12" s="7" t="n">
        <f aca="false">SUM(D12:O12)</f>
        <v>36.0788948654163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4" t="n">
        <f aca="false">parametros_recargas!C62</f>
        <v>1</v>
      </c>
      <c r="D13" s="25" t="n">
        <f aca="false">datos_base!$B$13*parametros_recargas!$F$37</f>
        <v>0.20048728581028</v>
      </c>
      <c r="E13" s="25" t="n">
        <f aca="false">datos_base!$B$13*parametros_recargas!$G$37</f>
        <v>0.227215027420442</v>
      </c>
      <c r="F13" s="25" t="n">
        <f aca="false">datos_base!$B$13*parametros_recargas!$H$37</f>
        <v>0.257505948454637</v>
      </c>
      <c r="G13" s="25" t="n">
        <f aca="false">datos_base!$B$13*parametros_recargas!$I$37</f>
        <v>0.291835070251857</v>
      </c>
      <c r="H13" s="25" t="n">
        <f aca="false">datos_base!$B$13*parametros_recargas!$J$37</f>
        <v>0.33074074109752</v>
      </c>
      <c r="I13" s="25" t="n">
        <f aca="false">datos_base!$B$13*parametros_recargas!$K$37</f>
        <v>0.374833078585559</v>
      </c>
      <c r="J13" s="25" t="n">
        <f aca="false">datos_base!$B$13*parametros_recargas!$L$37</f>
        <v>0.424803537464715</v>
      </c>
      <c r="K13" s="25" t="n">
        <f aca="false">datos_base!$B$13*parametros_recargas!$M$37</f>
        <v>0.481435753011709</v>
      </c>
      <c r="L13" s="25" t="n">
        <f aca="false">datos_base!$B$13*parametros_recargas!$N$37</f>
        <v>0.545617829976765</v>
      </c>
      <c r="M13" s="25" t="n">
        <f aca="false">datos_base!$B$13*parametros_recargas!$O$37</f>
        <v>0.618356269816366</v>
      </c>
      <c r="N13" s="25" t="n">
        <f aca="false">datos_base!$B$13*parametros_recargas!$P$37</f>
        <v>0.700791754619701</v>
      </c>
      <c r="O13" s="25" t="n">
        <f aca="false">datos_base!$B$13*parametros_recargas!$Q$37</f>
        <v>0.79421703525187</v>
      </c>
      <c r="P13" s="7" t="n">
        <f aca="false">SUM(D13:O13)</f>
        <v>5.24783933176142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4" t="n">
        <f aca="false">parametros_recargas!C63</f>
        <v>1</v>
      </c>
      <c r="D14" s="25" t="n">
        <f aca="false">datos_base!$B$14*parametros_recargas!$F$37</f>
        <v>0.0751827280494588</v>
      </c>
      <c r="E14" s="25" t="n">
        <f aca="false">datos_base!$B$14*parametros_recargas!$G$37</f>
        <v>0.0852056306027635</v>
      </c>
      <c r="F14" s="25" t="n">
        <f aca="false">datos_base!$B$14*parametros_recargas!$H$37</f>
        <v>0.0965647253666908</v>
      </c>
      <c r="G14" s="25" t="n">
        <f aca="false">datos_base!$B$14*parametros_recargas!$I$37</f>
        <v>0.109438145333578</v>
      </c>
      <c r="H14" s="25" t="n">
        <f aca="false">datos_base!$B$14*parametros_recargas!$J$37</f>
        <v>0.124027771099369</v>
      </c>
      <c r="I14" s="25" t="n">
        <f aca="false">datos_base!$B$14*parametros_recargas!$K$37</f>
        <v>0.140562396749223</v>
      </c>
      <c r="J14" s="25" t="n">
        <f aca="false">datos_base!$B$14*parametros_recargas!$L$37</f>
        <v>0.159301317799675</v>
      </c>
      <c r="K14" s="25" t="n">
        <f aca="false">datos_base!$B$14*parametros_recargas!$M$37</f>
        <v>0.180538397463356</v>
      </c>
      <c r="L14" s="25" t="n">
        <f aca="false">datos_base!$B$14*parametros_recargas!$N$37</f>
        <v>0.204606675003306</v>
      </c>
      <c r="M14" s="25" t="n">
        <f aca="false">datos_base!$B$14*parametros_recargas!$O$37</f>
        <v>0.231883588444978</v>
      </c>
      <c r="N14" s="25" t="n">
        <f aca="false">datos_base!$B$14*parametros_recargas!$P$37</f>
        <v>0.262796893548322</v>
      </c>
      <c r="O14" s="25" t="n">
        <f aca="false">datos_base!$B$14*parametros_recargas!$Q$37</f>
        <v>0.297831371861123</v>
      </c>
      <c r="P14" s="7" t="n">
        <f aca="false">SUM(D14:O14)</f>
        <v>1.96793964132184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4" t="n">
        <f aca="false">parametros_recargas!C64</f>
        <v>3</v>
      </c>
      <c r="D15" s="25" t="n">
        <f aca="false">datos_base!$B$15*parametros_recargas!$F$37</f>
        <v>0.194222055719894</v>
      </c>
      <c r="E15" s="25" t="n">
        <f aca="false">datos_base!$B$15*parametros_recargas!$G$37</f>
        <v>0.22011455508361</v>
      </c>
      <c r="F15" s="25" t="n">
        <f aca="false">datos_base!$B$15*parametros_recargas!$H$37</f>
        <v>0.249458884471548</v>
      </c>
      <c r="G15" s="25" t="n">
        <f aca="false">datos_base!$B$15*parametros_recargas!$I$37</f>
        <v>0.282715220800147</v>
      </c>
      <c r="H15" s="25" t="n">
        <f aca="false">datos_base!$B$15*parametros_recargas!$J$37</f>
        <v>0.320405088964439</v>
      </c>
      <c r="I15" s="25" t="n">
        <f aca="false">datos_base!$B$15*parametros_recargas!$K$37</f>
        <v>0.363119540376216</v>
      </c>
      <c r="J15" s="25" t="n">
        <f aca="false">datos_base!$B$15*parametros_recargas!$L$37</f>
        <v>0.411528421815014</v>
      </c>
      <c r="K15" s="25" t="n">
        <f aca="false">datos_base!$B$15*parametros_recargas!$M$37</f>
        <v>0.466390879945739</v>
      </c>
      <c r="L15" s="25" t="n">
        <f aca="false">datos_base!$B$15*parametros_recargas!$N$37</f>
        <v>0.528567266234502</v>
      </c>
      <c r="M15" s="25" t="n">
        <f aca="false">datos_base!$B$15*parametros_recargas!$O$37</f>
        <v>0.599032628955179</v>
      </c>
      <c r="N15" s="25" t="n">
        <f aca="false">datos_base!$B$15*parametros_recargas!$P$37</f>
        <v>0.678892003867964</v>
      </c>
      <c r="O15" s="25" t="n">
        <f aca="false">datos_base!$B$15*parametros_recargas!$Q$37</f>
        <v>0.769397743357891</v>
      </c>
      <c r="P15" s="7" t="n">
        <f aca="false">SUM(D15:O15)</f>
        <v>5.08384428959214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4" t="n">
        <f aca="false">parametros_recargas!C65</f>
        <v>3</v>
      </c>
      <c r="D16" s="25" t="n">
        <f aca="false">datos_base!$B$16*parametros_recargas!$F$37</f>
        <v>0.427288515976734</v>
      </c>
      <c r="E16" s="25" t="n">
        <f aca="false">datos_base!$B$16*parametros_recargas!$G$37</f>
        <v>0.484252013696099</v>
      </c>
      <c r="F16" s="25" t="n">
        <f aca="false">datos_base!$B$16*parametros_recargas!$H$37</f>
        <v>0.548809537351328</v>
      </c>
      <c r="G16" s="25" t="n">
        <f aca="false">datos_base!$B$16*parametros_recargas!$I$37</f>
        <v>0.621973476142934</v>
      </c>
      <c r="H16" s="25" t="n">
        <f aca="false">datos_base!$B$16*parametros_recargas!$J$37</f>
        <v>0.704891184822244</v>
      </c>
      <c r="I16" s="25" t="n">
        <f aca="false">datos_base!$B$16*parametros_recargas!$K$37</f>
        <v>0.798862976475097</v>
      </c>
      <c r="J16" s="25" t="n">
        <f aca="false">datos_base!$B$16*parametros_recargas!$L$37</f>
        <v>0.905362513993681</v>
      </c>
      <c r="K16" s="25" t="n">
        <f aca="false">datos_base!$B$16*parametros_recargas!$M$37</f>
        <v>1.02605992001497</v>
      </c>
      <c r="L16" s="25" t="n">
        <f aca="false">datos_base!$B$16*parametros_recargas!$N$37</f>
        <v>1.16284796773514</v>
      </c>
      <c r="M16" s="25" t="n">
        <f aca="false">datos_base!$B$16*parametros_recargas!$O$37</f>
        <v>1.31787176332354</v>
      </c>
      <c r="N16" s="25" t="n">
        <f aca="false">datos_base!$B$16*parametros_recargas!$P$37</f>
        <v>1.49356238541501</v>
      </c>
      <c r="O16" s="25" t="n">
        <f aca="false">datos_base!$B$16*parametros_recargas!$Q$37</f>
        <v>1.69267500921403</v>
      </c>
      <c r="P16" s="7" t="n">
        <f aca="false">SUM(D16:O16)</f>
        <v>11.1844572641608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4" t="n">
        <f aca="false">parametros_recargas!C66</f>
        <v>3</v>
      </c>
      <c r="D17" s="25" t="n">
        <f aca="false">datos_base!$B$17*parametros_recargas!$F$37</f>
        <v>0.093226581900391</v>
      </c>
      <c r="E17" s="25" t="n">
        <f aca="false">datos_base!$B$17*parametros_recargas!$G$37</f>
        <v>0.105654980949048</v>
      </c>
      <c r="F17" s="25" t="n">
        <f aca="false">datos_base!$B$17*parametros_recargas!$H$37</f>
        <v>0.11974025832322</v>
      </c>
      <c r="G17" s="25" t="n">
        <f aca="false">datos_base!$B$17*parametros_recargas!$I$37</f>
        <v>0.135703298931318</v>
      </c>
      <c r="H17" s="25" t="n">
        <f aca="false">datos_base!$B$17*parametros_recargas!$J$37</f>
        <v>0.153794434709949</v>
      </c>
      <c r="I17" s="25" t="n">
        <f aca="false">datos_base!$B$17*parametros_recargas!$K$37</f>
        <v>0.174297370322026</v>
      </c>
      <c r="J17" s="25" t="n">
        <f aca="false">datos_base!$B$17*parametros_recargas!$L$37</f>
        <v>0.197533632205018</v>
      </c>
      <c r="K17" s="25" t="n">
        <f aca="false">datos_base!$B$17*parametros_recargas!$M$37</f>
        <v>0.22386761073914</v>
      </c>
      <c r="L17" s="25" t="n">
        <f aca="false">datos_base!$B$17*parametros_recargas!$N$37</f>
        <v>0.253712274606664</v>
      </c>
      <c r="M17" s="25" t="n">
        <f aca="false">datos_base!$B$17*parametros_recargas!$O$37</f>
        <v>0.287535646954725</v>
      </c>
      <c r="N17" s="25" t="n">
        <f aca="false">datos_base!$B$17*parametros_recargas!$P$37</f>
        <v>0.325868144920651</v>
      </c>
      <c r="O17" s="25" t="n">
        <f aca="false">datos_base!$B$17*parametros_recargas!$Q$37</f>
        <v>0.369310897618016</v>
      </c>
      <c r="P17" s="7" t="n">
        <f aca="false">SUM(D17:O17)</f>
        <v>2.44024513218017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4" t="n">
        <f aca="false">parametros_recargas!C67</f>
        <v>3</v>
      </c>
      <c r="D18" s="25" t="n">
        <f aca="false">datos_base!$B$18*parametros_recargas!$F$37</f>
        <v>0.0621510582708351</v>
      </c>
      <c r="E18" s="25" t="n">
        <f aca="false">datos_base!$B$18*parametros_recargas!$G$37</f>
        <v>0.0704366581259448</v>
      </c>
      <c r="F18" s="25" t="n">
        <f aca="false">datos_base!$B$18*parametros_recargas!$H$37</f>
        <v>0.0798268435966337</v>
      </c>
      <c r="G18" s="25" t="n">
        <f aca="false">datos_base!$B$18*parametros_recargas!$I$37</f>
        <v>0.0904688712972062</v>
      </c>
      <c r="H18" s="25" t="n">
        <f aca="false">datos_base!$B$18*parametros_recargas!$J$37</f>
        <v>0.102529629195255</v>
      </c>
      <c r="I18" s="25" t="n">
        <f aca="false">datos_base!$B$18*parametros_recargas!$K$37</f>
        <v>0.116198253743894</v>
      </c>
      <c r="J18" s="25" t="n">
        <f aca="false">datos_base!$B$18*parametros_recargas!$L$37</f>
        <v>0.131689095914094</v>
      </c>
      <c r="K18" s="25" t="n">
        <f aca="false">datos_base!$B$18*parametros_recargas!$M$37</f>
        <v>0.149245082640347</v>
      </c>
      <c r="L18" s="25" t="n">
        <f aca="false">datos_base!$B$18*parametros_recargas!$N$37</f>
        <v>0.169141526393759</v>
      </c>
      <c r="M18" s="25" t="n">
        <f aca="false">datos_base!$B$18*parametros_recargas!$O$37</f>
        <v>0.191690442624181</v>
      </c>
      <c r="N18" s="25" t="n">
        <f aca="false">datos_base!$B$18*parametros_recargas!$P$37</f>
        <v>0.217245442777382</v>
      </c>
      <c r="O18" s="25" t="n">
        <f aca="false">datos_base!$B$18*parametros_recargas!$Q$37</f>
        <v>0.246207279619413</v>
      </c>
      <c r="P18" s="7" t="n">
        <f aca="false">SUM(D18:O18)</f>
        <v>1.62683018419895</v>
      </c>
    </row>
    <row r="19" customFormat="false" ht="15" hidden="false" customHeight="false" outlineLevel="0" collapsed="false">
      <c r="A19" s="6" t="s">
        <v>272</v>
      </c>
      <c r="D19" s="7" t="n">
        <f aca="false">SUM(D2:D18)</f>
        <v>75.2077917998332</v>
      </c>
      <c r="E19" s="7" t="n">
        <f aca="false">SUM(E2:E18)</f>
        <v>85.2340356994038</v>
      </c>
      <c r="F19" s="7" t="n">
        <f aca="false">SUM(F2:F18)</f>
        <v>96.5969172574928</v>
      </c>
      <c r="G19" s="7" t="n">
        <f aca="false">SUM(G2:G18)</f>
        <v>109.474628850833</v>
      </c>
      <c r="H19" s="7" t="n">
        <f aca="false">SUM(H2:H18)</f>
        <v>124.06911837653</v>
      </c>
      <c r="I19" s="7" t="n">
        <f aca="false">SUM(I2:I18)</f>
        <v>140.609256193082</v>
      </c>
      <c r="J19" s="7" t="n">
        <f aca="false">SUM(J2:J18)</f>
        <v>159.354424258662</v>
      </c>
      <c r="K19" s="7" t="n">
        <f aca="false">SUM(K2:K18)</f>
        <v>180.598583751409</v>
      </c>
      <c r="L19" s="7" t="n">
        <f aca="false">SUM(L2:L18)</f>
        <v>204.674884960038</v>
      </c>
      <c r="M19" s="7" t="n">
        <f aca="false">SUM(M2:M18)</f>
        <v>231.960891736937</v>
      </c>
      <c r="N19" s="7" t="n">
        <f aca="false">SUM(N2:N18)</f>
        <v>262.884502443475</v>
      </c>
      <c r="O19" s="7" t="n">
        <f aca="false">SUM(O2:O18)</f>
        <v>297.930660239607</v>
      </c>
      <c r="P19" s="7" t="n">
        <f aca="false">SUM(P2:P18)</f>
        <v>1968.5956955673</v>
      </c>
    </row>
    <row r="20" customFormat="false" ht="15" hidden="false" customHeight="false" outlineLevel="0" collapsed="false">
      <c r="A20" s="6" t="s">
        <v>273</v>
      </c>
    </row>
    <row r="21" customFormat="false" ht="15" hidden="false" customHeight="false" outlineLevel="0" collapsed="false">
      <c r="A21" s="4" t="s">
        <v>143</v>
      </c>
      <c r="D21" s="25" t="n">
        <f aca="false">SUMPRODUCT(($B$2:$B$18=$A21)*D$2:D$18*$C$2:$C$18)</f>
        <v>67.0379350324521</v>
      </c>
      <c r="E21" s="25" t="n">
        <f aca="false">SUMPRODUCT(($B$2:$B$18=$A21)*E$2:E$18*$C$2:$C$18)</f>
        <v>75.9750234786577</v>
      </c>
      <c r="F21" s="25" t="n">
        <f aca="false">SUMPRODUCT(($B$2:$B$18=$A21)*F$2:F$18*$C$2:$C$18)</f>
        <v>86.103550024152</v>
      </c>
      <c r="G21" s="25" t="n">
        <f aca="false">SUMPRODUCT(($B$2:$B$18=$A21)*G$2:G$18*$C$2:$C$18)</f>
        <v>97.5823499264108</v>
      </c>
      <c r="H21" s="25" t="n">
        <f aca="false">SUMPRODUCT(($B$2:$B$18=$A21)*H$2:H$18*$C$2:$C$18)</f>
        <v>110.591433390255</v>
      </c>
      <c r="I21" s="25" t="n">
        <f aca="false">SUMPRODUCT(($B$2:$B$18=$A21)*I$2:I$18*$C$2:$C$18)</f>
        <v>125.334808482625</v>
      </c>
      <c r="J21" s="25" t="n">
        <f aca="false">SUMPRODUCT(($B$2:$B$18=$A21)*J$2:J$18*$C$2:$C$18)</f>
        <v>142.043680381129</v>
      </c>
      <c r="K21" s="25" t="n">
        <f aca="false">SUMPRODUCT(($B$2:$B$18=$A21)*K$2:K$18*$C$2:$C$18)</f>
        <v>160.980077126884</v>
      </c>
      <c r="L21" s="25" t="n">
        <f aca="false">SUMPRODUCT(($B$2:$B$18=$A21)*L$2:L$18*$C$2:$C$18)</f>
        <v>182.440958740608</v>
      </c>
      <c r="M21" s="25" t="n">
        <f aca="false">SUMPRODUCT(($B$2:$B$18=$A21)*M$2:M$18*$C$2:$C$18)</f>
        <v>206.762874140987</v>
      </c>
      <c r="N21" s="25" t="n">
        <f aca="false">SUMPRODUCT(($B$2:$B$18=$A21)*N$2:N$18*$C$2:$C$18)</f>
        <v>234.32723889499</v>
      </c>
      <c r="O21" s="25" t="n">
        <f aca="false">SUMPRODUCT(($B$2:$B$18=$A21)*O$2:O$18*$C$2:$C$18)</f>
        <v>265.566316565654</v>
      </c>
      <c r="P21" s="25" t="n">
        <f aca="false">SUMPRODUCT(($B$2:$B$18=$A21)*P$2:P$18*$C$2:$C$18)</f>
        <v>1754.7462461848</v>
      </c>
    </row>
    <row r="22" customFormat="false" ht="15" hidden="false" customHeight="false" outlineLevel="0" collapsed="false">
      <c r="A22" s="4" t="s">
        <v>149</v>
      </c>
      <c r="D22" s="25" t="n">
        <f aca="false">SUMPRODUCT(($B$2:$B$18=$A22)*D$2:D$18*$C$2:$C$18)</f>
        <v>0.0751827280494588</v>
      </c>
      <c r="E22" s="25" t="n">
        <f aca="false">SUMPRODUCT(($B$2:$B$18=$A22)*E$2:E$18*$C$2:$C$18)</f>
        <v>0.0852056306027635</v>
      </c>
      <c r="F22" s="25" t="n">
        <f aca="false">SUMPRODUCT(($B$2:$B$18=$A22)*F$2:F$18*$C$2:$C$18)</f>
        <v>0.0965647253666908</v>
      </c>
      <c r="G22" s="25" t="n">
        <f aca="false">SUMPRODUCT(($B$2:$B$18=$A22)*G$2:G$18*$C$2:$C$18)</f>
        <v>0.109438145333578</v>
      </c>
      <c r="H22" s="25" t="n">
        <f aca="false">SUMPRODUCT(($B$2:$B$18=$A22)*H$2:H$18*$C$2:$C$18)</f>
        <v>0.124027771099369</v>
      </c>
      <c r="I22" s="25" t="n">
        <f aca="false">SUMPRODUCT(($B$2:$B$18=$A22)*I$2:I$18*$C$2:$C$18)</f>
        <v>0.140562396749223</v>
      </c>
      <c r="J22" s="25" t="n">
        <f aca="false">SUMPRODUCT(($B$2:$B$18=$A22)*J$2:J$18*$C$2:$C$18)</f>
        <v>0.159301317799675</v>
      </c>
      <c r="K22" s="25" t="n">
        <f aca="false">SUMPRODUCT(($B$2:$B$18=$A22)*K$2:K$18*$C$2:$C$18)</f>
        <v>0.180538397463356</v>
      </c>
      <c r="L22" s="25" t="n">
        <f aca="false">SUMPRODUCT(($B$2:$B$18=$A22)*L$2:L$18*$C$2:$C$18)</f>
        <v>0.204606675003306</v>
      </c>
      <c r="M22" s="25" t="n">
        <f aca="false">SUMPRODUCT(($B$2:$B$18=$A22)*M$2:M$18*$C$2:$C$18)</f>
        <v>0.231883588444978</v>
      </c>
      <c r="N22" s="25" t="n">
        <f aca="false">SUMPRODUCT(($B$2:$B$18=$A22)*N$2:N$18*$C$2:$C$18)</f>
        <v>0.262796893548322</v>
      </c>
      <c r="O22" s="25" t="n">
        <f aca="false">SUMPRODUCT(($B$2:$B$18=$A22)*O$2:O$18*$C$2:$C$18)</f>
        <v>0.297831371861123</v>
      </c>
      <c r="P22" s="25" t="n">
        <f aca="false">SUMPRODUCT(($B$2:$B$18=$A22)*P$2:P$18*$C$2:$C$18)</f>
        <v>1.96793964132184</v>
      </c>
    </row>
    <row r="23" customFormat="false" ht="15" hidden="false" customHeight="false" outlineLevel="0" collapsed="false">
      <c r="A23" s="4" t="s">
        <v>155</v>
      </c>
      <c r="D23" s="25" t="n">
        <f aca="false">SUMPRODUCT(($B$2:$B$18=$A23)*D$2:D$18*$C$2:$C$18)</f>
        <v>0.0751827280494588</v>
      </c>
      <c r="E23" s="25" t="n">
        <f aca="false">SUMPRODUCT(($B$2:$B$18=$A23)*E$2:E$18*$C$2:$C$18)</f>
        <v>0.0852056306027635</v>
      </c>
      <c r="F23" s="25" t="n">
        <f aca="false">SUMPRODUCT(($B$2:$B$18=$A23)*F$2:F$18*$C$2:$C$18)</f>
        <v>0.0965647253666908</v>
      </c>
      <c r="G23" s="25" t="n">
        <f aca="false">SUMPRODUCT(($B$2:$B$18=$A23)*G$2:G$18*$C$2:$C$18)</f>
        <v>0.109438145333578</v>
      </c>
      <c r="H23" s="25" t="n">
        <f aca="false">SUMPRODUCT(($B$2:$B$18=$A23)*H$2:H$18*$C$2:$C$18)</f>
        <v>0.124027771099369</v>
      </c>
      <c r="I23" s="25" t="n">
        <f aca="false">SUMPRODUCT(($B$2:$B$18=$A23)*I$2:I$18*$C$2:$C$18)</f>
        <v>0.140562396749223</v>
      </c>
      <c r="J23" s="25" t="n">
        <f aca="false">SUMPRODUCT(($B$2:$B$18=$A23)*J$2:J$18*$C$2:$C$18)</f>
        <v>0.159301317799675</v>
      </c>
      <c r="K23" s="25" t="n">
        <f aca="false">SUMPRODUCT(($B$2:$B$18=$A23)*K$2:K$18*$C$2:$C$18)</f>
        <v>0.180538397463356</v>
      </c>
      <c r="L23" s="25" t="n">
        <f aca="false">SUMPRODUCT(($B$2:$B$18=$A23)*L$2:L$18*$C$2:$C$18)</f>
        <v>0.204606675003306</v>
      </c>
      <c r="M23" s="25" t="n">
        <f aca="false">SUMPRODUCT(($B$2:$B$18=$A23)*M$2:M$18*$C$2:$C$18)</f>
        <v>0.231883588444978</v>
      </c>
      <c r="N23" s="25" t="n">
        <f aca="false">SUMPRODUCT(($B$2:$B$18=$A23)*N$2:N$18*$C$2:$C$18)</f>
        <v>0.262796893548322</v>
      </c>
      <c r="O23" s="25" t="n">
        <f aca="false">SUMPRODUCT(($B$2:$B$18=$A23)*O$2:O$18*$C$2:$C$18)</f>
        <v>0.297831371861123</v>
      </c>
      <c r="P23" s="25" t="n">
        <f aca="false">SUMPRODUCT(($B$2:$B$18=$A23)*P$2:P$18*$C$2:$C$18)</f>
        <v>1.96793964132184</v>
      </c>
    </row>
    <row r="24" customFormat="false" ht="15" hidden="false" customHeight="false" outlineLevel="0" collapsed="false">
      <c r="A24" s="4" t="s">
        <v>146</v>
      </c>
      <c r="D24" s="25" t="n">
        <f aca="false">SUMPRODUCT(($B$2:$B$18=$A24)*D$2:D$18*$C$2:$C$18)</f>
        <v>1.75426372055771</v>
      </c>
      <c r="E24" s="25" t="n">
        <f aca="false">SUMPRODUCT(($B$2:$B$18=$A24)*E$2:E$18*$C$2:$C$18)</f>
        <v>1.98813145560958</v>
      </c>
      <c r="F24" s="25" t="n">
        <f aca="false">SUMPRODUCT(($B$2:$B$18=$A24)*F$2:F$18*$C$2:$C$18)</f>
        <v>2.25317701008356</v>
      </c>
      <c r="G24" s="25" t="n">
        <f aca="false">SUMPRODUCT(($B$2:$B$18=$A24)*G$2:G$18*$C$2:$C$18)</f>
        <v>2.55355682062405</v>
      </c>
      <c r="H24" s="25" t="n">
        <f aca="false">SUMPRODUCT(($B$2:$B$18=$A24)*H$2:H$18*$C$2:$C$18)</f>
        <v>2.89398143464716</v>
      </c>
      <c r="I24" s="25" t="n">
        <f aca="false">SUMPRODUCT(($B$2:$B$18=$A24)*I$2:I$18*$C$2:$C$18)</f>
        <v>3.27978938100766</v>
      </c>
      <c r="J24" s="25" t="n">
        <f aca="false">SUMPRODUCT(($B$2:$B$18=$A24)*J$2:J$18*$C$2:$C$18)</f>
        <v>3.71703088865258</v>
      </c>
      <c r="K24" s="25" t="n">
        <f aca="false">SUMPRODUCT(($B$2:$B$18=$A24)*K$2:K$18*$C$2:$C$18)</f>
        <v>4.21256276613486</v>
      </c>
      <c r="L24" s="25" t="n">
        <f aca="false">SUMPRODUCT(($B$2:$B$18=$A24)*L$2:L$18*$C$2:$C$18)</f>
        <v>4.77415592988483</v>
      </c>
      <c r="M24" s="25" t="n">
        <f aca="false">SUMPRODUCT(($B$2:$B$18=$A24)*M$2:M$18*$C$2:$C$18)</f>
        <v>5.4106172674947</v>
      </c>
      <c r="N24" s="25" t="n">
        <f aca="false">SUMPRODUCT(($B$2:$B$18=$A24)*N$2:N$18*$C$2:$C$18)</f>
        <v>6.13192774707257</v>
      </c>
      <c r="O24" s="25" t="n">
        <f aca="false">SUMPRODUCT(($B$2:$B$18=$A24)*O$2:O$18*$C$2:$C$18)</f>
        <v>6.94939893849279</v>
      </c>
      <c r="P24" s="25" t="n">
        <f aca="false">SUMPRODUCT(($B$2:$B$18=$A24)*P$2:P$18*$C$2:$C$18)</f>
        <v>45.9185933602621</v>
      </c>
    </row>
    <row r="25" customFormat="false" ht="15" hidden="false" customHeight="false" outlineLevel="0" collapsed="false">
      <c r="A25" s="4" t="s">
        <v>147</v>
      </c>
      <c r="D25" s="25" t="n">
        <f aca="false">SUMPRODUCT(($B$2:$B$18=$A25)*D$2:D$18*$C$2:$C$18)</f>
        <v>0.626522744757213</v>
      </c>
      <c r="E25" s="25" t="n">
        <f aca="false">SUMPRODUCT(($B$2:$B$18=$A25)*E$2:E$18*$C$2:$C$18)</f>
        <v>0.710046934169435</v>
      </c>
      <c r="F25" s="25" t="n">
        <f aca="false">SUMPRODUCT(($B$2:$B$18=$A25)*F$2:F$18*$C$2:$C$18)</f>
        <v>0.804706058865885</v>
      </c>
      <c r="G25" s="25" t="n">
        <f aca="false">SUMPRODUCT(($B$2:$B$18=$A25)*G$2:G$18*$C$2:$C$18)</f>
        <v>0.911984560475467</v>
      </c>
      <c r="H25" s="25" t="n">
        <f aca="false">SUMPRODUCT(($B$2:$B$18=$A25)*H$2:H$18*$C$2:$C$18)</f>
        <v>1.03356477732728</v>
      </c>
      <c r="I25" s="25" t="n">
        <f aca="false">SUMPRODUCT(($B$2:$B$18=$A25)*I$2:I$18*$C$2:$C$18)</f>
        <v>1.17135332683116</v>
      </c>
      <c r="J25" s="25" t="n">
        <f aca="false">SUMPRODUCT(($B$2:$B$18=$A25)*J$2:J$18*$C$2:$C$18)</f>
        <v>1.32751100499621</v>
      </c>
      <c r="K25" s="25" t="n">
        <f aca="false">SUMPRODUCT(($B$2:$B$18=$A25)*K$2:K$18*$C$2:$C$18)</f>
        <v>1.50448667197072</v>
      </c>
      <c r="L25" s="25" t="n">
        <f aca="false">SUMPRODUCT(($B$2:$B$18=$A25)*L$2:L$18*$C$2:$C$18)</f>
        <v>1.7050556549955</v>
      </c>
      <c r="M25" s="25" t="n">
        <f aca="false">SUMPRODUCT(($B$2:$B$18=$A25)*M$2:M$18*$C$2:$C$18)</f>
        <v>1.93236327100457</v>
      </c>
      <c r="N25" s="25" t="n">
        <f aca="false">SUMPRODUCT(($B$2:$B$18=$A25)*N$2:N$18*$C$2:$C$18)</f>
        <v>2.18997415139352</v>
      </c>
      <c r="O25" s="25" t="n">
        <f aca="false">SUMPRODUCT(($B$2:$B$18=$A25)*O$2:O$18*$C$2:$C$18)</f>
        <v>2.4819281424649</v>
      </c>
      <c r="P25" s="25" t="n">
        <f aca="false">SUMPRODUCT(($B$2:$B$18=$A25)*P$2:P$18*$C$2:$C$18)</f>
        <v>16.3994972992519</v>
      </c>
    </row>
    <row r="26" customFormat="false" ht="15" hidden="false" customHeight="false" outlineLevel="0" collapsed="false">
      <c r="A26" s="4" t="s">
        <v>150</v>
      </c>
      <c r="D26" s="25" t="n">
        <f aca="false">SUMPRODUCT(($B$2:$B$18=$A26)*D$2:D$18*$C$2:$C$18)</f>
        <v>0.902192769628676</v>
      </c>
      <c r="E26" s="25" t="n">
        <f aca="false">SUMPRODUCT(($B$2:$B$18=$A26)*E$2:E$18*$C$2:$C$18)</f>
        <v>1.02246760467238</v>
      </c>
      <c r="F26" s="25" t="n">
        <f aca="false">SUMPRODUCT(($B$2:$B$18=$A26)*F$2:F$18*$C$2:$C$18)</f>
        <v>1.15877674683067</v>
      </c>
      <c r="G26" s="25" t="n">
        <f aca="false">SUMPRODUCT(($B$2:$B$18=$A26)*G$2:G$18*$C$2:$C$18)</f>
        <v>1.31325779208988</v>
      </c>
      <c r="H26" s="25" t="n">
        <f aca="false">SUMPRODUCT(($B$2:$B$18=$A26)*H$2:H$18*$C$2:$C$18)</f>
        <v>1.48833330769004</v>
      </c>
      <c r="I26" s="25" t="n">
        <f aca="false">SUMPRODUCT(($B$2:$B$18=$A26)*I$2:I$18*$C$2:$C$18)</f>
        <v>1.68674882275357</v>
      </c>
      <c r="J26" s="25" t="n">
        <f aca="false">SUMPRODUCT(($B$2:$B$18=$A26)*J$2:J$18*$C$2:$C$18)</f>
        <v>1.91161588359285</v>
      </c>
      <c r="K26" s="25" t="n">
        <f aca="false">SUMPRODUCT(($B$2:$B$18=$A26)*K$2:K$18*$C$2:$C$18)</f>
        <v>2.16646084888855</v>
      </c>
      <c r="L26" s="25" t="n">
        <f aca="false">SUMPRODUCT(($B$2:$B$18=$A26)*L$2:L$18*$C$2:$C$18)</f>
        <v>2.45528018994352</v>
      </c>
      <c r="M26" s="25" t="n">
        <f aca="false">SUMPRODUCT(($B$2:$B$18=$A26)*M$2:M$18*$C$2:$C$18)</f>
        <v>2.78260316322901</v>
      </c>
      <c r="N26" s="25" t="n">
        <f aca="false">SUMPRODUCT(($B$2:$B$18=$A26)*N$2:N$18*$C$2:$C$18)</f>
        <v>3.15356283805239</v>
      </c>
      <c r="O26" s="25" t="n">
        <f aca="false">SUMPRODUCT(($B$2:$B$18=$A26)*O$2:O$18*$C$2:$C$18)</f>
        <v>3.5739765932001</v>
      </c>
      <c r="P26" s="25" t="n">
        <f aca="false">SUMPRODUCT(($B$2:$B$18=$A26)*P$2:P$18*$C$2:$C$18)</f>
        <v>23.6152765605716</v>
      </c>
    </row>
    <row r="27" customFormat="false" ht="15" hidden="false" customHeight="false" outlineLevel="0" collapsed="false">
      <c r="A27" s="4" t="s">
        <v>151</v>
      </c>
      <c r="D27" s="25" t="n">
        <f aca="false">SUMPRODUCT(($B$2:$B$18=$A27)*D$2:D$18*$C$2:$C$18)</f>
        <v>6.34041030776227</v>
      </c>
      <c r="E27" s="25" t="n">
        <f aca="false">SUMPRODUCT(($B$2:$B$18=$A27)*E$2:E$18*$C$2:$C$18)</f>
        <v>7.18567512205398</v>
      </c>
      <c r="F27" s="25" t="n">
        <f aca="false">SUMPRODUCT(($B$2:$B$18=$A27)*F$2:F$18*$C$2:$C$18)</f>
        <v>8.14362548374708</v>
      </c>
      <c r="G27" s="25" t="n">
        <f aca="false">SUMPRODUCT(($B$2:$B$18=$A27)*G$2:G$18*$C$2:$C$18)</f>
        <v>9.22928394243603</v>
      </c>
      <c r="H27" s="25" t="n">
        <f aca="false">SUMPRODUCT(($B$2:$B$18=$A27)*H$2:H$18*$C$2:$C$18)</f>
        <v>10.4596757623626</v>
      </c>
      <c r="I27" s="25" t="n">
        <f aca="false">SUMPRODUCT(($B$2:$B$18=$A27)*I$2:I$18*$C$2:$C$18)</f>
        <v>11.8540959121124</v>
      </c>
      <c r="J27" s="25" t="n">
        <f aca="false">SUMPRODUCT(($B$2:$B$18=$A27)*J$2:J$18*$C$2:$C$18)</f>
        <v>13.4344116477487</v>
      </c>
      <c r="K27" s="25" t="n">
        <f aca="false">SUMPRODUCT(($B$2:$B$18=$A27)*K$2:K$18*$C$2:$C$18)</f>
        <v>15.2254054344837</v>
      </c>
      <c r="L27" s="25" t="n">
        <f aca="false">SUMPRODUCT(($B$2:$B$18=$A27)*L$2:L$18*$C$2:$C$18)</f>
        <v>17.2551635845737</v>
      </c>
      <c r="M27" s="25" t="n">
        <f aca="false">SUMPRODUCT(($B$2:$B$18=$A27)*M$2:M$18*$C$2:$C$18)</f>
        <v>19.5555167060478</v>
      </c>
      <c r="N27" s="25" t="n">
        <f aca="false">SUMPRODUCT(($B$2:$B$18=$A27)*N$2:N$18*$C$2:$C$18)</f>
        <v>22.1625388693737</v>
      </c>
      <c r="O27" s="25" t="n">
        <f aca="false">SUMPRODUCT(($B$2:$B$18=$A27)*O$2:O$18*$C$2:$C$18)</f>
        <v>25.1171133199766</v>
      </c>
      <c r="P27" s="25" t="n">
        <f aca="false">SUMPRODUCT(($B$2:$B$18=$A27)*P$2:P$18*$C$2:$C$18)</f>
        <v>165.962916092679</v>
      </c>
    </row>
    <row r="28" customFormat="false" ht="15" hidden="false" customHeight="false" outlineLevel="0" collapsed="false">
      <c r="A28" s="4" t="s">
        <v>154</v>
      </c>
      <c r="D28" s="25" t="n">
        <f aca="false">SUMPRODUCT(($B$2:$B$18=$A28)*D$2:D$18*$C$2:$C$18)</f>
        <v>0.20048728581028</v>
      </c>
      <c r="E28" s="25" t="n">
        <f aca="false">SUMPRODUCT(($B$2:$B$18=$A28)*E$2:E$18*$C$2:$C$18)</f>
        <v>0.227215027420442</v>
      </c>
      <c r="F28" s="25" t="n">
        <f aca="false">SUMPRODUCT(($B$2:$B$18=$A28)*F$2:F$18*$C$2:$C$18)</f>
        <v>0.257505948454637</v>
      </c>
      <c r="G28" s="25" t="n">
        <f aca="false">SUMPRODUCT(($B$2:$B$18=$A28)*G$2:G$18*$C$2:$C$18)</f>
        <v>0.291835070251857</v>
      </c>
      <c r="H28" s="25" t="n">
        <f aca="false">SUMPRODUCT(($B$2:$B$18=$A28)*H$2:H$18*$C$2:$C$18)</f>
        <v>0.33074074109752</v>
      </c>
      <c r="I28" s="25" t="n">
        <f aca="false">SUMPRODUCT(($B$2:$B$18=$A28)*I$2:I$18*$C$2:$C$18)</f>
        <v>0.374833078585559</v>
      </c>
      <c r="J28" s="25" t="n">
        <f aca="false">SUMPRODUCT(($B$2:$B$18=$A28)*J$2:J$18*$C$2:$C$18)</f>
        <v>0.424803537464715</v>
      </c>
      <c r="K28" s="25" t="n">
        <f aca="false">SUMPRODUCT(($B$2:$B$18=$A28)*K$2:K$18*$C$2:$C$18)</f>
        <v>0.481435753011709</v>
      </c>
      <c r="L28" s="25" t="n">
        <f aca="false">SUMPRODUCT(($B$2:$B$18=$A28)*L$2:L$18*$C$2:$C$18)</f>
        <v>0.545617829976765</v>
      </c>
      <c r="M28" s="25" t="n">
        <f aca="false">SUMPRODUCT(($B$2:$B$18=$A28)*M$2:M$18*$C$2:$C$18)</f>
        <v>0.618356269816366</v>
      </c>
      <c r="N28" s="25" t="n">
        <f aca="false">SUMPRODUCT(($B$2:$B$18=$A28)*N$2:N$18*$C$2:$C$18)</f>
        <v>0.700791754619701</v>
      </c>
      <c r="O28" s="25" t="n">
        <f aca="false">SUMPRODUCT(($B$2:$B$18=$A28)*O$2:O$18*$C$2:$C$18)</f>
        <v>0.79421703525187</v>
      </c>
      <c r="P28" s="25" t="n">
        <f aca="false">SUMPRODUCT(($B$2:$B$18=$A28)*P$2:P$18*$C$2:$C$18)</f>
        <v>5.24783933176142</v>
      </c>
    </row>
    <row r="29" customFormat="false" ht="15" hidden="false" customHeight="false" outlineLevel="0" collapsed="false">
      <c r="A29" s="6" t="s">
        <v>274</v>
      </c>
      <c r="D29" s="26" t="n">
        <f aca="false">SUMPRODUCT(D$2:D$18*parametros_recargas!$D$51:$D$67)</f>
        <v>2.28054282791565</v>
      </c>
      <c r="E29" s="26" t="n">
        <f aca="false">SUMPRODUCT(E$2:E$18*parametros_recargas!$D$51:$D$67)</f>
        <v>2.58457088230867</v>
      </c>
      <c r="F29" s="26" t="n">
        <f aca="false">SUMPRODUCT(F$2:F$18*parametros_recargas!$D$51:$D$67)</f>
        <v>2.92913010179385</v>
      </c>
      <c r="G29" s="26" t="n">
        <f aca="false">SUMPRODUCT(G$2:G$18*parametros_recargas!$D$51:$D$67)</f>
        <v>3.31962385398808</v>
      </c>
      <c r="H29" s="26" t="n">
        <f aca="false">SUMPRODUCT(H$2:H$18*parametros_recargas!$D$51:$D$67)</f>
        <v>3.76217585050861</v>
      </c>
      <c r="I29" s="26" t="n">
        <f aca="false">SUMPRODUCT(I$2:I$18*parametros_recargas!$D$51:$D$67)</f>
        <v>4.26372617883985</v>
      </c>
      <c r="J29" s="26" t="n">
        <f aca="false">SUMPRODUCT(J$2:J$18*parametros_recargas!$D$51:$D$67)</f>
        <v>4.83214013658255</v>
      </c>
      <c r="K29" s="26" t="n">
        <f aca="false">SUMPRODUCT(K$2:K$18*parametros_recargas!$D$51:$D$67)</f>
        <v>5.47633157482111</v>
      </c>
      <c r="L29" s="26" t="n">
        <f aca="false">SUMPRODUCT(L$2:L$18*parametros_recargas!$D$51:$D$67)</f>
        <v>6.20640268487593</v>
      </c>
      <c r="M29" s="26" t="n">
        <f aca="false">SUMPRODUCT(M$2:M$18*parametros_recargas!$D$51:$D$67)</f>
        <v>7.03380242057264</v>
      </c>
      <c r="N29" s="26" t="n">
        <f aca="false">SUMPRODUCT(N$2:N$18*parametros_recargas!$D$51:$D$67)</f>
        <v>7.97150604040166</v>
      </c>
      <c r="O29" s="26" t="n">
        <f aca="false">SUMPRODUCT(O$2:O$18*parametros_recargas!$D$51:$D$67)</f>
        <v>9.03421858514286</v>
      </c>
      <c r="P29" s="26" t="n">
        <f aca="false">SUMPRODUCT(P$2:P$18*parametros_recargas!$D$51:$D$67)</f>
        <v>59.6941711377515</v>
      </c>
    </row>
    <row r="33" customFormat="false" ht="15" hidden="false" customHeight="false" outlineLevel="0" collapsed="false">
      <c r="A33" s="23" t="n">
        <v>2027</v>
      </c>
      <c r="B33" s="3" t="s">
        <v>270</v>
      </c>
      <c r="C33" s="3" t="s">
        <v>271</v>
      </c>
      <c r="D33" s="3" t="s">
        <v>124</v>
      </c>
      <c r="E33" s="3" t="s">
        <v>125</v>
      </c>
      <c r="F33" s="3" t="s">
        <v>126</v>
      </c>
      <c r="G33" s="3" t="s">
        <v>127</v>
      </c>
      <c r="H33" s="3" t="s">
        <v>128</v>
      </c>
      <c r="I33" s="3" t="s">
        <v>129</v>
      </c>
      <c r="J33" s="3" t="s">
        <v>130</v>
      </c>
      <c r="K33" s="3" t="s">
        <v>131</v>
      </c>
      <c r="L33" s="3" t="s">
        <v>132</v>
      </c>
      <c r="M33" s="3" t="s">
        <v>133</v>
      </c>
      <c r="N33" s="3" t="s">
        <v>134</v>
      </c>
      <c r="O33" s="3" t="s">
        <v>135</v>
      </c>
      <c r="P33" s="3" t="s">
        <v>136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4" t="n">
        <f aca="false">parametros_recargas!C51</f>
        <v>1</v>
      </c>
      <c r="D34" s="25" t="n">
        <f aca="false">datos_base!$C$2*parametros_recargas!$F$38</f>
        <v>290.481539959573</v>
      </c>
      <c r="E34" s="25" t="n">
        <f aca="false">datos_base!$C$2*parametros_recargas!$G$38</f>
        <v>307.820341964657</v>
      </c>
      <c r="F34" s="25" t="n">
        <f aca="false">datos_base!$C$2*parametros_recargas!$H$38</f>
        <v>326.194094607271</v>
      </c>
      <c r="G34" s="25" t="n">
        <f aca="false">datos_base!$C$2*parametros_recargas!$I$38</f>
        <v>345.664573944479</v>
      </c>
      <c r="H34" s="25" t="n">
        <f aca="false">datos_base!$C$2*parametros_recargas!$J$38</f>
        <v>366.297243437451</v>
      </c>
      <c r="I34" s="25" t="n">
        <f aca="false">datos_base!$C$2*parametros_recargas!$K$38</f>
        <v>388.161474052085</v>
      </c>
      <c r="J34" s="25" t="n">
        <f aca="false">datos_base!$C$2*parametros_recargas!$L$38</f>
        <v>411.330777497418</v>
      </c>
      <c r="K34" s="25" t="n">
        <f aca="false">datos_base!$C$2*parametros_recargas!$M$38</f>
        <v>435.883053385992</v>
      </c>
      <c r="L34" s="25" t="n">
        <f aca="false">datos_base!$C$2*parametros_recargas!$N$38</f>
        <v>461.900851147196</v>
      </c>
      <c r="M34" s="25" t="n">
        <f aca="false">datos_base!$C$2*parametros_recargas!$O$38</f>
        <v>489.471647574177</v>
      </c>
      <c r="N34" s="25" t="n">
        <f aca="false">datos_base!$C$2*parametros_recargas!$P$38</f>
        <v>518.688140937481</v>
      </c>
      <c r="O34" s="25" t="n">
        <f aca="false">datos_base!$C$2*parametros_recargas!$Q$38</f>
        <v>549.648562654304</v>
      </c>
      <c r="P34" s="7" t="n">
        <f aca="false">SUM(D34:O34)</f>
        <v>4891.54230116208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4" t="n">
        <f aca="false">parametros_recargas!C52</f>
        <v>1</v>
      </c>
      <c r="D35" s="25" t="n">
        <f aca="false">datos_base!$C$3*parametros_recargas!$F$38</f>
        <v>22.0363643418183</v>
      </c>
      <c r="E35" s="25" t="n">
        <f aca="false">datos_base!$C$3*parametros_recargas!$G$38</f>
        <v>23.3517118103283</v>
      </c>
      <c r="F35" s="25" t="n">
        <f aca="false">datos_base!$C$3*parametros_recargas!$H$38</f>
        <v>24.7455721830577</v>
      </c>
      <c r="G35" s="25" t="n">
        <f aca="false">datos_base!$C$3*parametros_recargas!$I$38</f>
        <v>26.2226318841468</v>
      </c>
      <c r="H35" s="25" t="n">
        <f aca="false">datos_base!$C$3*parametros_recargas!$J$38</f>
        <v>27.787857069729</v>
      </c>
      <c r="I35" s="25" t="n">
        <f aca="false">datos_base!$C$3*parametros_recargas!$K$38</f>
        <v>29.4465103250948</v>
      </c>
      <c r="J35" s="25" t="n">
        <f aca="false">datos_base!$C$3*parametros_recargas!$L$38</f>
        <v>31.2041683585057</v>
      </c>
      <c r="K35" s="25" t="n">
        <f aca="false">datos_base!$C$3*parametros_recargas!$M$38</f>
        <v>33.0667407511498</v>
      </c>
      <c r="L35" s="25" t="n">
        <f aca="false">datos_base!$C$3*parametros_recargas!$N$38</f>
        <v>35.0404898262802</v>
      </c>
      <c r="M35" s="25" t="n">
        <f aca="false">datos_base!$C$3*parametros_recargas!$O$38</f>
        <v>37.1320517043383</v>
      </c>
      <c r="N35" s="25" t="n">
        <f aca="false">datos_base!$C$3*parametros_recargas!$P$38</f>
        <v>39.3484586148555</v>
      </c>
      <c r="O35" s="25" t="n">
        <f aca="false">datos_base!$C$3*parametros_recargas!$Q$38</f>
        <v>41.6971625401487</v>
      </c>
      <c r="P35" s="7" t="n">
        <f aca="false">SUM(D35:O35)</f>
        <v>371.079719409453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4" t="n">
        <f aca="false">parametros_recargas!C53</f>
        <v>1</v>
      </c>
      <c r="D36" s="25" t="n">
        <f aca="false">datos_base!$C$4*parametros_recargas!$F$38</f>
        <v>134.411432156366</v>
      </c>
      <c r="E36" s="25" t="n">
        <f aca="false">datos_base!$C$4*parametros_recargas!$G$38</f>
        <v>142.434431517026</v>
      </c>
      <c r="F36" s="25" t="n">
        <f aca="false">datos_base!$C$4*parametros_recargas!$H$38</f>
        <v>150.936322573938</v>
      </c>
      <c r="G36" s="25" t="n">
        <f aca="false">datos_base!$C$4*parametros_recargas!$I$38</f>
        <v>159.94569030467</v>
      </c>
      <c r="H36" s="25" t="n">
        <f aca="false">datos_base!$C$4*parametros_recargas!$J$38</f>
        <v>169.492825920053</v>
      </c>
      <c r="I36" s="25" t="n">
        <f aca="false">datos_base!$C$4*parametros_recargas!$K$38</f>
        <v>179.609828709005</v>
      </c>
      <c r="J36" s="25" t="n">
        <f aca="false">datos_base!$C$4*parametros_recargas!$L$38</f>
        <v>190.330713962457</v>
      </c>
      <c r="K36" s="25" t="n">
        <f aca="false">datos_base!$C$4*parametros_recargas!$M$38</f>
        <v>201.691527339241</v>
      </c>
      <c r="L36" s="25" t="n">
        <f aca="false">datos_base!$C$4*parametros_recargas!$N$38</f>
        <v>213.730466058462</v>
      </c>
      <c r="M36" s="25" t="n">
        <f aca="false">datos_base!$C$4*parametros_recargas!$O$38</f>
        <v>226.488007325827</v>
      </c>
      <c r="N36" s="25" t="n">
        <f aca="false">datos_base!$C$4*parametros_recargas!$P$38</f>
        <v>240.007044425724</v>
      </c>
      <c r="O36" s="25" t="n">
        <f aca="false">datos_base!$C$4*parametros_recargas!$Q$38</f>
        <v>254.333030936613</v>
      </c>
      <c r="P36" s="7" t="n">
        <f aca="false">SUM(D36:O36)</f>
        <v>2263.41132122938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4" t="n">
        <f aca="false">parametros_recargas!C54</f>
        <v>1</v>
      </c>
      <c r="D37" s="25" t="n">
        <f aca="false">datos_base!$C$5*parametros_recargas!$F$38</f>
        <v>7.49229215423083</v>
      </c>
      <c r="E37" s="25" t="n">
        <f aca="false">datos_base!$C$5*parametros_recargas!$G$38</f>
        <v>7.93950601244894</v>
      </c>
      <c r="F37" s="25" t="n">
        <f aca="false">datos_base!$C$5*parametros_recargas!$H$38</f>
        <v>8.4134140025649</v>
      </c>
      <c r="G37" s="25" t="n">
        <f aca="false">datos_base!$C$5*parametros_recargas!$I$38</f>
        <v>8.91560949353339</v>
      </c>
      <c r="H37" s="25" t="n">
        <f aca="false">datos_base!$C$5*parametros_recargas!$J$38</f>
        <v>9.44778096227643</v>
      </c>
      <c r="I37" s="25" t="n">
        <f aca="false">datos_base!$C$5*parametros_recargas!$K$38</f>
        <v>10.0117176706646</v>
      </c>
      <c r="J37" s="25" t="n">
        <f aca="false">datos_base!$C$5*parametros_recargas!$L$38</f>
        <v>10.6093156813561</v>
      </c>
      <c r="K37" s="25" t="n">
        <f aca="false">datos_base!$C$5*parametros_recargas!$M$38</f>
        <v>11.2425842327211</v>
      </c>
      <c r="L37" s="25" t="n">
        <f aca="false">datos_base!$C$5*parametros_recargas!$N$38</f>
        <v>11.9136524942835</v>
      </c>
      <c r="M37" s="25" t="n">
        <f aca="false">datos_base!$C$5*parametros_recargas!$O$38</f>
        <v>12.6247767253948</v>
      </c>
      <c r="N37" s="25" t="n">
        <f aca="false">datos_base!$C$5*parametros_recargas!$P$38</f>
        <v>13.3783478612077</v>
      </c>
      <c r="O37" s="25" t="n">
        <f aca="false">datos_base!$C$5*parametros_recargas!$Q$38</f>
        <v>14.1768995514559</v>
      </c>
      <c r="P37" s="7" t="n">
        <f aca="false">SUM(D37:O37)</f>
        <v>126.165896842138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4" t="n">
        <f aca="false">parametros_recargas!C55</f>
        <v>1</v>
      </c>
      <c r="D38" s="25" t="n">
        <f aca="false">datos_base!$C$6*parametros_recargas!$F$38</f>
        <v>11.0133300813067</v>
      </c>
      <c r="E38" s="25" t="n">
        <f aca="false">datos_base!$C$6*parametros_recargas!$G$38</f>
        <v>11.67071419502</v>
      </c>
      <c r="F38" s="25" t="n">
        <f aca="false">datos_base!$C$6*parametros_recargas!$H$38</f>
        <v>12.367337473434</v>
      </c>
      <c r="G38" s="25" t="n">
        <f aca="false">datos_base!$C$6*parametros_recargas!$I$38</f>
        <v>13.1055420967357</v>
      </c>
      <c r="H38" s="25" t="n">
        <f aca="false">datos_base!$C$6*parametros_recargas!$J$38</f>
        <v>13.8878100495158</v>
      </c>
      <c r="I38" s="25" t="n">
        <f aca="false">datos_base!$C$6*parametros_recargas!$K$38</f>
        <v>14.7167714656743</v>
      </c>
      <c r="J38" s="25" t="n">
        <f aca="false">datos_base!$C$6*parametros_recargas!$L$38</f>
        <v>15.5952134714311</v>
      </c>
      <c r="K38" s="25" t="n">
        <f aca="false">datos_base!$C$6*parametros_recargas!$M$38</f>
        <v>16.5260895561757</v>
      </c>
      <c r="L38" s="25" t="n">
        <f aca="false">datos_base!$C$6*parametros_recargas!$N$38</f>
        <v>17.5125295026615</v>
      </c>
      <c r="M38" s="25" t="n">
        <f aca="false">datos_base!$C$6*parametros_recargas!$O$38</f>
        <v>18.5578499099311</v>
      </c>
      <c r="N38" s="25" t="n">
        <f aca="false">datos_base!$C$6*parametros_recargas!$P$38</f>
        <v>19.6655653443548</v>
      </c>
      <c r="O38" s="25" t="n">
        <f aca="false">datos_base!$C$6*parametros_recargas!$Q$38</f>
        <v>20.8394001562719</v>
      </c>
      <c r="P38" s="7" t="n">
        <f aca="false">SUM(D38:O38)</f>
        <v>185.458153302513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4" t="n">
        <f aca="false">parametros_recargas!C56</f>
        <v>1</v>
      </c>
      <c r="D39" s="25" t="n">
        <f aca="false">datos_base!$C$7*parametros_recargas!$F$38</f>
        <v>2.76120393039158</v>
      </c>
      <c r="E39" s="25" t="n">
        <f aca="false">datos_base!$C$7*parametros_recargas!$G$38</f>
        <v>2.92601980217257</v>
      </c>
      <c r="F39" s="25" t="n">
        <f aca="false">datos_base!$C$7*parametros_recargas!$H$38</f>
        <v>3.10067351001193</v>
      </c>
      <c r="G39" s="25" t="n">
        <f aca="false">datos_base!$C$7*parametros_recargas!$I$38</f>
        <v>3.28575227295154</v>
      </c>
      <c r="H39" s="25" t="n">
        <f aca="false">datos_base!$C$7*parametros_recargas!$J$38</f>
        <v>3.48187836105473</v>
      </c>
      <c r="I39" s="25" t="n">
        <f aca="false">datos_base!$C$7*parametros_recargas!$K$38</f>
        <v>3.68971118759689</v>
      </c>
      <c r="J39" s="25" t="n">
        <f aca="false">datos_base!$C$7*parametros_recargas!$L$38</f>
        <v>3.90994952613844</v>
      </c>
      <c r="K39" s="25" t="n">
        <f aca="false">datos_base!$C$7*parametros_recargas!$M$38</f>
        <v>4.14333385993474</v>
      </c>
      <c r="L39" s="25" t="n">
        <f aca="false">datos_base!$C$7*parametros_recargas!$N$38</f>
        <v>4.39064887158185</v>
      </c>
      <c r="M39" s="25" t="n">
        <f aca="false">datos_base!$C$7*parametros_recargas!$O$38</f>
        <v>4.65272608126891</v>
      </c>
      <c r="N39" s="25" t="n">
        <f aca="false">datos_base!$C$7*parametros_recargas!$P$38</f>
        <v>4.93044664250748</v>
      </c>
      <c r="O39" s="25" t="n">
        <f aca="false">datos_base!$C$7*parametros_recargas!$Q$38</f>
        <v>5.22474430473748</v>
      </c>
      <c r="P39" s="7" t="n">
        <f aca="false">SUM(D39:O39)</f>
        <v>46.4970883503482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4" t="n">
        <f aca="false">parametros_recargas!C57</f>
        <v>3</v>
      </c>
      <c r="D40" s="25" t="n">
        <f aca="false">datos_base!$C$8*parametros_recargas!$F$38</f>
        <v>1.42451750123906</v>
      </c>
      <c r="E40" s="25" t="n">
        <f aca="false">datos_base!$C$8*parametros_recargas!$G$38</f>
        <v>1.50954674926012</v>
      </c>
      <c r="F40" s="25" t="n">
        <f aca="false">datos_base!$C$8*parametros_recargas!$H$38</f>
        <v>1.59965138106042</v>
      </c>
      <c r="G40" s="25" t="n">
        <f aca="false">datos_base!$C$8*parametros_recargas!$I$38</f>
        <v>1.69513434557936</v>
      </c>
      <c r="H40" s="25" t="n">
        <f aca="false">datos_base!$C$8*parametros_recargas!$J$38</f>
        <v>1.79631667473566</v>
      </c>
      <c r="I40" s="25" t="n">
        <f aca="false">datos_base!$C$8*parametros_recargas!$K$38</f>
        <v>1.90353856279783</v>
      </c>
      <c r="J40" s="25" t="n">
        <f aca="false">datos_base!$C$8*parametros_recargas!$L$38</f>
        <v>2.01716051018213</v>
      </c>
      <c r="K40" s="25" t="n">
        <f aca="false">datos_base!$C$8*parametros_recargas!$M$38</f>
        <v>2.1375645355236</v>
      </c>
      <c r="L40" s="25" t="n">
        <f aca="false">datos_base!$C$8*parametros_recargas!$N$38</f>
        <v>2.26515546009558</v>
      </c>
      <c r="M40" s="25" t="n">
        <f aca="false">datos_base!$C$8*parametros_recargas!$O$38</f>
        <v>2.40036226889589</v>
      </c>
      <c r="N40" s="25" t="n">
        <f aca="false">datos_base!$C$8*parametros_recargas!$P$38</f>
        <v>2.54363955297616</v>
      </c>
      <c r="O40" s="25" t="n">
        <f aca="false">datos_base!$C$8*parametros_recargas!$Q$38</f>
        <v>2.69546903786355</v>
      </c>
      <c r="P40" s="7" t="n">
        <f aca="false">SUM(D40:O40)</f>
        <v>23.9880565802094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4" t="n">
        <f aca="false">parametros_recargas!C58</f>
        <v>1</v>
      </c>
      <c r="D41" s="25" t="n">
        <f aca="false">datos_base!$C$9*parametros_recargas!$F$38</f>
        <v>0.805739433777692</v>
      </c>
      <c r="E41" s="25" t="n">
        <f aca="false">datos_base!$C$9*parametros_recargas!$G$38</f>
        <v>0.853833906534566</v>
      </c>
      <c r="F41" s="25" t="n">
        <f aca="false">datos_base!$C$9*parametros_recargas!$H$38</f>
        <v>0.904799131562949</v>
      </c>
      <c r="G41" s="25" t="n">
        <f aca="false">datos_base!$C$9*parametros_recargas!$I$38</f>
        <v>0.958806463659597</v>
      </c>
      <c r="H41" s="25" t="n">
        <f aca="false">datos_base!$C$9*parametros_recargas!$J$38</f>
        <v>1.01603748576483</v>
      </c>
      <c r="I41" s="25" t="n">
        <f aca="false">datos_base!$C$9*parametros_recargas!$K$38</f>
        <v>1.07668461947898</v>
      </c>
      <c r="J41" s="25" t="n">
        <f aca="false">datos_base!$C$9*parametros_recargas!$L$38</f>
        <v>1.14095177202046</v>
      </c>
      <c r="K41" s="25" t="n">
        <f aca="false">datos_base!$C$9*parametros_recargas!$M$38</f>
        <v>1.2090550218007</v>
      </c>
      <c r="L41" s="25" t="n">
        <f aca="false">datos_base!$C$9*parametros_recargas!$N$38</f>
        <v>1.28122334492089</v>
      </c>
      <c r="M41" s="25" t="n">
        <f aca="false">datos_base!$C$9*parametros_recargas!$O$38</f>
        <v>1.35769938503335</v>
      </c>
      <c r="N41" s="25" t="n">
        <f aca="false">datos_base!$C$9*parametros_recargas!$P$38</f>
        <v>1.4387402691556</v>
      </c>
      <c r="O41" s="25" t="n">
        <f aca="false">datos_base!$C$9*parametros_recargas!$Q$38</f>
        <v>1.5246184721805</v>
      </c>
      <c r="P41" s="7" t="n">
        <f aca="false">SUM(D41:O41)</f>
        <v>13.5681893058901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4" t="n">
        <f aca="false">parametros_recargas!C59</f>
        <v>1</v>
      </c>
      <c r="D42" s="25" t="n">
        <f aca="false">datos_base!$C$10*parametros_recargas!$F$38</f>
        <v>5.7409436520234</v>
      </c>
      <c r="E42" s="25" t="n">
        <f aca="false">datos_base!$C$10*parametros_recargas!$G$38</f>
        <v>6.08361976603269</v>
      </c>
      <c r="F42" s="25" t="n">
        <f aca="false">datos_base!$C$10*parametros_recargas!$H$38</f>
        <v>6.44675016878441</v>
      </c>
      <c r="G42" s="25" t="n">
        <f aca="false">datos_base!$C$10*parametros_recargas!$I$38</f>
        <v>6.83155577387848</v>
      </c>
      <c r="H42" s="25" t="n">
        <f aca="false">datos_base!$C$10*parametros_recargas!$J$38</f>
        <v>7.23933037107476</v>
      </c>
      <c r="I42" s="25" t="n">
        <f aca="false">datos_base!$C$10*parametros_recargas!$K$38</f>
        <v>7.67144497626079</v>
      </c>
      <c r="J42" s="25" t="n">
        <f aca="false">datos_base!$C$10*parametros_recargas!$L$38</f>
        <v>8.12935244106836</v>
      </c>
      <c r="K42" s="25" t="n">
        <f aca="false">datos_base!$C$10*parametros_recargas!$M$38</f>
        <v>8.61459233763753</v>
      </c>
      <c r="L42" s="25" t="n">
        <f aca="false">datos_base!$C$10*parametros_recargas!$N$38</f>
        <v>9.12879613495148</v>
      </c>
      <c r="M42" s="25" t="n">
        <f aca="false">datos_base!$C$10*parametros_recargas!$O$38</f>
        <v>9.67369268414608</v>
      </c>
      <c r="N42" s="25" t="n">
        <f aca="false">datos_base!$C$10*parametros_recargas!$P$38</f>
        <v>10.2511140312368</v>
      </c>
      <c r="O42" s="25" t="n">
        <f aca="false">datos_base!$C$10*parametros_recargas!$Q$38</f>
        <v>10.8630015768065</v>
      </c>
      <c r="P42" s="7" t="n">
        <f aca="false">SUM(D42:O42)</f>
        <v>96.6741939139013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4" t="n">
        <f aca="false">parametros_recargas!C60</f>
        <v>1</v>
      </c>
      <c r="D43" s="25" t="n">
        <f aca="false">datos_base!$C$11*parametros_recargas!$F$38</f>
        <v>29.0502580915105</v>
      </c>
      <c r="E43" s="25" t="n">
        <f aca="false">datos_base!$C$11*parametros_recargas!$G$38</f>
        <v>30.7842638851847</v>
      </c>
      <c r="F43" s="25" t="n">
        <f aca="false">datos_base!$C$11*parametros_recargas!$H$38</f>
        <v>32.6217722392501</v>
      </c>
      <c r="G43" s="25" t="n">
        <f aca="false">datos_base!$C$11*parametros_recargas!$I$38</f>
        <v>34.5689612068866</v>
      </c>
      <c r="H43" s="25" t="n">
        <f aca="false">datos_base!$C$11*parametros_recargas!$J$38</f>
        <v>36.6323776083938</v>
      </c>
      <c r="I43" s="25" t="n">
        <f aca="false">datos_base!$C$11*parametros_recargas!$K$38</f>
        <v>38.8189590428486</v>
      </c>
      <c r="J43" s="25" t="n">
        <f aca="false">datos_base!$C$11*parametros_recargas!$L$38</f>
        <v>41.1360572136346</v>
      </c>
      <c r="K43" s="25" t="n">
        <f aca="false">datos_base!$C$11*parametros_recargas!$M$38</f>
        <v>43.59146264627</v>
      </c>
      <c r="L43" s="25" t="n">
        <f aca="false">datos_base!$C$11*parametros_recargas!$N$38</f>
        <v>46.1934308816385</v>
      </c>
      <c r="M43" s="25" t="n">
        <f aca="false">datos_base!$C$11*parametros_recargas!$O$38</f>
        <v>48.9507102326904</v>
      </c>
      <c r="N43" s="25" t="n">
        <f aca="false">datos_base!$C$11*parametros_recargas!$P$38</f>
        <v>51.872571197938</v>
      </c>
      <c r="O43" s="25" t="n">
        <f aca="false">datos_base!$C$11*parametros_recargas!$Q$38</f>
        <v>54.9688376306376</v>
      </c>
      <c r="P43" s="7" t="n">
        <f aca="false">SUM(D43:O43)</f>
        <v>489.189661876883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4" t="n">
        <f aca="false">parametros_recargas!C61</f>
        <v>1</v>
      </c>
      <c r="D44" s="25" t="n">
        <f aca="false">datos_base!$C$12*parametros_recargas!$F$38</f>
        <v>11.0168703248612</v>
      </c>
      <c r="E44" s="25" t="n">
        <f aca="false">datos_base!$C$12*parametros_recargas!$G$38</f>
        <v>11.6744657552112</v>
      </c>
      <c r="F44" s="25" t="n">
        <f aca="false">datos_base!$C$12*parametros_recargas!$H$38</f>
        <v>12.371312963722</v>
      </c>
      <c r="G44" s="25" t="n">
        <f aca="false">datos_base!$C$12*parametros_recargas!$I$38</f>
        <v>13.1097548834763</v>
      </c>
      <c r="H44" s="25" t="n">
        <f aca="false">datos_base!$C$12*parametros_recargas!$J$38</f>
        <v>13.8922742969007</v>
      </c>
      <c r="I44" s="25" t="n">
        <f aca="false">datos_base!$C$12*parametros_recargas!$K$38</f>
        <v>14.7215021833537</v>
      </c>
      <c r="J44" s="25" t="n">
        <f aca="false">datos_base!$C$12*parametros_recargas!$L$38</f>
        <v>15.6002265649791</v>
      </c>
      <c r="K44" s="25" t="n">
        <f aca="false">datos_base!$C$12*parametros_recargas!$M$38</f>
        <v>16.5314018805681</v>
      </c>
      <c r="L44" s="25" t="n">
        <f aca="false">datos_base!$C$12*parametros_recargas!$N$38</f>
        <v>17.518158918945</v>
      </c>
      <c r="M44" s="25" t="n">
        <f aca="false">datos_base!$C$12*parametros_recargas!$O$38</f>
        <v>18.5638153452758</v>
      </c>
      <c r="N44" s="25" t="n">
        <f aca="false">datos_base!$C$12*parametros_recargas!$P$38</f>
        <v>19.6718868556908</v>
      </c>
      <c r="O44" s="25" t="n">
        <f aca="false">datos_base!$C$12*parametros_recargas!$Q$38</f>
        <v>20.8460989977248</v>
      </c>
      <c r="P44" s="7" t="n">
        <f aca="false">SUM(D44:O44)</f>
        <v>185.517768970709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4" t="n">
        <f aca="false">parametros_recargas!C62</f>
        <v>1</v>
      </c>
      <c r="D45" s="25" t="n">
        <f aca="false">datos_base!$C$13*parametros_recargas!$F$38</f>
        <v>1.91836361574832</v>
      </c>
      <c r="E45" s="25" t="n">
        <f aca="false">datos_base!$C$13*parametros_recargas!$G$38</f>
        <v>2.03287046844488</v>
      </c>
      <c r="F45" s="25" t="n">
        <f aca="false">datos_base!$C$13*parametros_recargas!$H$38</f>
        <v>2.15421221897145</v>
      </c>
      <c r="G45" s="25" t="n">
        <f aca="false">datos_base!$C$13*parametros_recargas!$I$38</f>
        <v>2.2827968414121</v>
      </c>
      <c r="H45" s="25" t="n">
        <f aca="false">datos_base!$C$13*parametros_recargas!$J$38</f>
        <v>2.41905666176621</v>
      </c>
      <c r="I45" s="25" t="n">
        <f aca="false">datos_base!$C$13*parametros_recargas!$K$38</f>
        <v>2.56344981151088</v>
      </c>
      <c r="J45" s="25" t="n">
        <f aca="false">datos_base!$C$13*parametros_recargas!$L$38</f>
        <v>2.71646176792623</v>
      </c>
      <c r="K45" s="25" t="n">
        <f aca="false">datos_base!$C$13*parametros_recargas!$M$38</f>
        <v>2.87860698636252</v>
      </c>
      <c r="L45" s="25" t="n">
        <f aca="false">datos_base!$C$13*parametros_recargas!$N$38</f>
        <v>3.05043062993705</v>
      </c>
      <c r="M45" s="25" t="n">
        <f aca="false">datos_base!$C$13*parametros_recargas!$O$38</f>
        <v>3.23251040247642</v>
      </c>
      <c r="N45" s="25" t="n">
        <f aca="false">datos_base!$C$13*parametros_recargas!$P$38</f>
        <v>3.42545849086687</v>
      </c>
      <c r="O45" s="25" t="n">
        <f aca="false">datos_base!$C$13*parametros_recargas!$Q$38</f>
        <v>3.62992362334325</v>
      </c>
      <c r="P45" s="7" t="n">
        <f aca="false">SUM(D45:O45)</f>
        <v>32.3041415187662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4" t="n">
        <f aca="false">parametros_recargas!C63</f>
        <v>1</v>
      </c>
      <c r="D46" s="25" t="n">
        <f aca="false">datos_base!$C$14*parametros_recargas!$F$38</f>
        <v>0.805739433777692</v>
      </c>
      <c r="E46" s="25" t="n">
        <f aca="false">datos_base!$C$14*parametros_recargas!$G$38</f>
        <v>0.853833906534566</v>
      </c>
      <c r="F46" s="25" t="n">
        <f aca="false">datos_base!$C$14*parametros_recargas!$H$38</f>
        <v>0.904799131562949</v>
      </c>
      <c r="G46" s="25" t="n">
        <f aca="false">datos_base!$C$14*parametros_recargas!$I$38</f>
        <v>0.958806463659597</v>
      </c>
      <c r="H46" s="25" t="n">
        <f aca="false">datos_base!$C$14*parametros_recargas!$J$38</f>
        <v>1.01603748576483</v>
      </c>
      <c r="I46" s="25" t="n">
        <f aca="false">datos_base!$C$14*parametros_recargas!$K$38</f>
        <v>1.07668461947898</v>
      </c>
      <c r="J46" s="25" t="n">
        <f aca="false">datos_base!$C$14*parametros_recargas!$L$38</f>
        <v>1.14095177202046</v>
      </c>
      <c r="K46" s="25" t="n">
        <f aca="false">datos_base!$C$14*parametros_recargas!$M$38</f>
        <v>1.2090550218007</v>
      </c>
      <c r="L46" s="25" t="n">
        <f aca="false">datos_base!$C$14*parametros_recargas!$N$38</f>
        <v>1.28122334492089</v>
      </c>
      <c r="M46" s="25" t="n">
        <f aca="false">datos_base!$C$14*parametros_recargas!$O$38</f>
        <v>1.35769938503335</v>
      </c>
      <c r="N46" s="25" t="n">
        <f aca="false">datos_base!$C$14*parametros_recargas!$P$38</f>
        <v>1.4387402691556</v>
      </c>
      <c r="O46" s="25" t="n">
        <f aca="false">datos_base!$C$14*parametros_recargas!$Q$38</f>
        <v>1.5246184721805</v>
      </c>
      <c r="P46" s="7" t="n">
        <f aca="false">SUM(D46:O46)</f>
        <v>13.5681893058901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4" t="n">
        <f aca="false">parametros_recargas!C64</f>
        <v>3</v>
      </c>
      <c r="D47" s="25" t="n">
        <f aca="false">datos_base!$C$15*parametros_recargas!$F$38</f>
        <v>1.47183335983478</v>
      </c>
      <c r="E47" s="25" t="n">
        <f aca="false">datos_base!$C$15*parametros_recargas!$G$38</f>
        <v>1.55968688475827</v>
      </c>
      <c r="F47" s="25" t="n">
        <f aca="false">datos_base!$C$15*parametros_recargas!$H$38</f>
        <v>1.65278437414956</v>
      </c>
      <c r="G47" s="25" t="n">
        <f aca="false">datos_base!$C$15*parametros_recargas!$I$38</f>
        <v>1.75143883950548</v>
      </c>
      <c r="H47" s="25" t="n">
        <f aca="false">datos_base!$C$15*parametros_recargas!$J$38</f>
        <v>1.85598197593483</v>
      </c>
      <c r="I47" s="25" t="n">
        <f aca="false">datos_base!$C$15*parametros_recargas!$K$38</f>
        <v>1.96676527738049</v>
      </c>
      <c r="J47" s="25" t="n">
        <f aca="false">datos_base!$C$15*parametros_recargas!$L$38</f>
        <v>2.08416121840903</v>
      </c>
      <c r="K47" s="25" t="n">
        <f aca="false">datos_base!$C$15*parametros_recargas!$M$38</f>
        <v>2.20856450654121</v>
      </c>
      <c r="L47" s="25" t="n">
        <f aca="false">datos_base!$C$15*parametros_recargas!$N$38</f>
        <v>2.34039340933381</v>
      </c>
      <c r="M47" s="25" t="n">
        <f aca="false">datos_base!$C$15*parametros_recargas!$O$38</f>
        <v>2.48009116067488</v>
      </c>
      <c r="N47" s="25" t="n">
        <f aca="false">datos_base!$C$15*parametros_recargas!$P$38</f>
        <v>2.62812745102052</v>
      </c>
      <c r="O47" s="25" t="n">
        <f aca="false">datos_base!$C$15*parametros_recargas!$Q$38</f>
        <v>2.78500000658365</v>
      </c>
      <c r="P47" s="7" t="n">
        <f aca="false">SUM(D47:O47)</f>
        <v>24.7848284641265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4" t="n">
        <f aca="false">parametros_recargas!C65</f>
        <v>3</v>
      </c>
      <c r="D48" s="25" t="n">
        <f aca="false">datos_base!$C$16*parametros_recargas!$F$38</f>
        <v>3.23803341217663</v>
      </c>
      <c r="E48" s="25" t="n">
        <f aca="false">datos_base!$C$16*parametros_recargas!$G$38</f>
        <v>3.43131116823435</v>
      </c>
      <c r="F48" s="25" t="n">
        <f aca="false">datos_base!$C$16*parametros_recargas!$H$38</f>
        <v>3.6361256461944</v>
      </c>
      <c r="G48" s="25" t="n">
        <f aca="false">datos_base!$C$16*parametros_recargas!$I$38</f>
        <v>3.8531654713542</v>
      </c>
      <c r="H48" s="25" t="n">
        <f aca="false">datos_base!$C$16*parametros_recargas!$J$38</f>
        <v>4.08316037295772</v>
      </c>
      <c r="I48" s="25" t="n">
        <f aca="false">datos_base!$C$16*parametros_recargas!$K$38</f>
        <v>4.32688363768419</v>
      </c>
      <c r="J48" s="25" t="n">
        <f aca="false">datos_base!$C$16*parametros_recargas!$L$38</f>
        <v>4.58515470958531</v>
      </c>
      <c r="K48" s="25" t="n">
        <f aca="false">datos_base!$C$16*parametros_recargas!$M$38</f>
        <v>4.85884194521221</v>
      </c>
      <c r="L48" s="25" t="n">
        <f aca="false">datos_base!$C$16*parametros_recargas!$N$38</f>
        <v>5.14886553319567</v>
      </c>
      <c r="M48" s="25" t="n">
        <f aca="false">datos_base!$C$16*parametros_recargas!$O$38</f>
        <v>5.45620058809557</v>
      </c>
      <c r="N48" s="25" t="n">
        <f aca="false">datos_base!$C$16*parametros_recargas!$P$38</f>
        <v>5.78188042892188</v>
      </c>
      <c r="O48" s="25" t="n">
        <f aca="false">datos_base!$C$16*parametros_recargas!$Q$38</f>
        <v>6.12700005335001</v>
      </c>
      <c r="P48" s="7" t="n">
        <f aca="false">SUM(D48:O48)</f>
        <v>54.5266229669621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4" t="n">
        <f aca="false">parametros_recargas!C66</f>
        <v>3</v>
      </c>
      <c r="D49" s="25" t="n">
        <f aca="false">datos_base!$C$17*parametros_recargas!$F$38</f>
        <v>0.70648001066668</v>
      </c>
      <c r="E49" s="25" t="n">
        <f aca="false">datos_base!$C$17*parametros_recargas!$G$38</f>
        <v>0.748649702507355</v>
      </c>
      <c r="F49" s="25" t="n">
        <f aca="false">datos_base!$C$17*parametros_recargas!$H$38</f>
        <v>0.79333649728525</v>
      </c>
      <c r="G49" s="25" t="n">
        <f aca="false">datos_base!$C$17*parametros_recargas!$I$38</f>
        <v>0.840690640518417</v>
      </c>
      <c r="H49" s="25" t="n">
        <f aca="false">datos_base!$C$17*parametros_recargas!$J$38</f>
        <v>0.890871345858609</v>
      </c>
      <c r="I49" s="25" t="n">
        <f aca="false">datos_base!$C$17*parametros_recargas!$K$38</f>
        <v>0.94404733039792</v>
      </c>
      <c r="J49" s="25" t="n">
        <f aca="false">datos_base!$C$17*parametros_recargas!$L$38</f>
        <v>1.00039738192779</v>
      </c>
      <c r="K49" s="25" t="n">
        <f aca="false">datos_base!$C$17*parametros_recargas!$M$38</f>
        <v>1.06011096005763</v>
      </c>
      <c r="L49" s="25" t="n">
        <f aca="false">datos_base!$C$17*parametros_recargas!$N$38</f>
        <v>1.1233888332141</v>
      </c>
      <c r="M49" s="25" t="n">
        <f aca="false">datos_base!$C$17*parametros_recargas!$O$38</f>
        <v>1.19044375366286</v>
      </c>
      <c r="N49" s="25" t="n">
        <f aca="false">datos_base!$C$17*parametros_recargas!$P$38</f>
        <v>1.26150117282217</v>
      </c>
      <c r="O49" s="25" t="n">
        <f aca="false">datos_base!$C$17*parametros_recargas!$Q$38</f>
        <v>1.33679999927356</v>
      </c>
      <c r="P49" s="7" t="n">
        <f aca="false">SUM(D49:O49)</f>
        <v>11.8967176281923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4" t="n">
        <f aca="false">parametros_recargas!C67</f>
        <v>3</v>
      </c>
      <c r="D50" s="25" t="n">
        <f aca="false">datos_base!$C$18*parametros_recargas!$F$38</f>
        <v>0.470986673777787</v>
      </c>
      <c r="E50" s="25" t="n">
        <f aca="false">datos_base!$C$18*parametros_recargas!$G$38</f>
        <v>0.49909980167157</v>
      </c>
      <c r="F50" s="25" t="n">
        <f aca="false">datos_base!$C$18*parametros_recargas!$H$38</f>
        <v>0.528890998190167</v>
      </c>
      <c r="G50" s="25" t="n">
        <f aca="false">datos_base!$C$18*parametros_recargas!$I$38</f>
        <v>0.560460427012278</v>
      </c>
      <c r="H50" s="25" t="n">
        <f aca="false">datos_base!$C$18*parametros_recargas!$J$38</f>
        <v>0.593914230572406</v>
      </c>
      <c r="I50" s="25" t="n">
        <f aca="false">datos_base!$C$18*parametros_recargas!$K$38</f>
        <v>0.629364886931947</v>
      </c>
      <c r="J50" s="25" t="n">
        <f aca="false">datos_base!$C$18*parametros_recargas!$L$38</f>
        <v>0.666931587951861</v>
      </c>
      <c r="K50" s="25" t="n">
        <f aca="false">datos_base!$C$18*parametros_recargas!$M$38</f>
        <v>0.706740640038418</v>
      </c>
      <c r="L50" s="25" t="n">
        <f aca="false">datos_base!$C$18*parametros_recargas!$N$38</f>
        <v>0.748925888809402</v>
      </c>
      <c r="M50" s="25" t="n">
        <f aca="false">datos_base!$C$18*parametros_recargas!$O$38</f>
        <v>0.793629169108575</v>
      </c>
      <c r="N50" s="25" t="n">
        <f aca="false">datos_base!$C$18*parametros_recargas!$P$38</f>
        <v>0.84100078188145</v>
      </c>
      <c r="O50" s="25" t="n">
        <f aca="false">datos_base!$C$18*parametros_recargas!$Q$38</f>
        <v>0.891199999515704</v>
      </c>
      <c r="P50" s="7" t="n">
        <f aca="false">SUM(D50:O50)</f>
        <v>7.93114508546156</v>
      </c>
    </row>
    <row r="51" customFormat="false" ht="15" hidden="false" customHeight="false" outlineLevel="0" collapsed="false">
      <c r="A51" s="6" t="s">
        <v>272</v>
      </c>
      <c r="D51" s="7" t="n">
        <f aca="false">SUM(D34:D50)</f>
        <v>524.84592813308</v>
      </c>
      <c r="E51" s="7" t="n">
        <f aca="false">SUM(E34:E50)</f>
        <v>556.173907296027</v>
      </c>
      <c r="F51" s="7" t="n">
        <f aca="false">SUM(F34:F50)</f>
        <v>589.371849101011</v>
      </c>
      <c r="G51" s="7" t="n">
        <f aca="false">SUM(G34:G50)</f>
        <v>624.551371353459</v>
      </c>
      <c r="H51" s="7" t="n">
        <f aca="false">SUM(H34:H50)</f>
        <v>661.830754309804</v>
      </c>
      <c r="I51" s="7" t="n">
        <f aca="false">SUM(I34:I50)</f>
        <v>701.335338358245</v>
      </c>
      <c r="J51" s="7" t="n">
        <f aca="false">SUM(J34:J50)</f>
        <v>743.197945437011</v>
      </c>
      <c r="K51" s="7" t="n">
        <f aca="false">SUM(K34:K50)</f>
        <v>787.559325607026</v>
      </c>
      <c r="L51" s="7" t="n">
        <f aca="false">SUM(L34:L50)</f>
        <v>834.568630280427</v>
      </c>
      <c r="M51" s="7" t="n">
        <f aca="false">SUM(M34:M50)</f>
        <v>884.38391369603</v>
      </c>
      <c r="N51" s="7" t="n">
        <f aca="false">SUM(N34:N50)</f>
        <v>937.172664327797</v>
      </c>
      <c r="O51" s="7" t="n">
        <f aca="false">SUM(O34:O50)</f>
        <v>993.112368012991</v>
      </c>
      <c r="P51" s="7" t="n">
        <f aca="false">SUM(P34:P50)</f>
        <v>8838.10399591291</v>
      </c>
    </row>
    <row r="52" customFormat="false" ht="15" hidden="false" customHeight="false" outlineLevel="0" collapsed="false">
      <c r="A52" s="6" t="s">
        <v>273</v>
      </c>
    </row>
    <row r="53" customFormat="false" ht="15" hidden="false" customHeight="false" outlineLevel="0" collapsed="false">
      <c r="A53" s="4" t="s">
        <v>143</v>
      </c>
      <c r="D53" s="25" t="n">
        <f aca="false">SUMPRODUCT(($B$34:$B$50=$A53)*D$34:D$50*$C$34:$C$50)</f>
        <v>472.083628981356</v>
      </c>
      <c r="E53" s="25" t="n">
        <f aca="false">SUMPRODUCT(($B$34:$B$50=$A53)*E$34:E$50*$C$34:$C$50)</f>
        <v>500.262233975975</v>
      </c>
      <c r="F53" s="25" t="n">
        <f aca="false">SUMPRODUCT(($B$34:$B$50=$A53)*F$34:F$50*$C$34:$C$50)</f>
        <v>530.12281591429</v>
      </c>
      <c r="G53" s="25" t="n">
        <f aca="false">SUMPRODUCT(($B$34:$B$50=$A53)*G$34:G$50*$C$34:$C$50)</f>
        <v>561.765771762001</v>
      </c>
      <c r="H53" s="25" t="n">
        <f aca="false">SUMPRODUCT(($B$34:$B$50=$A53)*H$34:H$50*$C$34:$C$50)</f>
        <v>595.29749116548</v>
      </c>
      <c r="I53" s="25" t="n">
        <f aca="false">SUMPRODUCT(($B$34:$B$50=$A53)*I$34:I$50*$C$34:$C$50)</f>
        <v>630.830714154033</v>
      </c>
      <c r="J53" s="25" t="n">
        <f aca="false">SUMPRODUCT(($B$34:$B$50=$A53)*J$34:J$50*$C$34:$C$50)</f>
        <v>668.484910193359</v>
      </c>
      <c r="K53" s="25" t="n">
        <f aca="false">SUMPRODUCT(($B$34:$B$50=$A53)*K$34:K$50*$C$34:$C$50)</f>
        <v>708.386679864652</v>
      </c>
      <c r="L53" s="25" t="n">
        <f aca="false">SUMPRODUCT(($B$34:$B$50=$A53)*L$34:L$50*$C$34:$C$50)</f>
        <v>750.67018051988</v>
      </c>
      <c r="M53" s="25" t="n">
        <f aca="false">SUMPRODUCT(($B$34:$B$50=$A53)*M$34:M$50*$C$34:$C$50)</f>
        <v>795.477577344363</v>
      </c>
      <c r="N53" s="25" t="n">
        <f aca="false">SUMPRODUCT(($B$34:$B$50=$A53)*N$34:N$50*$C$34:$C$50)</f>
        <v>842.959521343207</v>
      </c>
      <c r="O53" s="25" t="n">
        <f aca="false">SUMPRODUCT(($B$34:$B$50=$A53)*O$34:O$50*$C$34:$C$50)</f>
        <v>893.275655858691</v>
      </c>
      <c r="P53" s="25" t="n">
        <f aca="false">SUMPRODUCT(($B$34:$B$50=$A53)*P$34:P$50*$C$34:$C$50)</f>
        <v>7949.61718107728</v>
      </c>
    </row>
    <row r="54" customFormat="false" ht="15" hidden="false" customHeight="false" outlineLevel="0" collapsed="false">
      <c r="A54" s="4" t="s">
        <v>149</v>
      </c>
      <c r="D54" s="25" t="n">
        <f aca="false">SUMPRODUCT(($B$34:$B$50=$A54)*D$34:D$50*$C$34:$C$50)</f>
        <v>0.805739433777692</v>
      </c>
      <c r="E54" s="25" t="n">
        <f aca="false">SUMPRODUCT(($B$34:$B$50=$A54)*E$34:E$50*$C$34:$C$50)</f>
        <v>0.853833906534566</v>
      </c>
      <c r="F54" s="25" t="n">
        <f aca="false">SUMPRODUCT(($B$34:$B$50=$A54)*F$34:F$50*$C$34:$C$50)</f>
        <v>0.904799131562949</v>
      </c>
      <c r="G54" s="25" t="n">
        <f aca="false">SUMPRODUCT(($B$34:$B$50=$A54)*G$34:G$50*$C$34:$C$50)</f>
        <v>0.958806463659597</v>
      </c>
      <c r="H54" s="25" t="n">
        <f aca="false">SUMPRODUCT(($B$34:$B$50=$A54)*H$34:H$50*$C$34:$C$50)</f>
        <v>1.01603748576483</v>
      </c>
      <c r="I54" s="25" t="n">
        <f aca="false">SUMPRODUCT(($B$34:$B$50=$A54)*I$34:I$50*$C$34:$C$50)</f>
        <v>1.07668461947898</v>
      </c>
      <c r="J54" s="25" t="n">
        <f aca="false">SUMPRODUCT(($B$34:$B$50=$A54)*J$34:J$50*$C$34:$C$50)</f>
        <v>1.14095177202046</v>
      </c>
      <c r="K54" s="25" t="n">
        <f aca="false">SUMPRODUCT(($B$34:$B$50=$A54)*K$34:K$50*$C$34:$C$50)</f>
        <v>1.2090550218007</v>
      </c>
      <c r="L54" s="25" t="n">
        <f aca="false">SUMPRODUCT(($B$34:$B$50=$A54)*L$34:L$50*$C$34:$C$50)</f>
        <v>1.28122334492089</v>
      </c>
      <c r="M54" s="25" t="n">
        <f aca="false">SUMPRODUCT(($B$34:$B$50=$A54)*M$34:M$50*$C$34:$C$50)</f>
        <v>1.35769938503335</v>
      </c>
      <c r="N54" s="25" t="n">
        <f aca="false">SUMPRODUCT(($B$34:$B$50=$A54)*N$34:N$50*$C$34:$C$50)</f>
        <v>1.4387402691556</v>
      </c>
      <c r="O54" s="25" t="n">
        <f aca="false">SUMPRODUCT(($B$34:$B$50=$A54)*O$34:O$50*$C$34:$C$50)</f>
        <v>1.5246184721805</v>
      </c>
      <c r="P54" s="25" t="n">
        <f aca="false">SUMPRODUCT(($B$34:$B$50=$A54)*P$34:P$50*$C$34:$C$50)</f>
        <v>13.5681893058901</v>
      </c>
    </row>
    <row r="55" customFormat="false" ht="15" hidden="false" customHeight="false" outlineLevel="0" collapsed="false">
      <c r="A55" s="4" t="s">
        <v>155</v>
      </c>
      <c r="D55" s="25" t="n">
        <f aca="false">SUMPRODUCT(($B$34:$B$50=$A55)*D$34:D$50*$C$34:$C$50)</f>
        <v>0.805739433777692</v>
      </c>
      <c r="E55" s="25" t="n">
        <f aca="false">SUMPRODUCT(($B$34:$B$50=$A55)*E$34:E$50*$C$34:$C$50)</f>
        <v>0.853833906534566</v>
      </c>
      <c r="F55" s="25" t="n">
        <f aca="false">SUMPRODUCT(($B$34:$B$50=$A55)*F$34:F$50*$C$34:$C$50)</f>
        <v>0.904799131562949</v>
      </c>
      <c r="G55" s="25" t="n">
        <f aca="false">SUMPRODUCT(($B$34:$B$50=$A55)*G$34:G$50*$C$34:$C$50)</f>
        <v>0.958806463659597</v>
      </c>
      <c r="H55" s="25" t="n">
        <f aca="false">SUMPRODUCT(($B$34:$B$50=$A55)*H$34:H$50*$C$34:$C$50)</f>
        <v>1.01603748576483</v>
      </c>
      <c r="I55" s="25" t="n">
        <f aca="false">SUMPRODUCT(($B$34:$B$50=$A55)*I$34:I$50*$C$34:$C$50)</f>
        <v>1.07668461947898</v>
      </c>
      <c r="J55" s="25" t="n">
        <f aca="false">SUMPRODUCT(($B$34:$B$50=$A55)*J$34:J$50*$C$34:$C$50)</f>
        <v>1.14095177202046</v>
      </c>
      <c r="K55" s="25" t="n">
        <f aca="false">SUMPRODUCT(($B$34:$B$50=$A55)*K$34:K$50*$C$34:$C$50)</f>
        <v>1.2090550218007</v>
      </c>
      <c r="L55" s="25" t="n">
        <f aca="false">SUMPRODUCT(($B$34:$B$50=$A55)*L$34:L$50*$C$34:$C$50)</f>
        <v>1.28122334492089</v>
      </c>
      <c r="M55" s="25" t="n">
        <f aca="false">SUMPRODUCT(($B$34:$B$50=$A55)*M$34:M$50*$C$34:$C$50)</f>
        <v>1.35769938503335</v>
      </c>
      <c r="N55" s="25" t="n">
        <f aca="false">SUMPRODUCT(($B$34:$B$50=$A55)*N$34:N$50*$C$34:$C$50)</f>
        <v>1.4387402691556</v>
      </c>
      <c r="O55" s="25" t="n">
        <f aca="false">SUMPRODUCT(($B$34:$B$50=$A55)*O$34:O$50*$C$34:$C$50)</f>
        <v>1.5246184721805</v>
      </c>
      <c r="P55" s="25" t="n">
        <f aca="false">SUMPRODUCT(($B$34:$B$50=$A55)*P$34:P$50*$C$34:$C$50)</f>
        <v>13.5681893058901</v>
      </c>
    </row>
    <row r="56" customFormat="false" ht="15" hidden="false" customHeight="false" outlineLevel="0" collapsed="false">
      <c r="A56" s="4" t="s">
        <v>146</v>
      </c>
      <c r="D56" s="25" t="n">
        <f aca="false">SUMPRODUCT(($B$34:$B$50=$A56)*D$34:D$50*$C$34:$C$50)</f>
        <v>11.0133300813067</v>
      </c>
      <c r="E56" s="25" t="n">
        <f aca="false">SUMPRODUCT(($B$34:$B$50=$A56)*E$34:E$50*$C$34:$C$50)</f>
        <v>11.67071419502</v>
      </c>
      <c r="F56" s="25" t="n">
        <f aca="false">SUMPRODUCT(($B$34:$B$50=$A56)*F$34:F$50*$C$34:$C$50)</f>
        <v>12.367337473434</v>
      </c>
      <c r="G56" s="25" t="n">
        <f aca="false">SUMPRODUCT(($B$34:$B$50=$A56)*G$34:G$50*$C$34:$C$50)</f>
        <v>13.1055420967357</v>
      </c>
      <c r="H56" s="25" t="n">
        <f aca="false">SUMPRODUCT(($B$34:$B$50=$A56)*H$34:H$50*$C$34:$C$50)</f>
        <v>13.8878100495158</v>
      </c>
      <c r="I56" s="25" t="n">
        <f aca="false">SUMPRODUCT(($B$34:$B$50=$A56)*I$34:I$50*$C$34:$C$50)</f>
        <v>14.7167714656743</v>
      </c>
      <c r="J56" s="25" t="n">
        <f aca="false">SUMPRODUCT(($B$34:$B$50=$A56)*J$34:J$50*$C$34:$C$50)</f>
        <v>15.5952134714311</v>
      </c>
      <c r="K56" s="25" t="n">
        <f aca="false">SUMPRODUCT(($B$34:$B$50=$A56)*K$34:K$50*$C$34:$C$50)</f>
        <v>16.5260895561757</v>
      </c>
      <c r="L56" s="25" t="n">
        <f aca="false">SUMPRODUCT(($B$34:$B$50=$A56)*L$34:L$50*$C$34:$C$50)</f>
        <v>17.5125295026615</v>
      </c>
      <c r="M56" s="25" t="n">
        <f aca="false">SUMPRODUCT(($B$34:$B$50=$A56)*M$34:M$50*$C$34:$C$50)</f>
        <v>18.5578499099311</v>
      </c>
      <c r="N56" s="25" t="n">
        <f aca="false">SUMPRODUCT(($B$34:$B$50=$A56)*N$34:N$50*$C$34:$C$50)</f>
        <v>19.6655653443548</v>
      </c>
      <c r="O56" s="25" t="n">
        <f aca="false">SUMPRODUCT(($B$34:$B$50=$A56)*O$34:O$50*$C$34:$C$50)</f>
        <v>20.8394001562719</v>
      </c>
      <c r="P56" s="25" t="n">
        <f aca="false">SUMPRODUCT(($B$34:$B$50=$A56)*P$34:P$50*$C$34:$C$50)</f>
        <v>185.458153302513</v>
      </c>
    </row>
    <row r="57" customFormat="false" ht="15" hidden="false" customHeight="false" outlineLevel="0" collapsed="false">
      <c r="A57" s="4" t="s">
        <v>147</v>
      </c>
      <c r="D57" s="25" t="n">
        <f aca="false">SUMPRODUCT(($B$34:$B$50=$A57)*D$34:D$50*$C$34:$C$50)</f>
        <v>7.03475643410877</v>
      </c>
      <c r="E57" s="25" t="n">
        <f aca="false">SUMPRODUCT(($B$34:$B$50=$A57)*E$34:E$50*$C$34:$C$50)</f>
        <v>7.45466004995294</v>
      </c>
      <c r="F57" s="25" t="n">
        <f aca="false">SUMPRODUCT(($B$34:$B$50=$A57)*F$34:F$50*$C$34:$C$50)</f>
        <v>7.89962765319319</v>
      </c>
      <c r="G57" s="25" t="n">
        <f aca="false">SUMPRODUCT(($B$34:$B$50=$A57)*G$34:G$50*$C$34:$C$50)</f>
        <v>8.37115530968961</v>
      </c>
      <c r="H57" s="25" t="n">
        <f aca="false">SUMPRODUCT(($B$34:$B$50=$A57)*H$34:H$50*$C$34:$C$50)</f>
        <v>8.87082838526171</v>
      </c>
      <c r="I57" s="25" t="n">
        <f aca="false">SUMPRODUCT(($B$34:$B$50=$A57)*I$34:I$50*$C$34:$C$50)</f>
        <v>9.40032687599039</v>
      </c>
      <c r="J57" s="25" t="n">
        <f aca="false">SUMPRODUCT(($B$34:$B$50=$A57)*J$34:J$50*$C$34:$C$50)</f>
        <v>9.96143105668482</v>
      </c>
      <c r="K57" s="25" t="n">
        <f aca="false">SUMPRODUCT(($B$34:$B$50=$A57)*K$34:K$50*$C$34:$C$50)</f>
        <v>10.5560274665056</v>
      </c>
      <c r="L57" s="25" t="n">
        <f aca="false">SUMPRODUCT(($B$34:$B$50=$A57)*L$34:L$50*$C$34:$C$50)</f>
        <v>11.1861152518686</v>
      </c>
      <c r="M57" s="25" t="n">
        <f aca="false">SUMPRODUCT(($B$34:$B$50=$A57)*M$34:M$50*$C$34:$C$50)</f>
        <v>11.8538128879566</v>
      </c>
      <c r="N57" s="25" t="n">
        <f aca="false">SUMPRODUCT(($B$34:$B$50=$A57)*N$34:N$50*$C$34:$C$50)</f>
        <v>12.561365301436</v>
      </c>
      <c r="O57" s="25" t="n">
        <f aca="false">SUMPRODUCT(($B$34:$B$50=$A57)*O$34:O$50*$C$34:$C$50)</f>
        <v>13.3111514183281</v>
      </c>
      <c r="P57" s="25" t="n">
        <f aca="false">SUMPRODUCT(($B$34:$B$50=$A57)*P$34:P$50*$C$34:$C$50)</f>
        <v>118.461258090976</v>
      </c>
    </row>
    <row r="58" customFormat="false" ht="15" hidden="false" customHeight="false" outlineLevel="0" collapsed="false">
      <c r="A58" s="4" t="s">
        <v>150</v>
      </c>
      <c r="D58" s="25" t="n">
        <f aca="false">SUMPRODUCT(($B$34:$B$50=$A58)*D$34:D$50*$C$34:$C$50)</f>
        <v>5.7409436520234</v>
      </c>
      <c r="E58" s="25" t="n">
        <f aca="false">SUMPRODUCT(($B$34:$B$50=$A58)*E$34:E$50*$C$34:$C$50)</f>
        <v>6.08361976603269</v>
      </c>
      <c r="F58" s="25" t="n">
        <f aca="false">SUMPRODUCT(($B$34:$B$50=$A58)*F$34:F$50*$C$34:$C$50)</f>
        <v>6.44675016878441</v>
      </c>
      <c r="G58" s="25" t="n">
        <f aca="false">SUMPRODUCT(($B$34:$B$50=$A58)*G$34:G$50*$C$34:$C$50)</f>
        <v>6.83155577387848</v>
      </c>
      <c r="H58" s="25" t="n">
        <f aca="false">SUMPRODUCT(($B$34:$B$50=$A58)*H$34:H$50*$C$34:$C$50)</f>
        <v>7.23933037107476</v>
      </c>
      <c r="I58" s="25" t="n">
        <f aca="false">SUMPRODUCT(($B$34:$B$50=$A58)*I$34:I$50*$C$34:$C$50)</f>
        <v>7.67144497626079</v>
      </c>
      <c r="J58" s="25" t="n">
        <f aca="false">SUMPRODUCT(($B$34:$B$50=$A58)*J$34:J$50*$C$34:$C$50)</f>
        <v>8.12935244106836</v>
      </c>
      <c r="K58" s="25" t="n">
        <f aca="false">SUMPRODUCT(($B$34:$B$50=$A58)*K$34:K$50*$C$34:$C$50)</f>
        <v>8.61459233763753</v>
      </c>
      <c r="L58" s="25" t="n">
        <f aca="false">SUMPRODUCT(($B$34:$B$50=$A58)*L$34:L$50*$C$34:$C$50)</f>
        <v>9.12879613495148</v>
      </c>
      <c r="M58" s="25" t="n">
        <f aca="false">SUMPRODUCT(($B$34:$B$50=$A58)*M$34:M$50*$C$34:$C$50)</f>
        <v>9.67369268414608</v>
      </c>
      <c r="N58" s="25" t="n">
        <f aca="false">SUMPRODUCT(($B$34:$B$50=$A58)*N$34:N$50*$C$34:$C$50)</f>
        <v>10.2511140312368</v>
      </c>
      <c r="O58" s="25" t="n">
        <f aca="false">SUMPRODUCT(($B$34:$B$50=$A58)*O$34:O$50*$C$34:$C$50)</f>
        <v>10.8630015768065</v>
      </c>
      <c r="P58" s="25" t="n">
        <f aca="false">SUMPRODUCT(($B$34:$B$50=$A58)*P$34:P$50*$C$34:$C$50)</f>
        <v>96.6741939139013</v>
      </c>
    </row>
    <row r="59" customFormat="false" ht="15" hidden="false" customHeight="false" outlineLevel="0" collapsed="false">
      <c r="A59" s="4" t="s">
        <v>151</v>
      </c>
      <c r="D59" s="25" t="n">
        <f aca="false">SUMPRODUCT(($B$34:$B$50=$A59)*D$34:D$50*$C$34:$C$50)</f>
        <v>40.0671284163717</v>
      </c>
      <c r="E59" s="25" t="n">
        <f aca="false">SUMPRODUCT(($B$34:$B$50=$A59)*E$34:E$50*$C$34:$C$50)</f>
        <v>42.4587296403959</v>
      </c>
      <c r="F59" s="25" t="n">
        <f aca="false">SUMPRODUCT(($B$34:$B$50=$A59)*F$34:F$50*$C$34:$C$50)</f>
        <v>44.9930852029721</v>
      </c>
      <c r="G59" s="25" t="n">
        <f aca="false">SUMPRODUCT(($B$34:$B$50=$A59)*G$34:G$50*$C$34:$C$50)</f>
        <v>47.6787160903628</v>
      </c>
      <c r="H59" s="25" t="n">
        <f aca="false">SUMPRODUCT(($B$34:$B$50=$A59)*H$34:H$50*$C$34:$C$50)</f>
        <v>50.5246519052945</v>
      </c>
      <c r="I59" s="25" t="n">
        <f aca="false">SUMPRODUCT(($B$34:$B$50=$A59)*I$34:I$50*$C$34:$C$50)</f>
        <v>53.5404612262022</v>
      </c>
      <c r="J59" s="25" t="n">
        <f aca="false">SUMPRODUCT(($B$34:$B$50=$A59)*J$34:J$50*$C$34:$C$50)</f>
        <v>56.7362837786137</v>
      </c>
      <c r="K59" s="25" t="n">
        <f aca="false">SUMPRODUCT(($B$34:$B$50=$A59)*K$34:K$50*$C$34:$C$50)</f>
        <v>60.1228645268382</v>
      </c>
      <c r="L59" s="25" t="n">
        <f aca="false">SUMPRODUCT(($B$34:$B$50=$A59)*L$34:L$50*$C$34:$C$50)</f>
        <v>63.7115898005835</v>
      </c>
      <c r="M59" s="25" t="n">
        <f aca="false">SUMPRODUCT(($B$34:$B$50=$A59)*M$34:M$50*$C$34:$C$50)</f>
        <v>67.5145255779662</v>
      </c>
      <c r="N59" s="25" t="n">
        <f aca="false">SUMPRODUCT(($B$34:$B$50=$A59)*N$34:N$50*$C$34:$C$50)</f>
        <v>71.5444580536288</v>
      </c>
      <c r="O59" s="25" t="n">
        <f aca="false">SUMPRODUCT(($B$34:$B$50=$A59)*O$34:O$50*$C$34:$C$50)</f>
        <v>75.8149366283623</v>
      </c>
      <c r="P59" s="25" t="n">
        <f aca="false">SUMPRODUCT(($B$34:$B$50=$A59)*P$34:P$50*$C$34:$C$50)</f>
        <v>674.707430847592</v>
      </c>
    </row>
    <row r="60" customFormat="false" ht="15" hidden="false" customHeight="false" outlineLevel="0" collapsed="false">
      <c r="A60" s="4" t="s">
        <v>154</v>
      </c>
      <c r="D60" s="25" t="n">
        <f aca="false">SUMPRODUCT(($B$34:$B$50=$A60)*D$34:D$50*$C$34:$C$50)</f>
        <v>1.91836361574832</v>
      </c>
      <c r="E60" s="25" t="n">
        <f aca="false">SUMPRODUCT(($B$34:$B$50=$A60)*E$34:E$50*$C$34:$C$50)</f>
        <v>2.03287046844488</v>
      </c>
      <c r="F60" s="25" t="n">
        <f aca="false">SUMPRODUCT(($B$34:$B$50=$A60)*F$34:F$50*$C$34:$C$50)</f>
        <v>2.15421221897145</v>
      </c>
      <c r="G60" s="25" t="n">
        <f aca="false">SUMPRODUCT(($B$34:$B$50=$A60)*G$34:G$50*$C$34:$C$50)</f>
        <v>2.2827968414121</v>
      </c>
      <c r="H60" s="25" t="n">
        <f aca="false">SUMPRODUCT(($B$34:$B$50=$A60)*H$34:H$50*$C$34:$C$50)</f>
        <v>2.41905666176621</v>
      </c>
      <c r="I60" s="25" t="n">
        <f aca="false">SUMPRODUCT(($B$34:$B$50=$A60)*I$34:I$50*$C$34:$C$50)</f>
        <v>2.56344981151088</v>
      </c>
      <c r="J60" s="25" t="n">
        <f aca="false">SUMPRODUCT(($B$34:$B$50=$A60)*J$34:J$50*$C$34:$C$50)</f>
        <v>2.71646176792623</v>
      </c>
      <c r="K60" s="25" t="n">
        <f aca="false">SUMPRODUCT(($B$34:$B$50=$A60)*K$34:K$50*$C$34:$C$50)</f>
        <v>2.87860698636252</v>
      </c>
      <c r="L60" s="25" t="n">
        <f aca="false">SUMPRODUCT(($B$34:$B$50=$A60)*L$34:L$50*$C$34:$C$50)</f>
        <v>3.05043062993705</v>
      </c>
      <c r="M60" s="25" t="n">
        <f aca="false">SUMPRODUCT(($B$34:$B$50=$A60)*M$34:M$50*$C$34:$C$50)</f>
        <v>3.23251040247642</v>
      </c>
      <c r="N60" s="25" t="n">
        <f aca="false">SUMPRODUCT(($B$34:$B$50=$A60)*N$34:N$50*$C$34:$C$50)</f>
        <v>3.42545849086687</v>
      </c>
      <c r="O60" s="25" t="n">
        <f aca="false">SUMPRODUCT(($B$34:$B$50=$A60)*O$34:O$50*$C$34:$C$50)</f>
        <v>3.62992362334325</v>
      </c>
      <c r="P60" s="25" t="n">
        <f aca="false">SUMPRODUCT(($B$34:$B$50=$A60)*P$34:P$50*$C$34:$C$50)</f>
        <v>32.3041415187662</v>
      </c>
    </row>
    <row r="61" customFormat="false" ht="15" hidden="false" customHeight="false" outlineLevel="0" collapsed="false">
      <c r="A61" s="6" t="s">
        <v>274</v>
      </c>
      <c r="D61" s="26" t="n">
        <f aca="false">SUMPRODUCT(D$34:D$50*parametros_recargas!$D$51:$D$67)</f>
        <v>18.3287212825561</v>
      </c>
      <c r="E61" s="26" t="n">
        <f aca="false">SUMPRODUCT(E$34:E$50*parametros_recargas!$D$51:$D$67)</f>
        <v>19.4227600616429</v>
      </c>
      <c r="F61" s="26" t="n">
        <f aca="false">SUMPRODUCT(F$34:F$50*parametros_recargas!$D$51:$D$67)</f>
        <v>20.5821018606018</v>
      </c>
      <c r="G61" s="26" t="n">
        <f aca="false">SUMPRODUCT(G$34:G$50*parametros_recargas!$D$51:$D$67)</f>
        <v>21.810644607446</v>
      </c>
      <c r="H61" s="26" t="n">
        <f aca="false">SUMPRODUCT(H$34:H$50*parametros_recargas!$D$51:$D$67)</f>
        <v>23.1125188969599</v>
      </c>
      <c r="I61" s="26" t="n">
        <f aca="false">SUMPRODUCT(I$34:I$50*parametros_recargas!$D$51:$D$67)</f>
        <v>24.492101878546</v>
      </c>
      <c r="J61" s="26" t="n">
        <f aca="false">SUMPRODUCT(J$34:J$50*parametros_recargas!$D$51:$D$67)</f>
        <v>25.9540319730353</v>
      </c>
      <c r="K61" s="26" t="n">
        <f aca="false">SUMPRODUCT(K$34:K$50*parametros_recargas!$D$51:$D$67)</f>
        <v>27.5032244679412</v>
      </c>
      <c r="L61" s="26" t="n">
        <f aca="false">SUMPRODUCT(L$34:L$50*parametros_recargas!$D$51:$D$67)</f>
        <v>29.1448880435936</v>
      </c>
      <c r="M61" s="26" t="n">
        <f aca="false">SUMPRODUCT(M$34:M$50*parametros_recargas!$D$51:$D$67)</f>
        <v>30.8845422857136</v>
      </c>
      <c r="N61" s="26" t="n">
        <f aca="false">SUMPRODUCT(N$34:N$50*parametros_recargas!$D$51:$D$67)</f>
        <v>32.728036243313</v>
      </c>
      <c r="O61" s="26" t="n">
        <f aca="false">SUMPRODUCT(O$34:O$50*parametros_recargas!$D$51:$D$67)</f>
        <v>34.6815680943112</v>
      </c>
      <c r="P61" s="26" t="n">
        <f aca="false">SUMPRODUCT(P$34:P$50*parametros_recargas!$D$51:$D$67)</f>
        <v>308.645139695661</v>
      </c>
    </row>
    <row r="65" customFormat="false" ht="15" hidden="false" customHeight="false" outlineLevel="0" collapsed="false">
      <c r="A65" s="23" t="n">
        <v>2028</v>
      </c>
      <c r="B65" s="3" t="s">
        <v>270</v>
      </c>
      <c r="C65" s="3" t="s">
        <v>271</v>
      </c>
      <c r="D65" s="3" t="s">
        <v>124</v>
      </c>
      <c r="E65" s="3" t="s">
        <v>125</v>
      </c>
      <c r="F65" s="3" t="s">
        <v>126</v>
      </c>
      <c r="G65" s="3" t="s">
        <v>127</v>
      </c>
      <c r="H65" s="3" t="s">
        <v>128</v>
      </c>
      <c r="I65" s="3" t="s">
        <v>129</v>
      </c>
      <c r="J65" s="3" t="s">
        <v>130</v>
      </c>
      <c r="K65" s="3" t="s">
        <v>131</v>
      </c>
      <c r="L65" s="3" t="s">
        <v>132</v>
      </c>
      <c r="M65" s="3" t="s">
        <v>133</v>
      </c>
      <c r="N65" s="3" t="s">
        <v>134</v>
      </c>
      <c r="O65" s="3" t="s">
        <v>135</v>
      </c>
      <c r="P65" s="3" t="s">
        <v>136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4" t="n">
        <f aca="false">parametros_recargas!C51</f>
        <v>1</v>
      </c>
      <c r="D66" s="25" t="n">
        <f aca="false">datos_base!$D$2*parametros_recargas!$F$39</f>
        <v>544.119375102299</v>
      </c>
      <c r="E66" s="25" t="n">
        <f aca="false">datos_base!$D$2*parametros_recargas!$G$39</f>
        <v>572.870020769908</v>
      </c>
      <c r="F66" s="25" t="n">
        <f aca="false">datos_base!$D$2*parametros_recargas!$H$39</f>
        <v>603.139817682864</v>
      </c>
      <c r="G66" s="25" t="n">
        <f aca="false">datos_base!$D$2*parametros_recargas!$I$39</f>
        <v>635.009036056068</v>
      </c>
      <c r="H66" s="25" t="n">
        <f aca="false">datos_base!$D$2*parametros_recargas!$J$39</f>
        <v>668.562187490798</v>
      </c>
      <c r="I66" s="25" t="n">
        <f aca="false">datos_base!$D$2*parametros_recargas!$K$39</f>
        <v>703.888249084719</v>
      </c>
      <c r="J66" s="25" t="n">
        <f aca="false">datos_base!$D$2*parametros_recargas!$L$39</f>
        <v>741.080899383606</v>
      </c>
      <c r="K66" s="25" t="n">
        <f aca="false">datos_base!$D$2*parametros_recargas!$M$39</f>
        <v>780.238766800485</v>
      </c>
      <c r="L66" s="25" t="n">
        <f aca="false">datos_base!$D$2*parametros_recargas!$N$39</f>
        <v>821.465691160963</v>
      </c>
      <c r="M66" s="25" t="n">
        <f aca="false">datos_base!$D$2*parametros_recargas!$O$39</f>
        <v>864.870999068307</v>
      </c>
      <c r="N66" s="25" t="n">
        <f aca="false">datos_base!$D$2*parametros_recargas!$P$39</f>
        <v>910.569793818501</v>
      </c>
      <c r="O66" s="25" t="n">
        <f aca="false">datos_base!$D$2*parametros_recargas!$Q$39</f>
        <v>958.68326063409</v>
      </c>
      <c r="P66" s="7" t="n">
        <f aca="false">SUM(D66:O66)</f>
        <v>8804.49809705261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4" t="n">
        <f aca="false">parametros_recargas!C52</f>
        <v>1</v>
      </c>
      <c r="D67" s="25" t="n">
        <f aca="false">datos_base!$D$3*parametros_recargas!$F$39</f>
        <v>52.4981068887941</v>
      </c>
      <c r="E67" s="25" t="n">
        <f aca="false">datos_base!$D$3*parametros_recargas!$G$39</f>
        <v>55.2720468336751</v>
      </c>
      <c r="F67" s="25" t="n">
        <f aca="false">datos_base!$D$3*parametros_recargas!$H$39</f>
        <v>58.1925585936905</v>
      </c>
      <c r="G67" s="25" t="n">
        <f aca="false">datos_base!$D$3*parametros_recargas!$I$39</f>
        <v>61.2673868559707</v>
      </c>
      <c r="H67" s="25" t="n">
        <f aca="false">datos_base!$D$3*parametros_recargas!$J$39</f>
        <v>64.5046855280593</v>
      </c>
      <c r="I67" s="25" t="n">
        <f aca="false">datos_base!$D$3*parametros_recargas!$K$39</f>
        <v>67.9130393606518</v>
      </c>
      <c r="J67" s="25" t="n">
        <f aca="false">datos_base!$D$3*parametros_recargas!$L$39</f>
        <v>71.5014867128554</v>
      </c>
      <c r="K67" s="25" t="n">
        <f aca="false">datos_base!$D$3*parametros_recargas!$M$39</f>
        <v>75.2795435203383</v>
      </c>
      <c r="L67" s="25" t="n">
        <f aca="false">datos_base!$D$3*parametros_recargas!$N$39</f>
        <v>79.2572285299296</v>
      </c>
      <c r="M67" s="25" t="n">
        <f aca="false">datos_base!$D$3*parametros_recargas!$O$39</f>
        <v>83.4450898675861</v>
      </c>
      <c r="N67" s="25" t="n">
        <f aca="false">datos_base!$D$3*parametros_recargas!$P$39</f>
        <v>87.8542330101799</v>
      </c>
      <c r="O67" s="25" t="n">
        <f aca="false">datos_base!$D$3*parametros_recargas!$Q$39</f>
        <v>92.496350235284</v>
      </c>
      <c r="P67" s="7" t="n">
        <f aca="false">SUM(D67:O67)</f>
        <v>849.481755937015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4" t="n">
        <f aca="false">parametros_recargas!C53</f>
        <v>1</v>
      </c>
      <c r="D68" s="25" t="n">
        <f aca="false">datos_base!$D$4*parametros_recargas!$F$39</f>
        <v>316.642436506401</v>
      </c>
      <c r="E68" s="25" t="n">
        <f aca="false">datos_base!$D$4*parametros_recargas!$G$39</f>
        <v>333.373460821814</v>
      </c>
      <c r="F68" s="25" t="n">
        <f aca="false">datos_base!$D$4*parametros_recargas!$H$39</f>
        <v>350.988533332824</v>
      </c>
      <c r="G68" s="25" t="n">
        <f aca="false">datos_base!$D$4*parametros_recargas!$I$39</f>
        <v>369.53436613532</v>
      </c>
      <c r="H68" s="25" t="n">
        <f aca="false">datos_base!$D$4*parametros_recargas!$J$39</f>
        <v>389.06013953893</v>
      </c>
      <c r="I68" s="25" t="n">
        <f aca="false">datos_base!$D$4*parametros_recargas!$K$39</f>
        <v>409.617632484612</v>
      </c>
      <c r="J68" s="25" t="n">
        <f aca="false">datos_base!$D$4*parametros_recargas!$L$39</f>
        <v>431.261359853364</v>
      </c>
      <c r="K68" s="25" t="n">
        <f aca="false">datos_base!$D$4*parametros_recargas!$M$39</f>
        <v>454.048717030168</v>
      </c>
      <c r="L68" s="25" t="n">
        <f aca="false">datos_base!$D$4*parametros_recargas!$N$39</f>
        <v>478.040132106524</v>
      </c>
      <c r="M68" s="25" t="n">
        <f aca="false">datos_base!$D$4*parametros_recargas!$O$39</f>
        <v>503.299226125199</v>
      </c>
      <c r="N68" s="25" t="n">
        <f aca="false">datos_base!$D$4*parametros_recargas!$P$39</f>
        <v>529.892981792119</v>
      </c>
      <c r="O68" s="25" t="n">
        <f aca="false">datos_base!$D$4*parametros_recargas!$Q$39</f>
        <v>557.891921102805</v>
      </c>
      <c r="P68" s="7" t="n">
        <f aca="false">SUM(D68:O68)</f>
        <v>5123.65090683008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4" t="n">
        <f aca="false">parametros_recargas!C54</f>
        <v>1</v>
      </c>
      <c r="D69" s="25" t="n">
        <f aca="false">datos_base!$D$5*parametros_recargas!$F$39</f>
        <v>18.2579396592003</v>
      </c>
      <c r="E69" s="25" t="n">
        <f aca="false">datos_base!$D$5*parametros_recargas!$G$39</f>
        <v>19.2226683157815</v>
      </c>
      <c r="F69" s="25" t="n">
        <f aca="false">datos_base!$D$5*parametros_recargas!$H$39</f>
        <v>20.2383721315648</v>
      </c>
      <c r="G69" s="25" t="n">
        <f aca="false">datos_base!$D$5*parametros_recargas!$I$39</f>
        <v>21.3077445756804</v>
      </c>
      <c r="H69" s="25" t="n">
        <f aca="false">datos_base!$D$5*parametros_recargas!$J$39</f>
        <v>22.4336214370881</v>
      </c>
      <c r="I69" s="25" t="n">
        <f aca="false">datos_base!$D$5*parametros_recargas!$K$39</f>
        <v>23.6189883445939</v>
      </c>
      <c r="J69" s="25" t="n">
        <f aca="false">datos_base!$D$5*parametros_recargas!$L$39</f>
        <v>24.8669886842164</v>
      </c>
      <c r="K69" s="25" t="n">
        <f aca="false">datos_base!$D$5*parametros_recargas!$M$39</f>
        <v>26.1809319348972</v>
      </c>
      <c r="L69" s="25" t="n">
        <f aca="false">datos_base!$D$5*parametros_recargas!$N$39</f>
        <v>27.5643024446618</v>
      </c>
      <c r="M69" s="25" t="n">
        <f aca="false">datos_base!$D$5*parametros_recargas!$O$39</f>
        <v>29.0207686705011</v>
      </c>
      <c r="N69" s="25" t="n">
        <f aca="false">datos_base!$D$5*parametros_recargas!$P$39</f>
        <v>30.5541929064793</v>
      </c>
      <c r="O69" s="25" t="n">
        <f aca="false">datos_base!$D$5*parametros_recargas!$Q$39</f>
        <v>32.1686415258633</v>
      </c>
      <c r="P69" s="7" t="n">
        <f aca="false">SUM(D69:O69)</f>
        <v>295.435160630528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4" t="n">
        <f aca="false">parametros_recargas!C55</f>
        <v>1</v>
      </c>
      <c r="D70" s="25" t="n">
        <f aca="false">datos_base!$D$6*parametros_recargas!$F$39</f>
        <v>26.262914375485</v>
      </c>
      <c r="E70" s="25" t="n">
        <f aca="false">datos_base!$D$6*parametros_recargas!$G$39</f>
        <v>27.6506167436765</v>
      </c>
      <c r="F70" s="25" t="n">
        <f aca="false">datos_base!$D$6*parametros_recargas!$H$39</f>
        <v>29.1116437183893</v>
      </c>
      <c r="G70" s="25" t="n">
        <f aca="false">datos_base!$D$6*parametros_recargas!$I$39</f>
        <v>30.649869687997</v>
      </c>
      <c r="H70" s="25" t="n">
        <f aca="false">datos_base!$D$6*parametros_recargas!$J$39</f>
        <v>32.2693737591254</v>
      </c>
      <c r="I70" s="25" t="n">
        <f aca="false">datos_base!$D$6*parametros_recargas!$K$39</f>
        <v>33.9744505737303</v>
      </c>
      <c r="J70" s="25" t="n">
        <f aca="false">datos_base!$D$6*parametros_recargas!$L$39</f>
        <v>35.7696216977385</v>
      </c>
      <c r="K70" s="25" t="n">
        <f aca="false">datos_base!$D$6*parametros_recargas!$M$39</f>
        <v>37.6596476114504</v>
      </c>
      <c r="L70" s="25" t="n">
        <f aca="false">datos_base!$D$6*parametros_recargas!$N$39</f>
        <v>39.649540333503</v>
      </c>
      <c r="M70" s="25" t="n">
        <f aca="false">datos_base!$D$6*parametros_recargas!$O$39</f>
        <v>41.7445767118672</v>
      </c>
      <c r="N70" s="25" t="n">
        <f aca="false">datos_base!$D$6*parametros_recargas!$P$39</f>
        <v>43.9503124171278</v>
      </c>
      <c r="O70" s="25" t="n">
        <f aca="false">datos_base!$D$6*parametros_recargas!$Q$39</f>
        <v>46.2725966751511</v>
      </c>
      <c r="P70" s="7" t="n">
        <f aca="false">SUM(D70:O70)</f>
        <v>424.965164305242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4" t="n">
        <f aca="false">parametros_recargas!C56</f>
        <v>1</v>
      </c>
      <c r="D71" s="25" t="n">
        <f aca="false">datos_base!$D$7*parametros_recargas!$F$39</f>
        <v>5.63974492098452</v>
      </c>
      <c r="E71" s="25" t="n">
        <f aca="false">datos_base!$D$7*parametros_recargas!$G$39</f>
        <v>5.93774259447012</v>
      </c>
      <c r="F71" s="25" t="n">
        <f aca="false">datos_base!$D$7*parametros_recargas!$H$39</f>
        <v>6.25148612431039</v>
      </c>
      <c r="G71" s="25" t="n">
        <f aca="false">datos_base!$D$7*parametros_recargas!$I$39</f>
        <v>6.58180750355228</v>
      </c>
      <c r="H71" s="25" t="n">
        <f aca="false">datos_base!$D$7*parametros_recargas!$J$39</f>
        <v>6.92958268680405</v>
      </c>
      <c r="I71" s="25" t="n">
        <f aca="false">datos_base!$D$7*parametros_recargas!$K$39</f>
        <v>7.29573391311399</v>
      </c>
      <c r="J71" s="25" t="n">
        <f aca="false">datos_base!$D$7*parametros_recargas!$L$39</f>
        <v>7.68123215158723</v>
      </c>
      <c r="K71" s="25" t="n">
        <f aca="false">datos_base!$D$7*parametros_recargas!$M$39</f>
        <v>8.08709967622631</v>
      </c>
      <c r="L71" s="25" t="n">
        <f aca="false">datos_base!$D$7*parametros_recargas!$N$39</f>
        <v>8.51441277682323</v>
      </c>
      <c r="M71" s="25" t="n">
        <f aca="false">datos_base!$D$7*parametros_recargas!$O$39</f>
        <v>8.96430461309203</v>
      </c>
      <c r="N71" s="25" t="n">
        <f aca="false">datos_base!$D$7*parametros_recargas!$P$39</f>
        <v>9.43796821961049</v>
      </c>
      <c r="O71" s="25" t="n">
        <f aca="false">datos_base!$D$7*parametros_recargas!$Q$39</f>
        <v>9.9366596695394</v>
      </c>
      <c r="P71" s="7" t="n">
        <f aca="false">SUM(D71:O71)</f>
        <v>91.257774850114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4" t="n">
        <f aca="false">parametros_recargas!C57</f>
        <v>3</v>
      </c>
      <c r="D72" s="25" t="n">
        <f aca="false">datos_base!$D$8*parametros_recargas!$F$39</f>
        <v>2.92960441151435</v>
      </c>
      <c r="E72" s="25" t="n">
        <f aca="false">datos_base!$D$8*parametros_recargas!$G$39</f>
        <v>3.08440135908836</v>
      </c>
      <c r="F72" s="25" t="n">
        <f aca="false">datos_base!$D$8*parametros_recargas!$H$39</f>
        <v>3.24737760038682</v>
      </c>
      <c r="G72" s="25" t="n">
        <f aca="false">datos_base!$D$8*parametros_recargas!$I$39</f>
        <v>3.41896531993843</v>
      </c>
      <c r="H72" s="25" t="n">
        <f aca="false">datos_base!$D$8*parametros_recargas!$J$39</f>
        <v>3.59961953840826</v>
      </c>
      <c r="I72" s="25" t="n">
        <f aca="false">datos_base!$D$8*parametros_recargas!$K$39</f>
        <v>3.78981931923305</v>
      </c>
      <c r="J72" s="25" t="n">
        <f aca="false">datos_base!$D$8*parametros_recargas!$L$39</f>
        <v>3.99006903901383</v>
      </c>
      <c r="K72" s="25" t="n">
        <f aca="false">datos_base!$D$8*parametros_recargas!$M$39</f>
        <v>4.20089972503455</v>
      </c>
      <c r="L72" s="25" t="n">
        <f aca="false">datos_base!$D$8*parametros_recargas!$N$39</f>
        <v>4.4228704634537</v>
      </c>
      <c r="M72" s="25" t="n">
        <f aca="false">datos_base!$D$8*parametros_recargas!$O$39</f>
        <v>4.65656988190316</v>
      </c>
      <c r="N72" s="25" t="n">
        <f aca="false">datos_base!$D$8*parametros_recargas!$P$39</f>
        <v>4.90261771042588</v>
      </c>
      <c r="O72" s="25" t="n">
        <f aca="false">datos_base!$D$8*parametros_recargas!$Q$39</f>
        <v>5.16166642489171</v>
      </c>
      <c r="P72" s="7" t="n">
        <f aca="false">SUM(D72:O72)</f>
        <v>47.4044807932921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4" t="n">
        <f aca="false">parametros_recargas!C58</f>
        <v>1</v>
      </c>
      <c r="D73" s="25" t="n">
        <f aca="false">datos_base!$D$9*parametros_recargas!$F$39</f>
        <v>1.58339727716478</v>
      </c>
      <c r="E73" s="25" t="n">
        <f aca="false">datos_base!$D$9*parametros_recargas!$G$39</f>
        <v>1.66706217893062</v>
      </c>
      <c r="F73" s="25" t="n">
        <f aca="false">datos_base!$D$9*parametros_recargas!$H$39</f>
        <v>1.75514783844843</v>
      </c>
      <c r="G73" s="25" t="n">
        <f aca="false">datos_base!$D$9*parametros_recargas!$I$39</f>
        <v>1.84788784350342</v>
      </c>
      <c r="H73" s="25" t="n">
        <f aca="false">datos_base!$D$9*parametros_recargas!$J$39</f>
        <v>1.94552812439226</v>
      </c>
      <c r="I73" s="25" t="n">
        <f aca="false">datos_base!$D$9*parametros_recargas!$K$39</f>
        <v>2.04832760608734</v>
      </c>
      <c r="J73" s="25" t="n">
        <f aca="false">datos_base!$D$9*parametros_recargas!$L$39</f>
        <v>2.15655889486056</v>
      </c>
      <c r="K73" s="25" t="n">
        <f aca="false">datos_base!$D$9*parametros_recargas!$M$39</f>
        <v>2.27050900118752</v>
      </c>
      <c r="L73" s="25" t="n">
        <f aca="false">datos_base!$D$9*parametros_recargas!$N$39</f>
        <v>2.39048010084922</v>
      </c>
      <c r="M73" s="25" t="n">
        <f aca="false">datos_base!$D$9*parametros_recargas!$O$39</f>
        <v>2.51679033624943</v>
      </c>
      <c r="N73" s="25" t="n">
        <f aca="false">datos_base!$D$9*parametros_recargas!$P$39</f>
        <v>2.64977466007279</v>
      </c>
      <c r="O73" s="25" t="n">
        <f aca="false">datos_base!$D$9*parametros_recargas!$Q$39</f>
        <v>2.78978572352084</v>
      </c>
      <c r="P73" s="7" t="n">
        <f aca="false">SUM(D73:O73)</f>
        <v>25.6212495852672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4" t="n">
        <f aca="false">parametros_recargas!C59</f>
        <v>1</v>
      </c>
      <c r="D74" s="25" t="n">
        <f aca="false">datos_base!$D$10*parametros_recargas!$F$39</f>
        <v>13.299202459603</v>
      </c>
      <c r="E74" s="25" t="n">
        <f aca="false">datos_base!$D$10*parametros_recargas!$G$39</f>
        <v>14.0019171120742</v>
      </c>
      <c r="F74" s="25" t="n">
        <f aca="false">datos_base!$D$10*parametros_recargas!$H$39</f>
        <v>14.741762403341</v>
      </c>
      <c r="G74" s="25" t="n">
        <f aca="false">datos_base!$D$10*parametros_recargas!$I$39</f>
        <v>15.5207002739045</v>
      </c>
      <c r="H74" s="25" t="n">
        <f aca="false">datos_base!$D$10*parametros_recargas!$J$39</f>
        <v>16.3407963309587</v>
      </c>
      <c r="I74" s="25" t="n">
        <f aca="false">datos_base!$D$10*parametros_recargas!$K$39</f>
        <v>17.20422532602</v>
      </c>
      <c r="J74" s="25" t="n">
        <f aca="false">datos_base!$D$10*parametros_recargas!$L$39</f>
        <v>18.1132769219885</v>
      </c>
      <c r="K74" s="25" t="n">
        <f aca="false">datos_base!$D$10*parametros_recargas!$M$39</f>
        <v>19.070361764934</v>
      </c>
      <c r="L74" s="25" t="n">
        <f aca="false">datos_base!$D$10*parametros_recargas!$N$39</f>
        <v>20.0780178767084</v>
      </c>
      <c r="M74" s="25" t="n">
        <f aca="false">datos_base!$D$10*parametros_recargas!$O$39</f>
        <v>21.1389173853367</v>
      </c>
      <c r="N74" s="25" t="n">
        <f aca="false">datos_base!$D$10*parametros_recargas!$P$39</f>
        <v>22.2558736110334</v>
      </c>
      <c r="O74" s="25" t="n">
        <f aca="false">datos_base!$D$10*parametros_recargas!$Q$39</f>
        <v>23.4318485266364</v>
      </c>
      <c r="P74" s="7" t="n">
        <f aca="false">SUM(D74:O74)</f>
        <v>215.196899992539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4" t="n">
        <f aca="false">parametros_recargas!C60</f>
        <v>1</v>
      </c>
      <c r="D75" s="25" t="n">
        <f aca="false">datos_base!$D$11*parametros_recargas!$F$39</f>
        <v>70.4541654039543</v>
      </c>
      <c r="E75" s="25" t="n">
        <f aca="false">datos_base!$D$11*parametros_recargas!$G$39</f>
        <v>74.176882950918</v>
      </c>
      <c r="F75" s="25" t="n">
        <f aca="false">datos_base!$D$11*parametros_recargas!$H$39</f>
        <v>78.0963046367357</v>
      </c>
      <c r="G75" s="25" t="n">
        <f aca="false">datos_base!$D$11*parametros_recargas!$I$39</f>
        <v>82.2228240832052</v>
      </c>
      <c r="H75" s="25" t="n">
        <f aca="false">datos_base!$D$11*parametros_recargas!$J$39</f>
        <v>86.5673840992163</v>
      </c>
      <c r="I75" s="25" t="n">
        <f aca="false">datos_base!$D$11*parametros_recargas!$K$39</f>
        <v>91.1415056991693</v>
      </c>
      <c r="J75" s="25" t="n">
        <f aca="false">datos_base!$D$11*parametros_recargas!$L$39</f>
        <v>95.9573186546932</v>
      </c>
      <c r="K75" s="25" t="n">
        <f aca="false">datos_base!$D$11*parametros_recargas!$M$39</f>
        <v>101.027593660681</v>
      </c>
      <c r="L75" s="25" t="n">
        <f aca="false">datos_base!$D$11*parametros_recargas!$N$39</f>
        <v>106.365776200943</v>
      </c>
      <c r="M75" s="25" t="n">
        <f aca="false">datos_base!$D$11*parametros_recargas!$O$39</f>
        <v>111.986022203282</v>
      </c>
      <c r="N75" s="25" t="n">
        <f aca="false">datos_base!$D$11*parametros_recargas!$P$39</f>
        <v>117.903235578538</v>
      </c>
      <c r="O75" s="25" t="n">
        <f aca="false">datos_base!$D$11*parametros_recargas!$Q$39</f>
        <v>124.133107743164</v>
      </c>
      <c r="P75" s="7" t="n">
        <f aca="false">SUM(D75:O75)</f>
        <v>1140.0321209145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4" t="n">
        <f aca="false">parametros_recargas!C61</f>
        <v>1</v>
      </c>
      <c r="D76" s="25" t="n">
        <f aca="false">datos_base!$D$12*parametros_recargas!$F$39</f>
        <v>24.5041235301581</v>
      </c>
      <c r="E76" s="25" t="n">
        <f aca="false">datos_base!$D$12*parametros_recargas!$G$39</f>
        <v>25.7988934009763</v>
      </c>
      <c r="F76" s="25" t="n">
        <f aca="false">datos_base!$D$12*parametros_recargas!$H$39</f>
        <v>27.1620774314079</v>
      </c>
      <c r="G76" s="25" t="n">
        <f aca="false">datos_base!$D$12*parametros_recargas!$I$39</f>
        <v>28.5972905474263</v>
      </c>
      <c r="H76" s="25" t="n">
        <f aca="false">datos_base!$D$12*parametros_recargas!$J$39</f>
        <v>30.1083386835603</v>
      </c>
      <c r="I76" s="25" t="n">
        <f aca="false">datos_base!$D$12*parametros_recargas!$K$39</f>
        <v>31.6992288755677</v>
      </c>
      <c r="J76" s="25" t="n">
        <f aca="false">datos_base!$D$12*parametros_recargas!$L$39</f>
        <v>33.3741798863942</v>
      </c>
      <c r="K76" s="25" t="n">
        <f aca="false">datos_base!$D$12*parametros_recargas!$M$39</f>
        <v>35.1376333935963</v>
      </c>
      <c r="L76" s="25" t="n">
        <f aca="false">datos_base!$D$12*parametros_recargas!$N$39</f>
        <v>36.9942657678941</v>
      </c>
      <c r="M76" s="25" t="n">
        <f aca="false">datos_base!$D$12*parametros_recargas!$O$39</f>
        <v>38.94900047409</v>
      </c>
      <c r="N76" s="25" t="n">
        <f aca="false">datos_base!$D$12*parametros_recargas!$P$39</f>
        <v>41.0070211272373</v>
      </c>
      <c r="O76" s="25" t="n">
        <f aca="false">datos_base!$D$12*parametros_recargas!$Q$39</f>
        <v>43.173785238682</v>
      </c>
      <c r="P76" s="7" t="n">
        <f aca="false">SUM(D76:O76)</f>
        <v>396.50583835699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4" t="n">
        <f aca="false">parametros_recargas!C62</f>
        <v>1</v>
      </c>
      <c r="D77" s="25" t="n">
        <f aca="false">datos_base!$D$13*parametros_recargas!$F$39</f>
        <v>4.11221726066239</v>
      </c>
      <c r="E77" s="25" t="n">
        <f aca="false">datos_base!$D$13*parametros_recargas!$G$39</f>
        <v>4.32950211905822</v>
      </c>
      <c r="F77" s="25" t="n">
        <f aca="false">datos_base!$D$13*parametros_recargas!$H$39</f>
        <v>4.55826806094148</v>
      </c>
      <c r="G77" s="25" t="n">
        <f aca="false">datos_base!$D$13*parametros_recargas!$I$39</f>
        <v>4.79912173363687</v>
      </c>
      <c r="H77" s="25" t="n">
        <f aca="false">datos_base!$D$13*parametros_recargas!$J$39</f>
        <v>5.05270183902013</v>
      </c>
      <c r="I77" s="25" t="n">
        <f aca="false">datos_base!$D$13*parametros_recargas!$K$39</f>
        <v>5.31968082724387</v>
      </c>
      <c r="J77" s="25" t="n">
        <f aca="false">datos_base!$D$13*parametros_recargas!$L$39</f>
        <v>5.60076667995791</v>
      </c>
      <c r="K77" s="25" t="n">
        <f aca="false">datos_base!$D$13*parametros_recargas!$M$39</f>
        <v>5.896704787753</v>
      </c>
      <c r="L77" s="25" t="n">
        <f aca="false">datos_base!$D$13*parametros_recargas!$N$39</f>
        <v>6.20827992680646</v>
      </c>
      <c r="M77" s="25" t="n">
        <f aca="false">datos_base!$D$13*parametros_recargas!$O$39</f>
        <v>6.53631833997156</v>
      </c>
      <c r="N77" s="25" t="n">
        <f aca="false">datos_base!$D$13*parametros_recargas!$P$39</f>
        <v>6.88168992782925</v>
      </c>
      <c r="O77" s="25" t="n">
        <f aca="false">datos_base!$D$13*parametros_recargas!$Q$39</f>
        <v>7.24531055551261</v>
      </c>
      <c r="P77" s="7" t="n">
        <f aca="false">SUM(D77:O77)</f>
        <v>66.5405620583937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4" t="n">
        <f aca="false">parametros_recargas!C63</f>
        <v>1</v>
      </c>
      <c r="D78" s="25" t="n">
        <f aca="false">datos_base!$D$14*parametros_recargas!$F$39</f>
        <v>1.58339727716478</v>
      </c>
      <c r="E78" s="25" t="n">
        <f aca="false">datos_base!$D$14*parametros_recargas!$G$39</f>
        <v>1.66706217893062</v>
      </c>
      <c r="F78" s="25" t="n">
        <f aca="false">datos_base!$D$14*parametros_recargas!$H$39</f>
        <v>1.75514783844843</v>
      </c>
      <c r="G78" s="25" t="n">
        <f aca="false">datos_base!$D$14*parametros_recargas!$I$39</f>
        <v>1.84788784350342</v>
      </c>
      <c r="H78" s="25" t="n">
        <f aca="false">datos_base!$D$14*parametros_recargas!$J$39</f>
        <v>1.94552812439226</v>
      </c>
      <c r="I78" s="25" t="n">
        <f aca="false">datos_base!$D$14*parametros_recargas!$K$39</f>
        <v>2.04832760608734</v>
      </c>
      <c r="J78" s="25" t="n">
        <f aca="false">datos_base!$D$14*parametros_recargas!$L$39</f>
        <v>2.15655889486056</v>
      </c>
      <c r="K78" s="25" t="n">
        <f aca="false">datos_base!$D$14*parametros_recargas!$M$39</f>
        <v>2.27050900118752</v>
      </c>
      <c r="L78" s="25" t="n">
        <f aca="false">datos_base!$D$14*parametros_recargas!$N$39</f>
        <v>2.39048010084922</v>
      </c>
      <c r="M78" s="25" t="n">
        <f aca="false">datos_base!$D$14*parametros_recargas!$O$39</f>
        <v>2.51679033624943</v>
      </c>
      <c r="N78" s="25" t="n">
        <f aca="false">datos_base!$D$14*parametros_recargas!$P$39</f>
        <v>2.64977466007279</v>
      </c>
      <c r="O78" s="25" t="n">
        <f aca="false">datos_base!$D$14*parametros_recargas!$Q$39</f>
        <v>2.78978572352084</v>
      </c>
      <c r="P78" s="7" t="n">
        <f aca="false">SUM(D78:O78)</f>
        <v>25.6212495852672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4" t="n">
        <f aca="false">parametros_recargas!C64</f>
        <v>3</v>
      </c>
      <c r="D79" s="25" t="n">
        <f aca="false">datos_base!$D$15*parametros_recargas!$F$39</f>
        <v>3.32871911438582</v>
      </c>
      <c r="E79" s="25" t="n">
        <f aca="false">datos_base!$D$15*parametros_recargas!$G$39</f>
        <v>3.50460482653623</v>
      </c>
      <c r="F79" s="25" t="n">
        <f aca="false">datos_base!$D$15*parametros_recargas!$H$39</f>
        <v>3.68978413861971</v>
      </c>
      <c r="G79" s="25" t="n">
        <f aca="false">datos_base!$D$15*parametros_recargas!$I$39</f>
        <v>3.88474811383098</v>
      </c>
      <c r="H79" s="25" t="n">
        <f aca="false">datos_base!$D$15*parametros_recargas!$J$39</f>
        <v>4.09001376258254</v>
      </c>
      <c r="I79" s="25" t="n">
        <f aca="false">datos_base!$D$15*parametros_recargas!$K$39</f>
        <v>4.30612541352596</v>
      </c>
      <c r="J79" s="25" t="n">
        <f aca="false">datos_base!$D$15*parametros_recargas!$L$39</f>
        <v>4.53365615701638</v>
      </c>
      <c r="K79" s="25" t="n">
        <f aca="false">datos_base!$D$15*parametros_recargas!$M$39</f>
        <v>4.77320936484811</v>
      </c>
      <c r="L79" s="25" t="n">
        <f aca="false">datos_base!$D$15*parametros_recargas!$N$39</f>
        <v>5.02542029029119</v>
      </c>
      <c r="M79" s="25" t="n">
        <f aca="false">datos_base!$D$15*parametros_recargas!$O$39</f>
        <v>5.29095775267215</v>
      </c>
      <c r="N79" s="25" t="n">
        <f aca="false">datos_base!$D$15*parametros_recargas!$P$39</f>
        <v>5.57052591096603</v>
      </c>
      <c r="O79" s="25" t="n">
        <f aca="false">datos_base!$D$15*parametros_recargas!$Q$39</f>
        <v>5.86486613110303</v>
      </c>
      <c r="P79" s="7" t="n">
        <f aca="false">SUM(D79:O79)</f>
        <v>53.8626309763781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4" t="n">
        <f aca="false">parametros_recargas!C65</f>
        <v>3</v>
      </c>
      <c r="D80" s="25" t="n">
        <f aca="false">datos_base!$D$16*parametros_recargas!$F$39</f>
        <v>7.32318206233663</v>
      </c>
      <c r="E80" s="25" t="n">
        <f aca="false">datos_base!$D$16*parametros_recargas!$G$39</f>
        <v>7.71013062963227</v>
      </c>
      <c r="F80" s="25" t="n">
        <f aca="false">datos_base!$D$16*parametros_recargas!$H$39</f>
        <v>8.1175251168105</v>
      </c>
      <c r="G80" s="25" t="n">
        <f aca="false">datos_base!$D$16*parametros_recargas!$I$39</f>
        <v>8.54644586290129</v>
      </c>
      <c r="H80" s="25" t="n">
        <f aca="false">datos_base!$D$16*parametros_recargas!$J$39</f>
        <v>8.99803029081379</v>
      </c>
      <c r="I80" s="25" t="n">
        <f aca="false">datos_base!$D$16*parametros_recargas!$K$39</f>
        <v>9.47347592358319</v>
      </c>
      <c r="J80" s="25" t="n">
        <f aca="false">datos_base!$D$16*parametros_recargas!$L$39</f>
        <v>9.97404355999268</v>
      </c>
      <c r="K80" s="25" t="n">
        <f aca="false">datos_base!$D$16*parametros_recargas!$M$39</f>
        <v>10.5010606179916</v>
      </c>
      <c r="L80" s="25" t="n">
        <f aca="false">datos_base!$D$16*parametros_recargas!$N$39</f>
        <v>11.0559246547762</v>
      </c>
      <c r="M80" s="25" t="n">
        <f aca="false">datos_base!$D$16*parametros_recargas!$O$39</f>
        <v>11.6401070728669</v>
      </c>
      <c r="N80" s="25" t="n">
        <f aca="false">datos_base!$D$16*parametros_recargas!$P$39</f>
        <v>12.2551570220111</v>
      </c>
      <c r="O80" s="25" t="n">
        <f aca="false">datos_base!$D$16*parametros_recargas!$Q$39</f>
        <v>12.9027055072576</v>
      </c>
      <c r="P80" s="7" t="n">
        <f aca="false">SUM(D80:O80)</f>
        <v>118.497788320974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4" t="n">
        <f aca="false">parametros_recargas!C66</f>
        <v>3</v>
      </c>
      <c r="D81" s="25" t="n">
        <f aca="false">datos_base!$D$17*parametros_recargas!$F$39</f>
        <v>1.5977851720551</v>
      </c>
      <c r="E81" s="25" t="n">
        <f aca="false">datos_base!$D$17*parametros_recargas!$G$39</f>
        <v>1.6822103137367</v>
      </c>
      <c r="F81" s="25" t="n">
        <f aca="false">datos_base!$D$17*parametros_recargas!$H$39</f>
        <v>1.77109638337822</v>
      </c>
      <c r="G81" s="25" t="n">
        <f aca="false">datos_base!$D$17*parametros_recargas!$I$39</f>
        <v>1.8646790913127</v>
      </c>
      <c r="H81" s="25" t="n">
        <f aca="false">datos_base!$D$17*parametros_recargas!$J$39</f>
        <v>1.9632066025377</v>
      </c>
      <c r="I81" s="25" t="n">
        <f aca="false">datos_base!$D$17*parametros_recargas!$K$39</f>
        <v>2.0669401948055</v>
      </c>
      <c r="J81" s="25" t="n">
        <f aca="false">datos_base!$D$17*parametros_recargas!$L$39</f>
        <v>2.17615495148609</v>
      </c>
      <c r="K81" s="25" t="n">
        <f aca="false">datos_base!$D$17*parametros_recargas!$M$39</f>
        <v>2.29114049104021</v>
      </c>
      <c r="L81" s="25" t="n">
        <f aca="false">datos_base!$D$17*parametros_recargas!$N$39</f>
        <v>2.41220173503695</v>
      </c>
      <c r="M81" s="25" t="n">
        <f aca="false">datos_base!$D$17*parametros_recargas!$O$39</f>
        <v>2.53965971675245</v>
      </c>
      <c r="N81" s="25" t="n">
        <f aca="false">datos_base!$D$17*parametros_recargas!$P$39</f>
        <v>2.67385243249414</v>
      </c>
      <c r="O81" s="25" t="n">
        <f aca="false">datos_base!$D$17*parametros_recargas!$Q$39</f>
        <v>2.81513573790789</v>
      </c>
      <c r="P81" s="7" t="n">
        <f aca="false">SUM(D81:O81)</f>
        <v>25.8540628225437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4" t="n">
        <f aca="false">parametros_recargas!C67</f>
        <v>3</v>
      </c>
      <c r="D82" s="25" t="n">
        <f aca="false">datos_base!$D$18*parametros_recargas!$F$39</f>
        <v>1.06519012657878</v>
      </c>
      <c r="E82" s="25" t="n">
        <f aca="false">datos_base!$D$18*parametros_recargas!$G$39</f>
        <v>1.12147355499399</v>
      </c>
      <c r="F82" s="25" t="n">
        <f aca="false">datos_base!$D$18*parametros_recargas!$H$39</f>
        <v>1.18073093541564</v>
      </c>
      <c r="G82" s="25" t="n">
        <f aca="false">datos_base!$D$18*parametros_recargas!$I$39</f>
        <v>1.2431194080675</v>
      </c>
      <c r="H82" s="25" t="n">
        <f aca="false">datos_base!$D$18*parametros_recargas!$J$39</f>
        <v>1.30880441628313</v>
      </c>
      <c r="I82" s="25" t="n">
        <f aca="false">datos_base!$D$18*parametros_recargas!$K$39</f>
        <v>1.37796014523266</v>
      </c>
      <c r="J82" s="25" t="n">
        <f aca="false">datos_base!$D$18*parametros_recargas!$L$39</f>
        <v>1.45076998383144</v>
      </c>
      <c r="K82" s="25" t="n">
        <f aca="false">datos_base!$D$18*parametros_recargas!$M$39</f>
        <v>1.52742701105548</v>
      </c>
      <c r="L82" s="25" t="n">
        <f aca="false">datos_base!$D$18*parametros_recargas!$N$39</f>
        <v>1.60813450795307</v>
      </c>
      <c r="M82" s="25" t="n">
        <f aca="false">datos_base!$D$18*parametros_recargas!$O$39</f>
        <v>1.69310649671073</v>
      </c>
      <c r="N82" s="25" t="n">
        <f aca="false">datos_base!$D$18*parametros_recargas!$P$39</f>
        <v>1.78256830820256</v>
      </c>
      <c r="O82" s="25" t="n">
        <f aca="false">datos_base!$D$18*parametros_recargas!$Q$39</f>
        <v>1.87675717952846</v>
      </c>
      <c r="P82" s="7" t="n">
        <f aca="false">SUM(D82:O82)</f>
        <v>17.2360420738534</v>
      </c>
    </row>
    <row r="83" customFormat="false" ht="15" hidden="false" customHeight="false" outlineLevel="0" collapsed="false">
      <c r="A83" s="6" t="s">
        <v>272</v>
      </c>
      <c r="D83" s="7" t="n">
        <f aca="false">SUM(D66:D82)</f>
        <v>1095.20150154874</v>
      </c>
      <c r="E83" s="7" t="n">
        <f aca="false">SUM(E66:E82)</f>
        <v>1153.0706967042</v>
      </c>
      <c r="F83" s="7" t="n">
        <f aca="false">SUM(F66:F82)</f>
        <v>1213.99763396758</v>
      </c>
      <c r="G83" s="7" t="n">
        <f aca="false">SUM(G66:G82)</f>
        <v>1278.14388093582</v>
      </c>
      <c r="H83" s="7" t="n">
        <f aca="false">SUM(H66:H82)</f>
        <v>1345.67954225297</v>
      </c>
      <c r="I83" s="7" t="n">
        <f aca="false">SUM(I66:I82)</f>
        <v>1416.78371069798</v>
      </c>
      <c r="J83" s="7" t="n">
        <f aca="false">SUM(J66:J82)</f>
        <v>1491.64494210746</v>
      </c>
      <c r="K83" s="7" t="n">
        <f aca="false">SUM(K66:K82)</f>
        <v>1570.46175539287</v>
      </c>
      <c r="L83" s="7" t="n">
        <f aca="false">SUM(L66:L82)</f>
        <v>1653.44315897797</v>
      </c>
      <c r="M83" s="7" t="n">
        <f aca="false">SUM(M66:M82)</f>
        <v>1740.80920505264</v>
      </c>
      <c r="N83" s="7" t="n">
        <f aca="false">SUM(N66:N82)</f>
        <v>1832.7915731129</v>
      </c>
      <c r="O83" s="7" t="n">
        <f aca="false">SUM(O66:O82)</f>
        <v>1929.63418433446</v>
      </c>
      <c r="P83" s="7" t="n">
        <f aca="false">SUM(P66:P82)</f>
        <v>17721.6617850856</v>
      </c>
    </row>
    <row r="84" customFormat="false" ht="15" hidden="false" customHeight="false" outlineLevel="0" collapsed="false">
      <c r="A84" s="6" t="s">
        <v>273</v>
      </c>
    </row>
    <row r="85" customFormat="false" ht="15" hidden="false" customHeight="false" outlineLevel="0" collapsed="false">
      <c r="A85" s="4" t="s">
        <v>143</v>
      </c>
      <c r="D85" s="25" t="n">
        <f aca="false">SUMPRODUCT(($B$66:$B$82=$A85)*D$66:D$82*$C$66:$C$82)</f>
        <v>971.462487582763</v>
      </c>
      <c r="E85" s="25" t="n">
        <f aca="false">SUMPRODUCT(($B$66:$B$82=$A85)*E$66:E$82*$C$66:$C$82)</f>
        <v>1022.79345471588</v>
      </c>
      <c r="F85" s="25" t="n">
        <f aca="false">SUMPRODUCT(($B$66:$B$82=$A85)*F$66:F$82*$C$66:$C$82)</f>
        <v>1076.83669146362</v>
      </c>
      <c r="G85" s="25" t="n">
        <f aca="false">SUMPRODUCT(($B$66:$B$82=$A85)*G$66:G$82*$C$66:$C$82)</f>
        <v>1133.73551105138</v>
      </c>
      <c r="H85" s="25" t="n">
        <f aca="false">SUMPRODUCT(($B$66:$B$82=$A85)*H$66:H$82*$C$66:$C$82)</f>
        <v>1193.64079921153</v>
      </c>
      <c r="I85" s="25" t="n">
        <f aca="false">SUMPRODUCT(($B$66:$B$82=$A85)*I$66:I$82*$C$66:$C$82)</f>
        <v>1256.71141430602</v>
      </c>
      <c r="J85" s="25" t="n">
        <f aca="false">SUMPRODUCT(($B$66:$B$82=$A85)*J$66:J$82*$C$66:$C$82)</f>
        <v>1323.11460859102</v>
      </c>
      <c r="K85" s="25" t="n">
        <f aca="false">SUMPRODUCT(($B$66:$B$82=$A85)*K$66:K$82*$C$66:$C$82)</f>
        <v>1393.02647174069</v>
      </c>
      <c r="L85" s="25" t="n">
        <f aca="false">SUMPRODUCT(($B$66:$B$82=$A85)*L$66:L$82*$C$66:$C$82)</f>
        <v>1466.63239780625</v>
      </c>
      <c r="M85" s="25" t="n">
        <f aca="false">SUMPRODUCT(($B$66:$B$82=$A85)*M$66:M$82*$C$66:$C$82)</f>
        <v>1544.1275768486</v>
      </c>
      <c r="N85" s="25" t="n">
        <f aca="false">SUMPRODUCT(($B$66:$B$82=$A85)*N$66:N$82*$C$66:$C$82)</f>
        <v>1625.7175125483</v>
      </c>
      <c r="O85" s="25" t="n">
        <f aca="false">SUMPRODUCT(($B$66:$B$82=$A85)*O$66:O$82*$C$66:$C$82)</f>
        <v>1711.61856716543</v>
      </c>
      <c r="P85" s="25" t="n">
        <f aca="false">SUMPRODUCT(($B$66:$B$82=$A85)*P$66:P$82*$C$66:$C$82)</f>
        <v>15719.4174930315</v>
      </c>
    </row>
    <row r="86" customFormat="false" ht="15" hidden="false" customHeight="false" outlineLevel="0" collapsed="false">
      <c r="A86" s="4" t="s">
        <v>149</v>
      </c>
      <c r="D86" s="25" t="n">
        <f aca="false">SUMPRODUCT(($B$66:$B$82=$A86)*D$66:D$82*$C$66:$C$82)</f>
        <v>1.58339727716478</v>
      </c>
      <c r="E86" s="25" t="n">
        <f aca="false">SUMPRODUCT(($B$66:$B$82=$A86)*E$66:E$82*$C$66:$C$82)</f>
        <v>1.66706217893062</v>
      </c>
      <c r="F86" s="25" t="n">
        <f aca="false">SUMPRODUCT(($B$66:$B$82=$A86)*F$66:F$82*$C$66:$C$82)</f>
        <v>1.75514783844843</v>
      </c>
      <c r="G86" s="25" t="n">
        <f aca="false">SUMPRODUCT(($B$66:$B$82=$A86)*G$66:G$82*$C$66:$C$82)</f>
        <v>1.84788784350342</v>
      </c>
      <c r="H86" s="25" t="n">
        <f aca="false">SUMPRODUCT(($B$66:$B$82=$A86)*H$66:H$82*$C$66:$C$82)</f>
        <v>1.94552812439226</v>
      </c>
      <c r="I86" s="25" t="n">
        <f aca="false">SUMPRODUCT(($B$66:$B$82=$A86)*I$66:I$82*$C$66:$C$82)</f>
        <v>2.04832760608734</v>
      </c>
      <c r="J86" s="25" t="n">
        <f aca="false">SUMPRODUCT(($B$66:$B$82=$A86)*J$66:J$82*$C$66:$C$82)</f>
        <v>2.15655889486056</v>
      </c>
      <c r="K86" s="25" t="n">
        <f aca="false">SUMPRODUCT(($B$66:$B$82=$A86)*K$66:K$82*$C$66:$C$82)</f>
        <v>2.27050900118752</v>
      </c>
      <c r="L86" s="25" t="n">
        <f aca="false">SUMPRODUCT(($B$66:$B$82=$A86)*L$66:L$82*$C$66:$C$82)</f>
        <v>2.39048010084922</v>
      </c>
      <c r="M86" s="25" t="n">
        <f aca="false">SUMPRODUCT(($B$66:$B$82=$A86)*M$66:M$82*$C$66:$C$82)</f>
        <v>2.51679033624943</v>
      </c>
      <c r="N86" s="25" t="n">
        <f aca="false">SUMPRODUCT(($B$66:$B$82=$A86)*N$66:N$82*$C$66:$C$82)</f>
        <v>2.64977466007279</v>
      </c>
      <c r="O86" s="25" t="n">
        <f aca="false">SUMPRODUCT(($B$66:$B$82=$A86)*O$66:O$82*$C$66:$C$82)</f>
        <v>2.78978572352084</v>
      </c>
      <c r="P86" s="25" t="n">
        <f aca="false">SUMPRODUCT(($B$66:$B$82=$A86)*P$66:P$82*$C$66:$C$82)</f>
        <v>25.6212495852672</v>
      </c>
    </row>
    <row r="87" customFormat="false" ht="15" hidden="false" customHeight="false" outlineLevel="0" collapsed="false">
      <c r="A87" s="4" t="s">
        <v>155</v>
      </c>
      <c r="D87" s="25" t="n">
        <f aca="false">SUMPRODUCT(($B$66:$B$82=$A87)*D$66:D$82*$C$66:$C$82)</f>
        <v>1.58339727716478</v>
      </c>
      <c r="E87" s="25" t="n">
        <f aca="false">SUMPRODUCT(($B$66:$B$82=$A87)*E$66:E$82*$C$66:$C$82)</f>
        <v>1.66706217893062</v>
      </c>
      <c r="F87" s="25" t="n">
        <f aca="false">SUMPRODUCT(($B$66:$B$82=$A87)*F$66:F$82*$C$66:$C$82)</f>
        <v>1.75514783844843</v>
      </c>
      <c r="G87" s="25" t="n">
        <f aca="false">SUMPRODUCT(($B$66:$B$82=$A87)*G$66:G$82*$C$66:$C$82)</f>
        <v>1.84788784350342</v>
      </c>
      <c r="H87" s="25" t="n">
        <f aca="false">SUMPRODUCT(($B$66:$B$82=$A87)*H$66:H$82*$C$66:$C$82)</f>
        <v>1.94552812439226</v>
      </c>
      <c r="I87" s="25" t="n">
        <f aca="false">SUMPRODUCT(($B$66:$B$82=$A87)*I$66:I$82*$C$66:$C$82)</f>
        <v>2.04832760608734</v>
      </c>
      <c r="J87" s="25" t="n">
        <f aca="false">SUMPRODUCT(($B$66:$B$82=$A87)*J$66:J$82*$C$66:$C$82)</f>
        <v>2.15655889486056</v>
      </c>
      <c r="K87" s="25" t="n">
        <f aca="false">SUMPRODUCT(($B$66:$B$82=$A87)*K$66:K$82*$C$66:$C$82)</f>
        <v>2.27050900118752</v>
      </c>
      <c r="L87" s="25" t="n">
        <f aca="false">SUMPRODUCT(($B$66:$B$82=$A87)*L$66:L$82*$C$66:$C$82)</f>
        <v>2.39048010084922</v>
      </c>
      <c r="M87" s="25" t="n">
        <f aca="false">SUMPRODUCT(($B$66:$B$82=$A87)*M$66:M$82*$C$66:$C$82)</f>
        <v>2.51679033624943</v>
      </c>
      <c r="N87" s="25" t="n">
        <f aca="false">SUMPRODUCT(($B$66:$B$82=$A87)*N$66:N$82*$C$66:$C$82)</f>
        <v>2.64977466007279</v>
      </c>
      <c r="O87" s="25" t="n">
        <f aca="false">SUMPRODUCT(($B$66:$B$82=$A87)*O$66:O$82*$C$66:$C$82)</f>
        <v>2.78978572352084</v>
      </c>
      <c r="P87" s="25" t="n">
        <f aca="false">SUMPRODUCT(($B$66:$B$82=$A87)*P$66:P$82*$C$66:$C$82)</f>
        <v>25.6212495852672</v>
      </c>
    </row>
    <row r="88" customFormat="false" ht="15" hidden="false" customHeight="false" outlineLevel="0" collapsed="false">
      <c r="A88" s="4" t="s">
        <v>146</v>
      </c>
      <c r="D88" s="25" t="n">
        <f aca="false">SUMPRODUCT(($B$66:$B$82=$A88)*D$66:D$82*$C$66:$C$82)</f>
        <v>26.262914375485</v>
      </c>
      <c r="E88" s="25" t="n">
        <f aca="false">SUMPRODUCT(($B$66:$B$82=$A88)*E$66:E$82*$C$66:$C$82)</f>
        <v>27.6506167436765</v>
      </c>
      <c r="F88" s="25" t="n">
        <f aca="false">SUMPRODUCT(($B$66:$B$82=$A88)*F$66:F$82*$C$66:$C$82)</f>
        <v>29.1116437183893</v>
      </c>
      <c r="G88" s="25" t="n">
        <f aca="false">SUMPRODUCT(($B$66:$B$82=$A88)*G$66:G$82*$C$66:$C$82)</f>
        <v>30.649869687997</v>
      </c>
      <c r="H88" s="25" t="n">
        <f aca="false">SUMPRODUCT(($B$66:$B$82=$A88)*H$66:H$82*$C$66:$C$82)</f>
        <v>32.2693737591254</v>
      </c>
      <c r="I88" s="25" t="n">
        <f aca="false">SUMPRODUCT(($B$66:$B$82=$A88)*I$66:I$82*$C$66:$C$82)</f>
        <v>33.9744505737303</v>
      </c>
      <c r="J88" s="25" t="n">
        <f aca="false">SUMPRODUCT(($B$66:$B$82=$A88)*J$66:J$82*$C$66:$C$82)</f>
        <v>35.7696216977385</v>
      </c>
      <c r="K88" s="25" t="n">
        <f aca="false">SUMPRODUCT(($B$66:$B$82=$A88)*K$66:K$82*$C$66:$C$82)</f>
        <v>37.6596476114504</v>
      </c>
      <c r="L88" s="25" t="n">
        <f aca="false">SUMPRODUCT(($B$66:$B$82=$A88)*L$66:L$82*$C$66:$C$82)</f>
        <v>39.649540333503</v>
      </c>
      <c r="M88" s="25" t="n">
        <f aca="false">SUMPRODUCT(($B$66:$B$82=$A88)*M$66:M$82*$C$66:$C$82)</f>
        <v>41.7445767118672</v>
      </c>
      <c r="N88" s="25" t="n">
        <f aca="false">SUMPRODUCT(($B$66:$B$82=$A88)*N$66:N$82*$C$66:$C$82)</f>
        <v>43.9503124171278</v>
      </c>
      <c r="O88" s="25" t="n">
        <f aca="false">SUMPRODUCT(($B$66:$B$82=$A88)*O$66:O$82*$C$66:$C$82)</f>
        <v>46.2725966751511</v>
      </c>
      <c r="P88" s="25" t="n">
        <f aca="false">SUMPRODUCT(($B$66:$B$82=$A88)*P$66:P$82*$C$66:$C$82)</f>
        <v>424.965164305242</v>
      </c>
    </row>
    <row r="89" customFormat="false" ht="15" hidden="false" customHeight="false" outlineLevel="0" collapsed="false">
      <c r="A89" s="4" t="s">
        <v>147</v>
      </c>
      <c r="D89" s="25" t="n">
        <f aca="false">SUMPRODUCT(($B$66:$B$82=$A89)*D$66:D$82*$C$66:$C$82)</f>
        <v>14.4285581555276</v>
      </c>
      <c r="E89" s="25" t="n">
        <f aca="false">SUMPRODUCT(($B$66:$B$82=$A89)*E$66:E$82*$C$66:$C$82)</f>
        <v>15.1909466717352</v>
      </c>
      <c r="F89" s="25" t="n">
        <f aca="false">SUMPRODUCT(($B$66:$B$82=$A89)*F$66:F$82*$C$66:$C$82)</f>
        <v>15.9936189254709</v>
      </c>
      <c r="G89" s="25" t="n">
        <f aca="false">SUMPRODUCT(($B$66:$B$82=$A89)*G$66:G$82*$C$66:$C$82)</f>
        <v>16.8387034633676</v>
      </c>
      <c r="H89" s="25" t="n">
        <f aca="false">SUMPRODUCT(($B$66:$B$82=$A89)*H$66:H$82*$C$66:$C$82)</f>
        <v>17.7284413020288</v>
      </c>
      <c r="I89" s="25" t="n">
        <f aca="false">SUMPRODUCT(($B$66:$B$82=$A89)*I$66:I$82*$C$66:$C$82)</f>
        <v>18.6651918708131</v>
      </c>
      <c r="J89" s="25" t="n">
        <f aca="false">SUMPRODUCT(($B$66:$B$82=$A89)*J$66:J$82*$C$66:$C$82)</f>
        <v>19.6514392686287</v>
      </c>
      <c r="K89" s="25" t="n">
        <f aca="false">SUMPRODUCT(($B$66:$B$82=$A89)*K$66:K$82*$C$66:$C$82)</f>
        <v>20.68979885133</v>
      </c>
      <c r="L89" s="25" t="n">
        <f aca="false">SUMPRODUCT(($B$66:$B$82=$A89)*L$66:L$82*$C$66:$C$82)</f>
        <v>21.7830241671843</v>
      </c>
      <c r="M89" s="25" t="n">
        <f aca="false">SUMPRODUCT(($B$66:$B$82=$A89)*M$66:M$82*$C$66:$C$82)</f>
        <v>22.9340142588015</v>
      </c>
      <c r="N89" s="25" t="n">
        <f aca="false">SUMPRODUCT(($B$66:$B$82=$A89)*N$66:N$82*$C$66:$C$82)</f>
        <v>24.1458213508881</v>
      </c>
      <c r="O89" s="25" t="n">
        <f aca="false">SUMPRODUCT(($B$66:$B$82=$A89)*O$66:O$82*$C$66:$C$82)</f>
        <v>25.4216589442145</v>
      </c>
      <c r="P89" s="25" t="n">
        <f aca="false">SUMPRODUCT(($B$66:$B$82=$A89)*P$66:P$82*$C$66:$C$82)</f>
        <v>233.47121722999</v>
      </c>
    </row>
    <row r="90" customFormat="false" ht="15" hidden="false" customHeight="false" outlineLevel="0" collapsed="false">
      <c r="A90" s="4" t="s">
        <v>150</v>
      </c>
      <c r="D90" s="25" t="n">
        <f aca="false">SUMPRODUCT(($B$66:$B$82=$A90)*D$66:D$82*$C$66:$C$82)</f>
        <v>13.299202459603</v>
      </c>
      <c r="E90" s="25" t="n">
        <f aca="false">SUMPRODUCT(($B$66:$B$82=$A90)*E$66:E$82*$C$66:$C$82)</f>
        <v>14.0019171120742</v>
      </c>
      <c r="F90" s="25" t="n">
        <f aca="false">SUMPRODUCT(($B$66:$B$82=$A90)*F$66:F$82*$C$66:$C$82)</f>
        <v>14.741762403341</v>
      </c>
      <c r="G90" s="25" t="n">
        <f aca="false">SUMPRODUCT(($B$66:$B$82=$A90)*G$66:G$82*$C$66:$C$82)</f>
        <v>15.5207002739045</v>
      </c>
      <c r="H90" s="25" t="n">
        <f aca="false">SUMPRODUCT(($B$66:$B$82=$A90)*H$66:H$82*$C$66:$C$82)</f>
        <v>16.3407963309587</v>
      </c>
      <c r="I90" s="25" t="n">
        <f aca="false">SUMPRODUCT(($B$66:$B$82=$A90)*I$66:I$82*$C$66:$C$82)</f>
        <v>17.20422532602</v>
      </c>
      <c r="J90" s="25" t="n">
        <f aca="false">SUMPRODUCT(($B$66:$B$82=$A90)*J$66:J$82*$C$66:$C$82)</f>
        <v>18.1132769219885</v>
      </c>
      <c r="K90" s="25" t="n">
        <f aca="false">SUMPRODUCT(($B$66:$B$82=$A90)*K$66:K$82*$C$66:$C$82)</f>
        <v>19.070361764934</v>
      </c>
      <c r="L90" s="25" t="n">
        <f aca="false">SUMPRODUCT(($B$66:$B$82=$A90)*L$66:L$82*$C$66:$C$82)</f>
        <v>20.0780178767084</v>
      </c>
      <c r="M90" s="25" t="n">
        <f aca="false">SUMPRODUCT(($B$66:$B$82=$A90)*M$66:M$82*$C$66:$C$82)</f>
        <v>21.1389173853367</v>
      </c>
      <c r="N90" s="25" t="n">
        <f aca="false">SUMPRODUCT(($B$66:$B$82=$A90)*N$66:N$82*$C$66:$C$82)</f>
        <v>22.2558736110334</v>
      </c>
      <c r="O90" s="25" t="n">
        <f aca="false">SUMPRODUCT(($B$66:$B$82=$A90)*O$66:O$82*$C$66:$C$82)</f>
        <v>23.4318485266364</v>
      </c>
      <c r="P90" s="25" t="n">
        <f aca="false">SUMPRODUCT(($B$66:$B$82=$A90)*P$66:P$82*$C$66:$C$82)</f>
        <v>215.196899992539</v>
      </c>
    </row>
    <row r="91" customFormat="false" ht="15" hidden="false" customHeight="false" outlineLevel="0" collapsed="false">
      <c r="A91" s="4" t="s">
        <v>151</v>
      </c>
      <c r="D91" s="25" t="n">
        <f aca="false">SUMPRODUCT(($B$66:$B$82=$A91)*D$66:D$82*$C$66:$C$82)</f>
        <v>94.9582889341124</v>
      </c>
      <c r="E91" s="25" t="n">
        <f aca="false">SUMPRODUCT(($B$66:$B$82=$A91)*E$66:E$82*$C$66:$C$82)</f>
        <v>99.9757763518942</v>
      </c>
      <c r="F91" s="25" t="n">
        <f aca="false">SUMPRODUCT(($B$66:$B$82=$A91)*F$66:F$82*$C$66:$C$82)</f>
        <v>105.258382068144</v>
      </c>
      <c r="G91" s="25" t="n">
        <f aca="false">SUMPRODUCT(($B$66:$B$82=$A91)*G$66:G$82*$C$66:$C$82)</f>
        <v>110.820114630632</v>
      </c>
      <c r="H91" s="25" t="n">
        <f aca="false">SUMPRODUCT(($B$66:$B$82=$A91)*H$66:H$82*$C$66:$C$82)</f>
        <v>116.675722782777</v>
      </c>
      <c r="I91" s="25" t="n">
        <f aca="false">SUMPRODUCT(($B$66:$B$82=$A91)*I$66:I$82*$C$66:$C$82)</f>
        <v>122.840734574737</v>
      </c>
      <c r="J91" s="25" t="n">
        <f aca="false">SUMPRODUCT(($B$66:$B$82=$A91)*J$66:J$82*$C$66:$C$82)</f>
        <v>129.331498541087</v>
      </c>
      <c r="K91" s="25" t="n">
        <f aca="false">SUMPRODUCT(($B$66:$B$82=$A91)*K$66:K$82*$C$66:$C$82)</f>
        <v>136.165227054277</v>
      </c>
      <c r="L91" s="25" t="n">
        <f aca="false">SUMPRODUCT(($B$66:$B$82=$A91)*L$66:L$82*$C$66:$C$82)</f>
        <v>143.360041968837</v>
      </c>
      <c r="M91" s="25" t="n">
        <f aca="false">SUMPRODUCT(($B$66:$B$82=$A91)*M$66:M$82*$C$66:$C$82)</f>
        <v>150.935022677372</v>
      </c>
      <c r="N91" s="25" t="n">
        <f aca="false">SUMPRODUCT(($B$66:$B$82=$A91)*N$66:N$82*$C$66:$C$82)</f>
        <v>158.910256705775</v>
      </c>
      <c r="O91" s="25" t="n">
        <f aca="false">SUMPRODUCT(($B$66:$B$82=$A91)*O$66:O$82*$C$66:$C$82)</f>
        <v>167.306892981846</v>
      </c>
      <c r="P91" s="25" t="n">
        <f aca="false">SUMPRODUCT(($B$66:$B$82=$A91)*P$66:P$82*$C$66:$C$82)</f>
        <v>1536.53795927149</v>
      </c>
    </row>
    <row r="92" customFormat="false" ht="15" hidden="false" customHeight="false" outlineLevel="0" collapsed="false">
      <c r="A92" s="4" t="s">
        <v>154</v>
      </c>
      <c r="D92" s="25" t="n">
        <f aca="false">SUMPRODUCT(($B$66:$B$82=$A92)*D$66:D$82*$C$66:$C$82)</f>
        <v>4.11221726066239</v>
      </c>
      <c r="E92" s="25" t="n">
        <f aca="false">SUMPRODUCT(($B$66:$B$82=$A92)*E$66:E$82*$C$66:$C$82)</f>
        <v>4.32950211905822</v>
      </c>
      <c r="F92" s="25" t="n">
        <f aca="false">SUMPRODUCT(($B$66:$B$82=$A92)*F$66:F$82*$C$66:$C$82)</f>
        <v>4.55826806094148</v>
      </c>
      <c r="G92" s="25" t="n">
        <f aca="false">SUMPRODUCT(($B$66:$B$82=$A92)*G$66:G$82*$C$66:$C$82)</f>
        <v>4.79912173363687</v>
      </c>
      <c r="H92" s="25" t="n">
        <f aca="false">SUMPRODUCT(($B$66:$B$82=$A92)*H$66:H$82*$C$66:$C$82)</f>
        <v>5.05270183902013</v>
      </c>
      <c r="I92" s="25" t="n">
        <f aca="false">SUMPRODUCT(($B$66:$B$82=$A92)*I$66:I$82*$C$66:$C$82)</f>
        <v>5.31968082724387</v>
      </c>
      <c r="J92" s="25" t="n">
        <f aca="false">SUMPRODUCT(($B$66:$B$82=$A92)*J$66:J$82*$C$66:$C$82)</f>
        <v>5.60076667995791</v>
      </c>
      <c r="K92" s="25" t="n">
        <f aca="false">SUMPRODUCT(($B$66:$B$82=$A92)*K$66:K$82*$C$66:$C$82)</f>
        <v>5.896704787753</v>
      </c>
      <c r="L92" s="25" t="n">
        <f aca="false">SUMPRODUCT(($B$66:$B$82=$A92)*L$66:L$82*$C$66:$C$82)</f>
        <v>6.20827992680646</v>
      </c>
      <c r="M92" s="25" t="n">
        <f aca="false">SUMPRODUCT(($B$66:$B$82=$A92)*M$66:M$82*$C$66:$C$82)</f>
        <v>6.53631833997156</v>
      </c>
      <c r="N92" s="25" t="n">
        <f aca="false">SUMPRODUCT(($B$66:$B$82=$A92)*N$66:N$82*$C$66:$C$82)</f>
        <v>6.88168992782925</v>
      </c>
      <c r="O92" s="25" t="n">
        <f aca="false">SUMPRODUCT(($B$66:$B$82=$A92)*O$66:O$82*$C$66:$C$82)</f>
        <v>7.24531055551261</v>
      </c>
      <c r="P92" s="25" t="n">
        <f aca="false">SUMPRODUCT(($B$66:$B$82=$A92)*P$66:P$82*$C$66:$C$82)</f>
        <v>66.5405620583937</v>
      </c>
    </row>
    <row r="93" customFormat="false" ht="15" hidden="false" customHeight="false" outlineLevel="0" collapsed="false">
      <c r="A93" s="6" t="s">
        <v>274</v>
      </c>
      <c r="D93" s="26" t="n">
        <f aca="false">SUMPRODUCT(D$66:D$82*parametros_recargas!$D$51:$D$67)</f>
        <v>40.7486044170287</v>
      </c>
      <c r="E93" s="26" t="n">
        <f aca="false">SUMPRODUCT(E$66:E$82*parametros_recargas!$D$51:$D$67)</f>
        <v>42.9017140849638</v>
      </c>
      <c r="F93" s="26" t="n">
        <f aca="false">SUMPRODUCT(F$66:F$82*parametros_recargas!$D$51:$D$67)</f>
        <v>45.1685916060188</v>
      </c>
      <c r="G93" s="26" t="n">
        <f aca="false">SUMPRODUCT(G$66:G$82*parametros_recargas!$D$51:$D$67)</f>
        <v>47.5552483434773</v>
      </c>
      <c r="H93" s="26" t="n">
        <f aca="false">SUMPRODUCT(H$66:H$82*parametros_recargas!$D$51:$D$67)</f>
        <v>50.0680132941858</v>
      </c>
      <c r="I93" s="26" t="n">
        <f aca="false">SUMPRODUCT(I$66:I$82*parametros_recargas!$D$51:$D$67)</f>
        <v>52.713549871948</v>
      </c>
      <c r="J93" s="26" t="n">
        <f aca="false">SUMPRODUCT(J$66:J$82*parametros_recargas!$D$51:$D$67)</f>
        <v>55.4988735777346</v>
      </c>
      <c r="K93" s="26" t="n">
        <f aca="false">SUMPRODUCT(K$66:K$82*parametros_recargas!$D$51:$D$67)</f>
        <v>58.4313706035663</v>
      </c>
      <c r="L93" s="26" t="n">
        <f aca="false">SUMPRODUCT(L$66:L$82*parametros_recargas!$D$51:$D$67)</f>
        <v>61.5188174194053</v>
      </c>
      <c r="M93" s="26" t="n">
        <f aca="false">SUMPRODUCT(M$66:M$82*parametros_recargas!$D$51:$D$67)</f>
        <v>64.7694013949954</v>
      </c>
      <c r="N93" s="26" t="n">
        <f aca="false">SUMPRODUCT(N$66:N$82*parametros_recargas!$D$51:$D$67)</f>
        <v>68.191742511337</v>
      </c>
      <c r="O93" s="26" t="n">
        <f aca="false">SUMPRODUCT(O$66:O$82*parametros_recargas!$D$51:$D$67)</f>
        <v>71.7949162193706</v>
      </c>
      <c r="P93" s="26" t="n">
        <f aca="false">SUMPRODUCT(P$66:P$82*parametros_recargas!$D$51:$D$67)</f>
        <v>659.360843344032</v>
      </c>
    </row>
    <row r="97" customFormat="false" ht="15" hidden="false" customHeight="false" outlineLevel="0" collapsed="false">
      <c r="A97" s="23" t="n">
        <v>2029</v>
      </c>
      <c r="B97" s="3" t="s">
        <v>270</v>
      </c>
      <c r="C97" s="3" t="s">
        <v>271</v>
      </c>
      <c r="D97" s="3" t="s">
        <v>124</v>
      </c>
      <c r="E97" s="3" t="s">
        <v>125</v>
      </c>
      <c r="F97" s="3" t="s">
        <v>126</v>
      </c>
      <c r="G97" s="3" t="s">
        <v>127</v>
      </c>
      <c r="H97" s="3" t="s">
        <v>128</v>
      </c>
      <c r="I97" s="3" t="s">
        <v>129</v>
      </c>
      <c r="J97" s="3" t="s">
        <v>130</v>
      </c>
      <c r="K97" s="3" t="s">
        <v>131</v>
      </c>
      <c r="L97" s="3" t="s">
        <v>132</v>
      </c>
      <c r="M97" s="3" t="s">
        <v>133</v>
      </c>
      <c r="N97" s="3" t="s">
        <v>134</v>
      </c>
      <c r="O97" s="3" t="s">
        <v>135</v>
      </c>
      <c r="P97" s="3" t="s">
        <v>136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4" t="n">
        <f aca="false">parametros_recargas!C51</f>
        <v>1</v>
      </c>
      <c r="D98" s="25" t="n">
        <f aca="false">datos_base!$E$2*parametros_recargas!$F$40</f>
        <v>1120.74160016014</v>
      </c>
      <c r="E98" s="25" t="n">
        <f aca="false">datos_base!$E$2*parametros_recargas!$G$40</f>
        <v>1157.43108560748</v>
      </c>
      <c r="F98" s="25" t="n">
        <f aca="false">datos_base!$E$2*parametros_recargas!$H$40</f>
        <v>1195.32166713459</v>
      </c>
      <c r="G98" s="25" t="n">
        <f aca="false">datos_base!$E$2*parametros_recargas!$I$40</f>
        <v>1234.45266477487</v>
      </c>
      <c r="H98" s="25" t="n">
        <f aca="false">datos_base!$E$2*parametros_recargas!$J$40</f>
        <v>1274.86468577348</v>
      </c>
      <c r="I98" s="25" t="n">
        <f aca="false">datos_base!$E$2*parametros_recargas!$K$40</f>
        <v>1316.59966672657</v>
      </c>
      <c r="J98" s="25" t="n">
        <f aca="false">datos_base!$E$2*parametros_recargas!$L$40</f>
        <v>1359.70091709992</v>
      </c>
      <c r="K98" s="25" t="n">
        <f aca="false">datos_base!$E$2*parametros_recargas!$M$40</f>
        <v>1404.21316417235</v>
      </c>
      <c r="L98" s="25" t="n">
        <f aca="false">datos_base!$E$2*parametros_recargas!$N$40</f>
        <v>1450.1825994503</v>
      </c>
      <c r="M98" s="25" t="n">
        <f aca="false">datos_base!$E$2*parametros_recargas!$O$40</f>
        <v>1497.656926602</v>
      </c>
      <c r="N98" s="25" t="n">
        <f aca="false">datos_base!$E$2*parametros_recargas!$P$40</f>
        <v>1546.68541096077</v>
      </c>
      <c r="O98" s="25" t="n">
        <f aca="false">datos_base!$E$2*parametros_recargas!$Q$40</f>
        <v>1597.31893064894</v>
      </c>
      <c r="P98" s="7" t="n">
        <f aca="false">SUM(D98:O98)</f>
        <v>16155.1693191114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4" t="n">
        <f aca="false">parametros_recargas!C52</f>
        <v>1</v>
      </c>
      <c r="D99" s="25" t="n">
        <f aca="false">datos_base!$E$3*parametros_recargas!$F$40</f>
        <v>108.499119791982</v>
      </c>
      <c r="E99" s="25" t="n">
        <f aca="false">datos_base!$E$3*parametros_recargas!$G$40</f>
        <v>112.051032985968</v>
      </c>
      <c r="F99" s="25" t="n">
        <f aca="false">datos_base!$E$3*parametros_recargas!$H$40</f>
        <v>115.719224425913</v>
      </c>
      <c r="G99" s="25" t="n">
        <f aca="false">datos_base!$E$3*parametros_recargas!$I$40</f>
        <v>119.507500688653</v>
      </c>
      <c r="H99" s="25" t="n">
        <f aca="false">datos_base!$E$3*parametros_recargas!$J$40</f>
        <v>123.41979296614</v>
      </c>
      <c r="I99" s="25" t="n">
        <f aca="false">datos_base!$E$3*parametros_recargas!$K$40</f>
        <v>127.46016114494</v>
      </c>
      <c r="J99" s="25" t="n">
        <f aca="false">datos_base!$E$3*parametros_recargas!$L$40</f>
        <v>131.632798019287</v>
      </c>
      <c r="K99" s="25" t="n">
        <f aca="false">datos_base!$E$3*parametros_recargas!$M$40</f>
        <v>135.94203364205</v>
      </c>
      <c r="L99" s="25" t="n">
        <f aca="false">datos_base!$E$3*parametros_recargas!$N$40</f>
        <v>140.392339818138</v>
      </c>
      <c r="M99" s="25" t="n">
        <f aca="false">datos_base!$E$3*parametros_recargas!$O$40</f>
        <v>144.988334745015</v>
      </c>
      <c r="N99" s="25" t="n">
        <f aca="false">datos_base!$E$3*parametros_recargas!$P$40</f>
        <v>149.734787805115</v>
      </c>
      <c r="O99" s="25" t="n">
        <f aca="false">datos_base!$E$3*parametros_recargas!$Q$40</f>
        <v>154.636624515157</v>
      </c>
      <c r="P99" s="7" t="n">
        <f aca="false">SUM(D99:O99)</f>
        <v>1563.98375054836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4" t="n">
        <f aca="false">parametros_recargas!C53</f>
        <v>1</v>
      </c>
      <c r="D100" s="25" t="n">
        <f aca="false">datos_base!$E$4*parametros_recargas!$F$40</f>
        <v>671.97668822797</v>
      </c>
      <c r="E100" s="25" t="n">
        <f aca="false">datos_base!$E$4*parametros_recargas!$G$40</f>
        <v>693.975049777296</v>
      </c>
      <c r="F100" s="25" t="n">
        <f aca="false">datos_base!$E$4*parametros_recargas!$H$40</f>
        <v>716.693567128649</v>
      </c>
      <c r="G100" s="25" t="n">
        <f aca="false">datos_base!$E$4*parametros_recargas!$I$40</f>
        <v>740.155815873241</v>
      </c>
      <c r="H100" s="25" t="n">
        <f aca="false">datos_base!$E$4*parametros_recargas!$J$40</f>
        <v>764.386143391526</v>
      </c>
      <c r="I100" s="25" t="n">
        <f aca="false">datos_base!$E$4*parametros_recargas!$K$40</f>
        <v>789.409694119103</v>
      </c>
      <c r="J100" s="25" t="n">
        <f aca="false">datos_base!$E$4*parametros_recargas!$L$40</f>
        <v>815.252435639748</v>
      </c>
      <c r="K100" s="25" t="n">
        <f aca="false">datos_base!$E$4*parametros_recargas!$M$40</f>
        <v>841.941185632645</v>
      </c>
      <c r="L100" s="25" t="n">
        <f aca="false">datos_base!$E$4*parametros_recargas!$N$40</f>
        <v>869.503639701783</v>
      </c>
      <c r="M100" s="25" t="n">
        <f aca="false">datos_base!$E$4*parametros_recargas!$O$40</f>
        <v>897.968400116396</v>
      </c>
      <c r="N100" s="25" t="n">
        <f aca="false">datos_base!$E$4*parametros_recargas!$P$40</f>
        <v>927.365005492279</v>
      </c>
      <c r="O100" s="25" t="n">
        <f aca="false">datos_base!$E$4*parametros_recargas!$Q$40</f>
        <v>957.723961444767</v>
      </c>
      <c r="P100" s="7" t="n">
        <f aca="false">SUM(D100:O100)</f>
        <v>9686.3515865454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4" t="n">
        <f aca="false">parametros_recargas!C54</f>
        <v>1</v>
      </c>
      <c r="D101" s="25" t="n">
        <f aca="false">datos_base!$E$5*parametros_recargas!$F$40</f>
        <v>39.2003406374828</v>
      </c>
      <c r="E101" s="25" t="n">
        <f aca="false">datos_base!$E$5*parametros_recargas!$G$40</f>
        <v>40.4836340631433</v>
      </c>
      <c r="F101" s="25" t="n">
        <f aca="false">datos_base!$E$5*parametros_recargas!$H$40</f>
        <v>41.8089383996674</v>
      </c>
      <c r="G101" s="25" t="n">
        <f aca="false">datos_base!$E$5*parametros_recargas!$I$40</f>
        <v>43.1776289495356</v>
      </c>
      <c r="H101" s="25" t="n">
        <f aca="false">datos_base!$E$5*parametros_recargas!$J$40</f>
        <v>44.5911260382208</v>
      </c>
      <c r="I101" s="25" t="n">
        <f aca="false">datos_base!$E$5*parametros_recargas!$K$40</f>
        <v>46.0508964880962</v>
      </c>
      <c r="J101" s="25" t="n">
        <f aca="false">datos_base!$E$5*parametros_recargas!$L$40</f>
        <v>47.5584551405952</v>
      </c>
      <c r="K101" s="25" t="n">
        <f aca="false">datos_base!$E$5*parametros_recargas!$M$40</f>
        <v>49.1153664282012</v>
      </c>
      <c r="L101" s="25" t="n">
        <f aca="false">datos_base!$E$5*parametros_recargas!$N$40</f>
        <v>50.7232459978994</v>
      </c>
      <c r="M101" s="25" t="n">
        <f aca="false">datos_base!$E$5*parametros_recargas!$O$40</f>
        <v>52.3837623877754</v>
      </c>
      <c r="N101" s="25" t="n">
        <f aca="false">datos_base!$E$5*parametros_recargas!$P$40</f>
        <v>54.0986387585005</v>
      </c>
      <c r="O101" s="25" t="n">
        <f aca="false">datos_base!$E$5*parametros_recargas!$Q$40</f>
        <v>55.8696546814995</v>
      </c>
      <c r="P101" s="7" t="n">
        <f aca="false">SUM(D101:O101)</f>
        <v>565.061687970617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4" t="n">
        <f aca="false">parametros_recargas!C55</f>
        <v>1</v>
      </c>
      <c r="D102" s="25" t="n">
        <f aca="false">datos_base!$E$6*parametros_recargas!$F$40</f>
        <v>55.3179371799012</v>
      </c>
      <c r="E102" s="25" t="n">
        <f aca="false">datos_base!$E$6*parametros_recargas!$G$40</f>
        <v>57.1288690225748</v>
      </c>
      <c r="F102" s="25" t="n">
        <f aca="false">datos_base!$E$6*parametros_recargas!$H$40</f>
        <v>58.9990849655962</v>
      </c>
      <c r="G102" s="25" t="n">
        <f aca="false">datos_base!$E$6*parametros_recargas!$I$40</f>
        <v>60.9305257802696</v>
      </c>
      <c r="H102" s="25" t="n">
        <f aca="false">datos_base!$E$6*parametros_recargas!$J$40</f>
        <v>62.9251957725271</v>
      </c>
      <c r="I102" s="25" t="n">
        <f aca="false">datos_base!$E$6*parametros_recargas!$K$40</f>
        <v>64.9851648628485</v>
      </c>
      <c r="J102" s="25" t="n">
        <f aca="false">datos_base!$E$6*parametros_recargas!$L$40</f>
        <v>67.1125707342713</v>
      </c>
      <c r="K102" s="25" t="n">
        <f aca="false">datos_base!$E$6*parametros_recargas!$M$40</f>
        <v>69.3096210507197</v>
      </c>
      <c r="L102" s="25" t="n">
        <f aca="false">datos_base!$E$6*parametros_recargas!$N$40</f>
        <v>71.5785957479539</v>
      </c>
      <c r="M102" s="25" t="n">
        <f aca="false">datos_base!$E$6*parametros_recargas!$O$40</f>
        <v>73.9218493995185</v>
      </c>
      <c r="N102" s="25" t="n">
        <f aca="false">datos_base!$E$6*parametros_recargas!$P$40</f>
        <v>76.3418136601444</v>
      </c>
      <c r="O102" s="25" t="n">
        <f aca="false">datos_base!$E$6*parametros_recargas!$Q$40</f>
        <v>78.8409997891391</v>
      </c>
      <c r="P102" s="7" t="n">
        <f aca="false">SUM(D102:O102)</f>
        <v>797.392227965464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4" t="n">
        <f aca="false">parametros_recargas!C56</f>
        <v>1</v>
      </c>
      <c r="D103" s="25" t="n">
        <f aca="false">datos_base!$E$7*parametros_recargas!$F$40</f>
        <v>10.5457787961158</v>
      </c>
      <c r="E103" s="25" t="n">
        <f aca="false">datos_base!$E$7*parametros_recargas!$G$40</f>
        <v>10.8910137705431</v>
      </c>
      <c r="F103" s="25" t="n">
        <f aca="false">datos_base!$E$7*parametros_recargas!$H$40</f>
        <v>11.247550630765</v>
      </c>
      <c r="G103" s="25" t="n">
        <f aca="false">datos_base!$E$7*parametros_recargas!$I$40</f>
        <v>11.6157593642739</v>
      </c>
      <c r="H103" s="25" t="n">
        <f aca="false">datos_base!$E$7*parametros_recargas!$J$40</f>
        <v>11.9960220707661</v>
      </c>
      <c r="I103" s="25" t="n">
        <f aca="false">datos_base!$E$7*parametros_recargas!$K$40</f>
        <v>12.3887333586566</v>
      </c>
      <c r="J103" s="25" t="n">
        <f aca="false">datos_base!$E$7*parametros_recargas!$L$40</f>
        <v>12.7943007545742</v>
      </c>
      <c r="K103" s="25" t="n">
        <f aca="false">datos_base!$E$7*parametros_recargas!$M$40</f>
        <v>13.2131451262623</v>
      </c>
      <c r="L103" s="25" t="n">
        <f aca="false">datos_base!$E$7*parametros_recargas!$N$40</f>
        <v>13.6457011193247</v>
      </c>
      <c r="M103" s="25" t="n">
        <f aca="false">datos_base!$E$7*parametros_recargas!$O$40</f>
        <v>14.092417608268</v>
      </c>
      <c r="N103" s="25" t="n">
        <f aca="false">datos_base!$E$7*parametros_recargas!$P$40</f>
        <v>14.5537581623106</v>
      </c>
      <c r="O103" s="25" t="n">
        <f aca="false">datos_base!$E$7*parametros_recargas!$Q$40</f>
        <v>15.0302015264401</v>
      </c>
      <c r="P103" s="7" t="n">
        <f aca="false">SUM(D103:O103)</f>
        <v>152.0143822883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4" t="n">
        <f aca="false">parametros_recargas!C57</f>
        <v>3</v>
      </c>
      <c r="D104" s="25" t="n">
        <f aca="false">datos_base!$E$8*parametros_recargas!$F$40</f>
        <v>5.62569538804914</v>
      </c>
      <c r="E104" s="25" t="n">
        <f aca="false">datos_base!$E$8*parametros_recargas!$G$40</f>
        <v>5.80986261182446</v>
      </c>
      <c r="F104" s="25" t="n">
        <f aca="false">datos_base!$E$8*parametros_recargas!$H$40</f>
        <v>6.00005887982872</v>
      </c>
      <c r="G104" s="25" t="n">
        <f aca="false">datos_base!$E$8*parametros_recargas!$I$40</f>
        <v>6.1964815636331</v>
      </c>
      <c r="H104" s="25" t="n">
        <f aca="false">datos_base!$E$8*parametros_recargas!$J$40</f>
        <v>6.39933449612097</v>
      </c>
      <c r="I104" s="25" t="n">
        <f aca="false">datos_base!$E$8*parametros_recargas!$K$40</f>
        <v>6.60882818301057</v>
      </c>
      <c r="J104" s="25" t="n">
        <f aca="false">datos_base!$E$8*parametros_recargas!$L$40</f>
        <v>6.8251800213022</v>
      </c>
      <c r="K104" s="25" t="n">
        <f aca="false">datos_base!$E$8*parametros_recargas!$M$40</f>
        <v>7.04861452487668</v>
      </c>
      <c r="L104" s="25" t="n">
        <f aca="false">datos_base!$E$8*parametros_recargas!$N$40</f>
        <v>7.27936355747922</v>
      </c>
      <c r="M104" s="25" t="n">
        <f aca="false">datos_base!$E$8*parametros_recargas!$O$40</f>
        <v>7.5176665733304</v>
      </c>
      <c r="N104" s="25" t="n">
        <f aca="false">datos_base!$E$8*parametros_recargas!$P$40</f>
        <v>7.76377086561397</v>
      </c>
      <c r="O104" s="25" t="n">
        <f aca="false">datos_base!$E$8*parametros_recargas!$Q$40</f>
        <v>8.01793182309939</v>
      </c>
      <c r="P104" s="7" t="n">
        <f aca="false">SUM(D104:O104)</f>
        <v>81.0927884881688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4" t="n">
        <f aca="false">parametros_recargas!C58</f>
        <v>1</v>
      </c>
      <c r="D105" s="25" t="n">
        <f aca="false">datos_base!$E$9*parametros_recargas!$F$40</f>
        <v>3.18941059261364</v>
      </c>
      <c r="E105" s="25" t="n">
        <f aca="false">datos_base!$E$9*parametros_recargas!$G$40</f>
        <v>3.29382166605516</v>
      </c>
      <c r="F105" s="25" t="n">
        <f aca="false">datos_base!$E$9*parametros_recargas!$H$40</f>
        <v>3.40165082316471</v>
      </c>
      <c r="G105" s="25" t="n">
        <f aca="false">datos_base!$E$9*parametros_recargas!$I$40</f>
        <v>3.51300996103877</v>
      </c>
      <c r="H105" s="25" t="n">
        <f aca="false">datos_base!$E$9*parametros_recargas!$J$40</f>
        <v>3.62801463992593</v>
      </c>
      <c r="I105" s="25" t="n">
        <f aca="false">datos_base!$E$9*parametros_recargas!$K$40</f>
        <v>3.74678420314665</v>
      </c>
      <c r="J105" s="25" t="n">
        <f aca="false">datos_base!$E$9*parametros_recargas!$L$40</f>
        <v>3.86944190093892</v>
      </c>
      <c r="K105" s="25" t="n">
        <f aca="false">datos_base!$E$9*parametros_recargas!$M$40</f>
        <v>3.99611501835827</v>
      </c>
      <c r="L105" s="25" t="n">
        <f aca="false">datos_base!$E$9*parametros_recargas!$N$40</f>
        <v>4.12693500736466</v>
      </c>
      <c r="M105" s="25" t="n">
        <f aca="false">datos_base!$E$9*parametros_recargas!$O$40</f>
        <v>4.26203762323365</v>
      </c>
      <c r="N105" s="25" t="n">
        <f aca="false">datos_base!$E$9*parametros_recargas!$P$40</f>
        <v>4.40156306543309</v>
      </c>
      <c r="O105" s="25" t="n">
        <f aca="false">datos_base!$E$9*parametros_recargas!$Q$40</f>
        <v>4.54565612311176</v>
      </c>
      <c r="P105" s="7" t="n">
        <f aca="false">SUM(D105:O105)</f>
        <v>45.9744406243852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4" t="n">
        <f aca="false">parametros_recargas!C59</f>
        <v>1</v>
      </c>
      <c r="D106" s="25" t="n">
        <f aca="false">datos_base!$E$10*parametros_recargas!$F$40</f>
        <v>27.172550768682</v>
      </c>
      <c r="E106" s="25" t="n">
        <f aca="false">datos_base!$E$10*parametros_recargas!$G$40</f>
        <v>28.0620929306328</v>
      </c>
      <c r="F106" s="25" t="n">
        <f aca="false">datos_base!$E$10*parametros_recargas!$H$40</f>
        <v>28.9807558499474</v>
      </c>
      <c r="G106" s="25" t="n">
        <f aca="false">datos_base!$E$10*parametros_recargas!$I$40</f>
        <v>29.9294928468231</v>
      </c>
      <c r="H106" s="25" t="n">
        <f aca="false">datos_base!$E$10*parametros_recargas!$J$40</f>
        <v>30.909288450103</v>
      </c>
      <c r="I106" s="25" t="n">
        <f aca="false">datos_base!$E$10*parametros_recargas!$K$40</f>
        <v>31.921159418947</v>
      </c>
      <c r="J106" s="25" t="n">
        <f aca="false">datos_base!$E$10*parametros_recargas!$L$40</f>
        <v>32.9661557979485</v>
      </c>
      <c r="K106" s="25" t="n">
        <f aca="false">datos_base!$E$10*parametros_recargas!$M$40</f>
        <v>34.0453620067934</v>
      </c>
      <c r="L106" s="25" t="n">
        <f aca="false">datos_base!$E$10*parametros_recargas!$N$40</f>
        <v>35.15989796559</v>
      </c>
      <c r="M106" s="25" t="n">
        <f aca="false">datos_base!$E$10*parametros_recargas!$O$40</f>
        <v>36.3109202570389</v>
      </c>
      <c r="N106" s="25" t="n">
        <f aca="false">datos_base!$E$10*parametros_recargas!$P$40</f>
        <v>37.4996233266491</v>
      </c>
      <c r="O106" s="25" t="n">
        <f aca="false">datos_base!$E$10*parametros_recargas!$Q$40</f>
        <v>38.7272407222444</v>
      </c>
      <c r="P106" s="7" t="n">
        <f aca="false">SUM(D106:O106)</f>
        <v>391.6845403414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4" t="n">
        <f aca="false">parametros_recargas!C60</f>
        <v>1</v>
      </c>
      <c r="D107" s="25" t="n">
        <f aca="false">datos_base!$E$11*parametros_recargas!$F$40</f>
        <v>151.194903846431</v>
      </c>
      <c r="E107" s="25" t="n">
        <f aca="false">datos_base!$E$11*parametros_recargas!$G$40</f>
        <v>156.144540072653</v>
      </c>
      <c r="F107" s="25" t="n">
        <f aca="false">datos_base!$E$11*parametros_recargas!$H$40</f>
        <v>161.256211514008</v>
      </c>
      <c r="G107" s="25" t="n">
        <f aca="false">datos_base!$E$11*parametros_recargas!$I$40</f>
        <v>166.535222683747</v>
      </c>
      <c r="H107" s="25" t="n">
        <f aca="false">datos_base!$E$11*parametros_recargas!$J$40</f>
        <v>171.98705174787</v>
      </c>
      <c r="I107" s="25" t="n">
        <f aca="false">datos_base!$E$11*parametros_recargas!$K$40</f>
        <v>177.617356209963</v>
      </c>
      <c r="J107" s="25" t="n">
        <f aca="false">datos_base!$E$11*parametros_recargas!$L$40</f>
        <v>183.431978782132</v>
      </c>
      <c r="K107" s="25" t="n">
        <f aca="false">datos_base!$E$11*parametros_recargas!$M$40</f>
        <v>189.436953448141</v>
      </c>
      <c r="L107" s="25" t="n">
        <f aca="false">datos_base!$E$11*parametros_recargas!$N$40</f>
        <v>195.638511725028</v>
      </c>
      <c r="M107" s="25" t="n">
        <f aca="false">datos_base!$E$11*parametros_recargas!$O$40</f>
        <v>202.043089129712</v>
      </c>
      <c r="N107" s="25" t="n">
        <f aca="false">datos_base!$E$11*parametros_recargas!$P$40</f>
        <v>208.657331857296</v>
      </c>
      <c r="O107" s="25" t="n">
        <f aca="false">datos_base!$E$11*parametros_recargas!$Q$40</f>
        <v>215.488103677995</v>
      </c>
      <c r="P107" s="7" t="n">
        <f aca="false">SUM(D107:O107)</f>
        <v>2179.43125469498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4" t="n">
        <f aca="false">parametros_recargas!C61</f>
        <v>1</v>
      </c>
      <c r="D108" s="25" t="n">
        <f aca="false">datos_base!$E$12*parametros_recargas!$F$40</f>
        <v>49.195825384518</v>
      </c>
      <c r="E108" s="25" t="n">
        <f aca="false">datos_base!$E$12*parametros_recargas!$G$40</f>
        <v>50.8063389223909</v>
      </c>
      <c r="F108" s="25" t="n">
        <f aca="false">datos_base!$E$12*parametros_recargas!$H$40</f>
        <v>52.4695755081118</v>
      </c>
      <c r="G108" s="25" t="n">
        <f aca="false">datos_base!$E$12*parametros_recargas!$I$40</f>
        <v>54.1872611251693</v>
      </c>
      <c r="H108" s="25" t="n">
        <f aca="false">datos_base!$E$12*parametros_recargas!$J$40</f>
        <v>55.9611782602155</v>
      </c>
      <c r="I108" s="25" t="n">
        <f aca="false">datos_base!$E$12*parametros_recargas!$K$40</f>
        <v>57.7931677527987</v>
      </c>
      <c r="J108" s="25" t="n">
        <f aca="false">datos_base!$E$12*parametros_recargas!$L$40</f>
        <v>59.6851307056497</v>
      </c>
      <c r="K108" s="25" t="n">
        <f aca="false">datos_base!$E$12*parametros_recargas!$M$40</f>
        <v>61.6390304575057</v>
      </c>
      <c r="L108" s="25" t="n">
        <f aca="false">datos_base!$E$12*parametros_recargas!$N$40</f>
        <v>63.6568946205168</v>
      </c>
      <c r="M108" s="25" t="n">
        <f aca="false">datos_base!$E$12*parametros_recargas!$O$40</f>
        <v>65.740817184352</v>
      </c>
      <c r="N108" s="25" t="n">
        <f aca="false">datos_base!$E$12*parametros_recargas!$P$40</f>
        <v>67.8929606891857</v>
      </c>
      <c r="O108" s="25" t="n">
        <f aca="false">datos_base!$E$12*parametros_recargas!$Q$40</f>
        <v>70.115558469822</v>
      </c>
      <c r="P108" s="7" t="n">
        <f aca="false">SUM(D108:O108)</f>
        <v>709.143739080236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4" t="n">
        <f aca="false">parametros_recargas!C62</f>
        <v>1</v>
      </c>
      <c r="D109" s="25" t="n">
        <f aca="false">datos_base!$E$13*parametros_recargas!$F$40</f>
        <v>8.01270076015497</v>
      </c>
      <c r="E109" s="25" t="n">
        <f aca="false">datos_base!$E$13*parametros_recargas!$G$40</f>
        <v>8.27501088399761</v>
      </c>
      <c r="F109" s="25" t="n">
        <f aca="false">datos_base!$E$13*parametros_recargas!$H$40</f>
        <v>8.54590819999056</v>
      </c>
      <c r="G109" s="25" t="n">
        <f aca="false">datos_base!$E$13*parametros_recargas!$I$40</f>
        <v>8.8256738252632</v>
      </c>
      <c r="H109" s="25" t="n">
        <f aca="false">datos_base!$E$13*parametros_recargas!$J$40</f>
        <v>9.11459807981814</v>
      </c>
      <c r="I109" s="25" t="n">
        <f aca="false">datos_base!$E$13*parametros_recargas!$K$40</f>
        <v>9.4129807878037</v>
      </c>
      <c r="J109" s="25" t="n">
        <f aca="false">datos_base!$E$13*parametros_recargas!$L$40</f>
        <v>9.72113158864921</v>
      </c>
      <c r="K109" s="25" t="n">
        <f aca="false">datos_base!$E$13*parametros_recargas!$M$40</f>
        <v>10.0393702583858</v>
      </c>
      <c r="L109" s="25" t="n">
        <f aca="false">datos_base!$E$13*parametros_recargas!$N$40</f>
        <v>10.3680270414863</v>
      </c>
      <c r="M109" s="25" t="n">
        <f aca="false">datos_base!$E$13*parametros_recargas!$O$40</f>
        <v>10.7074429935683</v>
      </c>
      <c r="N109" s="25" t="n">
        <f aca="false">datos_base!$E$13*parametros_recargas!$P$40</f>
        <v>11.0579703353165</v>
      </c>
      <c r="O109" s="25" t="n">
        <f aca="false">datos_base!$E$13*parametros_recargas!$Q$40</f>
        <v>11.4199728179911</v>
      </c>
      <c r="P109" s="7" t="n">
        <f aca="false">SUM(D109:O109)</f>
        <v>115.500787572425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4" t="n">
        <f aca="false">parametros_recargas!C63</f>
        <v>1</v>
      </c>
      <c r="D110" s="25" t="n">
        <f aca="false">datos_base!$E$14*parametros_recargas!$F$40</f>
        <v>2.96498939151292</v>
      </c>
      <c r="E110" s="25" t="n">
        <f aca="false">datos_base!$E$14*parametros_recargas!$G$40</f>
        <v>3.062053634614</v>
      </c>
      <c r="F110" s="25" t="n">
        <f aca="false">datos_base!$E$14*parametros_recargas!$H$40</f>
        <v>3.16229544972115</v>
      </c>
      <c r="G110" s="25" t="n">
        <f aca="false">datos_base!$E$14*parametros_recargas!$I$40</f>
        <v>3.26581886035047</v>
      </c>
      <c r="H110" s="25" t="n">
        <f aca="false">datos_base!$E$14*parametros_recargas!$J$40</f>
        <v>3.37273129541433</v>
      </c>
      <c r="I110" s="25" t="n">
        <f aca="false">datos_base!$E$14*parametros_recargas!$K$40</f>
        <v>3.48314370070312</v>
      </c>
      <c r="J110" s="25" t="n">
        <f aca="false">datos_base!$E$14*parametros_recargas!$L$40</f>
        <v>3.59717065401661</v>
      </c>
      <c r="K110" s="25" t="n">
        <f aca="false">datos_base!$E$14*parametros_recargas!$M$40</f>
        <v>3.71493048406422</v>
      </c>
      <c r="L110" s="25" t="n">
        <f aca="false">datos_base!$E$14*parametros_recargas!$N$40</f>
        <v>3.83654539325782</v>
      </c>
      <c r="M110" s="25" t="n">
        <f aca="false">datos_base!$E$14*parametros_recargas!$O$40</f>
        <v>3.96214158452428</v>
      </c>
      <c r="N110" s="25" t="n">
        <f aca="false">datos_base!$E$14*parametros_recargas!$P$40</f>
        <v>4.09184939226956</v>
      </c>
      <c r="O110" s="25" t="n">
        <f aca="false">datos_base!$E$14*parametros_recargas!$Q$40</f>
        <v>4.22580341763003</v>
      </c>
      <c r="P110" s="7" t="n">
        <f aca="false">SUM(D110:O110)</f>
        <v>42.7394732580785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4" t="n">
        <f aca="false">parametros_recargas!C64</f>
        <v>3</v>
      </c>
      <c r="D111" s="25" t="n">
        <f aca="false">datos_base!$E$15*parametros_recargas!$F$40</f>
        <v>6.73032351650015</v>
      </c>
      <c r="E111" s="25" t="n">
        <f aca="false">datos_base!$E$15*parametros_recargas!$G$40</f>
        <v>6.95065272233961</v>
      </c>
      <c r="F111" s="25" t="n">
        <f aca="false">datos_base!$E$15*parametros_recargas!$H$40</f>
        <v>7.17819479971888</v>
      </c>
      <c r="G111" s="25" t="n">
        <f aca="false">datos_base!$E$15*parametros_recargas!$I$40</f>
        <v>7.4131858749184</v>
      </c>
      <c r="H111" s="25" t="n">
        <f aca="false">datos_base!$E$15*parametros_recargas!$J$40</f>
        <v>7.65586980423573</v>
      </c>
      <c r="I111" s="25" t="n">
        <f aca="false">datos_base!$E$15*parametros_recargas!$K$40</f>
        <v>7.90649842704148</v>
      </c>
      <c r="J111" s="25" t="n">
        <f aca="false">datos_base!$E$15*parametros_recargas!$L$40</f>
        <v>8.16533182711953</v>
      </c>
      <c r="K111" s="25" t="n">
        <f aca="false">datos_base!$E$15*parametros_recargas!$M$40</f>
        <v>8.43263860256269</v>
      </c>
      <c r="L111" s="25" t="n">
        <f aca="false">datos_base!$E$15*parametros_recargas!$N$40</f>
        <v>8.70869614450385</v>
      </c>
      <c r="M111" s="25" t="n">
        <f aca="false">datos_base!$E$15*parametros_recargas!$O$40</f>
        <v>8.99379092497192</v>
      </c>
      <c r="N111" s="25" t="n">
        <f aca="false">datos_base!$E$15*parametros_recargas!$P$40</f>
        <v>9.28821879417124</v>
      </c>
      <c r="O111" s="25" t="n">
        <f aca="false">datos_base!$E$15*parametros_recargas!$Q$40</f>
        <v>9.59228528749296</v>
      </c>
      <c r="P111" s="7" t="n">
        <f aca="false">SUM(D111:O111)</f>
        <v>97.0156867255764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4" t="n">
        <f aca="false">parametros_recargas!C65</f>
        <v>3</v>
      </c>
      <c r="D112" s="25" t="n">
        <f aca="false">datos_base!$E$16*parametros_recargas!$F$40</f>
        <v>14.8067117323011</v>
      </c>
      <c r="E112" s="25" t="n">
        <f aca="false">datos_base!$E$16*parametros_recargas!$G$40</f>
        <v>15.291435985017</v>
      </c>
      <c r="F112" s="25" t="n">
        <f aca="false">datos_base!$E$16*parametros_recargas!$H$40</f>
        <v>15.7920285551162</v>
      </c>
      <c r="G112" s="25" t="n">
        <f aca="false">datos_base!$E$16*parametros_recargas!$I$40</f>
        <v>16.3090089204155</v>
      </c>
      <c r="H112" s="25" t="n">
        <f aca="false">datos_base!$E$16*parametros_recargas!$J$40</f>
        <v>16.8429135647694</v>
      </c>
      <c r="I112" s="25" t="n">
        <f aca="false">datos_base!$E$16*parametros_recargas!$K$40</f>
        <v>17.3942965347932</v>
      </c>
      <c r="J112" s="25" t="n">
        <f aca="false">datos_base!$E$16*parametros_recargas!$L$40</f>
        <v>17.9637300148111</v>
      </c>
      <c r="K112" s="25" t="n">
        <f aca="false">datos_base!$E$16*parametros_recargas!$M$40</f>
        <v>18.5518049206272</v>
      </c>
      <c r="L112" s="25" t="n">
        <f aca="false">datos_base!$E$16*parametros_recargas!$N$40</f>
        <v>19.1591315127337</v>
      </c>
      <c r="M112" s="25" t="n">
        <f aca="false">datos_base!$E$16*parametros_recargas!$O$40</f>
        <v>19.7863400295941</v>
      </c>
      <c r="N112" s="25" t="n">
        <f aca="false">datos_base!$E$16*parametros_recargas!$P$40</f>
        <v>20.4340813416576</v>
      </c>
      <c r="O112" s="25" t="n">
        <f aca="false">datos_base!$E$16*parametros_recargas!$Q$40</f>
        <v>21.1030276267847</v>
      </c>
      <c r="P112" s="7" t="n">
        <f aca="false">SUM(D112:O112)</f>
        <v>213.434510738621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4" t="n">
        <f aca="false">parametros_recargas!C66</f>
        <v>3</v>
      </c>
      <c r="D113" s="25" t="n">
        <f aca="false">datos_base!$E$17*parametros_recargas!$F$40</f>
        <v>3.23055528632039</v>
      </c>
      <c r="E113" s="25" t="n">
        <f aca="false">datos_base!$E$17*parametros_recargas!$G$40</f>
        <v>3.33631330507097</v>
      </c>
      <c r="F113" s="25" t="n">
        <f aca="false">datos_base!$E$17*parametros_recargas!$H$40</f>
        <v>3.44553350215893</v>
      </c>
      <c r="G113" s="25" t="n">
        <f aca="false">datos_base!$E$17*parametros_recargas!$I$40</f>
        <v>3.55832921819885</v>
      </c>
      <c r="H113" s="25" t="n">
        <f aca="false">datos_base!$E$17*parametros_recargas!$J$40</f>
        <v>3.67481750421349</v>
      </c>
      <c r="I113" s="25" t="n">
        <f aca="false">datos_base!$E$17*parametros_recargas!$K$40</f>
        <v>3.79511924310067</v>
      </c>
      <c r="J113" s="25" t="n">
        <f aca="false">datos_base!$E$17*parametros_recargas!$L$40</f>
        <v>3.91935927507662</v>
      </c>
      <c r="K113" s="25" t="n">
        <f aca="false">datos_base!$E$17*parametros_recargas!$M$40</f>
        <v>4.0476665272258</v>
      </c>
      <c r="L113" s="25" t="n">
        <f aca="false">datos_base!$E$17*parametros_recargas!$N$40</f>
        <v>4.18017414729194</v>
      </c>
      <c r="M113" s="25" t="n">
        <f aca="false">datos_base!$E$17*parametros_recargas!$O$40</f>
        <v>4.31701964184885</v>
      </c>
      <c r="N113" s="25" t="n">
        <f aca="false">datos_base!$E$17*parametros_recargas!$P$40</f>
        <v>4.45834501899455</v>
      </c>
      <c r="O113" s="25" t="n">
        <f aca="false">datos_base!$E$17*parametros_recargas!$Q$40</f>
        <v>4.6042969357167</v>
      </c>
      <c r="P113" s="7" t="n">
        <f aca="false">SUM(D113:O113)</f>
        <v>46.5675296052178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4" t="n">
        <f aca="false">parametros_recargas!C67</f>
        <v>3</v>
      </c>
      <c r="D114" s="25" t="n">
        <f aca="false">datos_base!$E$18*parametros_recargas!$F$40</f>
        <v>2.15370353087893</v>
      </c>
      <c r="E114" s="25" t="n">
        <f aca="false">datos_base!$E$18*parametros_recargas!$G$40</f>
        <v>2.22420887693084</v>
      </c>
      <c r="F114" s="25" t="n">
        <f aca="false">datos_base!$E$18*parametros_recargas!$H$40</f>
        <v>2.2970223418815</v>
      </c>
      <c r="G114" s="25" t="n">
        <f aca="false">datos_base!$E$18*parametros_recargas!$I$40</f>
        <v>2.37221948614083</v>
      </c>
      <c r="H114" s="25" t="n">
        <f aca="false">datos_base!$E$18*parametros_recargas!$J$40</f>
        <v>2.44987834372426</v>
      </c>
      <c r="I114" s="25" t="n">
        <f aca="false">datos_base!$E$18*parametros_recargas!$K$40</f>
        <v>2.5300795032306</v>
      </c>
      <c r="J114" s="25" t="n">
        <f aca="false">datos_base!$E$18*parametros_recargas!$L$40</f>
        <v>2.61290619147089</v>
      </c>
      <c r="K114" s="25" t="n">
        <f aca="false">datos_base!$E$18*parametros_recargas!$M$40</f>
        <v>2.69844435983507</v>
      </c>
      <c r="L114" s="25" t="n">
        <f aca="false">datos_base!$E$18*parametros_recargas!$N$40</f>
        <v>2.78678277348589</v>
      </c>
      <c r="M114" s="25" t="n">
        <f aca="false">datos_base!$E$18*parametros_recargas!$O$40</f>
        <v>2.87801310347284</v>
      </c>
      <c r="N114" s="25" t="n">
        <f aca="false">datos_base!$E$18*parametros_recargas!$P$40</f>
        <v>2.97223002186156</v>
      </c>
      <c r="O114" s="25" t="n">
        <f aca="false">datos_base!$E$18*parametros_recargas!$Q$40</f>
        <v>3.06953129997746</v>
      </c>
      <c r="P114" s="7" t="n">
        <f aca="false">SUM(D114:O114)</f>
        <v>31.0450198328907</v>
      </c>
    </row>
    <row r="115" customFormat="false" ht="15" hidden="false" customHeight="false" outlineLevel="0" collapsed="false">
      <c r="A115" s="6" t="s">
        <v>272</v>
      </c>
      <c r="D115" s="7" t="n">
        <f aca="false">SUM(D98:D114)</f>
        <v>2280.55883499155</v>
      </c>
      <c r="E115" s="7" t="n">
        <f aca="false">SUM(E98:E114)</f>
        <v>2355.21701683853</v>
      </c>
      <c r="F115" s="7" t="n">
        <f aca="false">SUM(F98:F114)</f>
        <v>2432.31926810883</v>
      </c>
      <c r="G115" s="7" t="n">
        <f aca="false">SUM(G98:G114)</f>
        <v>2511.94559979654</v>
      </c>
      <c r="H115" s="7" t="n">
        <f aca="false">SUM(H98:H114)</f>
        <v>2594.17864219907</v>
      </c>
      <c r="I115" s="7" t="n">
        <f aca="false">SUM(I98:I114)</f>
        <v>2679.10373066475</v>
      </c>
      <c r="J115" s="7" t="n">
        <f aca="false">SUM(J98:J114)</f>
        <v>2766.80899414752</v>
      </c>
      <c r="K115" s="7" t="n">
        <f aca="false">SUM(K98:K114)</f>
        <v>2857.38544666061</v>
      </c>
      <c r="L115" s="7" t="n">
        <f aca="false">SUM(L98:L114)</f>
        <v>2950.92708172414</v>
      </c>
      <c r="M115" s="7" t="n">
        <f aca="false">SUM(M98:M114)</f>
        <v>3047.53096990462</v>
      </c>
      <c r="N115" s="7" t="n">
        <f aca="false">SUM(N98:N114)</f>
        <v>3147.29735954756</v>
      </c>
      <c r="O115" s="7" t="n">
        <f aca="false">SUM(O98:O114)</f>
        <v>3250.3297808078</v>
      </c>
      <c r="P115" s="7" t="n">
        <f aca="false">SUM(P98:P114)</f>
        <v>32873.6027253915</v>
      </c>
    </row>
    <row r="116" customFormat="false" ht="15" hidden="false" customHeight="false" outlineLevel="0" collapsed="false">
      <c r="A116" s="6" t="s">
        <v>273</v>
      </c>
    </row>
    <row r="117" customFormat="false" ht="15" hidden="false" customHeight="false" outlineLevel="0" collapsed="false">
      <c r="A117" s="4" t="s">
        <v>143</v>
      </c>
      <c r="D117" s="25" t="n">
        <f aca="false">SUMPRODUCT(($B$98:$B$114=$A117)*D$98:D$114*$C$98:$C$114)</f>
        <v>2021.18163101558</v>
      </c>
      <c r="E117" s="25" t="n">
        <f aca="false">SUMPRODUCT(($B$98:$B$114=$A117)*E$98:E$114*$C$98:$C$114)</f>
        <v>2087.34863510196</v>
      </c>
      <c r="F117" s="25" t="n">
        <f aca="false">SUMPRODUCT(($B$98:$B$114=$A117)*F$98:F$114*$C$98:$C$114)</f>
        <v>2155.68173468545</v>
      </c>
      <c r="G117" s="25" t="n">
        <f aca="false">SUMPRODUCT(($B$98:$B$114=$A117)*G$98:G$114*$C$98:$C$114)</f>
        <v>2226.25184078532</v>
      </c>
      <c r="H117" s="25" t="n">
        <f aca="false">SUMPRODUCT(($B$98:$B$114=$A117)*H$98:H$114*$C$98:$C$114)</f>
        <v>2299.1321858202</v>
      </c>
      <c r="I117" s="25" t="n">
        <f aca="false">SUMPRODUCT(($B$98:$B$114=$A117)*I$98:I$114*$C$98:$C$114)</f>
        <v>2374.39839960321</v>
      </c>
      <c r="J117" s="25" t="n">
        <f aca="false">SUMPRODUCT(($B$98:$B$114=$A117)*J$98:J$114*$C$98:$C$114)</f>
        <v>2452.12858782499</v>
      </c>
      <c r="K117" s="25" t="n">
        <f aca="false">SUMPRODUCT(($B$98:$B$114=$A117)*K$98:K$114*$C$98:$C$114)</f>
        <v>2532.403413106</v>
      </c>
      <c r="L117" s="25" t="n">
        <f aca="false">SUMPRODUCT(($B$98:$B$114=$A117)*L$98:L$114*$C$98:$C$114)</f>
        <v>2615.30617870217</v>
      </c>
      <c r="M117" s="25" t="n">
        <f aca="false">SUMPRODUCT(($B$98:$B$114=$A117)*M$98:M$114*$C$98:$C$114)</f>
        <v>2700.92291495085</v>
      </c>
      <c r="N117" s="25" t="n">
        <f aca="false">SUMPRODUCT(($B$98:$B$114=$A117)*N$98:N$114*$C$98:$C$114)</f>
        <v>2789.34246854671</v>
      </c>
      <c r="O117" s="25" t="n">
        <f aca="false">SUMPRODUCT(($B$98:$B$114=$A117)*O$98:O$114*$C$98:$C$114)</f>
        <v>2880.65659474027</v>
      </c>
      <c r="P117" s="25" t="n">
        <f aca="false">SUMPRODUCT(($B$98:$B$114=$A117)*P$98:P$114*$C$98:$C$114)</f>
        <v>29134.7545848827</v>
      </c>
    </row>
    <row r="118" customFormat="false" ht="15" hidden="false" customHeight="false" outlineLevel="0" collapsed="false">
      <c r="A118" s="4" t="s">
        <v>149</v>
      </c>
      <c r="D118" s="25" t="n">
        <f aca="false">SUMPRODUCT(($B$98:$B$114=$A118)*D$98:D$114*$C$98:$C$114)</f>
        <v>3.18941059261364</v>
      </c>
      <c r="E118" s="25" t="n">
        <f aca="false">SUMPRODUCT(($B$98:$B$114=$A118)*E$98:E$114*$C$98:$C$114)</f>
        <v>3.29382166605516</v>
      </c>
      <c r="F118" s="25" t="n">
        <f aca="false">SUMPRODUCT(($B$98:$B$114=$A118)*F$98:F$114*$C$98:$C$114)</f>
        <v>3.40165082316471</v>
      </c>
      <c r="G118" s="25" t="n">
        <f aca="false">SUMPRODUCT(($B$98:$B$114=$A118)*G$98:G$114*$C$98:$C$114)</f>
        <v>3.51300996103877</v>
      </c>
      <c r="H118" s="25" t="n">
        <f aca="false">SUMPRODUCT(($B$98:$B$114=$A118)*H$98:H$114*$C$98:$C$114)</f>
        <v>3.62801463992593</v>
      </c>
      <c r="I118" s="25" t="n">
        <f aca="false">SUMPRODUCT(($B$98:$B$114=$A118)*I$98:I$114*$C$98:$C$114)</f>
        <v>3.74678420314665</v>
      </c>
      <c r="J118" s="25" t="n">
        <f aca="false">SUMPRODUCT(($B$98:$B$114=$A118)*J$98:J$114*$C$98:$C$114)</f>
        <v>3.86944190093892</v>
      </c>
      <c r="K118" s="25" t="n">
        <f aca="false">SUMPRODUCT(($B$98:$B$114=$A118)*K$98:K$114*$C$98:$C$114)</f>
        <v>3.99611501835827</v>
      </c>
      <c r="L118" s="25" t="n">
        <f aca="false">SUMPRODUCT(($B$98:$B$114=$A118)*L$98:L$114*$C$98:$C$114)</f>
        <v>4.12693500736466</v>
      </c>
      <c r="M118" s="25" t="n">
        <f aca="false">SUMPRODUCT(($B$98:$B$114=$A118)*M$98:M$114*$C$98:$C$114)</f>
        <v>4.26203762323365</v>
      </c>
      <c r="N118" s="25" t="n">
        <f aca="false">SUMPRODUCT(($B$98:$B$114=$A118)*N$98:N$114*$C$98:$C$114)</f>
        <v>4.40156306543309</v>
      </c>
      <c r="O118" s="25" t="n">
        <f aca="false">SUMPRODUCT(($B$98:$B$114=$A118)*O$98:O$114*$C$98:$C$114)</f>
        <v>4.54565612311176</v>
      </c>
      <c r="P118" s="25" t="n">
        <f aca="false">SUMPRODUCT(($B$98:$B$114=$A118)*P$98:P$114*$C$98:$C$114)</f>
        <v>45.9744406243852</v>
      </c>
    </row>
    <row r="119" customFormat="false" ht="15" hidden="false" customHeight="false" outlineLevel="0" collapsed="false">
      <c r="A119" s="4" t="s">
        <v>155</v>
      </c>
      <c r="D119" s="25" t="n">
        <f aca="false">SUMPRODUCT(($B$98:$B$114=$A119)*D$98:D$114*$C$98:$C$114)</f>
        <v>2.96498939151292</v>
      </c>
      <c r="E119" s="25" t="n">
        <f aca="false">SUMPRODUCT(($B$98:$B$114=$A119)*E$98:E$114*$C$98:$C$114)</f>
        <v>3.062053634614</v>
      </c>
      <c r="F119" s="25" t="n">
        <f aca="false">SUMPRODUCT(($B$98:$B$114=$A119)*F$98:F$114*$C$98:$C$114)</f>
        <v>3.16229544972115</v>
      </c>
      <c r="G119" s="25" t="n">
        <f aca="false">SUMPRODUCT(($B$98:$B$114=$A119)*G$98:G$114*$C$98:$C$114)</f>
        <v>3.26581886035047</v>
      </c>
      <c r="H119" s="25" t="n">
        <f aca="false">SUMPRODUCT(($B$98:$B$114=$A119)*H$98:H$114*$C$98:$C$114)</f>
        <v>3.37273129541433</v>
      </c>
      <c r="I119" s="25" t="n">
        <f aca="false">SUMPRODUCT(($B$98:$B$114=$A119)*I$98:I$114*$C$98:$C$114)</f>
        <v>3.48314370070312</v>
      </c>
      <c r="J119" s="25" t="n">
        <f aca="false">SUMPRODUCT(($B$98:$B$114=$A119)*J$98:J$114*$C$98:$C$114)</f>
        <v>3.59717065401661</v>
      </c>
      <c r="K119" s="25" t="n">
        <f aca="false">SUMPRODUCT(($B$98:$B$114=$A119)*K$98:K$114*$C$98:$C$114)</f>
        <v>3.71493048406422</v>
      </c>
      <c r="L119" s="25" t="n">
        <f aca="false">SUMPRODUCT(($B$98:$B$114=$A119)*L$98:L$114*$C$98:$C$114)</f>
        <v>3.83654539325782</v>
      </c>
      <c r="M119" s="25" t="n">
        <f aca="false">SUMPRODUCT(($B$98:$B$114=$A119)*M$98:M$114*$C$98:$C$114)</f>
        <v>3.96214158452428</v>
      </c>
      <c r="N119" s="25" t="n">
        <f aca="false">SUMPRODUCT(($B$98:$B$114=$A119)*N$98:N$114*$C$98:$C$114)</f>
        <v>4.09184939226956</v>
      </c>
      <c r="O119" s="25" t="n">
        <f aca="false">SUMPRODUCT(($B$98:$B$114=$A119)*O$98:O$114*$C$98:$C$114)</f>
        <v>4.22580341763003</v>
      </c>
      <c r="P119" s="25" t="n">
        <f aca="false">SUMPRODUCT(($B$98:$B$114=$A119)*P$98:P$114*$C$98:$C$114)</f>
        <v>42.7394732580785</v>
      </c>
    </row>
    <row r="120" customFormat="false" ht="15" hidden="false" customHeight="false" outlineLevel="0" collapsed="false">
      <c r="A120" s="4" t="s">
        <v>146</v>
      </c>
      <c r="D120" s="25" t="n">
        <f aca="false">SUMPRODUCT(($B$98:$B$114=$A120)*D$98:D$114*$C$98:$C$114)</f>
        <v>55.3179371799012</v>
      </c>
      <c r="E120" s="25" t="n">
        <f aca="false">SUMPRODUCT(($B$98:$B$114=$A120)*E$98:E$114*$C$98:$C$114)</f>
        <v>57.1288690225748</v>
      </c>
      <c r="F120" s="25" t="n">
        <f aca="false">SUMPRODUCT(($B$98:$B$114=$A120)*F$98:F$114*$C$98:$C$114)</f>
        <v>58.9990849655962</v>
      </c>
      <c r="G120" s="25" t="n">
        <f aca="false">SUMPRODUCT(($B$98:$B$114=$A120)*G$98:G$114*$C$98:$C$114)</f>
        <v>60.9305257802696</v>
      </c>
      <c r="H120" s="25" t="n">
        <f aca="false">SUMPRODUCT(($B$98:$B$114=$A120)*H$98:H$114*$C$98:$C$114)</f>
        <v>62.9251957725271</v>
      </c>
      <c r="I120" s="25" t="n">
        <f aca="false">SUMPRODUCT(($B$98:$B$114=$A120)*I$98:I$114*$C$98:$C$114)</f>
        <v>64.9851648628485</v>
      </c>
      <c r="J120" s="25" t="n">
        <f aca="false">SUMPRODUCT(($B$98:$B$114=$A120)*J$98:J$114*$C$98:$C$114)</f>
        <v>67.1125707342713</v>
      </c>
      <c r="K120" s="25" t="n">
        <f aca="false">SUMPRODUCT(($B$98:$B$114=$A120)*K$98:K$114*$C$98:$C$114)</f>
        <v>69.3096210507197</v>
      </c>
      <c r="L120" s="25" t="n">
        <f aca="false">SUMPRODUCT(($B$98:$B$114=$A120)*L$98:L$114*$C$98:$C$114)</f>
        <v>71.5785957479539</v>
      </c>
      <c r="M120" s="25" t="n">
        <f aca="false">SUMPRODUCT(($B$98:$B$114=$A120)*M$98:M$114*$C$98:$C$114)</f>
        <v>73.9218493995185</v>
      </c>
      <c r="N120" s="25" t="n">
        <f aca="false">SUMPRODUCT(($B$98:$B$114=$A120)*N$98:N$114*$C$98:$C$114)</f>
        <v>76.3418136601444</v>
      </c>
      <c r="O120" s="25" t="n">
        <f aca="false">SUMPRODUCT(($B$98:$B$114=$A120)*O$98:O$114*$C$98:$C$114)</f>
        <v>78.8409997891391</v>
      </c>
      <c r="P120" s="25" t="n">
        <f aca="false">SUMPRODUCT(($B$98:$B$114=$A120)*P$98:P$114*$C$98:$C$114)</f>
        <v>797.392227965464</v>
      </c>
    </row>
    <row r="121" customFormat="false" ht="15" hidden="false" customHeight="false" outlineLevel="0" collapsed="false">
      <c r="A121" s="4" t="s">
        <v>147</v>
      </c>
      <c r="D121" s="25" t="n">
        <f aca="false">SUMPRODUCT(($B$98:$B$114=$A121)*D$98:D$114*$C$98:$C$114)</f>
        <v>27.4228649602632</v>
      </c>
      <c r="E121" s="25" t="n">
        <f aca="false">SUMPRODUCT(($B$98:$B$114=$A121)*E$98:E$114*$C$98:$C$114)</f>
        <v>28.3206016060165</v>
      </c>
      <c r="F121" s="25" t="n">
        <f aca="false">SUMPRODUCT(($B$98:$B$114=$A121)*F$98:F$114*$C$98:$C$114)</f>
        <v>29.2477272702512</v>
      </c>
      <c r="G121" s="25" t="n">
        <f aca="false">SUMPRODUCT(($B$98:$B$114=$A121)*G$98:G$114*$C$98:$C$114)</f>
        <v>30.2052040551732</v>
      </c>
      <c r="H121" s="25" t="n">
        <f aca="false">SUMPRODUCT(($B$98:$B$114=$A121)*H$98:H$114*$C$98:$C$114)</f>
        <v>31.194025559129</v>
      </c>
      <c r="I121" s="25" t="n">
        <f aca="false">SUMPRODUCT(($B$98:$B$114=$A121)*I$98:I$114*$C$98:$C$114)</f>
        <v>32.2152179076883</v>
      </c>
      <c r="J121" s="25" t="n">
        <f aca="false">SUMPRODUCT(($B$98:$B$114=$A121)*J$98:J$114*$C$98:$C$114)</f>
        <v>33.2698408184808</v>
      </c>
      <c r="K121" s="25" t="n">
        <f aca="false">SUMPRODUCT(($B$98:$B$114=$A121)*K$98:K$114*$C$98:$C$114)</f>
        <v>34.3589887008924</v>
      </c>
      <c r="L121" s="25" t="n">
        <f aca="false">SUMPRODUCT(($B$98:$B$114=$A121)*L$98:L$114*$C$98:$C$114)</f>
        <v>35.4837917917624</v>
      </c>
      <c r="M121" s="25" t="n">
        <f aca="false">SUMPRODUCT(($B$98:$B$114=$A121)*M$98:M$114*$C$98:$C$114)</f>
        <v>36.6454173282592</v>
      </c>
      <c r="N121" s="25" t="n">
        <f aca="false">SUMPRODUCT(($B$98:$B$114=$A121)*N$98:N$114*$C$98:$C$114)</f>
        <v>37.8450707591525</v>
      </c>
      <c r="O121" s="25" t="n">
        <f aca="false">SUMPRODUCT(($B$98:$B$114=$A121)*O$98:O$114*$C$98:$C$114)</f>
        <v>39.0839969957383</v>
      </c>
      <c r="P121" s="25" t="n">
        <f aca="false">SUMPRODUCT(($B$98:$B$114=$A121)*P$98:P$114*$C$98:$C$114)</f>
        <v>395.292747752807</v>
      </c>
    </row>
    <row r="122" customFormat="false" ht="15" hidden="false" customHeight="false" outlineLevel="0" collapsed="false">
      <c r="A122" s="4" t="s">
        <v>150</v>
      </c>
      <c r="D122" s="25" t="n">
        <f aca="false">SUMPRODUCT(($B$98:$B$114=$A122)*D$98:D$114*$C$98:$C$114)</f>
        <v>27.172550768682</v>
      </c>
      <c r="E122" s="25" t="n">
        <f aca="false">SUMPRODUCT(($B$98:$B$114=$A122)*E$98:E$114*$C$98:$C$114)</f>
        <v>28.0620929306328</v>
      </c>
      <c r="F122" s="25" t="n">
        <f aca="false">SUMPRODUCT(($B$98:$B$114=$A122)*F$98:F$114*$C$98:$C$114)</f>
        <v>28.9807558499474</v>
      </c>
      <c r="G122" s="25" t="n">
        <f aca="false">SUMPRODUCT(($B$98:$B$114=$A122)*G$98:G$114*$C$98:$C$114)</f>
        <v>29.9294928468231</v>
      </c>
      <c r="H122" s="25" t="n">
        <f aca="false">SUMPRODUCT(($B$98:$B$114=$A122)*H$98:H$114*$C$98:$C$114)</f>
        <v>30.909288450103</v>
      </c>
      <c r="I122" s="25" t="n">
        <f aca="false">SUMPRODUCT(($B$98:$B$114=$A122)*I$98:I$114*$C$98:$C$114)</f>
        <v>31.921159418947</v>
      </c>
      <c r="J122" s="25" t="n">
        <f aca="false">SUMPRODUCT(($B$98:$B$114=$A122)*J$98:J$114*$C$98:$C$114)</f>
        <v>32.9661557979485</v>
      </c>
      <c r="K122" s="25" t="n">
        <f aca="false">SUMPRODUCT(($B$98:$B$114=$A122)*K$98:K$114*$C$98:$C$114)</f>
        <v>34.0453620067934</v>
      </c>
      <c r="L122" s="25" t="n">
        <f aca="false">SUMPRODUCT(($B$98:$B$114=$A122)*L$98:L$114*$C$98:$C$114)</f>
        <v>35.15989796559</v>
      </c>
      <c r="M122" s="25" t="n">
        <f aca="false">SUMPRODUCT(($B$98:$B$114=$A122)*M$98:M$114*$C$98:$C$114)</f>
        <v>36.3109202570389</v>
      </c>
      <c r="N122" s="25" t="n">
        <f aca="false">SUMPRODUCT(($B$98:$B$114=$A122)*N$98:N$114*$C$98:$C$114)</f>
        <v>37.4996233266491</v>
      </c>
      <c r="O122" s="25" t="n">
        <f aca="false">SUMPRODUCT(($B$98:$B$114=$A122)*O$98:O$114*$C$98:$C$114)</f>
        <v>38.7272407222444</v>
      </c>
      <c r="P122" s="25" t="n">
        <f aca="false">SUMPRODUCT(($B$98:$B$114=$A122)*P$98:P$114*$C$98:$C$114)</f>
        <v>391.6845403414</v>
      </c>
    </row>
    <row r="123" customFormat="false" ht="15" hidden="false" customHeight="false" outlineLevel="0" collapsed="false">
      <c r="A123" s="4" t="s">
        <v>151</v>
      </c>
      <c r="D123" s="25" t="n">
        <f aca="false">SUMPRODUCT(($B$98:$B$114=$A123)*D$98:D$114*$C$98:$C$114)</f>
        <v>200.390729230949</v>
      </c>
      <c r="E123" s="25" t="n">
        <f aca="false">SUMPRODUCT(($B$98:$B$114=$A123)*E$98:E$114*$C$98:$C$114)</f>
        <v>206.950878995044</v>
      </c>
      <c r="F123" s="25" t="n">
        <f aca="false">SUMPRODUCT(($B$98:$B$114=$A123)*F$98:F$114*$C$98:$C$114)</f>
        <v>213.72578702212</v>
      </c>
      <c r="G123" s="25" t="n">
        <f aca="false">SUMPRODUCT(($B$98:$B$114=$A123)*G$98:G$114*$C$98:$C$114)</f>
        <v>220.722483808916</v>
      </c>
      <c r="H123" s="25" t="n">
        <f aca="false">SUMPRODUCT(($B$98:$B$114=$A123)*H$98:H$114*$C$98:$C$114)</f>
        <v>227.948230008086</v>
      </c>
      <c r="I123" s="25" t="n">
        <f aca="false">SUMPRODUCT(($B$98:$B$114=$A123)*I$98:I$114*$C$98:$C$114)</f>
        <v>235.410523962762</v>
      </c>
      <c r="J123" s="25" t="n">
        <f aca="false">SUMPRODUCT(($B$98:$B$114=$A123)*J$98:J$114*$C$98:$C$114)</f>
        <v>243.117109487782</v>
      </c>
      <c r="K123" s="25" t="n">
        <f aca="false">SUMPRODUCT(($B$98:$B$114=$A123)*K$98:K$114*$C$98:$C$114)</f>
        <v>251.075983905647</v>
      </c>
      <c r="L123" s="25" t="n">
        <f aca="false">SUMPRODUCT(($B$98:$B$114=$A123)*L$98:L$114*$C$98:$C$114)</f>
        <v>259.295406345545</v>
      </c>
      <c r="M123" s="25" t="n">
        <f aca="false">SUMPRODUCT(($B$98:$B$114=$A123)*M$98:M$114*$C$98:$C$114)</f>
        <v>267.783906314064</v>
      </c>
      <c r="N123" s="25" t="n">
        <f aca="false">SUMPRODUCT(($B$98:$B$114=$A123)*N$98:N$114*$C$98:$C$114)</f>
        <v>276.550292546482</v>
      </c>
      <c r="O123" s="25" t="n">
        <f aca="false">SUMPRODUCT(($B$98:$B$114=$A123)*O$98:O$114*$C$98:$C$114)</f>
        <v>285.603662147818</v>
      </c>
      <c r="P123" s="25" t="n">
        <f aca="false">SUMPRODUCT(($B$98:$B$114=$A123)*P$98:P$114*$C$98:$C$114)</f>
        <v>2888.57499377521</v>
      </c>
    </row>
    <row r="124" customFormat="false" ht="15" hidden="false" customHeight="false" outlineLevel="0" collapsed="false">
      <c r="A124" s="4" t="s">
        <v>154</v>
      </c>
      <c r="D124" s="25" t="n">
        <f aca="false">SUMPRODUCT(($B$98:$B$114=$A124)*D$98:D$114*$C$98:$C$114)</f>
        <v>8.01270076015497</v>
      </c>
      <c r="E124" s="25" t="n">
        <f aca="false">SUMPRODUCT(($B$98:$B$114=$A124)*E$98:E$114*$C$98:$C$114)</f>
        <v>8.27501088399761</v>
      </c>
      <c r="F124" s="25" t="n">
        <f aca="false">SUMPRODUCT(($B$98:$B$114=$A124)*F$98:F$114*$C$98:$C$114)</f>
        <v>8.54590819999056</v>
      </c>
      <c r="G124" s="25" t="n">
        <f aca="false">SUMPRODUCT(($B$98:$B$114=$A124)*G$98:G$114*$C$98:$C$114)</f>
        <v>8.8256738252632</v>
      </c>
      <c r="H124" s="25" t="n">
        <f aca="false">SUMPRODUCT(($B$98:$B$114=$A124)*H$98:H$114*$C$98:$C$114)</f>
        <v>9.11459807981814</v>
      </c>
      <c r="I124" s="25" t="n">
        <f aca="false">SUMPRODUCT(($B$98:$B$114=$A124)*I$98:I$114*$C$98:$C$114)</f>
        <v>9.4129807878037</v>
      </c>
      <c r="J124" s="25" t="n">
        <f aca="false">SUMPRODUCT(($B$98:$B$114=$A124)*J$98:J$114*$C$98:$C$114)</f>
        <v>9.72113158864921</v>
      </c>
      <c r="K124" s="25" t="n">
        <f aca="false">SUMPRODUCT(($B$98:$B$114=$A124)*K$98:K$114*$C$98:$C$114)</f>
        <v>10.0393702583858</v>
      </c>
      <c r="L124" s="25" t="n">
        <f aca="false">SUMPRODUCT(($B$98:$B$114=$A124)*L$98:L$114*$C$98:$C$114)</f>
        <v>10.3680270414863</v>
      </c>
      <c r="M124" s="25" t="n">
        <f aca="false">SUMPRODUCT(($B$98:$B$114=$A124)*M$98:M$114*$C$98:$C$114)</f>
        <v>10.7074429935683</v>
      </c>
      <c r="N124" s="25" t="n">
        <f aca="false">SUMPRODUCT(($B$98:$B$114=$A124)*N$98:N$114*$C$98:$C$114)</f>
        <v>11.0579703353165</v>
      </c>
      <c r="O124" s="25" t="n">
        <f aca="false">SUMPRODUCT(($B$98:$B$114=$A124)*O$98:O$114*$C$98:$C$114)</f>
        <v>11.4199728179911</v>
      </c>
      <c r="P124" s="25" t="n">
        <f aca="false">SUMPRODUCT(($B$98:$B$114=$A124)*P$98:P$114*$C$98:$C$114)</f>
        <v>115.500787572425</v>
      </c>
    </row>
    <row r="125" customFormat="false" ht="15" hidden="false" customHeight="false" outlineLevel="0" collapsed="false">
      <c r="A125" s="6" t="s">
        <v>274</v>
      </c>
      <c r="D125" s="26" t="n">
        <f aca="false">SUMPRODUCT(D$98:D$114*parametros_recargas!$D$51:$D$67)</f>
        <v>81.7428148385678</v>
      </c>
      <c r="E125" s="26" t="n">
        <f aca="false">SUMPRODUCT(E$98:E$114*parametros_recargas!$D$51:$D$67)</f>
        <v>84.4188124235738</v>
      </c>
      <c r="F125" s="26" t="n">
        <f aca="false">SUMPRODUCT(F$98:F$114*parametros_recargas!$D$51:$D$67)</f>
        <v>87.1824135868161</v>
      </c>
      <c r="G125" s="26" t="n">
        <f aca="false">SUMPRODUCT(G$98:G$114*parametros_recargas!$D$51:$D$67)</f>
        <v>90.036486188476</v>
      </c>
      <c r="H125" s="26" t="n">
        <f aca="false">SUMPRODUCT(H$98:H$114*parametros_recargas!$D$51:$D$67)</f>
        <v>92.9839919732793</v>
      </c>
      <c r="I125" s="26" t="n">
        <f aca="false">SUMPRODUCT(I$98:I$114*parametros_recargas!$D$51:$D$67)</f>
        <v>96.0279896439752</v>
      </c>
      <c r="J125" s="26" t="n">
        <f aca="false">SUMPRODUCT(J$98:J$114*parametros_recargas!$D$51:$D$67)</f>
        <v>99.1716380354301</v>
      </c>
      <c r="K125" s="26" t="n">
        <f aca="false">SUMPRODUCT(K$98:K$114*parametros_recargas!$D$51:$D$67)</f>
        <v>102.418199392633</v>
      </c>
      <c r="L125" s="26" t="n">
        <f aca="false">SUMPRODUCT(L$98:L$114*parametros_recargas!$D$51:$D$67)</f>
        <v>105.771042756011</v>
      </c>
      <c r="M125" s="26" t="n">
        <f aca="false">SUMPRODUCT(M$98:M$114*parametros_recargas!$D$51:$D$67)</f>
        <v>109.23364745757</v>
      </c>
      <c r="N125" s="26" t="n">
        <f aca="false">SUMPRODUCT(N$98:N$114*parametros_recargas!$D$51:$D$67)</f>
        <v>112.809606731485</v>
      </c>
      <c r="O125" s="26" t="n">
        <f aca="false">SUMPRODUCT(O$98:O$114*parametros_recargas!$D$51:$D$67)</f>
        <v>116.502631442893</v>
      </c>
      <c r="P125" s="26" t="n">
        <f aca="false">SUMPRODUCT(P$98:P$114*parametros_recargas!$D$51:$D$67)</f>
        <v>1178.29927447071</v>
      </c>
    </row>
    <row r="129" customFormat="false" ht="15" hidden="false" customHeight="false" outlineLevel="0" collapsed="false">
      <c r="A129" s="23" t="n">
        <v>2030</v>
      </c>
      <c r="B129" s="3" t="s">
        <v>270</v>
      </c>
      <c r="C129" s="3" t="s">
        <v>271</v>
      </c>
      <c r="D129" s="3" t="s">
        <v>124</v>
      </c>
      <c r="E129" s="3" t="s">
        <v>125</v>
      </c>
      <c r="F129" s="3" t="s">
        <v>126</v>
      </c>
      <c r="G129" s="3" t="s">
        <v>127</v>
      </c>
      <c r="H129" s="3" t="s">
        <v>128</v>
      </c>
      <c r="I129" s="3" t="s">
        <v>129</v>
      </c>
      <c r="J129" s="3" t="s">
        <v>130</v>
      </c>
      <c r="K129" s="3" t="s">
        <v>131</v>
      </c>
      <c r="L129" s="3" t="s">
        <v>132</v>
      </c>
      <c r="M129" s="3" t="s">
        <v>133</v>
      </c>
      <c r="N129" s="3" t="s">
        <v>134</v>
      </c>
      <c r="O129" s="3" t="s">
        <v>135</v>
      </c>
      <c r="P129" s="3" t="s">
        <v>136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4" t="n">
        <f aca="false">parametros_recargas!C51</f>
        <v>1</v>
      </c>
      <c r="D130" s="25" t="n">
        <f aca="false">datos_base!$F$2*parametros_recargas!$F$41</f>
        <v>1750.52158225214</v>
      </c>
      <c r="E130" s="25" t="n">
        <f aca="false">datos_base!$F$2*parametros_recargas!$G$41</f>
        <v>1796.07820830467</v>
      </c>
      <c r="F130" s="25" t="n">
        <f aca="false">datos_base!$F$2*parametros_recargas!$H$41</f>
        <v>1842.82042738178</v>
      </c>
      <c r="G130" s="25" t="n">
        <f aca="false">datos_base!$F$2*parametros_recargas!$I$41</f>
        <v>1890.7790940691</v>
      </c>
      <c r="H130" s="25" t="n">
        <f aca="false">datos_base!$F$2*parametros_recargas!$J$41</f>
        <v>1939.98586593056</v>
      </c>
      <c r="I130" s="25" t="n">
        <f aca="false">datos_base!$F$2*parametros_recargas!$K$41</f>
        <v>1990.47322440556</v>
      </c>
      <c r="J130" s="25" t="n">
        <f aca="false">datos_base!$F$2*parametros_recargas!$L$41</f>
        <v>2042.27449625001</v>
      </c>
      <c r="K130" s="25" t="n">
        <f aca="false">datos_base!$F$2*parametros_recargas!$M$41</f>
        <v>2095.42387553534</v>
      </c>
      <c r="L130" s="25" t="n">
        <f aca="false">datos_base!$F$2*parametros_recargas!$N$41</f>
        <v>2149.95644622007</v>
      </c>
      <c r="M130" s="25" t="n">
        <f aca="false">datos_base!$F$2*parametros_recargas!$O$41</f>
        <v>2205.90820530873</v>
      </c>
      <c r="N130" s="25" t="n">
        <f aca="false">datos_base!$F$2*parametros_recargas!$P$41</f>
        <v>2263.31608661355</v>
      </c>
      <c r="O130" s="25" t="n">
        <f aca="false">datos_base!$F$2*parametros_recargas!$Q$41</f>
        <v>2322.21798513449</v>
      </c>
      <c r="P130" s="7" t="n">
        <f aca="false">SUM(D130:O130)</f>
        <v>24289.755497406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4" t="n">
        <f aca="false">parametros_recargas!C52</f>
        <v>1</v>
      </c>
      <c r="D131" s="25" t="n">
        <f aca="false">datos_base!$F$3*parametros_recargas!$F$41</f>
        <v>163.084023493461</v>
      </c>
      <c r="E131" s="25" t="n">
        <f aca="false">datos_base!$F$3*parametros_recargas!$G$41</f>
        <v>167.328220165332</v>
      </c>
      <c r="F131" s="25" t="n">
        <f aca="false">datos_base!$F$3*parametros_recargas!$H$41</f>
        <v>171.682870362961</v>
      </c>
      <c r="G131" s="25" t="n">
        <f aca="false">datos_base!$F$3*parametros_recargas!$I$41</f>
        <v>176.150848595304</v>
      </c>
      <c r="H131" s="25" t="n">
        <f aca="false">datos_base!$F$3*parametros_recargas!$J$41</f>
        <v>180.73510417927</v>
      </c>
      <c r="I131" s="25" t="n">
        <f aca="false">datos_base!$F$3*parametros_recargas!$K$41</f>
        <v>185.438663186561</v>
      </c>
      <c r="J131" s="25" t="n">
        <f aca="false">datos_base!$F$3*parametros_recargas!$L$41</f>
        <v>190.264630441191</v>
      </c>
      <c r="K131" s="25" t="n">
        <f aca="false">datos_base!$F$3*parametros_recargas!$M$41</f>
        <v>195.216191568978</v>
      </c>
      <c r="L131" s="25" t="n">
        <f aca="false">datos_base!$F$3*parametros_recargas!$N$41</f>
        <v>200.296615100383</v>
      </c>
      <c r="M131" s="25" t="n">
        <f aca="false">datos_base!$F$3*parametros_recargas!$O$41</f>
        <v>205.50925462807</v>
      </c>
      <c r="N131" s="25" t="n">
        <f aca="false">datos_base!$F$3*parametros_recargas!$P$41</f>
        <v>210.857551020611</v>
      </c>
      <c r="O131" s="25" t="n">
        <f aca="false">datos_base!$F$3*parametros_recargas!$Q$41</f>
        <v>216.345034693814</v>
      </c>
      <c r="P131" s="7" t="n">
        <f aca="false">SUM(D131:O131)</f>
        <v>2262.90900743594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4" t="n">
        <f aca="false">parametros_recargas!C53</f>
        <v>1</v>
      </c>
      <c r="D132" s="25" t="n">
        <f aca="false">datos_base!$F$4*parametros_recargas!$F$41</f>
        <v>1005.55680492829</v>
      </c>
      <c r="E132" s="25" t="n">
        <f aca="false">datos_base!$F$4*parametros_recargas!$G$41</f>
        <v>1031.7260197504</v>
      </c>
      <c r="F132" s="25" t="n">
        <f aca="false">datos_base!$F$4*parametros_recargas!$H$41</f>
        <v>1058.5762779517</v>
      </c>
      <c r="G132" s="25" t="n">
        <f aca="false">datos_base!$F$4*parametros_recargas!$I$41</f>
        <v>1086.12530341455</v>
      </c>
      <c r="H132" s="25" t="n">
        <f aca="false">datos_base!$F$4*parametros_recargas!$J$41</f>
        <v>1114.39128127824</v>
      </c>
      <c r="I132" s="25" t="n">
        <f aca="false">datos_base!$F$4*parametros_recargas!$K$41</f>
        <v>1143.39286994307</v>
      </c>
      <c r="J132" s="25" t="n">
        <f aca="false">datos_base!$F$4*parametros_recargas!$L$41</f>
        <v>1173.14921338678</v>
      </c>
      <c r="K132" s="25" t="n">
        <f aca="false">datos_base!$F$4*parametros_recargas!$M$41</f>
        <v>1203.67995380149</v>
      </c>
      <c r="L132" s="25" t="n">
        <f aca="false">datos_base!$F$4*parametros_recargas!$N$41</f>
        <v>1235.00524455952</v>
      </c>
      <c r="M132" s="25" t="n">
        <f aca="false">datos_base!$F$4*parametros_recargas!$O$41</f>
        <v>1267.14576351669</v>
      </c>
      <c r="N132" s="25" t="n">
        <f aca="false">datos_base!$F$4*parametros_recargas!$P$41</f>
        <v>1300.12272666176</v>
      </c>
      <c r="O132" s="25" t="n">
        <f aca="false">datos_base!$F$4*parametros_recargas!$Q$41</f>
        <v>1333.95790212114</v>
      </c>
      <c r="P132" s="7" t="n">
        <f aca="false">SUM(D132:O132)</f>
        <v>13952.8293613136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4" t="n">
        <f aca="false">parametros_recargas!C54</f>
        <v>1</v>
      </c>
      <c r="D133" s="25" t="n">
        <f aca="false">datos_base!$F$5*parametros_recargas!$F$41</f>
        <v>59.0978996810557</v>
      </c>
      <c r="E133" s="25" t="n">
        <f aca="false">datos_base!$F$5*parametros_recargas!$G$41</f>
        <v>60.6358989514195</v>
      </c>
      <c r="F133" s="25" t="n">
        <f aca="false">datos_base!$F$5*parametros_recargas!$H$41</f>
        <v>62.2139240394249</v>
      </c>
      <c r="G133" s="25" t="n">
        <f aca="false">datos_base!$F$5*parametros_recargas!$I$41</f>
        <v>63.8330166010133</v>
      </c>
      <c r="H133" s="25" t="n">
        <f aca="false">datos_base!$F$5*parametros_recargas!$J$41</f>
        <v>65.4942454008068</v>
      </c>
      <c r="I133" s="25" t="n">
        <f aca="false">datos_base!$F$5*parametros_recargas!$K$41</f>
        <v>67.1987070176002</v>
      </c>
      <c r="J133" s="25" t="n">
        <f aca="false">datos_base!$F$5*parametros_recargas!$L$41</f>
        <v>68.9475265682142</v>
      </c>
      <c r="K133" s="25" t="n">
        <f aca="false">datos_base!$F$5*parametros_recargas!$M$41</f>
        <v>70.7418584501861</v>
      </c>
      <c r="L133" s="25" t="n">
        <f aca="false">datos_base!$F$5*parametros_recargas!$N$41</f>
        <v>72.5828871037888</v>
      </c>
      <c r="M133" s="25" t="n">
        <f aca="false">datos_base!$F$5*parametros_recargas!$O$41</f>
        <v>74.4718277938808</v>
      </c>
      <c r="N133" s="25" t="n">
        <f aca="false">datos_base!$F$5*parametros_recargas!$P$41</f>
        <v>76.4099274121039</v>
      </c>
      <c r="O133" s="25" t="n">
        <f aca="false">datos_base!$F$5*parametros_recargas!$Q$41</f>
        <v>78.3984652999577</v>
      </c>
      <c r="P133" s="7" t="n">
        <f aca="false">SUM(D133:O133)</f>
        <v>820.026184319452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4" t="n">
        <f aca="false">parametros_recargas!C55</f>
        <v>1</v>
      </c>
      <c r="D134" s="25" t="n">
        <f aca="false">datos_base!$F$6*parametros_recargas!$F$41</f>
        <v>82.913578556091</v>
      </c>
      <c r="E134" s="25" t="n">
        <f aca="false">datos_base!$F$6*parametros_recargas!$G$41</f>
        <v>85.0713713712457</v>
      </c>
      <c r="F134" s="25" t="n">
        <f aca="false">datos_base!$F$6*parametros_recargas!$H$41</f>
        <v>87.2853198838653</v>
      </c>
      <c r="G134" s="25" t="n">
        <f aca="false">datos_base!$F$6*parametros_recargas!$I$41</f>
        <v>89.556885523581</v>
      </c>
      <c r="H134" s="25" t="n">
        <f aca="false">datos_base!$F$6*parametros_recargas!$J$41</f>
        <v>91.887567753147</v>
      </c>
      <c r="I134" s="25" t="n">
        <f aca="false">datos_base!$F$6*parametros_recargas!$K$41</f>
        <v>94.2789050582381</v>
      </c>
      <c r="J134" s="25" t="n">
        <f aca="false">datos_base!$F$6*parametros_recargas!$L$41</f>
        <v>96.7324759630048</v>
      </c>
      <c r="K134" s="25" t="n">
        <f aca="false">datos_base!$F$6*parametros_recargas!$M$41</f>
        <v>99.2499000720594</v>
      </c>
      <c r="L134" s="25" t="n">
        <f aca="false">datos_base!$F$6*parametros_recargas!$N$41</f>
        <v>101.832839139578</v>
      </c>
      <c r="M134" s="25" t="n">
        <f aca="false">datos_base!$F$6*parametros_recargas!$O$41</f>
        <v>104.482998166227</v>
      </c>
      <c r="N134" s="25" t="n">
        <f aca="false">datos_base!$F$6*parametros_recargas!$P$41</f>
        <v>107.202126524634</v>
      </c>
      <c r="O134" s="25" t="n">
        <f aca="false">datos_base!$F$6*parametros_recargas!$Q$41</f>
        <v>109.992019114154</v>
      </c>
      <c r="P134" s="7" t="n">
        <f aca="false">SUM(D134:O134)</f>
        <v>1150.48598712583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4" t="n">
        <f aca="false">parametros_recargas!C56</f>
        <v>1</v>
      </c>
      <c r="D135" s="25" t="n">
        <f aca="false">datos_base!$F$7*parametros_recargas!$F$41</f>
        <v>15.4505174888816</v>
      </c>
      <c r="E135" s="25" t="n">
        <f aca="false">datos_base!$F$7*parametros_recargas!$G$41</f>
        <v>15.8526110447082</v>
      </c>
      <c r="F135" s="25" t="n">
        <f aca="false">datos_base!$F$7*parametros_recargas!$H$41</f>
        <v>16.2651689249663</v>
      </c>
      <c r="G135" s="25" t="n">
        <f aca="false">datos_base!$F$7*parametros_recargas!$I$41</f>
        <v>16.6884634595259</v>
      </c>
      <c r="H135" s="25" t="n">
        <f aca="false">datos_base!$F$7*parametros_recargas!$J$41</f>
        <v>17.1227740655333</v>
      </c>
      <c r="I135" s="25" t="n">
        <f aca="false">datos_base!$F$7*parametros_recargas!$K$41</f>
        <v>17.5683874318546</v>
      </c>
      <c r="J135" s="25" t="n">
        <f aca="false">datos_base!$F$7*parametros_recargas!$L$41</f>
        <v>18.0255977083193</v>
      </c>
      <c r="K135" s="25" t="n">
        <f aca="false">datos_base!$F$7*parametros_recargas!$M$41</f>
        <v>18.4947066998889</v>
      </c>
      <c r="L135" s="25" t="n">
        <f aca="false">datos_base!$F$7*parametros_recargas!$N$41</f>
        <v>18.9760240658788</v>
      </c>
      <c r="M135" s="25" t="n">
        <f aca="false">datos_base!$F$7*parametros_recargas!$O$41</f>
        <v>19.4698675243644</v>
      </c>
      <c r="N135" s="25" t="n">
        <f aca="false">datos_base!$F$7*parametros_recargas!$P$41</f>
        <v>19.9765630619073</v>
      </c>
      <c r="O135" s="25" t="n">
        <f aca="false">datos_base!$F$7*parametros_recargas!$Q$41</f>
        <v>20.4964451487396</v>
      </c>
      <c r="P135" s="7" t="n">
        <f aca="false">SUM(D135:O135)</f>
        <v>214.387126624568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4" t="n">
        <f aca="false">parametros_recargas!C57</f>
        <v>3</v>
      </c>
      <c r="D136" s="25" t="n">
        <f aca="false">datos_base!$F$8*parametros_recargas!$F$41</f>
        <v>8.28628904047096</v>
      </c>
      <c r="E136" s="25" t="n">
        <f aca="false">datos_base!$F$8*parametros_recargas!$G$41</f>
        <v>8.50193640809395</v>
      </c>
      <c r="F136" s="25" t="n">
        <f aca="false">datos_base!$F$8*parametros_recargas!$H$41</f>
        <v>8.72319591245699</v>
      </c>
      <c r="G136" s="25" t="n">
        <f aca="false">datos_base!$F$8*parametros_recargas!$I$41</f>
        <v>8.95021360718058</v>
      </c>
      <c r="H136" s="25" t="n">
        <f aca="false">datos_base!$F$8*parametros_recargas!$J$41</f>
        <v>9.1831393468724</v>
      </c>
      <c r="I136" s="25" t="n">
        <f aca="false">datos_base!$F$8*parametros_recargas!$K$41</f>
        <v>9.42212688604659</v>
      </c>
      <c r="J136" s="25" t="n">
        <f aca="false">datos_base!$F$8*parametros_recargas!$L$41</f>
        <v>9.66733398061715</v>
      </c>
      <c r="K136" s="25" t="n">
        <f aca="false">datos_base!$F$8*parametros_recargas!$M$41</f>
        <v>9.91892249203285</v>
      </c>
      <c r="L136" s="25" t="n">
        <f aca="false">datos_base!$F$8*parametros_recargas!$N$41</f>
        <v>10.1770584941221</v>
      </c>
      <c r="M136" s="25" t="n">
        <f aca="false">datos_base!$F$8*parametros_recargas!$O$41</f>
        <v>10.4419123827186</v>
      </c>
      <c r="N136" s="25" t="n">
        <f aca="false">datos_base!$F$8*parametros_recargas!$P$41</f>
        <v>10.7136589881393</v>
      </c>
      <c r="O136" s="25" t="n">
        <f aca="false">datos_base!$F$8*parametros_recargas!$Q$41</f>
        <v>10.9924776905909</v>
      </c>
      <c r="P136" s="7" t="n">
        <f aca="false">SUM(D136:O136)</f>
        <v>114.978265229342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4" t="n">
        <f aca="false">parametros_recargas!C58</f>
        <v>1</v>
      </c>
      <c r="D137" s="25" t="n">
        <f aca="false">datos_base!$F$9*parametros_recargas!$F$41</f>
        <v>4.56576436266471</v>
      </c>
      <c r="E137" s="25" t="n">
        <f aca="false">datos_base!$F$9*parametros_recargas!$G$41</f>
        <v>4.6845865593304</v>
      </c>
      <c r="F137" s="25" t="n">
        <f aca="false">datos_base!$F$9*parametros_recargas!$H$41</f>
        <v>4.80650105627682</v>
      </c>
      <c r="G137" s="25" t="n">
        <f aca="false">datos_base!$F$9*parametros_recargas!$I$41</f>
        <v>4.93158832938554</v>
      </c>
      <c r="H137" s="25" t="n">
        <f aca="false">datos_base!$F$9*parametros_recargas!$J$41</f>
        <v>5.05993094889086</v>
      </c>
      <c r="I137" s="25" t="n">
        <f aca="false">datos_base!$F$9*parametros_recargas!$K$41</f>
        <v>5.19161363388448</v>
      </c>
      <c r="J137" s="25" t="n">
        <f aca="false">datos_base!$F$9*parametros_recargas!$L$41</f>
        <v>5.32672330823868</v>
      </c>
      <c r="K137" s="25" t="n">
        <f aca="false">datos_base!$F$9*parametros_recargas!$M$41</f>
        <v>5.46534915798486</v>
      </c>
      <c r="L137" s="25" t="n">
        <f aca="false">datos_base!$F$9*parametros_recargas!$N$41</f>
        <v>5.60758269018529</v>
      </c>
      <c r="M137" s="25" t="n">
        <f aca="false">datos_base!$F$9*parametros_recargas!$O$41</f>
        <v>5.75351779333709</v>
      </c>
      <c r="N137" s="25" t="n">
        <f aca="false">datos_base!$F$9*parametros_recargas!$P$41</f>
        <v>5.90325079934802</v>
      </c>
      <c r="O137" s="25" t="n">
        <f aca="false">datos_base!$F$9*parametros_recargas!$Q$41</f>
        <v>6.05688054712537</v>
      </c>
      <c r="P137" s="7" t="n">
        <f aca="false">SUM(D137:O137)</f>
        <v>63.3532891866521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4" t="n">
        <f aca="false">parametros_recargas!C59</f>
        <v>1</v>
      </c>
      <c r="D138" s="25" t="n">
        <f aca="false">datos_base!$F$10*parametros_recargas!$F$41</f>
        <v>40.7379060128611</v>
      </c>
      <c r="E138" s="25" t="n">
        <f aca="false">datos_base!$F$10*parametros_recargas!$G$41</f>
        <v>41.7980937701599</v>
      </c>
      <c r="F138" s="25" t="n">
        <f aca="false">datos_base!$F$10*parametros_recargas!$H$41</f>
        <v>42.8858724910289</v>
      </c>
      <c r="G138" s="25" t="n">
        <f aca="false">datos_base!$F$10*parametros_recargas!$I$41</f>
        <v>44.0019602192914</v>
      </c>
      <c r="H138" s="25" t="n">
        <f aca="false">datos_base!$F$10*parametros_recargas!$J$41</f>
        <v>45.1470936855749</v>
      </c>
      <c r="I138" s="25" t="n">
        <f aca="false">datos_base!$F$10*parametros_recargas!$K$41</f>
        <v>46.3220287936277</v>
      </c>
      <c r="J138" s="25" t="n">
        <f aca="false">datos_base!$F$10*parametros_recargas!$L$41</f>
        <v>47.5275411192917</v>
      </c>
      <c r="K138" s="25" t="n">
        <f aca="false">datos_base!$F$10*parametros_recargas!$M$41</f>
        <v>48.7644264224607</v>
      </c>
      <c r="L138" s="25" t="n">
        <f aca="false">datos_base!$F$10*parametros_recargas!$N$41</f>
        <v>50.0335011723624</v>
      </c>
      <c r="M138" s="25" t="n">
        <f aca="false">datos_base!$F$10*parametros_recargas!$O$41</f>
        <v>51.3356030865105</v>
      </c>
      <c r="N138" s="25" t="n">
        <f aca="false">datos_base!$F$10*parametros_recargas!$P$41</f>
        <v>52.671591683683</v>
      </c>
      <c r="O138" s="25" t="n">
        <f aca="false">datos_base!$F$10*parametros_recargas!$Q$41</f>
        <v>54.0423488512913</v>
      </c>
      <c r="P138" s="7" t="n">
        <f aca="false">SUM(D138:O138)</f>
        <v>565.267967308143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4" t="n">
        <f aca="false">parametros_recargas!C60</f>
        <v>1</v>
      </c>
      <c r="D139" s="25" t="n">
        <f aca="false">datos_base!$F$11*parametros_recargas!$F$41</f>
        <v>226.841080760058</v>
      </c>
      <c r="E139" s="25" t="n">
        <f aca="false">datos_base!$F$11*parametros_recargas!$G$41</f>
        <v>232.744529420338</v>
      </c>
      <c r="F139" s="25" t="n">
        <f aca="false">datos_base!$F$11*parametros_recargas!$H$41</f>
        <v>238.801612977647</v>
      </c>
      <c r="G139" s="25" t="n">
        <f aca="false">datos_base!$F$11*parametros_recargas!$I$41</f>
        <v>245.01632971891</v>
      </c>
      <c r="H139" s="25" t="n">
        <f aca="false">datos_base!$F$11*parametros_recargas!$J$41</f>
        <v>251.392781984872</v>
      </c>
      <c r="I139" s="25" t="n">
        <f aca="false">datos_base!$F$11*parametros_recargas!$K$41</f>
        <v>257.935178878063</v>
      </c>
      <c r="J139" s="25" t="n">
        <f aca="false">datos_base!$F$11*parametros_recargas!$L$41</f>
        <v>264.647839041225</v>
      </c>
      <c r="K139" s="25" t="n">
        <f aca="false">datos_base!$F$11*parametros_recargas!$M$41</f>
        <v>271.535193508058</v>
      </c>
      <c r="L139" s="25" t="n">
        <f aca="false">datos_base!$F$11*parametros_recargas!$N$41</f>
        <v>278.601788628144</v>
      </c>
      <c r="M139" s="25" t="n">
        <f aca="false">datos_base!$F$11*parametros_recargas!$O$41</f>
        <v>285.852289068001</v>
      </c>
      <c r="N139" s="25" t="n">
        <f aca="false">datos_base!$F$11*parametros_recargas!$P$41</f>
        <v>293.291480890233</v>
      </c>
      <c r="O139" s="25" t="n">
        <f aca="false">datos_base!$F$11*parametros_recargas!$Q$41</f>
        <v>300.924274712814</v>
      </c>
      <c r="P139" s="7" t="n">
        <f aca="false">SUM(D139:O139)</f>
        <v>3147.58437958836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4" t="n">
        <f aca="false">parametros_recargas!C61</f>
        <v>1</v>
      </c>
      <c r="D140" s="25" t="n">
        <f aca="false">datos_base!$F$12*parametros_recargas!$F$41</f>
        <v>73.6446355224313</v>
      </c>
      <c r="E140" s="25" t="n">
        <f aca="false">datos_base!$F$12*parametros_recargas!$G$41</f>
        <v>75.5612077916825</v>
      </c>
      <c r="F140" s="25" t="n">
        <f aca="false">datos_base!$F$12*parametros_recargas!$H$41</f>
        <v>77.5276580898927</v>
      </c>
      <c r="G140" s="25" t="n">
        <f aca="false">datos_base!$F$12*parametros_recargas!$I$41</f>
        <v>79.5452844728737</v>
      </c>
      <c r="H140" s="25" t="n">
        <f aca="false">datos_base!$F$12*parametros_recargas!$J$41</f>
        <v>81.6154187778222</v>
      </c>
      <c r="I140" s="25" t="n">
        <f aca="false">datos_base!$F$12*parametros_recargas!$K$41</f>
        <v>83.7394275024666</v>
      </c>
      <c r="J140" s="25" t="n">
        <f aca="false">datos_base!$F$12*parametros_recargas!$L$41</f>
        <v>85.9187127070938</v>
      </c>
      <c r="K140" s="25" t="n">
        <f aca="false">datos_base!$F$12*parametros_recargas!$M$41</f>
        <v>88.1547129400507</v>
      </c>
      <c r="L140" s="25" t="n">
        <f aca="false">datos_base!$F$12*parametros_recargas!$N$41</f>
        <v>90.4489041873309</v>
      </c>
      <c r="M140" s="25" t="n">
        <f aca="false">datos_base!$F$12*parametros_recargas!$O$41</f>
        <v>92.8028008468751</v>
      </c>
      <c r="N140" s="25" t="n">
        <f aca="false">datos_base!$F$12*parametros_recargas!$P$41</f>
        <v>95.2179567282262</v>
      </c>
      <c r="O140" s="25" t="n">
        <f aca="false">datos_base!$F$12*parametros_recargas!$Q$41</f>
        <v>97.6959660782012</v>
      </c>
      <c r="P140" s="7" t="n">
        <f aca="false">SUM(D140:O140)</f>
        <v>1021.87268564495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4" t="n">
        <f aca="false">parametros_recargas!C62</f>
        <v>1</v>
      </c>
      <c r="D141" s="25" t="n">
        <f aca="false">datos_base!$F$13*parametros_recargas!$F$41</f>
        <v>11.9340878742277</v>
      </c>
      <c r="E141" s="25" t="n">
        <f aca="false">datos_base!$F$13*parametros_recargas!$G$41</f>
        <v>12.2446677517204</v>
      </c>
      <c r="F141" s="25" t="n">
        <f aca="false">datos_base!$F$13*parametros_recargas!$H$41</f>
        <v>12.5633303466625</v>
      </c>
      <c r="G141" s="25" t="n">
        <f aca="false">datos_base!$F$13*parametros_recargas!$I$41</f>
        <v>12.8902860085521</v>
      </c>
      <c r="H141" s="25" t="n">
        <f aca="false">datos_base!$F$13*parametros_recargas!$J$41</f>
        <v>13.2257505611492</v>
      </c>
      <c r="I141" s="25" t="n">
        <f aca="false">datos_base!$F$13*parametros_recargas!$K$41</f>
        <v>13.569945444941</v>
      </c>
      <c r="J141" s="25" t="n">
        <f aca="false">datos_base!$F$13*parametros_recargas!$L$41</f>
        <v>13.9230978633151</v>
      </c>
      <c r="K141" s="25" t="n">
        <f aca="false">datos_base!$F$13*parametros_recargas!$M$41</f>
        <v>14.2854409325366</v>
      </c>
      <c r="L141" s="25" t="n">
        <f aca="false">datos_base!$F$13*parametros_recargas!$N$41</f>
        <v>14.6572138356286</v>
      </c>
      <c r="M141" s="25" t="n">
        <f aca="false">datos_base!$F$13*parametros_recargas!$O$41</f>
        <v>15.0386619802568</v>
      </c>
      <c r="N141" s="25" t="n">
        <f aca="false">datos_base!$F$13*parametros_recargas!$P$41</f>
        <v>15.4300371607236</v>
      </c>
      <c r="O141" s="25" t="n">
        <f aca="false">datos_base!$F$13*parametros_recargas!$Q$41</f>
        <v>15.8315977241777</v>
      </c>
      <c r="P141" s="7" t="n">
        <f aca="false">SUM(D141:O141)</f>
        <v>165.594117483891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4" t="n">
        <f aca="false">parametros_recargas!C63</f>
        <v>1</v>
      </c>
      <c r="D142" s="25" t="n">
        <f aca="false">datos_base!$F$14*parametros_recargas!$F$41</f>
        <v>4.26310277680658</v>
      </c>
      <c r="E142" s="25" t="n">
        <f aca="false">datos_base!$F$14*parametros_recargas!$G$41</f>
        <v>4.37404832640478</v>
      </c>
      <c r="F142" s="25" t="n">
        <f aca="false">datos_base!$F$14*parametros_recargas!$H$41</f>
        <v>4.48788118968508</v>
      </c>
      <c r="G142" s="25" t="n">
        <f aca="false">datos_base!$F$14*parametros_recargas!$I$41</f>
        <v>4.60467650783455</v>
      </c>
      <c r="H142" s="25" t="n">
        <f aca="false">datos_base!$F$14*parametros_recargas!$J$41</f>
        <v>4.72451137755973</v>
      </c>
      <c r="I142" s="25" t="n">
        <f aca="false">datos_base!$F$14*parametros_recargas!$K$41</f>
        <v>4.84746490197815</v>
      </c>
      <c r="J142" s="25" t="n">
        <f aca="false">datos_base!$F$14*parametros_recargas!$L$41</f>
        <v>4.97361824283446</v>
      </c>
      <c r="K142" s="25" t="n">
        <f aca="false">datos_base!$F$14*parametros_recargas!$M$41</f>
        <v>5.10305467407533</v>
      </c>
      <c r="L142" s="25" t="n">
        <f aca="false">datos_base!$F$14*parametros_recargas!$N$41</f>
        <v>5.2358596368187</v>
      </c>
      <c r="M142" s="25" t="n">
        <f aca="false">datos_base!$F$14*parametros_recargas!$O$41</f>
        <v>5.37212079575352</v>
      </c>
      <c r="N142" s="25" t="n">
        <f aca="false">datos_base!$F$14*parametros_recargas!$P$41</f>
        <v>5.51192809700729</v>
      </c>
      <c r="O142" s="25" t="n">
        <f aca="false">datos_base!$F$14*parametros_recargas!$Q$41</f>
        <v>5.65537382751964</v>
      </c>
      <c r="P142" s="7" t="n">
        <f aca="false">SUM(D142:O142)</f>
        <v>59.1536403542778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4" t="n">
        <f aca="false">parametros_recargas!C64</f>
        <v>3</v>
      </c>
      <c r="D143" s="25" t="n">
        <f aca="false">datos_base!$F$15*parametros_recargas!$F$41</f>
        <v>10.0567495827461</v>
      </c>
      <c r="E143" s="25" t="n">
        <f aca="false">datos_base!$F$15*parametros_recargas!$G$41</f>
        <v>10.3184724799044</v>
      </c>
      <c r="F143" s="25" t="n">
        <f aca="false">datos_base!$F$15*parametros_recargas!$H$41</f>
        <v>10.5870066110835</v>
      </c>
      <c r="G143" s="25" t="n">
        <f aca="false">datos_base!$F$15*parametros_recargas!$I$41</f>
        <v>10.8625292359324</v>
      </c>
      <c r="H143" s="25" t="n">
        <f aca="false">datos_base!$F$15*parametros_recargas!$J$41</f>
        <v>11.1452222272118</v>
      </c>
      <c r="I143" s="25" t="n">
        <f aca="false">datos_base!$F$15*parametros_recargas!$K$41</f>
        <v>11.4352721908485</v>
      </c>
      <c r="J143" s="25" t="n">
        <f aca="false">datos_base!$F$15*parametros_recargas!$L$41</f>
        <v>11.7328705891139</v>
      </c>
      <c r="K143" s="25" t="n">
        <f aca="false">datos_base!$F$15*parametros_recargas!$M$41</f>
        <v>12.038213867009</v>
      </c>
      <c r="L143" s="25" t="n">
        <f aca="false">datos_base!$F$15*parametros_recargas!$N$41</f>
        <v>12.3515035819374</v>
      </c>
      <c r="M143" s="25" t="n">
        <f aca="false">datos_base!$F$15*parametros_recargas!$O$41</f>
        <v>12.6729465367537</v>
      </c>
      <c r="N143" s="25" t="n">
        <f aca="false">datos_base!$F$15*parametros_recargas!$P$41</f>
        <v>13.0027549162744</v>
      </c>
      <c r="O143" s="25" t="n">
        <f aca="false">datos_base!$F$15*parametros_recargas!$Q$41</f>
        <v>13.3411464273412</v>
      </c>
      <c r="P143" s="7" t="n">
        <f aca="false">SUM(D143:O143)</f>
        <v>139.544688246156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4" t="n">
        <f aca="false">parametros_recargas!C65</f>
        <v>3</v>
      </c>
      <c r="D144" s="25" t="n">
        <f aca="false">datos_base!$F$16*parametros_recargas!$F$41</f>
        <v>22.1248490695778</v>
      </c>
      <c r="E144" s="25" t="n">
        <f aca="false">datos_base!$F$16*parametros_recargas!$G$41</f>
        <v>22.7006394430017</v>
      </c>
      <c r="F144" s="25" t="n">
        <f aca="false">datos_base!$F$16*parametros_recargas!$H$41</f>
        <v>23.2914145312629</v>
      </c>
      <c r="G144" s="25" t="n">
        <f aca="false">datos_base!$F$16*parametros_recargas!$I$41</f>
        <v>23.897564305589</v>
      </c>
      <c r="H144" s="25" t="n">
        <f aca="false">datos_base!$F$16*parametros_recargas!$J$41</f>
        <v>24.5194888860534</v>
      </c>
      <c r="I144" s="25" t="n">
        <f aca="false">datos_base!$F$16*parametros_recargas!$K$41</f>
        <v>25.1575988056946</v>
      </c>
      <c r="J144" s="25" t="n">
        <f aca="false">datos_base!$F$16*parametros_recargas!$L$41</f>
        <v>25.8123152815098</v>
      </c>
      <c r="K144" s="25" t="n">
        <f aca="false">datos_base!$F$16*parametros_recargas!$M$41</f>
        <v>26.4840704925006</v>
      </c>
      <c r="L144" s="25" t="n">
        <f aca="false">datos_base!$F$16*parametros_recargas!$N$41</f>
        <v>27.1733078649547</v>
      </c>
      <c r="M144" s="25" t="n">
        <f aca="false">datos_base!$F$16*parametros_recargas!$O$41</f>
        <v>27.8804823651521</v>
      </c>
      <c r="N144" s="25" t="n">
        <f aca="false">datos_base!$F$16*parametros_recargas!$P$41</f>
        <v>28.6060607996889</v>
      </c>
      <c r="O144" s="25" t="n">
        <f aca="false">datos_base!$F$16*parametros_recargas!$Q$41</f>
        <v>29.3505221236166</v>
      </c>
      <c r="P144" s="7" t="n">
        <f aca="false">SUM(D144:O144)</f>
        <v>306.998313968602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4" t="n">
        <f aca="false">parametros_recargas!C66</f>
        <v>3</v>
      </c>
      <c r="D145" s="25" t="n">
        <f aca="false">datos_base!$F$17*parametros_recargas!$F$41</f>
        <v>4.82723979888723</v>
      </c>
      <c r="E145" s="25" t="n">
        <f aca="false">datos_base!$F$17*parametros_recargas!$G$41</f>
        <v>4.95286678950157</v>
      </c>
      <c r="F145" s="25" t="n">
        <f aca="false">datos_base!$F$17*parametros_recargas!$H$41</f>
        <v>5.08176317244535</v>
      </c>
      <c r="G145" s="25" t="n">
        <f aca="false">datos_base!$F$17*parametros_recargas!$I$41</f>
        <v>5.21401403235006</v>
      </c>
      <c r="H145" s="25" t="n">
        <f aca="false">datos_base!$F$17*parametros_recargas!$J$41</f>
        <v>5.34970666814083</v>
      </c>
      <c r="I145" s="25" t="n">
        <f aca="false">datos_base!$F$17*parametros_recargas!$K$41</f>
        <v>5.48893065066246</v>
      </c>
      <c r="J145" s="25" t="n">
        <f aca="false">datos_base!$F$17*parametros_recargas!$L$41</f>
        <v>5.6317778818053</v>
      </c>
      <c r="K145" s="25" t="n">
        <f aca="false">datos_base!$F$17*parametros_recargas!$M$41</f>
        <v>5.77834265516972</v>
      </c>
      <c r="L145" s="25" t="n">
        <f aca="false">datos_base!$F$17*parametros_recargas!$N$41</f>
        <v>5.92872171830945</v>
      </c>
      <c r="M145" s="25" t="n">
        <f aca="false">datos_base!$F$17*parametros_recargas!$O$41</f>
        <v>6.0830143365947</v>
      </c>
      <c r="N145" s="25" t="n">
        <f aca="false">datos_base!$F$17*parametros_recargas!$P$41</f>
        <v>6.24132235873739</v>
      </c>
      <c r="O145" s="25" t="n">
        <f aca="false">datos_base!$F$17*parametros_recargas!$Q$41</f>
        <v>6.40375028402151</v>
      </c>
      <c r="P145" s="7" t="n">
        <f aca="false">SUM(D145:O145)</f>
        <v>66.9814503466256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4" t="n">
        <f aca="false">parametros_recargas!C67</f>
        <v>3</v>
      </c>
      <c r="D146" s="25" t="n">
        <f aca="false">datos_base!$F$18*parametros_recargas!$F$41</f>
        <v>3.21815985900058</v>
      </c>
      <c r="E146" s="25" t="n">
        <f aca="false">datos_base!$F$18*parametros_recargas!$G$41</f>
        <v>3.30191118589661</v>
      </c>
      <c r="F146" s="25" t="n">
        <f aca="false">datos_base!$F$18*parametros_recargas!$H$41</f>
        <v>3.38784210767424</v>
      </c>
      <c r="G146" s="25" t="n">
        <f aca="false">datos_base!$F$18*parametros_recargas!$I$41</f>
        <v>3.47600934742101</v>
      </c>
      <c r="H146" s="25" t="n">
        <f aca="false">datos_base!$F$18*parametros_recargas!$J$41</f>
        <v>3.56647110442021</v>
      </c>
      <c r="I146" s="25" t="n">
        <f aca="false">datos_base!$F$18*parametros_recargas!$K$41</f>
        <v>3.65928709256827</v>
      </c>
      <c r="J146" s="25" t="n">
        <f aca="false">datos_base!$F$18*parametros_recargas!$L$41</f>
        <v>3.75451857979192</v>
      </c>
      <c r="K146" s="25" t="n">
        <f aca="false">datos_base!$F$18*parametros_recargas!$M$41</f>
        <v>3.8522284284913</v>
      </c>
      <c r="L146" s="25" t="n">
        <f aca="false">datos_base!$F$18*parametros_recargas!$N$41</f>
        <v>3.95248113703541</v>
      </c>
      <c r="M146" s="25" t="n">
        <f aca="false">datos_base!$F$18*parametros_recargas!$O$41</f>
        <v>4.0553428823376</v>
      </c>
      <c r="N146" s="25" t="n">
        <f aca="false">datos_base!$F$18*parametros_recargas!$P$41</f>
        <v>4.16088156353898</v>
      </c>
      <c r="O146" s="25" t="n">
        <f aca="false">datos_base!$F$18*parametros_recargas!$Q$41</f>
        <v>4.26916684682874</v>
      </c>
      <c r="P146" s="7" t="n">
        <f aca="false">SUM(D146:O146)</f>
        <v>44.6543001350049</v>
      </c>
    </row>
    <row r="147" customFormat="false" ht="15" hidden="false" customHeight="false" outlineLevel="0" collapsed="false">
      <c r="A147" s="6" t="s">
        <v>272</v>
      </c>
      <c r="D147" s="7" t="n">
        <f aca="false">SUM(D130:D146)</f>
        <v>3487.12427105965</v>
      </c>
      <c r="E147" s="7" t="n">
        <f aca="false">SUM(E130:E146)</f>
        <v>3577.8752895138</v>
      </c>
      <c r="F147" s="7" t="n">
        <f aca="false">SUM(F130:F146)</f>
        <v>3670.98806703081</v>
      </c>
      <c r="G147" s="7" t="n">
        <f aca="false">SUM(G130:G146)</f>
        <v>3766.52406744839</v>
      </c>
      <c r="H147" s="7" t="n">
        <f aca="false">SUM(H130:H146)</f>
        <v>3864.54635417612</v>
      </c>
      <c r="I147" s="7" t="n">
        <f aca="false">SUM(I130:I146)</f>
        <v>3965.11963182367</v>
      </c>
      <c r="J147" s="7" t="n">
        <f aca="false">SUM(J130:J146)</f>
        <v>4068.31028891236</v>
      </c>
      <c r="K147" s="7" t="n">
        <f aca="false">SUM(K130:K146)</f>
        <v>4174.18644169831</v>
      </c>
      <c r="L147" s="7" t="n">
        <f aca="false">SUM(L130:L146)</f>
        <v>4282.81797913605</v>
      </c>
      <c r="M147" s="7" t="n">
        <f aca="false">SUM(M130:M146)</f>
        <v>4394.27660901226</v>
      </c>
      <c r="N147" s="7" t="n">
        <f aca="false">SUM(N130:N146)</f>
        <v>4508.63590528017</v>
      </c>
      <c r="O147" s="7" t="n">
        <f aca="false">SUM(O130:O146)</f>
        <v>4625.97135662582</v>
      </c>
      <c r="P147" s="7" t="n">
        <f aca="false">SUM(P130:P146)</f>
        <v>48386.3762617174</v>
      </c>
    </row>
    <row r="148" customFormat="false" ht="15" hidden="false" customHeight="false" outlineLevel="0" collapsed="false">
      <c r="A148" s="6" t="s">
        <v>273</v>
      </c>
    </row>
    <row r="149" customFormat="false" ht="15" hidden="false" customHeight="false" outlineLevel="0" collapsed="false">
      <c r="A149" s="4" t="s">
        <v>143</v>
      </c>
      <c r="D149" s="25" t="n">
        <f aca="false">SUMPRODUCT(($B$130:$B$146=$A149)*D$130:D$146*$C$130:$C$146)</f>
        <v>3098.94130528558</v>
      </c>
      <c r="E149" s="25" t="n">
        <f aca="false">SUMPRODUCT(($B$130:$B$146=$A149)*E$130:E$146*$C$130:$C$146)</f>
        <v>3179.59001686673</v>
      </c>
      <c r="F149" s="25" t="n">
        <f aca="false">SUMPRODUCT(($B$130:$B$146=$A149)*F$130:F$146*$C$130:$C$146)</f>
        <v>3262.33757900326</v>
      </c>
      <c r="G149" s="25" t="n">
        <f aca="false">SUMPRODUCT(($B$130:$B$146=$A149)*G$130:G$146*$C$130:$C$146)</f>
        <v>3347.23861344384</v>
      </c>
      <c r="H149" s="25" t="n">
        <f aca="false">SUMPRODUCT(($B$130:$B$146=$A149)*H$130:H$146*$C$130:$C$146)</f>
        <v>3434.34916344635</v>
      </c>
      <c r="I149" s="25" t="n">
        <f aca="false">SUMPRODUCT(($B$130:$B$146=$A149)*I$130:I$146*$C$130:$C$146)</f>
        <v>3523.72673077212</v>
      </c>
      <c r="J149" s="25" t="n">
        <f aca="false">SUMPRODUCT(($B$130:$B$146=$A149)*J$130:J$146*$C$130:$C$146)</f>
        <v>3615.43031364286</v>
      </c>
      <c r="K149" s="25" t="n">
        <f aca="false">SUMPRODUCT(($B$130:$B$146=$A149)*K$130:K$146*$C$130:$C$146)</f>
        <v>3709.52044568551</v>
      </c>
      <c r="L149" s="25" t="n">
        <f aca="false">SUMPRODUCT(($B$130:$B$146=$A149)*L$130:L$146*$C$130:$C$146)</f>
        <v>3806.05923589047</v>
      </c>
      <c r="M149" s="25" t="n">
        <f aca="false">SUMPRODUCT(($B$130:$B$146=$A149)*M$130:M$146*$C$130:$C$146)</f>
        <v>3905.11040960989</v>
      </c>
      <c r="N149" s="25" t="n">
        <f aca="false">SUMPRODUCT(($B$130:$B$146=$A149)*N$130:N$146*$C$130:$C$146)</f>
        <v>4006.73935062275</v>
      </c>
      <c r="O149" s="25" t="n">
        <f aca="false">SUMPRODUCT(($B$130:$B$146=$A149)*O$130:O$146*$C$130:$C$146)</f>
        <v>4111.01314429482</v>
      </c>
      <c r="P149" s="25" t="n">
        <f aca="false">SUMPRODUCT(($B$130:$B$146=$A149)*P$130:P$146*$C$130:$C$146)</f>
        <v>43000.0563085642</v>
      </c>
    </row>
    <row r="150" customFormat="false" ht="15" hidden="false" customHeight="false" outlineLevel="0" collapsed="false">
      <c r="A150" s="4" t="s">
        <v>149</v>
      </c>
      <c r="D150" s="25" t="n">
        <f aca="false">SUMPRODUCT(($B$130:$B$146=$A150)*D$130:D$146*$C$130:$C$146)</f>
        <v>4.56576436266471</v>
      </c>
      <c r="E150" s="25" t="n">
        <f aca="false">SUMPRODUCT(($B$130:$B$146=$A150)*E$130:E$146*$C$130:$C$146)</f>
        <v>4.6845865593304</v>
      </c>
      <c r="F150" s="25" t="n">
        <f aca="false">SUMPRODUCT(($B$130:$B$146=$A150)*F$130:F$146*$C$130:$C$146)</f>
        <v>4.80650105627682</v>
      </c>
      <c r="G150" s="25" t="n">
        <f aca="false">SUMPRODUCT(($B$130:$B$146=$A150)*G$130:G$146*$C$130:$C$146)</f>
        <v>4.93158832938554</v>
      </c>
      <c r="H150" s="25" t="n">
        <f aca="false">SUMPRODUCT(($B$130:$B$146=$A150)*H$130:H$146*$C$130:$C$146)</f>
        <v>5.05993094889086</v>
      </c>
      <c r="I150" s="25" t="n">
        <f aca="false">SUMPRODUCT(($B$130:$B$146=$A150)*I$130:I$146*$C$130:$C$146)</f>
        <v>5.19161363388448</v>
      </c>
      <c r="J150" s="25" t="n">
        <f aca="false">SUMPRODUCT(($B$130:$B$146=$A150)*J$130:J$146*$C$130:$C$146)</f>
        <v>5.32672330823868</v>
      </c>
      <c r="K150" s="25" t="n">
        <f aca="false">SUMPRODUCT(($B$130:$B$146=$A150)*K$130:K$146*$C$130:$C$146)</f>
        <v>5.46534915798486</v>
      </c>
      <c r="L150" s="25" t="n">
        <f aca="false">SUMPRODUCT(($B$130:$B$146=$A150)*L$130:L$146*$C$130:$C$146)</f>
        <v>5.60758269018529</v>
      </c>
      <c r="M150" s="25" t="n">
        <f aca="false">SUMPRODUCT(($B$130:$B$146=$A150)*M$130:M$146*$C$130:$C$146)</f>
        <v>5.75351779333709</v>
      </c>
      <c r="N150" s="25" t="n">
        <f aca="false">SUMPRODUCT(($B$130:$B$146=$A150)*N$130:N$146*$C$130:$C$146)</f>
        <v>5.90325079934802</v>
      </c>
      <c r="O150" s="25" t="n">
        <f aca="false">SUMPRODUCT(($B$130:$B$146=$A150)*O$130:O$146*$C$130:$C$146)</f>
        <v>6.05688054712537</v>
      </c>
      <c r="P150" s="25" t="n">
        <f aca="false">SUMPRODUCT(($B$130:$B$146=$A150)*P$130:P$146*$C$130:$C$146)</f>
        <v>63.3532891866521</v>
      </c>
    </row>
    <row r="151" customFormat="false" ht="15" hidden="false" customHeight="false" outlineLevel="0" collapsed="false">
      <c r="A151" s="4" t="s">
        <v>155</v>
      </c>
      <c r="D151" s="25" t="n">
        <f aca="false">SUMPRODUCT(($B$130:$B$146=$A151)*D$130:D$146*$C$130:$C$146)</f>
        <v>4.26310277680658</v>
      </c>
      <c r="E151" s="25" t="n">
        <f aca="false">SUMPRODUCT(($B$130:$B$146=$A151)*E$130:E$146*$C$130:$C$146)</f>
        <v>4.37404832640478</v>
      </c>
      <c r="F151" s="25" t="n">
        <f aca="false">SUMPRODUCT(($B$130:$B$146=$A151)*F$130:F$146*$C$130:$C$146)</f>
        <v>4.48788118968508</v>
      </c>
      <c r="G151" s="25" t="n">
        <f aca="false">SUMPRODUCT(($B$130:$B$146=$A151)*G$130:G$146*$C$130:$C$146)</f>
        <v>4.60467650783455</v>
      </c>
      <c r="H151" s="25" t="n">
        <f aca="false">SUMPRODUCT(($B$130:$B$146=$A151)*H$130:H$146*$C$130:$C$146)</f>
        <v>4.72451137755973</v>
      </c>
      <c r="I151" s="25" t="n">
        <f aca="false">SUMPRODUCT(($B$130:$B$146=$A151)*I$130:I$146*$C$130:$C$146)</f>
        <v>4.84746490197815</v>
      </c>
      <c r="J151" s="25" t="n">
        <f aca="false">SUMPRODUCT(($B$130:$B$146=$A151)*J$130:J$146*$C$130:$C$146)</f>
        <v>4.97361824283446</v>
      </c>
      <c r="K151" s="25" t="n">
        <f aca="false">SUMPRODUCT(($B$130:$B$146=$A151)*K$130:K$146*$C$130:$C$146)</f>
        <v>5.10305467407533</v>
      </c>
      <c r="L151" s="25" t="n">
        <f aca="false">SUMPRODUCT(($B$130:$B$146=$A151)*L$130:L$146*$C$130:$C$146)</f>
        <v>5.2358596368187</v>
      </c>
      <c r="M151" s="25" t="n">
        <f aca="false">SUMPRODUCT(($B$130:$B$146=$A151)*M$130:M$146*$C$130:$C$146)</f>
        <v>5.37212079575352</v>
      </c>
      <c r="N151" s="25" t="n">
        <f aca="false">SUMPRODUCT(($B$130:$B$146=$A151)*N$130:N$146*$C$130:$C$146)</f>
        <v>5.51192809700729</v>
      </c>
      <c r="O151" s="25" t="n">
        <f aca="false">SUMPRODUCT(($B$130:$B$146=$A151)*O$130:O$146*$C$130:$C$146)</f>
        <v>5.65537382751964</v>
      </c>
      <c r="P151" s="25" t="n">
        <f aca="false">SUMPRODUCT(($B$130:$B$146=$A151)*P$130:P$146*$C$130:$C$146)</f>
        <v>59.1536403542778</v>
      </c>
    </row>
    <row r="152" customFormat="false" ht="15" hidden="false" customHeight="false" outlineLevel="0" collapsed="false">
      <c r="A152" s="4" t="s">
        <v>146</v>
      </c>
      <c r="D152" s="25" t="n">
        <f aca="false">SUMPRODUCT(($B$130:$B$146=$A152)*D$130:D$146*$C$130:$C$146)</f>
        <v>82.913578556091</v>
      </c>
      <c r="E152" s="25" t="n">
        <f aca="false">SUMPRODUCT(($B$130:$B$146=$A152)*E$130:E$146*$C$130:$C$146)</f>
        <v>85.0713713712457</v>
      </c>
      <c r="F152" s="25" t="n">
        <f aca="false">SUMPRODUCT(($B$130:$B$146=$A152)*F$130:F$146*$C$130:$C$146)</f>
        <v>87.2853198838653</v>
      </c>
      <c r="G152" s="25" t="n">
        <f aca="false">SUMPRODUCT(($B$130:$B$146=$A152)*G$130:G$146*$C$130:$C$146)</f>
        <v>89.556885523581</v>
      </c>
      <c r="H152" s="25" t="n">
        <f aca="false">SUMPRODUCT(($B$130:$B$146=$A152)*H$130:H$146*$C$130:$C$146)</f>
        <v>91.887567753147</v>
      </c>
      <c r="I152" s="25" t="n">
        <f aca="false">SUMPRODUCT(($B$130:$B$146=$A152)*I$130:I$146*$C$130:$C$146)</f>
        <v>94.2789050582381</v>
      </c>
      <c r="J152" s="25" t="n">
        <f aca="false">SUMPRODUCT(($B$130:$B$146=$A152)*J$130:J$146*$C$130:$C$146)</f>
        <v>96.7324759630048</v>
      </c>
      <c r="K152" s="25" t="n">
        <f aca="false">SUMPRODUCT(($B$130:$B$146=$A152)*K$130:K$146*$C$130:$C$146)</f>
        <v>99.2499000720594</v>
      </c>
      <c r="L152" s="25" t="n">
        <f aca="false">SUMPRODUCT(($B$130:$B$146=$A152)*L$130:L$146*$C$130:$C$146)</f>
        <v>101.832839139578</v>
      </c>
      <c r="M152" s="25" t="n">
        <f aca="false">SUMPRODUCT(($B$130:$B$146=$A152)*M$130:M$146*$C$130:$C$146)</f>
        <v>104.482998166227</v>
      </c>
      <c r="N152" s="25" t="n">
        <f aca="false">SUMPRODUCT(($B$130:$B$146=$A152)*N$130:N$146*$C$130:$C$146)</f>
        <v>107.202126524634</v>
      </c>
      <c r="O152" s="25" t="n">
        <f aca="false">SUMPRODUCT(($B$130:$B$146=$A152)*O$130:O$146*$C$130:$C$146)</f>
        <v>109.992019114154</v>
      </c>
      <c r="P152" s="25" t="n">
        <f aca="false">SUMPRODUCT(($B$130:$B$146=$A152)*P$130:P$146*$C$130:$C$146)</f>
        <v>1150.48598712583</v>
      </c>
    </row>
    <row r="153" customFormat="false" ht="15" hidden="false" customHeight="false" outlineLevel="0" collapsed="false">
      <c r="A153" s="4" t="s">
        <v>147</v>
      </c>
      <c r="D153" s="25" t="n">
        <f aca="false">SUMPRODUCT(($B$130:$B$146=$A153)*D$130:D$146*$C$130:$C$146)</f>
        <v>40.3093846102945</v>
      </c>
      <c r="E153" s="25" t="n">
        <f aca="false">SUMPRODUCT(($B$130:$B$146=$A153)*E$130:E$146*$C$130:$C$146)</f>
        <v>41.3584202689901</v>
      </c>
      <c r="F153" s="25" t="n">
        <f aca="false">SUMPRODUCT(($B$130:$B$146=$A153)*F$130:F$146*$C$130:$C$146)</f>
        <v>42.4347566623373</v>
      </c>
      <c r="G153" s="25" t="n">
        <f aca="false">SUMPRODUCT(($B$130:$B$146=$A153)*G$130:G$146*$C$130:$C$146)</f>
        <v>43.5391042810676</v>
      </c>
      <c r="H153" s="25" t="n">
        <f aca="false">SUMPRODUCT(($B$130:$B$146=$A153)*H$130:H$146*$C$130:$C$146)</f>
        <v>44.6721921061505</v>
      </c>
      <c r="I153" s="25" t="n">
        <f aca="false">SUMPRODUCT(($B$130:$B$146=$A153)*I$130:I$146*$C$130:$C$146)</f>
        <v>45.8347680899943</v>
      </c>
      <c r="J153" s="25" t="n">
        <f aca="false">SUMPRODUCT(($B$130:$B$146=$A153)*J$130:J$146*$C$130:$C$146)</f>
        <v>47.0275996501707</v>
      </c>
      <c r="K153" s="25" t="n">
        <f aca="false">SUMPRODUCT(($B$130:$B$146=$A153)*K$130:K$146*$C$130:$C$146)</f>
        <v>48.2514741759875</v>
      </c>
      <c r="L153" s="25" t="n">
        <f aca="false">SUMPRODUCT(($B$130:$B$146=$A153)*L$130:L$146*$C$130:$C$146)</f>
        <v>49.5071995482452</v>
      </c>
      <c r="M153" s="25" t="n">
        <f aca="false">SUMPRODUCT(($B$130:$B$146=$A153)*M$130:M$146*$C$130:$C$146)</f>
        <v>50.7956046725201</v>
      </c>
      <c r="N153" s="25" t="n">
        <f aca="false">SUMPRODUCT(($B$130:$B$146=$A153)*N$130:N$146*$C$130:$C$146)</f>
        <v>52.1175400263253</v>
      </c>
      <c r="O153" s="25" t="n">
        <f aca="false">SUMPRODUCT(($B$130:$B$146=$A153)*O$130:O$146*$C$130:$C$146)</f>
        <v>53.4738782205122</v>
      </c>
      <c r="P153" s="25" t="n">
        <f aca="false">SUMPRODUCT(($B$130:$B$146=$A153)*P$130:P$146*$C$130:$C$146)</f>
        <v>559.321922312595</v>
      </c>
    </row>
    <row r="154" customFormat="false" ht="15" hidden="false" customHeight="false" outlineLevel="0" collapsed="false">
      <c r="A154" s="4" t="s">
        <v>150</v>
      </c>
      <c r="D154" s="25" t="n">
        <f aca="false">SUMPRODUCT(($B$130:$B$146=$A154)*D$130:D$146*$C$130:$C$146)</f>
        <v>40.7379060128611</v>
      </c>
      <c r="E154" s="25" t="n">
        <f aca="false">SUMPRODUCT(($B$130:$B$146=$A154)*E$130:E$146*$C$130:$C$146)</f>
        <v>41.7980937701599</v>
      </c>
      <c r="F154" s="25" t="n">
        <f aca="false">SUMPRODUCT(($B$130:$B$146=$A154)*F$130:F$146*$C$130:$C$146)</f>
        <v>42.8858724910289</v>
      </c>
      <c r="G154" s="25" t="n">
        <f aca="false">SUMPRODUCT(($B$130:$B$146=$A154)*G$130:G$146*$C$130:$C$146)</f>
        <v>44.0019602192914</v>
      </c>
      <c r="H154" s="25" t="n">
        <f aca="false">SUMPRODUCT(($B$130:$B$146=$A154)*H$130:H$146*$C$130:$C$146)</f>
        <v>45.1470936855749</v>
      </c>
      <c r="I154" s="25" t="n">
        <f aca="false">SUMPRODUCT(($B$130:$B$146=$A154)*I$130:I$146*$C$130:$C$146)</f>
        <v>46.3220287936277</v>
      </c>
      <c r="J154" s="25" t="n">
        <f aca="false">SUMPRODUCT(($B$130:$B$146=$A154)*J$130:J$146*$C$130:$C$146)</f>
        <v>47.5275411192917</v>
      </c>
      <c r="K154" s="25" t="n">
        <f aca="false">SUMPRODUCT(($B$130:$B$146=$A154)*K$130:K$146*$C$130:$C$146)</f>
        <v>48.7644264224607</v>
      </c>
      <c r="L154" s="25" t="n">
        <f aca="false">SUMPRODUCT(($B$130:$B$146=$A154)*L$130:L$146*$C$130:$C$146)</f>
        <v>50.0335011723624</v>
      </c>
      <c r="M154" s="25" t="n">
        <f aca="false">SUMPRODUCT(($B$130:$B$146=$A154)*M$130:M$146*$C$130:$C$146)</f>
        <v>51.3356030865105</v>
      </c>
      <c r="N154" s="25" t="n">
        <f aca="false">SUMPRODUCT(($B$130:$B$146=$A154)*N$130:N$146*$C$130:$C$146)</f>
        <v>52.671591683683</v>
      </c>
      <c r="O154" s="25" t="n">
        <f aca="false">SUMPRODUCT(($B$130:$B$146=$A154)*O$130:O$146*$C$130:$C$146)</f>
        <v>54.0423488512913</v>
      </c>
      <c r="P154" s="25" t="n">
        <f aca="false">SUMPRODUCT(($B$130:$B$146=$A154)*P$130:P$146*$C$130:$C$146)</f>
        <v>565.267967308143</v>
      </c>
    </row>
    <row r="155" customFormat="false" ht="15" hidden="false" customHeight="false" outlineLevel="0" collapsed="false">
      <c r="A155" s="4" t="s">
        <v>151</v>
      </c>
      <c r="D155" s="25" t="n">
        <f aca="false">SUMPRODUCT(($B$130:$B$146=$A155)*D$130:D$146*$C$130:$C$146)</f>
        <v>300.485716282489</v>
      </c>
      <c r="E155" s="25" t="n">
        <f aca="false">SUMPRODUCT(($B$130:$B$146=$A155)*E$130:E$146*$C$130:$C$146)</f>
        <v>308.305737212021</v>
      </c>
      <c r="F155" s="25" t="n">
        <f aca="false">SUMPRODUCT(($B$130:$B$146=$A155)*F$130:F$146*$C$130:$C$146)</f>
        <v>316.32927106754</v>
      </c>
      <c r="G155" s="25" t="n">
        <f aca="false">SUMPRODUCT(($B$130:$B$146=$A155)*G$130:G$146*$C$130:$C$146)</f>
        <v>324.561614191783</v>
      </c>
      <c r="H155" s="25" t="n">
        <f aca="false">SUMPRODUCT(($B$130:$B$146=$A155)*H$130:H$146*$C$130:$C$146)</f>
        <v>333.008200762694</v>
      </c>
      <c r="I155" s="25" t="n">
        <f aca="false">SUMPRODUCT(($B$130:$B$146=$A155)*I$130:I$146*$C$130:$C$146)</f>
        <v>341.674606380529</v>
      </c>
      <c r="J155" s="25" t="n">
        <f aca="false">SUMPRODUCT(($B$130:$B$146=$A155)*J$130:J$146*$C$130:$C$146)</f>
        <v>350.566551748319</v>
      </c>
      <c r="K155" s="25" t="n">
        <f aca="false">SUMPRODUCT(($B$130:$B$146=$A155)*K$130:K$146*$C$130:$C$146)</f>
        <v>359.689906448109</v>
      </c>
      <c r="L155" s="25" t="n">
        <f aca="false">SUMPRODUCT(($B$130:$B$146=$A155)*L$130:L$146*$C$130:$C$146)</f>
        <v>369.050692815475</v>
      </c>
      <c r="M155" s="25" t="n">
        <f aca="false">SUMPRODUCT(($B$130:$B$146=$A155)*M$130:M$146*$C$130:$C$146)</f>
        <v>378.655089914876</v>
      </c>
      <c r="N155" s="25" t="n">
        <f aca="false">SUMPRODUCT(($B$130:$B$146=$A155)*N$130:N$146*$C$130:$C$146)</f>
        <v>388.509437618459</v>
      </c>
      <c r="O155" s="25" t="n">
        <f aca="false">SUMPRODUCT(($B$130:$B$146=$A155)*O$130:O$146*$C$130:$C$146)</f>
        <v>398.620240791015</v>
      </c>
      <c r="P155" s="25" t="n">
        <f aca="false">SUMPRODUCT(($B$130:$B$146=$A155)*P$130:P$146*$C$130:$C$146)</f>
        <v>4169.45706523331</v>
      </c>
    </row>
    <row r="156" customFormat="false" ht="15" hidden="false" customHeight="false" outlineLevel="0" collapsed="false">
      <c r="A156" s="4" t="s">
        <v>154</v>
      </c>
      <c r="D156" s="25" t="n">
        <f aca="false">SUMPRODUCT(($B$130:$B$146=$A156)*D$130:D$146*$C$130:$C$146)</f>
        <v>11.9340878742277</v>
      </c>
      <c r="E156" s="25" t="n">
        <f aca="false">SUMPRODUCT(($B$130:$B$146=$A156)*E$130:E$146*$C$130:$C$146)</f>
        <v>12.2446677517204</v>
      </c>
      <c r="F156" s="25" t="n">
        <f aca="false">SUMPRODUCT(($B$130:$B$146=$A156)*F$130:F$146*$C$130:$C$146)</f>
        <v>12.5633303466625</v>
      </c>
      <c r="G156" s="25" t="n">
        <f aca="false">SUMPRODUCT(($B$130:$B$146=$A156)*G$130:G$146*$C$130:$C$146)</f>
        <v>12.8902860085521</v>
      </c>
      <c r="H156" s="25" t="n">
        <f aca="false">SUMPRODUCT(($B$130:$B$146=$A156)*H$130:H$146*$C$130:$C$146)</f>
        <v>13.2257505611492</v>
      </c>
      <c r="I156" s="25" t="n">
        <f aca="false">SUMPRODUCT(($B$130:$B$146=$A156)*I$130:I$146*$C$130:$C$146)</f>
        <v>13.569945444941</v>
      </c>
      <c r="J156" s="25" t="n">
        <f aca="false">SUMPRODUCT(($B$130:$B$146=$A156)*J$130:J$146*$C$130:$C$146)</f>
        <v>13.9230978633151</v>
      </c>
      <c r="K156" s="25" t="n">
        <f aca="false">SUMPRODUCT(($B$130:$B$146=$A156)*K$130:K$146*$C$130:$C$146)</f>
        <v>14.2854409325366</v>
      </c>
      <c r="L156" s="25" t="n">
        <f aca="false">SUMPRODUCT(($B$130:$B$146=$A156)*L$130:L$146*$C$130:$C$146)</f>
        <v>14.6572138356286</v>
      </c>
      <c r="M156" s="25" t="n">
        <f aca="false">SUMPRODUCT(($B$130:$B$146=$A156)*M$130:M$146*$C$130:$C$146)</f>
        <v>15.0386619802568</v>
      </c>
      <c r="N156" s="25" t="n">
        <f aca="false">SUMPRODUCT(($B$130:$B$146=$A156)*N$130:N$146*$C$130:$C$146)</f>
        <v>15.4300371607236</v>
      </c>
      <c r="O156" s="25" t="n">
        <f aca="false">SUMPRODUCT(($B$130:$B$146=$A156)*O$130:O$146*$C$130:$C$146)</f>
        <v>15.8315977241777</v>
      </c>
      <c r="P156" s="25" t="n">
        <f aca="false">SUMPRODUCT(($B$130:$B$146=$A156)*P$130:P$146*$C$130:$C$146)</f>
        <v>165.594117483891</v>
      </c>
    </row>
    <row r="157" customFormat="false" ht="15" hidden="false" customHeight="false" outlineLevel="0" collapsed="false">
      <c r="A157" s="6" t="s">
        <v>274</v>
      </c>
      <c r="D157" s="26" t="n">
        <f aca="false">SUMPRODUCT(D$130:D$146*parametros_recargas!$D$51:$D$67)</f>
        <v>122.157922873114</v>
      </c>
      <c r="E157" s="26" t="n">
        <f aca="false">SUMPRODUCT(E$130:E$146*parametros_recargas!$D$51:$D$67)</f>
        <v>125.337034098081</v>
      </c>
      <c r="F157" s="26" t="n">
        <f aca="false">SUMPRODUCT(F$130:F$146*parametros_recargas!$D$51:$D$67)</f>
        <v>128.598880424816</v>
      </c>
      <c r="G157" s="26" t="n">
        <f aca="false">SUMPRODUCT(G$130:G$146*parametros_recargas!$D$51:$D$67)</f>
        <v>131.945615001347</v>
      </c>
      <c r="H157" s="26" t="n">
        <f aca="false">SUMPRODUCT(H$130:H$146*parametros_recargas!$D$51:$D$67)</f>
        <v>135.379447010521</v>
      </c>
      <c r="I157" s="26" t="n">
        <f aca="false">SUMPRODUCT(I$130:I$146*parametros_recargas!$D$51:$D$67)</f>
        <v>138.902643128287</v>
      </c>
      <c r="J157" s="26" t="n">
        <f aca="false">SUMPRODUCT(J$130:J$146*parametros_recargas!$D$51:$D$67)</f>
        <v>142.517529019932</v>
      </c>
      <c r="K157" s="26" t="n">
        <f aca="false">SUMPRODUCT(K$130:K$146*parametros_recargas!$D$51:$D$67)</f>
        <v>146.226490875254</v>
      </c>
      <c r="L157" s="26" t="n">
        <f aca="false">SUMPRODUCT(L$130:L$146*parametros_recargas!$D$51:$D$67)</f>
        <v>150.03197698369</v>
      </c>
      <c r="M157" s="26" t="n">
        <f aca="false">SUMPRODUCT(M$130:M$146*parametros_recargas!$D$51:$D$67)</f>
        <v>153.936499350432</v>
      </c>
      <c r="N157" s="26" t="n">
        <f aca="false">SUMPRODUCT(N$130:N$146*parametros_recargas!$D$51:$D$67)</f>
        <v>157.942635354605</v>
      </c>
      <c r="O157" s="26" t="n">
        <f aca="false">SUMPRODUCT(O$130:O$146*parametros_recargas!$D$51:$D$67)</f>
        <v>162.0530294506</v>
      </c>
      <c r="P157" s="26" t="n">
        <f aca="false">SUMPRODUCT(P$130:P$146*parametros_recargas!$D$51:$D$67)</f>
        <v>1695.02970357068</v>
      </c>
    </row>
    <row r="161" customFormat="false" ht="15" hidden="false" customHeight="false" outlineLevel="0" collapsed="false">
      <c r="A161" s="23" t="n">
        <v>2031</v>
      </c>
      <c r="B161" s="3" t="s">
        <v>270</v>
      </c>
      <c r="C161" s="3" t="s">
        <v>271</v>
      </c>
      <c r="D161" s="3" t="s">
        <v>124</v>
      </c>
      <c r="E161" s="3" t="s">
        <v>125</v>
      </c>
      <c r="F161" s="3" t="s">
        <v>126</v>
      </c>
      <c r="G161" s="3" t="s">
        <v>127</v>
      </c>
      <c r="H161" s="3" t="s">
        <v>128</v>
      </c>
      <c r="I161" s="3" t="s">
        <v>129</v>
      </c>
      <c r="J161" s="3" t="s">
        <v>130</v>
      </c>
      <c r="K161" s="3" t="s">
        <v>131</v>
      </c>
      <c r="L161" s="3" t="s">
        <v>132</v>
      </c>
      <c r="M161" s="3" t="s">
        <v>133</v>
      </c>
      <c r="N161" s="3" t="s">
        <v>134</v>
      </c>
      <c r="O161" s="3" t="s">
        <v>135</v>
      </c>
      <c r="P161" s="3" t="s">
        <v>136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4" t="n">
        <f aca="false">parametros_recargas!C51</f>
        <v>1</v>
      </c>
      <c r="D162" s="25" t="n">
        <f aca="false">datos_base!$G$2*parametros_recargas!$F$42</f>
        <v>2548.51424970404</v>
      </c>
      <c r="E162" s="25" t="n">
        <f aca="false">datos_base!$G$2*parametros_recargas!$G$42</f>
        <v>2594.95390948452</v>
      </c>
      <c r="F162" s="25" t="n">
        <f aca="false">datos_base!$G$2*parametros_recargas!$H$42</f>
        <v>2642.23980428244</v>
      </c>
      <c r="G162" s="25" t="n">
        <f aca="false">datos_base!$G$2*parametros_recargas!$I$42</f>
        <v>2690.38735440251</v>
      </c>
      <c r="H162" s="25" t="n">
        <f aca="false">datos_base!$G$2*parametros_recargas!$J$42</f>
        <v>2739.41226114206</v>
      </c>
      <c r="I162" s="25" t="n">
        <f aca="false">datos_base!$G$2*parametros_recargas!$K$42</f>
        <v>2789.33051191139</v>
      </c>
      <c r="J162" s="25" t="n">
        <f aca="false">datos_base!$G$2*parametros_recargas!$L$42</f>
        <v>2840.15838544732</v>
      </c>
      <c r="K162" s="25" t="n">
        <f aca="false">datos_base!$G$2*parametros_recargas!$M$42</f>
        <v>2891.9124571219</v>
      </c>
      <c r="L162" s="25" t="n">
        <f aca="false">datos_base!$G$2*parametros_recargas!$N$42</f>
        <v>2944.60960434769</v>
      </c>
      <c r="M162" s="25" t="n">
        <f aca="false">datos_base!$G$2*parametros_recargas!$O$42</f>
        <v>2998.26701208168</v>
      </c>
      <c r="N162" s="25" t="n">
        <f aca="false">datos_base!$G$2*parametros_recargas!$P$42</f>
        <v>3052.9021784294</v>
      </c>
      <c r="O162" s="25" t="n">
        <f aca="false">datos_base!$G$2*parametros_recargas!$Q$42</f>
        <v>3108.53292035122</v>
      </c>
      <c r="P162" s="7" t="n">
        <f aca="false">SUM(D162:O162)</f>
        <v>33841.2206487062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4" t="n">
        <f aca="false">parametros_recargas!C52</f>
        <v>1</v>
      </c>
      <c r="D163" s="25" t="n">
        <f aca="false">datos_base!$G$3*parametros_recargas!$F$42</f>
        <v>226.267451594858</v>
      </c>
      <c r="E163" s="25" t="n">
        <f aca="false">datos_base!$G$3*parametros_recargas!$G$42</f>
        <v>230.390553308997</v>
      </c>
      <c r="F163" s="25" t="n">
        <f aca="false">datos_base!$G$3*parametros_recargas!$H$42</f>
        <v>234.588787206865</v>
      </c>
      <c r="G163" s="25" t="n">
        <f aca="false">datos_base!$G$3*parametros_recargas!$I$42</f>
        <v>238.863522365779</v>
      </c>
      <c r="H163" s="25" t="n">
        <f aca="false">datos_base!$G$3*parametros_recargas!$J$42</f>
        <v>243.216152810723</v>
      </c>
      <c r="I163" s="25" t="n">
        <f aca="false">datos_base!$G$3*parametros_recargas!$K$42</f>
        <v>247.64809796895</v>
      </c>
      <c r="J163" s="25" t="n">
        <f aca="false">datos_base!$G$3*parametros_recargas!$L$42</f>
        <v>252.160803132869</v>
      </c>
      <c r="K163" s="25" t="n">
        <f aca="false">datos_base!$G$3*parametros_recargas!$M$42</f>
        <v>256.755739931368</v>
      </c>
      <c r="L163" s="25" t="n">
        <f aca="false">datos_base!$G$3*parametros_recargas!$N$42</f>
        <v>261.434406809721</v>
      </c>
      <c r="M163" s="25" t="n">
        <f aca="false">datos_base!$G$3*parametros_recargas!$O$42</f>
        <v>266.198329518242</v>
      </c>
      <c r="N163" s="25" t="n">
        <f aca="false">datos_base!$G$3*parametros_recargas!$P$42</f>
        <v>271.04906160985</v>
      </c>
      <c r="O163" s="25" t="n">
        <f aca="false">datos_base!$G$3*parametros_recargas!$Q$42</f>
        <v>275.98818494669</v>
      </c>
      <c r="P163" s="7" t="n">
        <f aca="false">SUM(D163:O163)</f>
        <v>3004.56109120491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4" t="n">
        <f aca="false">parametros_recargas!C53</f>
        <v>1</v>
      </c>
      <c r="D164" s="25" t="n">
        <f aca="false">datos_base!$G$4*parametros_recargas!$F$42</f>
        <v>1396.22886047857</v>
      </c>
      <c r="E164" s="25" t="n">
        <f aca="false">datos_base!$G$4*parametros_recargas!$G$42</f>
        <v>1421.6712896366</v>
      </c>
      <c r="F164" s="25" t="n">
        <f aca="false">datos_base!$G$4*parametros_recargas!$H$42</f>
        <v>1447.57733705935</v>
      </c>
      <c r="G164" s="25" t="n">
        <f aca="false">datos_base!$G$4*parametros_recargas!$I$42</f>
        <v>1473.95545091403</v>
      </c>
      <c r="H164" s="25" t="n">
        <f aca="false">datos_base!$G$4*parametros_recargas!$J$42</f>
        <v>1500.81423331244</v>
      </c>
      <c r="I164" s="25" t="n">
        <f aca="false">datos_base!$G$4*parametros_recargas!$K$42</f>
        <v>1528.16244311618</v>
      </c>
      <c r="J164" s="25" t="n">
        <f aca="false">datos_base!$G$4*parametros_recargas!$L$42</f>
        <v>1556.00899879303</v>
      </c>
      <c r="K164" s="25" t="n">
        <f aca="false">datos_base!$G$4*parametros_recargas!$M$42</f>
        <v>1584.36298132529</v>
      </c>
      <c r="L164" s="25" t="n">
        <f aca="false">datos_base!$G$4*parametros_recargas!$N$42</f>
        <v>1613.23363717118</v>
      </c>
      <c r="M164" s="25" t="n">
        <f aca="false">datos_base!$G$4*parametros_recargas!$O$42</f>
        <v>1642.63038128017</v>
      </c>
      <c r="N164" s="25" t="n">
        <f aca="false">datos_base!$G$4*parametros_recargas!$P$42</f>
        <v>1672.56280016328</v>
      </c>
      <c r="O164" s="25" t="n">
        <f aca="false">datos_base!$G$4*parametros_recargas!$Q$42</f>
        <v>1703.04065501934</v>
      </c>
      <c r="P164" s="7" t="n">
        <f aca="false">SUM(D164:O164)</f>
        <v>18540.2490682695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4" t="n">
        <f aca="false">parametros_recargas!C54</f>
        <v>1</v>
      </c>
      <c r="D165" s="25" t="n">
        <f aca="false">datos_base!$G$5*parametros_recargas!$F$42</f>
        <v>82.7102874468136</v>
      </c>
      <c r="E165" s="25" t="n">
        <f aca="false">datos_base!$G$5*parametros_recargas!$G$42</f>
        <v>84.2174548522233</v>
      </c>
      <c r="F165" s="25" t="n">
        <f aca="false">datos_base!$G$5*parametros_recargas!$H$42</f>
        <v>85.752086236517</v>
      </c>
      <c r="G165" s="25" t="n">
        <f aca="false">datos_base!$G$5*parametros_recargas!$I$42</f>
        <v>87.3146820551407</v>
      </c>
      <c r="H165" s="25" t="n">
        <f aca="false">datos_base!$G$5*parametros_recargas!$J$42</f>
        <v>88.905751882964</v>
      </c>
      <c r="I165" s="25" t="n">
        <f aca="false">datos_base!$G$5*parametros_recargas!$K$42</f>
        <v>90.5258145804562</v>
      </c>
      <c r="J165" s="25" t="n">
        <f aca="false">datos_base!$G$5*parametros_recargas!$L$42</f>
        <v>92.1753984628911</v>
      </c>
      <c r="K165" s="25" t="n">
        <f aca="false">datos_base!$G$5*parametros_recargas!$M$42</f>
        <v>93.8550414726347</v>
      </c>
      <c r="L165" s="25" t="n">
        <f aca="false">datos_base!$G$5*parametros_recargas!$N$42</f>
        <v>95.5652913545721</v>
      </c>
      <c r="M165" s="25" t="n">
        <f aca="false">datos_base!$G$5*parametros_recargas!$O$42</f>
        <v>97.3067058347323</v>
      </c>
      <c r="N165" s="25" t="n">
        <f aca="false">datos_base!$G$5*parametros_recargas!$P$42</f>
        <v>99.0798528021661</v>
      </c>
      <c r="O165" s="25" t="n">
        <f aca="false">datos_base!$G$5*parametros_recargas!$Q$42</f>
        <v>100.88531049414</v>
      </c>
      <c r="P165" s="7" t="n">
        <f aca="false">SUM(D165:O165)</f>
        <v>1098.29367747525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4" t="n">
        <f aca="false">parametros_recargas!C55</f>
        <v>1</v>
      </c>
      <c r="D166" s="25" t="n">
        <f aca="false">datos_base!$G$6*parametros_recargas!$F$42</f>
        <v>115.820643626862</v>
      </c>
      <c r="E166" s="25" t="n">
        <f aca="false">datos_base!$G$6*parametros_recargas!$G$42</f>
        <v>117.931156168125</v>
      </c>
      <c r="F166" s="25" t="n">
        <f aca="false">datos_base!$G$6*parametros_recargas!$H$42</f>
        <v>120.080126993225</v>
      </c>
      <c r="G166" s="25" t="n">
        <f aca="false">datos_base!$G$6*parametros_recargas!$I$42</f>
        <v>122.268256898565</v>
      </c>
      <c r="H166" s="25" t="n">
        <f aca="false">datos_base!$G$6*parametros_recargas!$J$42</f>
        <v>124.496259450633</v>
      </c>
      <c r="I166" s="25" t="n">
        <f aca="false">datos_base!$G$6*parametros_recargas!$K$42</f>
        <v>126.764861218703</v>
      </c>
      <c r="J166" s="25" t="n">
        <f aca="false">datos_base!$G$6*parametros_recargas!$L$42</f>
        <v>129.074802011775</v>
      </c>
      <c r="K166" s="25" t="n">
        <f aca="false">datos_base!$G$6*parametros_recargas!$M$42</f>
        <v>131.426835119833</v>
      </c>
      <c r="L166" s="25" t="n">
        <f aca="false">datos_base!$G$6*parametros_recargas!$N$42</f>
        <v>133.821727559496</v>
      </c>
      <c r="M166" s="25" t="n">
        <f aca="false">datos_base!$G$6*parametros_recargas!$O$42</f>
        <v>136.260260324153</v>
      </c>
      <c r="N166" s="25" t="n">
        <f aca="false">datos_base!$G$6*parametros_recargas!$P$42</f>
        <v>138.743228638648</v>
      </c>
      <c r="O166" s="25" t="n">
        <f aca="false">datos_base!$G$6*parametros_recargas!$Q$42</f>
        <v>141.271442218609</v>
      </c>
      <c r="P166" s="7" t="n">
        <f aca="false">SUM(D166:O166)</f>
        <v>1537.95960022863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4" t="n">
        <f aca="false">parametros_recargas!C56</f>
        <v>1</v>
      </c>
      <c r="D167" s="25" t="n">
        <f aca="false">datos_base!$G$7*parametros_recargas!$F$42</f>
        <v>20.9006427223486</v>
      </c>
      <c r="E167" s="25" t="n">
        <f aca="false">datos_base!$G$7*parametros_recargas!$G$42</f>
        <v>21.2814994263407</v>
      </c>
      <c r="F167" s="25" t="n">
        <f aca="false">datos_base!$G$7*parametros_recargas!$H$42</f>
        <v>21.6692961958085</v>
      </c>
      <c r="G167" s="25" t="n">
        <f aca="false">datos_base!$G$7*parametros_recargas!$I$42</f>
        <v>22.0641594943491</v>
      </c>
      <c r="H167" s="25" t="n">
        <f aca="false">datos_base!$G$7*parametros_recargas!$J$42</f>
        <v>22.4662180900108</v>
      </c>
      <c r="I167" s="25" t="n">
        <f aca="false">datos_base!$G$7*parametros_recargas!$K$42</f>
        <v>22.8756030972853</v>
      </c>
      <c r="J167" s="25" t="n">
        <f aca="false">datos_base!$G$7*parametros_recargas!$L$42</f>
        <v>23.2924480198651</v>
      </c>
      <c r="K167" s="25" t="n">
        <f aca="false">datos_base!$G$7*parametros_recargas!$M$42</f>
        <v>23.71688879418</v>
      </c>
      <c r="L167" s="25" t="n">
        <f aca="false">datos_base!$G$7*parametros_recargas!$N$42</f>
        <v>24.1490638337276</v>
      </c>
      <c r="M167" s="25" t="n">
        <f aca="false">datos_base!$G$7*parametros_recargas!$O$42</f>
        <v>24.5891140742101</v>
      </c>
      <c r="N167" s="25" t="n">
        <f aca="false">datos_base!$G$7*parametros_recargas!$P$42</f>
        <v>25.0371830194956</v>
      </c>
      <c r="O167" s="25" t="n">
        <f aca="false">datos_base!$G$7*parametros_recargas!$Q$42</f>
        <v>25.4934167884149</v>
      </c>
      <c r="P167" s="7" t="n">
        <f aca="false">SUM(D167:O167)</f>
        <v>277.535533556036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4" t="n">
        <f aca="false">parametros_recargas!C57</f>
        <v>3</v>
      </c>
      <c r="D168" s="25" t="n">
        <f aca="false">datos_base!$G$8*parametros_recargas!$F$42</f>
        <v>11.168592351965</v>
      </c>
      <c r="E168" s="25" t="n">
        <f aca="false">datos_base!$G$8*parametros_recargas!$G$42</f>
        <v>11.3721092163939</v>
      </c>
      <c r="F168" s="25" t="n">
        <f aca="false">datos_base!$G$8*parametros_recargas!$H$42</f>
        <v>11.5793346156857</v>
      </c>
      <c r="G168" s="25" t="n">
        <f aca="false">datos_base!$G$8*parametros_recargas!$I$42</f>
        <v>11.790336127684</v>
      </c>
      <c r="H168" s="25" t="n">
        <f aca="false">datos_base!$G$8*parametros_recargas!$J$42</f>
        <v>12.0051825616527</v>
      </c>
      <c r="I168" s="25" t="n">
        <f aca="false">datos_base!$G$8*parametros_recargas!$K$42</f>
        <v>12.223943980715</v>
      </c>
      <c r="J168" s="25" t="n">
        <f aca="false">datos_base!$G$8*parametros_recargas!$L$42</f>
        <v>12.4466917247019</v>
      </c>
      <c r="K168" s="25" t="n">
        <f aca="false">datos_base!$G$8*parametros_recargas!$M$42</f>
        <v>12.6734984334165</v>
      </c>
      <c r="L168" s="25" t="n">
        <f aca="false">datos_base!$G$8*parametros_recargas!$N$42</f>
        <v>12.9044380703225</v>
      </c>
      <c r="M168" s="25" t="n">
        <f aca="false">datos_base!$G$8*parametros_recargas!$O$42</f>
        <v>13.1395859466641</v>
      </c>
      <c r="N168" s="25" t="n">
        <f aca="false">datos_base!$G$8*parametros_recargas!$P$42</f>
        <v>13.3790187460256</v>
      </c>
      <c r="O168" s="25" t="n">
        <f aca="false">datos_base!$G$8*parametros_recargas!$Q$42</f>
        <v>13.622814549339</v>
      </c>
      <c r="P168" s="7" t="n">
        <f aca="false">SUM(D168:O168)</f>
        <v>148.305546324566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4" t="n">
        <f aca="false">parametros_recargas!C58</f>
        <v>1</v>
      </c>
      <c r="D169" s="25" t="n">
        <f aca="false">datos_base!$G$9*parametros_recargas!$F$42</f>
        <v>6.33547628930975</v>
      </c>
      <c r="E169" s="25" t="n">
        <f aca="false">datos_base!$G$9*parametros_recargas!$G$42</f>
        <v>6.45092291216345</v>
      </c>
      <c r="F169" s="25" t="n">
        <f aca="false">datos_base!$G$9*parametros_recargas!$H$42</f>
        <v>6.56847323205897</v>
      </c>
      <c r="G169" s="25" t="n">
        <f aca="false">datos_base!$G$9*parametros_recargas!$I$42</f>
        <v>6.68816558308642</v>
      </c>
      <c r="H169" s="25" t="n">
        <f aca="false">datos_base!$G$9*parametros_recargas!$J$42</f>
        <v>6.81003899786922</v>
      </c>
      <c r="I169" s="25" t="n">
        <f aca="false">datos_base!$G$9*parametros_recargas!$K$42</f>
        <v>6.93413322029298</v>
      </c>
      <c r="J169" s="25" t="n">
        <f aca="false">datos_base!$G$9*parametros_recargas!$L$42</f>
        <v>7.06048871846621</v>
      </c>
      <c r="K169" s="25" t="n">
        <f aca="false">datos_base!$G$9*parametros_recargas!$M$42</f>
        <v>7.18914669791741</v>
      </c>
      <c r="L169" s="25" t="n">
        <f aca="false">datos_base!$G$9*parametros_recargas!$N$42</f>
        <v>7.32014911503242</v>
      </c>
      <c r="M169" s="25" t="n">
        <f aca="false">datos_base!$G$9*parametros_recargas!$O$42</f>
        <v>7.45353869073677</v>
      </c>
      <c r="N169" s="25" t="n">
        <f aca="false">datos_base!$G$9*parametros_recargas!$P$42</f>
        <v>7.58935892442732</v>
      </c>
      <c r="O169" s="25" t="n">
        <f aca="false">datos_base!$G$9*parametros_recargas!$Q$42</f>
        <v>7.72765410815773</v>
      </c>
      <c r="P169" s="7" t="n">
        <f aca="false">SUM(D169:O169)</f>
        <v>84.1275464895187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4" t="n">
        <f aca="false">parametros_recargas!C59</f>
        <v>1</v>
      </c>
      <c r="D170" s="25" t="n">
        <f aca="false">datos_base!$G$10*parametros_recargas!$F$42</f>
        <v>56.4052687637989</v>
      </c>
      <c r="E170" s="25" t="n">
        <f aca="false">datos_base!$G$10*parametros_recargas!$G$42</f>
        <v>57.4330995838627</v>
      </c>
      <c r="F170" s="25" t="n">
        <f aca="false">datos_base!$G$10*parametros_recargas!$H$42</f>
        <v>58.4796597924717</v>
      </c>
      <c r="G170" s="25" t="n">
        <f aca="false">datos_base!$G$10*parametros_recargas!$I$42</f>
        <v>59.5452906811968</v>
      </c>
      <c r="H170" s="25" t="n">
        <f aca="false">datos_base!$G$10*parametros_recargas!$J$42</f>
        <v>60.6303397607089</v>
      </c>
      <c r="I170" s="25" t="n">
        <f aca="false">datos_base!$G$10*parametros_recargas!$K$42</f>
        <v>61.7351608741044</v>
      </c>
      <c r="J170" s="25" t="n">
        <f aca="false">datos_base!$G$10*parametros_recargas!$L$42</f>
        <v>62.8601143122968</v>
      </c>
      <c r="K170" s="25" t="n">
        <f aca="false">datos_base!$G$10*parametros_recargas!$M$42</f>
        <v>64.0055669315099</v>
      </c>
      <c r="L170" s="25" t="n">
        <f aca="false">datos_base!$G$10*parametros_recargas!$N$42</f>
        <v>65.1718922729128</v>
      </c>
      <c r="M170" s="25" t="n">
        <f aca="false">datos_base!$G$10*parametros_recargas!$O$42</f>
        <v>66.3594706844347</v>
      </c>
      <c r="N170" s="25" t="n">
        <f aca="false">datos_base!$G$10*parametros_recargas!$P$42</f>
        <v>67.5686894447991</v>
      </c>
      <c r="O170" s="25" t="n">
        <f aca="false">datos_base!$G$10*parametros_recargas!$Q$42</f>
        <v>68.7999428898187</v>
      </c>
      <c r="P170" s="7" t="n">
        <f aca="false">SUM(D170:O170)</f>
        <v>748.994495991916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4" t="n">
        <f aca="false">parametros_recargas!C60</f>
        <v>1</v>
      </c>
      <c r="D171" s="25" t="n">
        <f aca="false">datos_base!$G$11*parametros_recargas!$F$42</f>
        <v>315.067521390647</v>
      </c>
      <c r="E171" s="25" t="n">
        <f aca="false">datos_base!$G$11*parametros_recargas!$G$42</f>
        <v>320.808760037031</v>
      </c>
      <c r="F171" s="25" t="n">
        <f aca="false">datos_base!$G$11*parametros_recargas!$H$42</f>
        <v>326.654616960315</v>
      </c>
      <c r="G171" s="25" t="n">
        <f aca="false">datos_base!$G$11*parametros_recargas!$I$42</f>
        <v>332.606998540729</v>
      </c>
      <c r="H171" s="25" t="n">
        <f aca="false">datos_base!$G$11*parametros_recargas!$J$42</f>
        <v>338.66784589704</v>
      </c>
      <c r="I171" s="25" t="n">
        <f aca="false">datos_base!$G$11*parametros_recargas!$K$42</f>
        <v>344.839135519562</v>
      </c>
      <c r="J171" s="25" t="n">
        <f aca="false">datos_base!$G$11*parametros_recargas!$L$42</f>
        <v>351.122879914706</v>
      </c>
      <c r="K171" s="25" t="n">
        <f aca="false">datos_base!$G$11*parametros_recargas!$M$42</f>
        <v>357.521128261278</v>
      </c>
      <c r="L171" s="25" t="n">
        <f aca="false">datos_base!$G$11*parametros_recargas!$N$42</f>
        <v>364.035967078725</v>
      </c>
      <c r="M171" s="25" t="n">
        <f aca="false">datos_base!$G$11*parametros_recargas!$O$42</f>
        <v>370.669520907572</v>
      </c>
      <c r="N171" s="25" t="n">
        <f aca="false">datos_base!$G$11*parametros_recargas!$P$42</f>
        <v>377.423953002249</v>
      </c>
      <c r="O171" s="25" t="n">
        <f aca="false">datos_base!$G$11*parametros_recargas!$Q$42</f>
        <v>384.301466036545</v>
      </c>
      <c r="P171" s="7" t="n">
        <f aca="false">SUM(D171:O171)</f>
        <v>4183.7197935464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4" t="n">
        <f aca="false">parametros_recargas!C61</f>
        <v>1</v>
      </c>
      <c r="D172" s="25" t="n">
        <f aca="false">datos_base!$G$12*parametros_recargas!$F$42</f>
        <v>102.529877027049</v>
      </c>
      <c r="E172" s="25" t="n">
        <f aca="false">datos_base!$G$12*parametros_recargas!$G$42</f>
        <v>104.398201917531</v>
      </c>
      <c r="F172" s="25" t="n">
        <f aca="false">datos_base!$G$12*parametros_recargas!$H$42</f>
        <v>106.300571888312</v>
      </c>
      <c r="G172" s="25" t="n">
        <f aca="false">datos_base!$G$12*parametros_recargas!$I$42</f>
        <v>108.237607317302</v>
      </c>
      <c r="H172" s="25" t="n">
        <f aca="false">datos_base!$G$12*parametros_recargas!$J$42</f>
        <v>110.209939887094</v>
      </c>
      <c r="I172" s="25" t="n">
        <f aca="false">datos_base!$G$12*parametros_recargas!$K$42</f>
        <v>112.218212790955</v>
      </c>
      <c r="J172" s="25" t="n">
        <f aca="false">datos_base!$G$12*parametros_recargas!$L$42</f>
        <v>114.263080942581</v>
      </c>
      <c r="K172" s="25" t="n">
        <f aca="false">datos_base!$G$12*parametros_recargas!$M$42</f>
        <v>116.345211189669</v>
      </c>
      <c r="L172" s="25" t="n">
        <f aca="false">datos_base!$G$12*parametros_recargas!$N$42</f>
        <v>118.465282531379</v>
      </c>
      <c r="M172" s="25" t="n">
        <f aca="false">datos_base!$G$12*parametros_recargas!$O$42</f>
        <v>120.623986339763</v>
      </c>
      <c r="N172" s="25" t="n">
        <f aca="false">datos_base!$G$12*parametros_recargas!$P$42</f>
        <v>122.822026585225</v>
      </c>
      <c r="O172" s="25" t="n">
        <f aca="false">datos_base!$G$12*parametros_recargas!$Q$42</f>
        <v>125.060120066095</v>
      </c>
      <c r="P172" s="7" t="n">
        <f aca="false">SUM(D172:O172)</f>
        <v>1361.47411848296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4" t="n">
        <f aca="false">parametros_recargas!C62</f>
        <v>1</v>
      </c>
      <c r="D173" s="25" t="n">
        <f aca="false">datos_base!$G$13*parametros_recargas!$F$42</f>
        <v>16.3742118596301</v>
      </c>
      <c r="E173" s="25" t="n">
        <f aca="false">datos_base!$G$13*parametros_recargas!$G$42</f>
        <v>16.6725868159495</v>
      </c>
      <c r="F173" s="25" t="n">
        <f aca="false">datos_base!$G$13*parametros_recargas!$H$42</f>
        <v>16.9763988348476</v>
      </c>
      <c r="G173" s="25" t="n">
        <f aca="false">datos_base!$G$13*parametros_recargas!$I$42</f>
        <v>17.2857469918296</v>
      </c>
      <c r="H173" s="25" t="n">
        <f aca="false">datos_base!$G$13*parametros_recargas!$J$42</f>
        <v>17.6007321677788</v>
      </c>
      <c r="I173" s="25" t="n">
        <f aca="false">datos_base!$G$13*parametros_recargas!$K$42</f>
        <v>17.9214570818552</v>
      </c>
      <c r="J173" s="25" t="n">
        <f aca="false">datos_base!$G$13*parametros_recargas!$L$42</f>
        <v>18.2480263249931</v>
      </c>
      <c r="K173" s="25" t="n">
        <f aca="false">datos_base!$G$13*parametros_recargas!$M$42</f>
        <v>18.5805463940084</v>
      </c>
      <c r="L173" s="25" t="n">
        <f aca="false">datos_base!$G$13*parametros_recargas!$N$42</f>
        <v>18.9191257263285</v>
      </c>
      <c r="M173" s="25" t="n">
        <f aca="false">datos_base!$G$13*parametros_recargas!$O$42</f>
        <v>19.2638747353549</v>
      </c>
      <c r="N173" s="25" t="n">
        <f aca="false">datos_base!$G$13*parametros_recargas!$P$42</f>
        <v>19.614905846469</v>
      </c>
      <c r="O173" s="25" t="n">
        <f aca="false">datos_base!$G$13*parametros_recargas!$Q$42</f>
        <v>19.9723335336958</v>
      </c>
      <c r="P173" s="7" t="n">
        <f aca="false">SUM(D173:O173)</f>
        <v>217.42994631274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4" t="n">
        <f aca="false">parametros_recargas!C63</f>
        <v>1</v>
      </c>
      <c r="D174" s="25" t="n">
        <f aca="false">datos_base!$G$14*parametros_recargas!$F$42</f>
        <v>5.55176903378017</v>
      </c>
      <c r="E174" s="25" t="n">
        <f aca="false">datos_base!$G$14*parametros_recargas!$G$42</f>
        <v>5.65293474832876</v>
      </c>
      <c r="F174" s="25" t="n">
        <f aca="false">datos_base!$G$14*parametros_recargas!$H$42</f>
        <v>5.75594392966026</v>
      </c>
      <c r="G174" s="25" t="n">
        <f aca="false">datos_base!$G$14*parametros_recargas!$I$42</f>
        <v>5.86083016988434</v>
      </c>
      <c r="H174" s="25" t="n">
        <f aca="false">datos_base!$G$14*parametros_recargas!$J$42</f>
        <v>5.96762767323447</v>
      </c>
      <c r="I174" s="25" t="n">
        <f aca="false">datos_base!$G$14*parametros_recargas!$K$42</f>
        <v>6.07637126722214</v>
      </c>
      <c r="J174" s="25" t="n">
        <f aca="false">datos_base!$G$14*parametros_recargas!$L$42</f>
        <v>6.18709641399441</v>
      </c>
      <c r="K174" s="25" t="n">
        <f aca="false">datos_base!$G$14*parametros_recargas!$M$42</f>
        <v>6.29983922189839</v>
      </c>
      <c r="L174" s="25" t="n">
        <f aca="false">datos_base!$G$14*parametros_recargas!$N$42</f>
        <v>6.41463645725648</v>
      </c>
      <c r="M174" s="25" t="n">
        <f aca="false">datos_base!$G$14*parametros_recargas!$O$42</f>
        <v>6.53152555635611</v>
      </c>
      <c r="N174" s="25" t="n">
        <f aca="false">datos_base!$G$14*parametros_recargas!$P$42</f>
        <v>6.65054463765806</v>
      </c>
      <c r="O174" s="25" t="n">
        <f aca="false">datos_base!$G$14*parametros_recargas!$Q$42</f>
        <v>6.77173251422718</v>
      </c>
      <c r="P174" s="7" t="n">
        <f aca="false">SUM(D174:O174)</f>
        <v>73.7208516235008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4" t="n">
        <f aca="false">parametros_recargas!C64</f>
        <v>3</v>
      </c>
      <c r="D175" s="25" t="n">
        <f aca="false">datos_base!$G$15*parametros_recargas!$F$42</f>
        <v>13.9620706149744</v>
      </c>
      <c r="E175" s="25" t="n">
        <f aca="false">datos_base!$G$15*parametros_recargas!$G$42</f>
        <v>14.2164909342901</v>
      </c>
      <c r="F175" s="25" t="n">
        <f aca="false">datos_base!$G$15*parametros_recargas!$H$42</f>
        <v>14.4755473638696</v>
      </c>
      <c r="G175" s="25" t="n">
        <f aca="false">datos_base!$G$15*parametros_recargas!$I$42</f>
        <v>14.7393243840658</v>
      </c>
      <c r="H175" s="25" t="n">
        <f aca="false">datos_base!$G$15*parametros_recargas!$J$42</f>
        <v>15.0079080146536</v>
      </c>
      <c r="I175" s="25" t="n">
        <f aca="false">datos_base!$G$15*parametros_recargas!$K$42</f>
        <v>15.2813858428816</v>
      </c>
      <c r="J175" s="25" t="n">
        <f aca="false">datos_base!$G$15*parametros_recargas!$L$42</f>
        <v>15.5598470520352</v>
      </c>
      <c r="K175" s="25" t="n">
        <f aca="false">datos_base!$G$15*parametros_recargas!$M$42</f>
        <v>15.8433824505195</v>
      </c>
      <c r="L175" s="25" t="n">
        <f aca="false">datos_base!$G$15*parametros_recargas!$N$42</f>
        <v>16.1320845014732</v>
      </c>
      <c r="M175" s="25" t="n">
        <f aca="false">datos_base!$G$15*parametros_recargas!$O$42</f>
        <v>16.426047352921</v>
      </c>
      <c r="N175" s="25" t="n">
        <f aca="false">datos_base!$G$15*parametros_recargas!$P$42</f>
        <v>16.7253668684766</v>
      </c>
      <c r="O175" s="25" t="n">
        <f aca="false">datos_base!$G$15*parametros_recargas!$Q$42</f>
        <v>17.0301406586039</v>
      </c>
      <c r="P175" s="7" t="n">
        <f aca="false">SUM(D175:O175)</f>
        <v>185.399596038765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4" t="n">
        <f aca="false">parametros_recargas!C65</f>
        <v>3</v>
      </c>
      <c r="D176" s="25" t="n">
        <f aca="false">datos_base!$G$16*parametros_recargas!$F$42</f>
        <v>30.7165553746501</v>
      </c>
      <c r="E176" s="25" t="n">
        <f aca="false">datos_base!$G$16*parametros_recargas!$G$42</f>
        <v>31.2762800775404</v>
      </c>
      <c r="F176" s="25" t="n">
        <f aca="false">datos_base!$G$16*parametros_recargas!$H$42</f>
        <v>31.846204223018</v>
      </c>
      <c r="G176" s="25" t="n">
        <f aca="false">datos_base!$G$16*parametros_recargas!$I$42</f>
        <v>32.4265136678596</v>
      </c>
      <c r="H176" s="25" t="n">
        <f aca="false">datos_base!$G$16*parametros_recargas!$J$42</f>
        <v>33.0173976555703</v>
      </c>
      <c r="I176" s="25" t="n">
        <f aca="false">datos_base!$G$16*parametros_recargas!$K$42</f>
        <v>33.6190488780972</v>
      </c>
      <c r="J176" s="25" t="n">
        <f aca="false">datos_base!$G$16*parametros_recargas!$L$42</f>
        <v>34.231663538668</v>
      </c>
      <c r="K176" s="25" t="n">
        <f aca="false">datos_base!$G$16*parametros_recargas!$M$42</f>
        <v>34.8554414157743</v>
      </c>
      <c r="L176" s="25" t="n">
        <f aca="false">datos_base!$G$16*parametros_recargas!$N$42</f>
        <v>35.4905859283212</v>
      </c>
      <c r="M176" s="25" t="n">
        <f aca="false">datos_base!$G$16*parametros_recargas!$O$42</f>
        <v>36.1373042019635</v>
      </c>
      <c r="N176" s="25" t="n">
        <f aca="false">datos_base!$G$16*parametros_recargas!$P$42</f>
        <v>36.795807136651</v>
      </c>
      <c r="O176" s="25" t="n">
        <f aca="false">datos_base!$G$16*parametros_recargas!$Q$42</f>
        <v>37.466309475405</v>
      </c>
      <c r="P176" s="7" t="n">
        <f aca="false">SUM(D176:O176)</f>
        <v>407.879111573519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4" t="n">
        <f aca="false">parametros_recargas!C66</f>
        <v>3</v>
      </c>
      <c r="D177" s="25" t="n">
        <f aca="false">datos_base!$G$17*parametros_recargas!$F$42</f>
        <v>6.701793899529</v>
      </c>
      <c r="E177" s="25" t="n">
        <f aca="false">datos_base!$G$17*parametros_recargas!$G$42</f>
        <v>6.82391565287968</v>
      </c>
      <c r="F177" s="25" t="n">
        <f aca="false">datos_base!$G$17*parametros_recargas!$H$42</f>
        <v>6.94826273915838</v>
      </c>
      <c r="G177" s="25" t="n">
        <f aca="false">datos_base!$G$17*parametros_recargas!$I$42</f>
        <v>7.07487570893455</v>
      </c>
      <c r="H177" s="25" t="n">
        <f aca="false">datos_base!$G$17*parametros_recargas!$J$42</f>
        <v>7.2037958517002</v>
      </c>
      <c r="I177" s="25" t="n">
        <f aca="false">datos_base!$G$17*parametros_recargas!$K$42</f>
        <v>7.3350652093347</v>
      </c>
      <c r="J177" s="25" t="n">
        <f aca="false">datos_base!$G$17*parametros_recargas!$L$42</f>
        <v>7.468726589815</v>
      </c>
      <c r="K177" s="25" t="n">
        <f aca="false">datos_base!$G$17*parametros_recargas!$M$42</f>
        <v>7.60482358117565</v>
      </c>
      <c r="L177" s="25" t="n">
        <f aca="false">datos_base!$G$17*parametros_recargas!$N$42</f>
        <v>7.74340056572318</v>
      </c>
      <c r="M177" s="25" t="n">
        <f aca="false">datos_base!$G$17*parametros_recargas!$O$42</f>
        <v>7.88450273450954</v>
      </c>
      <c r="N177" s="25" t="n">
        <f aca="false">datos_base!$G$17*parametros_recargas!$P$42</f>
        <v>8.02817610206926</v>
      </c>
      <c r="O177" s="25" t="n">
        <f aca="false">datos_base!$G$17*parametros_recargas!$Q$42</f>
        <v>8.17446752142515</v>
      </c>
      <c r="P177" s="7" t="n">
        <f aca="false">SUM(D177:O177)</f>
        <v>88.9918061562543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4" t="n">
        <f aca="false">parametros_recargas!C67</f>
        <v>3</v>
      </c>
      <c r="D178" s="25" t="n">
        <f aca="false">datos_base!$G$18*parametros_recargas!$F$42</f>
        <v>4.4678625924505</v>
      </c>
      <c r="E178" s="25" t="n">
        <f aca="false">datos_base!$G$18*parametros_recargas!$G$42</f>
        <v>4.54927709455243</v>
      </c>
      <c r="F178" s="25" t="n">
        <f aca="false">datos_base!$G$18*parametros_recargas!$H$42</f>
        <v>4.63217515193732</v>
      </c>
      <c r="G178" s="25" t="n">
        <f aca="false">datos_base!$G$18*parametros_recargas!$I$42</f>
        <v>4.71658379831807</v>
      </c>
      <c r="H178" s="25" t="n">
        <f aca="false">datos_base!$G$18*parametros_recargas!$J$42</f>
        <v>4.80253056002265</v>
      </c>
      <c r="I178" s="25" t="n">
        <f aca="false">datos_base!$G$18*parametros_recargas!$K$42</f>
        <v>4.89004346497059</v>
      </c>
      <c r="J178" s="25" t="n">
        <f aca="false">datos_base!$G$18*parametros_recargas!$L$42</f>
        <v>4.97915105181315</v>
      </c>
      <c r="K178" s="25" t="n">
        <f aca="false">datos_base!$G$18*parametros_recargas!$M$42</f>
        <v>5.06988237923998</v>
      </c>
      <c r="L178" s="25" t="n">
        <f aca="false">datos_base!$G$18*parametros_recargas!$N$42</f>
        <v>5.16226703545539</v>
      </c>
      <c r="M178" s="25" t="n">
        <f aca="false">datos_base!$G$18*parametros_recargas!$O$42</f>
        <v>5.25633514782729</v>
      </c>
      <c r="N178" s="25" t="n">
        <f aca="false">datos_base!$G$18*parametros_recargas!$P$42</f>
        <v>5.35211739271199</v>
      </c>
      <c r="O178" s="25" t="n">
        <f aca="false">datos_base!$G$18*parametros_recargas!$Q$42</f>
        <v>5.44964500545798</v>
      </c>
      <c r="P178" s="7" t="n">
        <f aca="false">SUM(D178:O178)</f>
        <v>59.3278706747574</v>
      </c>
    </row>
    <row r="179" customFormat="false" ht="15" hidden="false" customHeight="false" outlineLevel="0" collapsed="false">
      <c r="A179" s="6" t="s">
        <v>272</v>
      </c>
      <c r="D179" s="7" t="n">
        <f aca="false">SUM(D162:D178)</f>
        <v>4959.72313477128</v>
      </c>
      <c r="E179" s="7" t="n">
        <f aca="false">SUM(E162:E178)</f>
        <v>5050.10044186733</v>
      </c>
      <c r="F179" s="7" t="n">
        <f aca="false">SUM(F162:F178)</f>
        <v>5142.12462670554</v>
      </c>
      <c r="G179" s="7" t="n">
        <f aca="false">SUM(G162:G178)</f>
        <v>5235.82569910127</v>
      </c>
      <c r="H179" s="7" t="n">
        <f aca="false">SUM(H162:H178)</f>
        <v>5331.23421571616</v>
      </c>
      <c r="I179" s="7" t="n">
        <f aca="false">SUM(I162:I178)</f>
        <v>5428.38129002295</v>
      </c>
      <c r="J179" s="7" t="n">
        <f aca="false">SUM(J162:J178)</f>
        <v>5527.29860245183</v>
      </c>
      <c r="K179" s="7" t="n">
        <f aca="false">SUM(K162:K178)</f>
        <v>5628.01841072161</v>
      </c>
      <c r="L179" s="7" t="n">
        <f aca="false">SUM(L162:L178)</f>
        <v>5730.57356035931</v>
      </c>
      <c r="M179" s="7" t="n">
        <f aca="false">SUM(M162:M178)</f>
        <v>5834.99749541128</v>
      </c>
      <c r="N179" s="7" t="n">
        <f aca="false">SUM(N162:N178)</f>
        <v>5941.32426934961</v>
      </c>
      <c r="O179" s="7" t="n">
        <f aca="false">SUM(O162:O178)</f>
        <v>6049.58855617718</v>
      </c>
      <c r="P179" s="7" t="n">
        <f aca="false">SUM(P162:P178)</f>
        <v>65859.1903026554</v>
      </c>
    </row>
    <row r="180" customFormat="false" ht="15" hidden="false" customHeight="false" outlineLevel="0" collapsed="false">
      <c r="A180" s="6" t="s">
        <v>273</v>
      </c>
    </row>
    <row r="181" customFormat="false" ht="15" hidden="false" customHeight="false" outlineLevel="0" collapsed="false">
      <c r="A181" s="4" t="s">
        <v>143</v>
      </c>
      <c r="D181" s="25" t="n">
        <f aca="false">SUMPRODUCT(($B$162:$B$178=$A181)*D$162:D$178*$C$162:$C$178)</f>
        <v>4421.26569666909</v>
      </c>
      <c r="E181" s="25" t="n">
        <f aca="false">SUMPRODUCT(($B$162:$B$178=$A181)*E$162:E$178*$C$162:$C$178)</f>
        <v>4501.83109856013</v>
      </c>
      <c r="F181" s="25" t="n">
        <f aca="false">SUMPRODUCT(($B$162:$B$178=$A181)*F$162:F$178*$C$162:$C$178)</f>
        <v>4583.86458321913</v>
      </c>
      <c r="G181" s="25" t="n">
        <f aca="false">SUMPRODUCT(($B$162:$B$178=$A181)*G$162:G$178*$C$162:$C$178)</f>
        <v>4667.392902415</v>
      </c>
      <c r="H181" s="25" t="n">
        <f aca="false">SUMPRODUCT(($B$162:$B$178=$A181)*H$162:H$178*$C$162:$C$178)</f>
        <v>4752.44329539403</v>
      </c>
      <c r="I181" s="25" t="n">
        <f aca="false">SUMPRODUCT(($B$162:$B$178=$A181)*I$162:I$178*$C$162:$C$178)</f>
        <v>4839.04349776283</v>
      </c>
      <c r="J181" s="25" t="n">
        <f aca="false">SUMPRODUCT(($B$162:$B$178=$A181)*J$162:J$178*$C$162:$C$178)</f>
        <v>4927.22175053311</v>
      </c>
      <c r="K181" s="25" t="n">
        <f aca="false">SUMPRODUCT(($B$162:$B$178=$A181)*K$162:K$178*$C$162:$C$178)</f>
        <v>5017.00680933132</v>
      </c>
      <c r="L181" s="25" t="n">
        <f aca="false">SUMPRODUCT(($B$162:$B$178=$A181)*L$162:L$178*$C$162:$C$178)</f>
        <v>5108.42795377608</v>
      </c>
      <c r="M181" s="25" t="n">
        <f aca="false">SUMPRODUCT(($B$162:$B$178=$A181)*M$162:M$178*$C$162:$C$178)</f>
        <v>5201.51499702648</v>
      </c>
      <c r="N181" s="25" t="n">
        <f aca="false">SUMPRODUCT(($B$162:$B$178=$A181)*N$162:N$178*$C$162:$C$178)</f>
        <v>5296.29829550443</v>
      </c>
      <c r="O181" s="25" t="n">
        <f aca="false">SUMPRODUCT(($B$162:$B$178=$A181)*O$162:O$178*$C$162:$C$178)</f>
        <v>5392.80875879407</v>
      </c>
      <c r="P181" s="25" t="n">
        <f aca="false">SUMPRODUCT(($B$162:$B$178=$A181)*P$162:P$178*$C$162:$C$178)</f>
        <v>58709.1196389857</v>
      </c>
    </row>
    <row r="182" customFormat="false" ht="15" hidden="false" customHeight="false" outlineLevel="0" collapsed="false">
      <c r="A182" s="4" t="s">
        <v>149</v>
      </c>
      <c r="D182" s="25" t="n">
        <f aca="false">SUMPRODUCT(($B$162:$B$178=$A182)*D$162:D$178*$C$162:$C$178)</f>
        <v>6.33547628930975</v>
      </c>
      <c r="E182" s="25" t="n">
        <f aca="false">SUMPRODUCT(($B$162:$B$178=$A182)*E$162:E$178*$C$162:$C$178)</f>
        <v>6.45092291216345</v>
      </c>
      <c r="F182" s="25" t="n">
        <f aca="false">SUMPRODUCT(($B$162:$B$178=$A182)*F$162:F$178*$C$162:$C$178)</f>
        <v>6.56847323205897</v>
      </c>
      <c r="G182" s="25" t="n">
        <f aca="false">SUMPRODUCT(($B$162:$B$178=$A182)*G$162:G$178*$C$162:$C$178)</f>
        <v>6.68816558308642</v>
      </c>
      <c r="H182" s="25" t="n">
        <f aca="false">SUMPRODUCT(($B$162:$B$178=$A182)*H$162:H$178*$C$162:$C$178)</f>
        <v>6.81003899786922</v>
      </c>
      <c r="I182" s="25" t="n">
        <f aca="false">SUMPRODUCT(($B$162:$B$178=$A182)*I$162:I$178*$C$162:$C$178)</f>
        <v>6.93413322029298</v>
      </c>
      <c r="J182" s="25" t="n">
        <f aca="false">SUMPRODUCT(($B$162:$B$178=$A182)*J$162:J$178*$C$162:$C$178)</f>
        <v>7.06048871846621</v>
      </c>
      <c r="K182" s="25" t="n">
        <f aca="false">SUMPRODUCT(($B$162:$B$178=$A182)*K$162:K$178*$C$162:$C$178)</f>
        <v>7.18914669791741</v>
      </c>
      <c r="L182" s="25" t="n">
        <f aca="false">SUMPRODUCT(($B$162:$B$178=$A182)*L$162:L$178*$C$162:$C$178)</f>
        <v>7.32014911503242</v>
      </c>
      <c r="M182" s="25" t="n">
        <f aca="false">SUMPRODUCT(($B$162:$B$178=$A182)*M$162:M$178*$C$162:$C$178)</f>
        <v>7.45353869073677</v>
      </c>
      <c r="N182" s="25" t="n">
        <f aca="false">SUMPRODUCT(($B$162:$B$178=$A182)*N$162:N$178*$C$162:$C$178)</f>
        <v>7.58935892442732</v>
      </c>
      <c r="O182" s="25" t="n">
        <f aca="false">SUMPRODUCT(($B$162:$B$178=$A182)*O$162:O$178*$C$162:$C$178)</f>
        <v>7.72765410815773</v>
      </c>
      <c r="P182" s="25" t="n">
        <f aca="false">SUMPRODUCT(($B$162:$B$178=$A182)*P$162:P$178*$C$162:$C$178)</f>
        <v>84.1275464895187</v>
      </c>
    </row>
    <row r="183" customFormat="false" ht="15" hidden="false" customHeight="false" outlineLevel="0" collapsed="false">
      <c r="A183" s="4" t="s">
        <v>155</v>
      </c>
      <c r="D183" s="25" t="n">
        <f aca="false">SUMPRODUCT(($B$162:$B$178=$A183)*D$162:D$178*$C$162:$C$178)</f>
        <v>5.55176903378017</v>
      </c>
      <c r="E183" s="25" t="n">
        <f aca="false">SUMPRODUCT(($B$162:$B$178=$A183)*E$162:E$178*$C$162:$C$178)</f>
        <v>5.65293474832876</v>
      </c>
      <c r="F183" s="25" t="n">
        <f aca="false">SUMPRODUCT(($B$162:$B$178=$A183)*F$162:F$178*$C$162:$C$178)</f>
        <v>5.75594392966026</v>
      </c>
      <c r="G183" s="25" t="n">
        <f aca="false">SUMPRODUCT(($B$162:$B$178=$A183)*G$162:G$178*$C$162:$C$178)</f>
        <v>5.86083016988434</v>
      </c>
      <c r="H183" s="25" t="n">
        <f aca="false">SUMPRODUCT(($B$162:$B$178=$A183)*H$162:H$178*$C$162:$C$178)</f>
        <v>5.96762767323447</v>
      </c>
      <c r="I183" s="25" t="n">
        <f aca="false">SUMPRODUCT(($B$162:$B$178=$A183)*I$162:I$178*$C$162:$C$178)</f>
        <v>6.07637126722214</v>
      </c>
      <c r="J183" s="25" t="n">
        <f aca="false">SUMPRODUCT(($B$162:$B$178=$A183)*J$162:J$178*$C$162:$C$178)</f>
        <v>6.18709641399441</v>
      </c>
      <c r="K183" s="25" t="n">
        <f aca="false">SUMPRODUCT(($B$162:$B$178=$A183)*K$162:K$178*$C$162:$C$178)</f>
        <v>6.29983922189839</v>
      </c>
      <c r="L183" s="25" t="n">
        <f aca="false">SUMPRODUCT(($B$162:$B$178=$A183)*L$162:L$178*$C$162:$C$178)</f>
        <v>6.41463645725648</v>
      </c>
      <c r="M183" s="25" t="n">
        <f aca="false">SUMPRODUCT(($B$162:$B$178=$A183)*M$162:M$178*$C$162:$C$178)</f>
        <v>6.53152555635611</v>
      </c>
      <c r="N183" s="25" t="n">
        <f aca="false">SUMPRODUCT(($B$162:$B$178=$A183)*N$162:N$178*$C$162:$C$178)</f>
        <v>6.65054463765806</v>
      </c>
      <c r="O183" s="25" t="n">
        <f aca="false">SUMPRODUCT(($B$162:$B$178=$A183)*O$162:O$178*$C$162:$C$178)</f>
        <v>6.77173251422718</v>
      </c>
      <c r="P183" s="25" t="n">
        <f aca="false">SUMPRODUCT(($B$162:$B$178=$A183)*P$162:P$178*$C$162:$C$178)</f>
        <v>73.7208516235008</v>
      </c>
    </row>
    <row r="184" customFormat="false" ht="15" hidden="false" customHeight="false" outlineLevel="0" collapsed="false">
      <c r="A184" s="4" t="s">
        <v>146</v>
      </c>
      <c r="D184" s="25" t="n">
        <f aca="false">SUMPRODUCT(($B$162:$B$178=$A184)*D$162:D$178*$C$162:$C$178)</f>
        <v>115.820643626862</v>
      </c>
      <c r="E184" s="25" t="n">
        <f aca="false">SUMPRODUCT(($B$162:$B$178=$A184)*E$162:E$178*$C$162:$C$178)</f>
        <v>117.931156168125</v>
      </c>
      <c r="F184" s="25" t="n">
        <f aca="false">SUMPRODUCT(($B$162:$B$178=$A184)*F$162:F$178*$C$162:$C$178)</f>
        <v>120.080126993225</v>
      </c>
      <c r="G184" s="25" t="n">
        <f aca="false">SUMPRODUCT(($B$162:$B$178=$A184)*G$162:G$178*$C$162:$C$178)</f>
        <v>122.268256898565</v>
      </c>
      <c r="H184" s="25" t="n">
        <f aca="false">SUMPRODUCT(($B$162:$B$178=$A184)*H$162:H$178*$C$162:$C$178)</f>
        <v>124.496259450633</v>
      </c>
      <c r="I184" s="25" t="n">
        <f aca="false">SUMPRODUCT(($B$162:$B$178=$A184)*I$162:I$178*$C$162:$C$178)</f>
        <v>126.764861218703</v>
      </c>
      <c r="J184" s="25" t="n">
        <f aca="false">SUMPRODUCT(($B$162:$B$178=$A184)*J$162:J$178*$C$162:$C$178)</f>
        <v>129.074802011775</v>
      </c>
      <c r="K184" s="25" t="n">
        <f aca="false">SUMPRODUCT(($B$162:$B$178=$A184)*K$162:K$178*$C$162:$C$178)</f>
        <v>131.426835119833</v>
      </c>
      <c r="L184" s="25" t="n">
        <f aca="false">SUMPRODUCT(($B$162:$B$178=$A184)*L$162:L$178*$C$162:$C$178)</f>
        <v>133.821727559496</v>
      </c>
      <c r="M184" s="25" t="n">
        <f aca="false">SUMPRODUCT(($B$162:$B$178=$A184)*M$162:M$178*$C$162:$C$178)</f>
        <v>136.260260324153</v>
      </c>
      <c r="N184" s="25" t="n">
        <f aca="false">SUMPRODUCT(($B$162:$B$178=$A184)*N$162:N$178*$C$162:$C$178)</f>
        <v>138.743228638648</v>
      </c>
      <c r="O184" s="25" t="n">
        <f aca="false">SUMPRODUCT(($B$162:$B$178=$A184)*O$162:O$178*$C$162:$C$178)</f>
        <v>141.271442218609</v>
      </c>
      <c r="P184" s="25" t="n">
        <f aca="false">SUMPRODUCT(($B$162:$B$178=$A184)*P$162:P$178*$C$162:$C$178)</f>
        <v>1537.95960022863</v>
      </c>
    </row>
    <row r="185" customFormat="false" ht="15" hidden="false" customHeight="false" outlineLevel="0" collapsed="false">
      <c r="A185" s="4" t="s">
        <v>147</v>
      </c>
      <c r="D185" s="25" t="n">
        <f aca="false">SUMPRODUCT(($B$162:$B$178=$A185)*D$162:D$178*$C$162:$C$178)</f>
        <v>54.4064197782435</v>
      </c>
      <c r="E185" s="25" t="n">
        <f aca="false">SUMPRODUCT(($B$162:$B$178=$A185)*E$162:E$178*$C$162:$C$178)</f>
        <v>55.3978270755224</v>
      </c>
      <c r="F185" s="25" t="n">
        <f aca="false">SUMPRODUCT(($B$162:$B$178=$A185)*F$162:F$178*$C$162:$C$178)</f>
        <v>56.4073000428657</v>
      </c>
      <c r="G185" s="25" t="n">
        <f aca="false">SUMPRODUCT(($B$162:$B$178=$A185)*G$162:G$178*$C$162:$C$178)</f>
        <v>57.4351678774012</v>
      </c>
      <c r="H185" s="25" t="n">
        <f aca="false">SUMPRODUCT(($B$162:$B$178=$A185)*H$162:H$178*$C$162:$C$178)</f>
        <v>58.4817657749689</v>
      </c>
      <c r="I185" s="25" t="n">
        <f aca="false">SUMPRODUCT(($B$162:$B$178=$A185)*I$162:I$178*$C$162:$C$178)</f>
        <v>59.5474350394303</v>
      </c>
      <c r="J185" s="25" t="n">
        <f aca="false">SUMPRODUCT(($B$162:$B$178=$A185)*J$162:J$178*$C$162:$C$178)</f>
        <v>60.6325231939708</v>
      </c>
      <c r="K185" s="25" t="n">
        <f aca="false">SUMPRODUCT(($B$162:$B$178=$A185)*K$162:K$178*$C$162:$C$178)</f>
        <v>61.7373840944297</v>
      </c>
      <c r="L185" s="25" t="n">
        <f aca="false">SUMPRODUCT(($B$162:$B$178=$A185)*L$162:L$178*$C$162:$C$178)</f>
        <v>62.8623780446951</v>
      </c>
      <c r="M185" s="25" t="n">
        <f aca="false">SUMPRODUCT(($B$162:$B$178=$A185)*M$162:M$178*$C$162:$C$178)</f>
        <v>64.0078719142023</v>
      </c>
      <c r="N185" s="25" t="n">
        <f aca="false">SUMPRODUCT(($B$162:$B$178=$A185)*N$162:N$178*$C$162:$C$178)</f>
        <v>65.1742392575725</v>
      </c>
      <c r="O185" s="25" t="n">
        <f aca="false">SUMPRODUCT(($B$162:$B$178=$A185)*O$162:O$178*$C$162:$C$178)</f>
        <v>66.3618604364319</v>
      </c>
      <c r="P185" s="25" t="n">
        <f aca="false">SUMPRODUCT(($B$162:$B$178=$A185)*P$162:P$178*$C$162:$C$178)</f>
        <v>722.452172529734</v>
      </c>
    </row>
    <row r="186" customFormat="false" ht="15" hidden="false" customHeight="false" outlineLevel="0" collapsed="false">
      <c r="A186" s="4" t="s">
        <v>150</v>
      </c>
      <c r="D186" s="25" t="n">
        <f aca="false">SUMPRODUCT(($B$162:$B$178=$A186)*D$162:D$178*$C$162:$C$178)</f>
        <v>56.4052687637989</v>
      </c>
      <c r="E186" s="25" t="n">
        <f aca="false">SUMPRODUCT(($B$162:$B$178=$A186)*E$162:E$178*$C$162:$C$178)</f>
        <v>57.4330995838627</v>
      </c>
      <c r="F186" s="25" t="n">
        <f aca="false">SUMPRODUCT(($B$162:$B$178=$A186)*F$162:F$178*$C$162:$C$178)</f>
        <v>58.4796597924717</v>
      </c>
      <c r="G186" s="25" t="n">
        <f aca="false">SUMPRODUCT(($B$162:$B$178=$A186)*G$162:G$178*$C$162:$C$178)</f>
        <v>59.5452906811968</v>
      </c>
      <c r="H186" s="25" t="n">
        <f aca="false">SUMPRODUCT(($B$162:$B$178=$A186)*H$162:H$178*$C$162:$C$178)</f>
        <v>60.6303397607089</v>
      </c>
      <c r="I186" s="25" t="n">
        <f aca="false">SUMPRODUCT(($B$162:$B$178=$A186)*I$162:I$178*$C$162:$C$178)</f>
        <v>61.7351608741044</v>
      </c>
      <c r="J186" s="25" t="n">
        <f aca="false">SUMPRODUCT(($B$162:$B$178=$A186)*J$162:J$178*$C$162:$C$178)</f>
        <v>62.8601143122968</v>
      </c>
      <c r="K186" s="25" t="n">
        <f aca="false">SUMPRODUCT(($B$162:$B$178=$A186)*K$162:K$178*$C$162:$C$178)</f>
        <v>64.0055669315099</v>
      </c>
      <c r="L186" s="25" t="n">
        <f aca="false">SUMPRODUCT(($B$162:$B$178=$A186)*L$162:L$178*$C$162:$C$178)</f>
        <v>65.1718922729128</v>
      </c>
      <c r="M186" s="25" t="n">
        <f aca="false">SUMPRODUCT(($B$162:$B$178=$A186)*M$162:M$178*$C$162:$C$178)</f>
        <v>66.3594706844347</v>
      </c>
      <c r="N186" s="25" t="n">
        <f aca="false">SUMPRODUCT(($B$162:$B$178=$A186)*N$162:N$178*$C$162:$C$178)</f>
        <v>67.5686894447991</v>
      </c>
      <c r="O186" s="25" t="n">
        <f aca="false">SUMPRODUCT(($B$162:$B$178=$A186)*O$162:O$178*$C$162:$C$178)</f>
        <v>68.7999428898187</v>
      </c>
      <c r="P186" s="25" t="n">
        <f aca="false">SUMPRODUCT(($B$162:$B$178=$A186)*P$162:P$178*$C$162:$C$178)</f>
        <v>748.994495991916</v>
      </c>
    </row>
    <row r="187" customFormat="false" ht="15" hidden="false" customHeight="false" outlineLevel="0" collapsed="false">
      <c r="A187" s="4" t="s">
        <v>151</v>
      </c>
      <c r="D187" s="25" t="n">
        <f aca="false">SUMPRODUCT(($B$162:$B$178=$A187)*D$162:D$178*$C$162:$C$178)</f>
        <v>417.597398417696</v>
      </c>
      <c r="E187" s="25" t="n">
        <f aca="false">SUMPRODUCT(($B$162:$B$178=$A187)*E$162:E$178*$C$162:$C$178)</f>
        <v>425.206961954562</v>
      </c>
      <c r="F187" s="25" t="n">
        <f aca="false">SUMPRODUCT(($B$162:$B$178=$A187)*F$162:F$178*$C$162:$C$178)</f>
        <v>432.955188848627</v>
      </c>
      <c r="G187" s="25" t="n">
        <f aca="false">SUMPRODUCT(($B$162:$B$178=$A187)*G$162:G$178*$C$162:$C$178)</f>
        <v>440.844605858031</v>
      </c>
      <c r="H187" s="25" t="n">
        <f aca="false">SUMPRODUCT(($B$162:$B$178=$A187)*H$162:H$178*$C$162:$C$178)</f>
        <v>448.877785784134</v>
      </c>
      <c r="I187" s="25" t="n">
        <f aca="false">SUMPRODUCT(($B$162:$B$178=$A187)*I$162:I$178*$C$162:$C$178)</f>
        <v>457.057348310516</v>
      </c>
      <c r="J187" s="25" t="n">
        <f aca="false">SUMPRODUCT(($B$162:$B$178=$A187)*J$162:J$178*$C$162:$C$178)</f>
        <v>465.385960857288</v>
      </c>
      <c r="K187" s="25" t="n">
        <f aca="false">SUMPRODUCT(($B$162:$B$178=$A187)*K$162:K$178*$C$162:$C$178)</f>
        <v>473.866339450947</v>
      </c>
      <c r="L187" s="25" t="n">
        <f aca="false">SUMPRODUCT(($B$162:$B$178=$A187)*L$162:L$178*$C$162:$C$178)</f>
        <v>482.501249610104</v>
      </c>
      <c r="M187" s="25" t="n">
        <f aca="false">SUMPRODUCT(($B$162:$B$178=$A187)*M$162:M$178*$C$162:$C$178)</f>
        <v>491.293507247334</v>
      </c>
      <c r="N187" s="25" t="n">
        <f aca="false">SUMPRODUCT(($B$162:$B$178=$A187)*N$162:N$178*$C$162:$C$178)</f>
        <v>500.245979587474</v>
      </c>
      <c r="O187" s="25" t="n">
        <f aca="false">SUMPRODUCT(($B$162:$B$178=$A187)*O$162:O$178*$C$162:$C$178)</f>
        <v>509.36158610264</v>
      </c>
      <c r="P187" s="25" t="n">
        <f aca="false">SUMPRODUCT(($B$162:$B$178=$A187)*P$162:P$178*$C$162:$C$178)</f>
        <v>5545.19391202935</v>
      </c>
    </row>
    <row r="188" customFormat="false" ht="15" hidden="false" customHeight="false" outlineLevel="0" collapsed="false">
      <c r="A188" s="4" t="s">
        <v>154</v>
      </c>
      <c r="D188" s="25" t="n">
        <f aca="false">SUMPRODUCT(($B$162:$B$178=$A188)*D$162:D$178*$C$162:$C$178)</f>
        <v>16.3742118596301</v>
      </c>
      <c r="E188" s="25" t="n">
        <f aca="false">SUMPRODUCT(($B$162:$B$178=$A188)*E$162:E$178*$C$162:$C$178)</f>
        <v>16.6725868159495</v>
      </c>
      <c r="F188" s="25" t="n">
        <f aca="false">SUMPRODUCT(($B$162:$B$178=$A188)*F$162:F$178*$C$162:$C$178)</f>
        <v>16.9763988348476</v>
      </c>
      <c r="G188" s="25" t="n">
        <f aca="false">SUMPRODUCT(($B$162:$B$178=$A188)*G$162:G$178*$C$162:$C$178)</f>
        <v>17.2857469918296</v>
      </c>
      <c r="H188" s="25" t="n">
        <f aca="false">SUMPRODUCT(($B$162:$B$178=$A188)*H$162:H$178*$C$162:$C$178)</f>
        <v>17.6007321677788</v>
      </c>
      <c r="I188" s="25" t="n">
        <f aca="false">SUMPRODUCT(($B$162:$B$178=$A188)*I$162:I$178*$C$162:$C$178)</f>
        <v>17.9214570818552</v>
      </c>
      <c r="J188" s="25" t="n">
        <f aca="false">SUMPRODUCT(($B$162:$B$178=$A188)*J$162:J$178*$C$162:$C$178)</f>
        <v>18.2480263249931</v>
      </c>
      <c r="K188" s="25" t="n">
        <f aca="false">SUMPRODUCT(($B$162:$B$178=$A188)*K$162:K$178*$C$162:$C$178)</f>
        <v>18.5805463940084</v>
      </c>
      <c r="L188" s="25" t="n">
        <f aca="false">SUMPRODUCT(($B$162:$B$178=$A188)*L$162:L$178*$C$162:$C$178)</f>
        <v>18.9191257263285</v>
      </c>
      <c r="M188" s="25" t="n">
        <f aca="false">SUMPRODUCT(($B$162:$B$178=$A188)*M$162:M$178*$C$162:$C$178)</f>
        <v>19.2638747353549</v>
      </c>
      <c r="N188" s="25" t="n">
        <f aca="false">SUMPRODUCT(($B$162:$B$178=$A188)*N$162:N$178*$C$162:$C$178)</f>
        <v>19.614905846469</v>
      </c>
      <c r="O188" s="25" t="n">
        <f aca="false">SUMPRODUCT(($B$162:$B$178=$A188)*O$162:O$178*$C$162:$C$178)</f>
        <v>19.9723335336958</v>
      </c>
      <c r="P188" s="25" t="n">
        <f aca="false">SUMPRODUCT(($B$162:$B$178=$A188)*P$162:P$178*$C$162:$C$178)</f>
        <v>217.42994631274</v>
      </c>
    </row>
    <row r="189" customFormat="false" ht="15" hidden="false" customHeight="false" outlineLevel="0" collapsed="false">
      <c r="A189" s="6" t="s">
        <v>274</v>
      </c>
      <c r="D189" s="26" t="n">
        <f aca="false">SUMPRODUCT(D$162:D$178*parametros_recargas!$D$51:$D$67)</f>
        <v>169.546751860618</v>
      </c>
      <c r="E189" s="26" t="n">
        <f aca="false">SUMPRODUCT(E$162:E$178*parametros_recargas!$D$51:$D$67)</f>
        <v>172.636274893187</v>
      </c>
      <c r="F189" s="26" t="n">
        <f aca="false">SUMPRODUCT(F$162:F$178*parametros_recargas!$D$51:$D$67)</f>
        <v>175.782095981981</v>
      </c>
      <c r="G189" s="26" t="n">
        <f aca="false">SUMPRODUCT(G$162:G$178*parametros_recargas!$D$51:$D$67)</f>
        <v>178.985241004165</v>
      </c>
      <c r="H189" s="26" t="n">
        <f aca="false">SUMPRODUCT(H$162:H$178*parametros_recargas!$D$51:$D$67)</f>
        <v>182.246754530693</v>
      </c>
      <c r="I189" s="26" t="n">
        <f aca="false">SUMPRODUCT(I$162:I$178*parametros_recargas!$D$51:$D$67)</f>
        <v>185.567700166954</v>
      </c>
      <c r="J189" s="26" t="n">
        <f aca="false">SUMPRODUCT(J$162:J$178*parametros_recargas!$D$51:$D$67)</f>
        <v>188.949160899614</v>
      </c>
      <c r="K189" s="26" t="n">
        <f aca="false">SUMPRODUCT(K$162:K$178*parametros_recargas!$D$51:$D$67)</f>
        <v>192.392239449795</v>
      </c>
      <c r="L189" s="26" t="n">
        <f aca="false">SUMPRODUCT(L$162:L$178*parametros_recargas!$D$51:$D$67)</f>
        <v>195.898058632675</v>
      </c>
      <c r="M189" s="26" t="n">
        <f aca="false">SUMPRODUCT(M$162:M$178*parametros_recargas!$D$51:$D$67)</f>
        <v>199.467761723648</v>
      </c>
      <c r="N189" s="26" t="n">
        <f aca="false">SUMPRODUCT(N$162:N$178*parametros_recargas!$D$51:$D$67)</f>
        <v>203.10251283116</v>
      </c>
      <c r="O189" s="26" t="n">
        <f aca="false">SUMPRODUCT(O$162:O$178*parametros_recargas!$D$51:$D$67)</f>
        <v>206.803497276326</v>
      </c>
      <c r="P189" s="26" t="n">
        <f aca="false">SUMPRODUCT(P$162:P$178*parametros_recargas!$D$51:$D$67)</f>
        <v>2251.37804925082</v>
      </c>
    </row>
    <row r="193" customFormat="false" ht="15" hidden="false" customHeight="false" outlineLevel="0" collapsed="false">
      <c r="A193" s="23" t="n">
        <v>2032</v>
      </c>
      <c r="B193" s="3" t="s">
        <v>270</v>
      </c>
      <c r="C193" s="3" t="s">
        <v>271</v>
      </c>
      <c r="D193" s="3" t="s">
        <v>124</v>
      </c>
      <c r="E193" s="3" t="s">
        <v>125</v>
      </c>
      <c r="F193" s="3" t="s">
        <v>126</v>
      </c>
      <c r="G193" s="3" t="s">
        <v>127</v>
      </c>
      <c r="H193" s="3" t="s">
        <v>128</v>
      </c>
      <c r="I193" s="3" t="s">
        <v>129</v>
      </c>
      <c r="J193" s="3" t="s">
        <v>130</v>
      </c>
      <c r="K193" s="3" t="s">
        <v>131</v>
      </c>
      <c r="L193" s="3" t="s">
        <v>132</v>
      </c>
      <c r="M193" s="3" t="s">
        <v>133</v>
      </c>
      <c r="N193" s="3" t="s">
        <v>134</v>
      </c>
      <c r="O193" s="3" t="s">
        <v>135</v>
      </c>
      <c r="P193" s="3" t="s">
        <v>136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4" t="n">
        <f aca="false">parametros_recargas!C51</f>
        <v>1</v>
      </c>
      <c r="D194" s="25" t="n">
        <f aca="false">datos_base!$H$2*parametros_recargas!$F$43</f>
        <v>3340.86960367717</v>
      </c>
      <c r="E194" s="25" t="n">
        <f aca="false">datos_base!$H$2*parametros_recargas!$G$43</f>
        <v>3376.76933947291</v>
      </c>
      <c r="F194" s="25" t="n">
        <f aca="false">datos_base!$H$2*parametros_recargas!$H$43</f>
        <v>3413.05484040859</v>
      </c>
      <c r="G194" s="25" t="n">
        <f aca="false">datos_base!$H$2*parametros_recargas!$I$43</f>
        <v>3449.7302517722</v>
      </c>
      <c r="H194" s="25" t="n">
        <f aca="false">datos_base!$H$2*parametros_recargas!$J$43</f>
        <v>3486.79976339543</v>
      </c>
      <c r="I194" s="25" t="n">
        <f aca="false">datos_base!$H$2*parametros_recargas!$K$43</f>
        <v>3524.26761013233</v>
      </c>
      <c r="J194" s="25" t="n">
        <f aca="false">datos_base!$H$2*parametros_recargas!$L$43</f>
        <v>3562.13807234312</v>
      </c>
      <c r="K194" s="25" t="n">
        <f aca="false">datos_base!$H$2*parametros_recargas!$M$43</f>
        <v>3600.41547638317</v>
      </c>
      <c r="L194" s="25" t="n">
        <f aca="false">datos_base!$H$2*parametros_recargas!$N$43</f>
        <v>3639.10419509724</v>
      </c>
      <c r="M194" s="25" t="n">
        <f aca="false">datos_base!$H$2*parametros_recargas!$O$43</f>
        <v>3678.20864831904</v>
      </c>
      <c r="N194" s="25" t="n">
        <f aca="false">datos_base!$H$2*parametros_recargas!$P$43</f>
        <v>3717.73330337619</v>
      </c>
      <c r="O194" s="25" t="n">
        <f aca="false">datos_base!$H$2*parametros_recargas!$Q$43</f>
        <v>3757.68267560052</v>
      </c>
      <c r="P194" s="7" t="n">
        <f aca="false">SUM(D194:O194)</f>
        <v>42546.7737799779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4" t="n">
        <f aca="false">parametros_recargas!C52</f>
        <v>1</v>
      </c>
      <c r="D195" s="25" t="n">
        <f aca="false">datos_base!$H$3*parametros_recargas!$F$43</f>
        <v>289.926203690255</v>
      </c>
      <c r="E195" s="25" t="n">
        <f aca="false">datos_base!$H$3*parametros_recargas!$G$43</f>
        <v>293.041642287824</v>
      </c>
      <c r="F195" s="25" t="n">
        <f aca="false">datos_base!$H$3*parametros_recargas!$H$43</f>
        <v>296.190558223874</v>
      </c>
      <c r="G195" s="25" t="n">
        <f aca="false">datos_base!$H$3*parametros_recargas!$I$43</f>
        <v>299.373311233367</v>
      </c>
      <c r="H195" s="25" t="n">
        <f aca="false">datos_base!$H$3*parametros_recargas!$J$43</f>
        <v>302.590264916847</v>
      </c>
      <c r="I195" s="25" t="n">
        <f aca="false">datos_base!$H$3*parametros_recargas!$K$43</f>
        <v>305.841786781969</v>
      </c>
      <c r="J195" s="25" t="n">
        <f aca="false">datos_base!$H$3*parametros_recargas!$L$43</f>
        <v>309.12824828549</v>
      </c>
      <c r="K195" s="25" t="n">
        <f aca="false">datos_base!$H$3*parametros_recargas!$M$43</f>
        <v>312.450024875703</v>
      </c>
      <c r="L195" s="25" t="n">
        <f aca="false">datos_base!$H$3*parametros_recargas!$N$43</f>
        <v>315.807496035327</v>
      </c>
      <c r="M195" s="25" t="n">
        <f aca="false">datos_base!$H$3*parametros_recargas!$O$43</f>
        <v>319.20104532486</v>
      </c>
      <c r="N195" s="25" t="n">
        <f aca="false">datos_base!$H$3*parametros_recargas!$P$43</f>
        <v>322.6310604264</v>
      </c>
      <c r="O195" s="25" t="n">
        <f aca="false">datos_base!$H$3*parametros_recargas!$Q$43</f>
        <v>326.097933187928</v>
      </c>
      <c r="P195" s="7" t="n">
        <f aca="false">SUM(D195:O195)</f>
        <v>3692.27957526984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4" t="n">
        <f aca="false">parametros_recargas!C53</f>
        <v>1</v>
      </c>
      <c r="D196" s="25" t="n">
        <f aca="false">datos_base!$H$4*parametros_recargas!$F$43</f>
        <v>1781.69364552868</v>
      </c>
      <c r="E196" s="25" t="n">
        <f aca="false">datos_base!$H$4*parametros_recargas!$G$43</f>
        <v>1800.83905936735</v>
      </c>
      <c r="F196" s="25" t="n">
        <f aca="false">datos_base!$H$4*parametros_recargas!$H$43</f>
        <v>1820.19020266572</v>
      </c>
      <c r="G196" s="25" t="n">
        <f aca="false">datos_base!$H$4*parametros_recargas!$I$43</f>
        <v>1839.74928611567</v>
      </c>
      <c r="H196" s="25" t="n">
        <f aca="false">datos_base!$H$4*parametros_recargas!$J$43</f>
        <v>1859.51854416431</v>
      </c>
      <c r="I196" s="25" t="n">
        <f aca="false">datos_base!$H$4*parametros_recargas!$K$43</f>
        <v>1879.50023526931</v>
      </c>
      <c r="J196" s="25" t="n">
        <f aca="false">datos_base!$H$4*parametros_recargas!$L$43</f>
        <v>1899.69664215689</v>
      </c>
      <c r="K196" s="25" t="n">
        <f aca="false">datos_base!$H$4*parametros_recargas!$M$43</f>
        <v>1920.11007208256</v>
      </c>
      <c r="L196" s="25" t="n">
        <f aca="false">datos_base!$H$4*parametros_recargas!$N$43</f>
        <v>1940.74285709477</v>
      </c>
      <c r="M196" s="25" t="n">
        <f aca="false">datos_base!$H$4*parametros_recargas!$O$43</f>
        <v>1961.59735430128</v>
      </c>
      <c r="N196" s="25" t="n">
        <f aca="false">datos_base!$H$4*parametros_recargas!$P$43</f>
        <v>1982.67594613842</v>
      </c>
      <c r="O196" s="25" t="n">
        <f aca="false">datos_base!$H$4*parametros_recargas!$Q$43</f>
        <v>2003.98104064334</v>
      </c>
      <c r="P196" s="7" t="n">
        <f aca="false">SUM(D196:O196)</f>
        <v>22690.2948855283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4" t="n">
        <f aca="false">parametros_recargas!C54</f>
        <v>1</v>
      </c>
      <c r="D197" s="25" t="n">
        <f aca="false">datos_base!$H$5*parametros_recargas!$F$43</f>
        <v>105.552965354204</v>
      </c>
      <c r="E197" s="25" t="n">
        <f aca="false">datos_base!$H$5*parametros_recargas!$G$43</f>
        <v>106.687198059516</v>
      </c>
      <c r="F197" s="25" t="n">
        <f aca="false">datos_base!$H$5*parametros_recargas!$H$43</f>
        <v>107.833618805452</v>
      </c>
      <c r="G197" s="25" t="n">
        <f aca="false">datos_base!$H$5*parametros_recargas!$I$43</f>
        <v>108.992358560142</v>
      </c>
      <c r="H197" s="25" t="n">
        <f aca="false">datos_base!$H$5*parametros_recargas!$J$43</f>
        <v>110.163549699047</v>
      </c>
      <c r="I197" s="25" t="n">
        <f aca="false">datos_base!$H$5*parametros_recargas!$K$43</f>
        <v>111.347326020087</v>
      </c>
      <c r="J197" s="25" t="n">
        <f aca="false">datos_base!$H$5*parametros_recargas!$L$43</f>
        <v>112.543822758925</v>
      </c>
      <c r="K197" s="25" t="n">
        <f aca="false">datos_base!$H$5*parametros_recargas!$M$43</f>
        <v>113.753176604415</v>
      </c>
      <c r="L197" s="25" t="n">
        <f aca="false">datos_base!$H$5*parametros_recargas!$N$43</f>
        <v>114.975525714219</v>
      </c>
      <c r="M197" s="25" t="n">
        <f aca="false">datos_base!$H$5*parametros_recargas!$O$43</f>
        <v>116.211009730588</v>
      </c>
      <c r="N197" s="25" t="n">
        <f aca="false">datos_base!$H$5*parametros_recargas!$P$43</f>
        <v>117.459769796318</v>
      </c>
      <c r="O197" s="25" t="n">
        <f aca="false">datos_base!$H$5*parametros_recargas!$Q$43</f>
        <v>118.721948570873</v>
      </c>
      <c r="P197" s="7" t="n">
        <f aca="false">SUM(D197:O197)</f>
        <v>1344.24226967379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4" t="n">
        <f aca="false">parametros_recargas!C55</f>
        <v>1</v>
      </c>
      <c r="D198" s="25" t="n">
        <f aca="false">datos_base!$H$6*parametros_recargas!$F$43</f>
        <v>147.996171796668</v>
      </c>
      <c r="E198" s="25" t="n">
        <f aca="false">datos_base!$H$6*parametros_recargas!$G$43</f>
        <v>149.586483331256</v>
      </c>
      <c r="F198" s="25" t="n">
        <f aca="false">datos_base!$H$6*parametros_recargas!$H$43</f>
        <v>151.193883759065</v>
      </c>
      <c r="G198" s="25" t="n">
        <f aca="false">datos_base!$H$6*parametros_recargas!$I$43</f>
        <v>152.818556710954</v>
      </c>
      <c r="H198" s="25" t="n">
        <f aca="false">datos_base!$H$6*parametros_recargas!$J$43</f>
        <v>154.460687791009</v>
      </c>
      <c r="I198" s="25" t="n">
        <f aca="false">datos_base!$H$6*parametros_recargas!$K$43</f>
        <v>156.120464597749</v>
      </c>
      <c r="J198" s="25" t="n">
        <f aca="false">datos_base!$H$6*parametros_recargas!$L$43</f>
        <v>157.798076745556</v>
      </c>
      <c r="K198" s="25" t="n">
        <f aca="false">datos_base!$H$6*parametros_recargas!$M$43</f>
        <v>159.493715886337</v>
      </c>
      <c r="L198" s="25" t="n">
        <f aca="false">datos_base!$H$6*parametros_recargas!$N$43</f>
        <v>161.20757573142</v>
      </c>
      <c r="M198" s="25" t="n">
        <f aca="false">datos_base!$H$6*parametros_recargas!$O$43</f>
        <v>162.939852073681</v>
      </c>
      <c r="N198" s="25" t="n">
        <f aca="false">datos_base!$H$6*parametros_recargas!$P$43</f>
        <v>164.690742809915</v>
      </c>
      <c r="O198" s="25" t="n">
        <f aca="false">datos_base!$H$6*parametros_recargas!$Q$43</f>
        <v>166.460447963439</v>
      </c>
      <c r="P198" s="7" t="n">
        <f aca="false">SUM(D198:O198)</f>
        <v>1884.76665919705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4" t="n">
        <f aca="false">parametros_recargas!C56</f>
        <v>1</v>
      </c>
      <c r="D199" s="25" t="n">
        <f aca="false">datos_base!$H$7*parametros_recargas!$F$43</f>
        <v>27.0451114941017</v>
      </c>
      <c r="E199" s="25" t="n">
        <f aca="false">datos_base!$H$7*parametros_recargas!$G$43</f>
        <v>27.3357281515539</v>
      </c>
      <c r="F199" s="25" t="n">
        <f aca="false">datos_base!$H$7*parametros_recargas!$H$43</f>
        <v>27.6294676669618</v>
      </c>
      <c r="G199" s="25" t="n">
        <f aca="false">datos_base!$H$7*parametros_recargas!$I$43</f>
        <v>27.9263635973893</v>
      </c>
      <c r="H199" s="25" t="n">
        <f aca="false">datos_base!$H$7*parametros_recargas!$J$43</f>
        <v>28.2264498604924</v>
      </c>
      <c r="I199" s="25" t="n">
        <f aca="false">datos_base!$H$7*parametros_recargas!$K$43</f>
        <v>28.5297607383932</v>
      </c>
      <c r="J199" s="25" t="n">
        <f aca="false">datos_base!$H$7*parametros_recargas!$L$43</f>
        <v>28.8363308815968</v>
      </c>
      <c r="K199" s="25" t="n">
        <f aca="false">datos_base!$H$7*parametros_recargas!$M$43</f>
        <v>29.1461953129498</v>
      </c>
      <c r="L199" s="25" t="n">
        <f aca="false">datos_base!$H$7*parametros_recargas!$N$43</f>
        <v>29.459389431641</v>
      </c>
      <c r="M199" s="25" t="n">
        <f aca="false">datos_base!$H$7*parametros_recargas!$O$43</f>
        <v>29.7759490172458</v>
      </c>
      <c r="N199" s="25" t="n">
        <f aca="false">datos_base!$H$7*parametros_recargas!$P$43</f>
        <v>30.0959102338135</v>
      </c>
      <c r="O199" s="25" t="n">
        <f aca="false">datos_base!$H$7*parametros_recargas!$Q$43</f>
        <v>30.4193096339987</v>
      </c>
      <c r="P199" s="7" t="n">
        <f aca="false">SUM(D199:O199)</f>
        <v>344.425966020138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4" t="n">
        <f aca="false">parametros_recargas!C57</f>
        <v>3</v>
      </c>
      <c r="D200" s="25" t="n">
        <f aca="false">datos_base!$H$8*parametros_recargas!$F$43</f>
        <v>14.2376314269886</v>
      </c>
      <c r="E200" s="25" t="n">
        <f aca="false">datos_base!$H$8*parametros_recargas!$G$43</f>
        <v>14.3906236916444</v>
      </c>
      <c r="F200" s="25" t="n">
        <f aca="false">datos_base!$H$8*parametros_recargas!$H$43</f>
        <v>14.5452599539808</v>
      </c>
      <c r="G200" s="25" t="n">
        <f aca="false">datos_base!$H$8*parametros_recargas!$I$43</f>
        <v>14.7015578797823</v>
      </c>
      <c r="H200" s="25" t="n">
        <f aca="false">datos_base!$H$8*parametros_recargas!$J$43</f>
        <v>14.8595353246635</v>
      </c>
      <c r="I200" s="25" t="n">
        <f aca="false">datos_base!$H$8*parametros_recargas!$K$43</f>
        <v>15.0192103361083</v>
      </c>
      <c r="J200" s="25" t="n">
        <f aca="false">datos_base!$H$8*parametros_recargas!$L$43</f>
        <v>15.1806011555325</v>
      </c>
      <c r="K200" s="25" t="n">
        <f aca="false">datos_base!$H$8*parametros_recargas!$M$43</f>
        <v>15.3437262203672</v>
      </c>
      <c r="L200" s="25" t="n">
        <f aca="false">datos_base!$H$8*parametros_recargas!$N$43</f>
        <v>15.5086041661653</v>
      </c>
      <c r="M200" s="25" t="n">
        <f aca="false">datos_base!$H$8*parametros_recargas!$O$43</f>
        <v>15.6752538287301</v>
      </c>
      <c r="N200" s="25" t="n">
        <f aca="false">datos_base!$H$8*parametros_recargas!$P$43</f>
        <v>15.8436942462679</v>
      </c>
      <c r="O200" s="25" t="n">
        <f aca="false">datos_base!$H$8*parametros_recargas!$Q$43</f>
        <v>16.013944661562</v>
      </c>
      <c r="P200" s="7" t="n">
        <f aca="false">SUM(D200:O200)</f>
        <v>181.319642891793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4" t="n">
        <f aca="false">parametros_recargas!C58</f>
        <v>1</v>
      </c>
      <c r="D201" s="25" t="n">
        <f aca="false">datos_base!$H$9*parametros_recargas!$F$43</f>
        <v>8.34804529969563</v>
      </c>
      <c r="E201" s="25" t="n">
        <f aca="false">datos_base!$H$9*parametros_recargas!$G$43</f>
        <v>8.43775027361622</v>
      </c>
      <c r="F201" s="25" t="n">
        <f aca="false">datos_base!$H$9*parametros_recargas!$H$43</f>
        <v>8.52841918365085</v>
      </c>
      <c r="G201" s="25" t="n">
        <f aca="false">datos_base!$H$9*parametros_recargas!$I$43</f>
        <v>8.62006238789666</v>
      </c>
      <c r="H201" s="25" t="n">
        <f aca="false">datos_base!$H$9*parametros_recargas!$J$43</f>
        <v>8.71269035575499</v>
      </c>
      <c r="I201" s="25" t="n">
        <f aca="false">datos_base!$H$9*parametros_recargas!$K$43</f>
        <v>8.80631366912748</v>
      </c>
      <c r="J201" s="25" t="n">
        <f aca="false">datos_base!$H$9*parametros_recargas!$L$43</f>
        <v>8.90094302362492</v>
      </c>
      <c r="K201" s="25" t="n">
        <f aca="false">datos_base!$H$9*parametros_recargas!$M$43</f>
        <v>8.99658922978913</v>
      </c>
      <c r="L201" s="25" t="n">
        <f aca="false">datos_base!$H$9*parametros_recargas!$N$43</f>
        <v>9.09326321432799</v>
      </c>
      <c r="M201" s="25" t="n">
        <f aca="false">datos_base!$H$9*parametros_recargas!$O$43</f>
        <v>9.19097602136367</v>
      </c>
      <c r="N201" s="25" t="n">
        <f aca="false">datos_base!$H$9*parametros_recargas!$P$43</f>
        <v>9.28973881369438</v>
      </c>
      <c r="O201" s="25" t="n">
        <f aca="false">datos_base!$H$9*parametros_recargas!$Q$43</f>
        <v>9.38956287406956</v>
      </c>
      <c r="P201" s="7" t="n">
        <f aca="false">SUM(D201:O201)</f>
        <v>106.314354346611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4" t="n">
        <f aca="false">parametros_recargas!C59</f>
        <v>1</v>
      </c>
      <c r="D202" s="25" t="n">
        <f aca="false">datos_base!$H$10*parametros_recargas!$F$43</f>
        <v>72.3636228638831</v>
      </c>
      <c r="E202" s="25" t="n">
        <f aca="false">datos_base!$H$10*parametros_recargas!$G$43</f>
        <v>73.1412153024436</v>
      </c>
      <c r="F202" s="25" t="n">
        <f aca="false">datos_base!$H$10*parametros_recargas!$H$43</f>
        <v>73.9271634586503</v>
      </c>
      <c r="G202" s="25" t="n">
        <f aca="false">datos_base!$H$10*parametros_recargas!$I$43</f>
        <v>74.7215571199212</v>
      </c>
      <c r="H202" s="25" t="n">
        <f aca="false">datos_base!$H$10*parametros_recargas!$J$43</f>
        <v>75.5244870384966</v>
      </c>
      <c r="I202" s="25" t="n">
        <f aca="false">datos_base!$H$10*parametros_recargas!$K$43</f>
        <v>76.3360449418062</v>
      </c>
      <c r="J202" s="25" t="n">
        <f aca="false">datos_base!$H$10*parametros_recargas!$L$43</f>
        <v>77.1563235429483</v>
      </c>
      <c r="K202" s="25" t="n">
        <f aca="false">datos_base!$H$10*parametros_recargas!$M$43</f>
        <v>77.9854165512817</v>
      </c>
      <c r="L202" s="25" t="n">
        <f aca="false">datos_base!$H$10*parametros_recargas!$N$43</f>
        <v>78.8234186831309</v>
      </c>
      <c r="M202" s="25" t="n">
        <f aca="false">datos_base!$H$10*parametros_recargas!$O$43</f>
        <v>79.6704256726066</v>
      </c>
      <c r="N202" s="25" t="n">
        <f aca="false">datos_base!$H$10*parametros_recargas!$P$43</f>
        <v>80.5265342825423</v>
      </c>
      <c r="O202" s="25" t="n">
        <f aca="false">datos_base!$H$10*parametros_recargas!$Q$43</f>
        <v>81.3918423155491</v>
      </c>
      <c r="P202" s="7" t="n">
        <f aca="false">SUM(D202:O202)</f>
        <v>921.56805177326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4" t="n">
        <f aca="false">parametros_recargas!C60</f>
        <v>1</v>
      </c>
      <c r="D203" s="25" t="n">
        <f aca="false">datos_base!$H$11*parametros_recargas!$F$43</f>
        <v>401.656288124689</v>
      </c>
      <c r="E203" s="25" t="n">
        <f aca="false">datos_base!$H$11*parametros_recargas!$G$43</f>
        <v>405.972336439925</v>
      </c>
      <c r="F203" s="25" t="n">
        <f aca="false">datos_base!$H$11*parametros_recargas!$H$43</f>
        <v>410.334763396826</v>
      </c>
      <c r="G203" s="25" t="n">
        <f aca="false">datos_base!$H$11*parametros_recargas!$I$43</f>
        <v>414.744067362937</v>
      </c>
      <c r="H203" s="25" t="n">
        <f aca="false">datos_base!$H$11*parametros_recargas!$J$43</f>
        <v>419.200752061074</v>
      </c>
      <c r="I203" s="25" t="n">
        <f aca="false">datos_base!$H$11*parametros_recargas!$K$43</f>
        <v>423.705326626871</v>
      </c>
      <c r="J203" s="25" t="n">
        <f aca="false">datos_base!$H$11*parametros_recargas!$L$43</f>
        <v>428.258305666942</v>
      </c>
      <c r="K203" s="25" t="n">
        <f aca="false">datos_base!$H$11*parametros_recargas!$M$43</f>
        <v>432.860209317672</v>
      </c>
      <c r="L203" s="25" t="n">
        <f aca="false">datos_base!$H$11*parametros_recargas!$N$43</f>
        <v>437.511563304636</v>
      </c>
      <c r="M203" s="25" t="n">
        <f aca="false">datos_base!$H$11*parametros_recargas!$O$43</f>
        <v>442.212899002662</v>
      </c>
      <c r="N203" s="25" t="n">
        <f aca="false">datos_base!$H$11*parametros_recargas!$P$43</f>
        <v>446.964753496531</v>
      </c>
      <c r="O203" s="25" t="n">
        <f aca="false">datos_base!$H$11*parametros_recargas!$Q$43</f>
        <v>451.767669642337</v>
      </c>
      <c r="P203" s="7" t="n">
        <f aca="false">SUM(D203:O203)</f>
        <v>5115.1889344431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4" t="n">
        <f aca="false">parametros_recargas!C61</f>
        <v>1</v>
      </c>
      <c r="D204" s="25" t="n">
        <f aca="false">datos_base!$H$12*parametros_recargas!$F$43</f>
        <v>132.491360073709</v>
      </c>
      <c r="E204" s="25" t="n">
        <f aca="false">datos_base!$H$12*parametros_recargas!$G$43</f>
        <v>133.915062697908</v>
      </c>
      <c r="F204" s="25" t="n">
        <f aca="false">datos_base!$H$12*parametros_recargas!$H$43</f>
        <v>135.354063898264</v>
      </c>
      <c r="G204" s="25" t="n">
        <f aca="false">datos_base!$H$12*parametros_recargas!$I$43</f>
        <v>136.808528067557</v>
      </c>
      <c r="H204" s="25" t="n">
        <f aca="false">datos_base!$H$12*parametros_recargas!$J$43</f>
        <v>138.27862136507</v>
      </c>
      <c r="I204" s="25" t="n">
        <f aca="false">datos_base!$H$12*parametros_recargas!$K$43</f>
        <v>139.764511735571</v>
      </c>
      <c r="J204" s="25" t="n">
        <f aca="false">datos_base!$H$12*parametros_recargas!$L$43</f>
        <v>141.266368928502</v>
      </c>
      <c r="K204" s="25" t="n">
        <f aca="false">datos_base!$H$12*parametros_recargas!$M$43</f>
        <v>142.784364517368</v>
      </c>
      <c r="L204" s="25" t="n">
        <f aca="false">datos_base!$H$12*parametros_recargas!$N$43</f>
        <v>144.318671919337</v>
      </c>
      <c r="M204" s="25" t="n">
        <f aca="false">datos_base!$H$12*parametros_recargas!$O$43</f>
        <v>145.869466415056</v>
      </c>
      <c r="N204" s="25" t="n">
        <f aca="false">datos_base!$H$12*parametros_recargas!$P$43</f>
        <v>147.43692516867</v>
      </c>
      <c r="O204" s="25" t="n">
        <f aca="false">datos_base!$H$12*parametros_recargas!$Q$43</f>
        <v>149.021227248064</v>
      </c>
      <c r="P204" s="7" t="n">
        <f aca="false">SUM(D204:O204)</f>
        <v>1687.30917203508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4" t="n">
        <f aca="false">parametros_recargas!C62</f>
        <v>1</v>
      </c>
      <c r="D205" s="25" t="n">
        <f aca="false">datos_base!$H$13*parametros_recargas!$F$43</f>
        <v>21.3847515580079</v>
      </c>
      <c r="E205" s="25" t="n">
        <f aca="false">datos_base!$H$13*parametros_recargas!$G$43</f>
        <v>21.6145441036807</v>
      </c>
      <c r="F205" s="25" t="n">
        <f aca="false">datos_base!$H$13*parametros_recargas!$H$43</f>
        <v>21.8468059141427</v>
      </c>
      <c r="G205" s="25" t="n">
        <f aca="false">datos_base!$H$13*parametros_recargas!$I$43</f>
        <v>22.0815635231902</v>
      </c>
      <c r="H205" s="25" t="n">
        <f aca="false">datos_base!$H$13*parametros_recargas!$J$43</f>
        <v>22.3188437497416</v>
      </c>
      <c r="I205" s="25" t="n">
        <f aca="false">datos_base!$H$13*parametros_recargas!$K$43</f>
        <v>22.5586737009017</v>
      </c>
      <c r="J205" s="25" t="n">
        <f aca="false">datos_base!$H$13*parametros_recargas!$L$43</f>
        <v>22.8010807750579</v>
      </c>
      <c r="K205" s="25" t="n">
        <f aca="false">datos_base!$H$13*parametros_recargas!$M$43</f>
        <v>23.0460926650104</v>
      </c>
      <c r="L205" s="25" t="n">
        <f aca="false">datos_base!$H$13*parametros_recargas!$N$43</f>
        <v>23.293737361136</v>
      </c>
      <c r="M205" s="25" t="n">
        <f aca="false">datos_base!$H$13*parametros_recargas!$O$43</f>
        <v>23.5440431545857</v>
      </c>
      <c r="N205" s="25" t="n">
        <f aca="false">datos_base!$H$13*parametros_recargas!$P$43</f>
        <v>23.7970386405163</v>
      </c>
      <c r="O205" s="25" t="n">
        <f aca="false">datos_base!$H$13*parametros_recargas!$Q$43</f>
        <v>24.0527527213577</v>
      </c>
      <c r="P205" s="7" t="n">
        <f aca="false">SUM(D205:O205)</f>
        <v>272.339927867329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4" t="n">
        <f aca="false">parametros_recargas!C63</f>
        <v>1</v>
      </c>
      <c r="D206" s="25" t="n">
        <f aca="false">datos_base!$H$14*parametros_recargas!$F$43</f>
        <v>7.43307812228693</v>
      </c>
      <c r="E206" s="25" t="n">
        <f aca="false">datos_base!$H$14*parametros_recargas!$G$43</f>
        <v>7.51295120097443</v>
      </c>
      <c r="F206" s="25" t="n">
        <f aca="false">datos_base!$H$14*parametros_recargas!$H$43</f>
        <v>7.5936825659054</v>
      </c>
      <c r="G206" s="25" t="n">
        <f aca="false">datos_base!$H$14*parametros_recargas!$I$43</f>
        <v>7.67528143990296</v>
      </c>
      <c r="H206" s="25" t="n">
        <f aca="false">datos_base!$H$14*parametros_recargas!$J$43</f>
        <v>7.75775714489521</v>
      </c>
      <c r="I206" s="25" t="n">
        <f aca="false">datos_base!$H$14*parametros_recargas!$K$43</f>
        <v>7.84111910298023</v>
      </c>
      <c r="J206" s="25" t="n">
        <f aca="false">datos_base!$H$14*parametros_recargas!$L$43</f>
        <v>7.92537683750243</v>
      </c>
      <c r="K206" s="25" t="n">
        <f aca="false">datos_base!$H$14*parametros_recargas!$M$43</f>
        <v>8.01053997414052</v>
      </c>
      <c r="L206" s="25" t="n">
        <f aca="false">datos_base!$H$14*parametros_recargas!$N$43</f>
        <v>8.09661824200717</v>
      </c>
      <c r="M206" s="25" t="n">
        <f aca="false">datos_base!$H$14*parametros_recargas!$O$43</f>
        <v>8.18362147476043</v>
      </c>
      <c r="N206" s="25" t="n">
        <f aca="false">datos_base!$H$14*parametros_recargas!$P$43</f>
        <v>8.27155961172719</v>
      </c>
      <c r="O206" s="25" t="n">
        <f aca="false">datos_base!$H$14*parametros_recargas!$Q$43</f>
        <v>8.36044269903861</v>
      </c>
      <c r="P206" s="7" t="n">
        <f aca="false">SUM(D206:O206)</f>
        <v>94.6620284161215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4" t="n">
        <f aca="false">parametros_recargas!C64</f>
        <v>3</v>
      </c>
      <c r="D207" s="25" t="n">
        <f aca="false">datos_base!$H$15*parametros_recargas!$F$43</f>
        <v>17.935097353085</v>
      </c>
      <c r="E207" s="25" t="n">
        <f aca="false">datos_base!$H$15*parametros_recargas!$G$43</f>
        <v>18.1278212043056</v>
      </c>
      <c r="F207" s="25" t="n">
        <f aca="false">datos_base!$H$15*parametros_recargas!$H$43</f>
        <v>18.3226159939827</v>
      </c>
      <c r="G207" s="25" t="n">
        <f aca="false">datos_base!$H$15*parametros_recargas!$I$43</f>
        <v>18.5195039756468</v>
      </c>
      <c r="H207" s="25" t="n">
        <f aca="false">datos_base!$H$15*parametros_recargas!$J$43</f>
        <v>18.7185076419563</v>
      </c>
      <c r="I207" s="25" t="n">
        <f aca="false">datos_base!$H$15*parametros_recargas!$K$43</f>
        <v>18.9196497272676</v>
      </c>
      <c r="J207" s="25" t="n">
        <f aca="false">datos_base!$H$15*parametros_recargas!$L$43</f>
        <v>19.1229532102318</v>
      </c>
      <c r="K207" s="25" t="n">
        <f aca="false">datos_base!$H$15*parametros_recargas!$M$43</f>
        <v>19.3284413164201</v>
      </c>
      <c r="L207" s="25" t="n">
        <f aca="false">datos_base!$H$15*parametros_recargas!$N$43</f>
        <v>19.5361375209769</v>
      </c>
      <c r="M207" s="25" t="n">
        <f aca="false">datos_base!$H$15*parametros_recargas!$O$43</f>
        <v>19.7460655513018</v>
      </c>
      <c r="N207" s="25" t="n">
        <f aca="false">datos_base!$H$15*parametros_recargas!$P$43</f>
        <v>19.9582493897602</v>
      </c>
      <c r="O207" s="25" t="n">
        <f aca="false">datos_base!$H$15*parametros_recargas!$Q$43</f>
        <v>20.1727132764229</v>
      </c>
      <c r="P207" s="7" t="n">
        <f aca="false">SUM(D207:O207)</f>
        <v>228.407756161358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4" t="n">
        <f aca="false">parametros_recargas!C65</f>
        <v>3</v>
      </c>
      <c r="D208" s="25" t="n">
        <f aca="false">datos_base!$H$16*parametros_recargas!$F$43</f>
        <v>39.4572141903667</v>
      </c>
      <c r="E208" s="25" t="n">
        <f aca="false">datos_base!$H$16*parametros_recargas!$G$43</f>
        <v>39.881206663198</v>
      </c>
      <c r="F208" s="25" t="n">
        <f aca="false">datos_base!$H$16*parametros_recargas!$H$43</f>
        <v>40.3097552006352</v>
      </c>
      <c r="G208" s="25" t="n">
        <f aca="false">datos_base!$H$16*parametros_recargas!$I$43</f>
        <v>40.7429087604452</v>
      </c>
      <c r="H208" s="25" t="n">
        <f aca="false">datos_base!$H$16*parametros_recargas!$J$43</f>
        <v>41.1807168264768</v>
      </c>
      <c r="I208" s="25" t="n">
        <f aca="false">datos_base!$H$16*parametros_recargas!$K$43</f>
        <v>41.623229414314</v>
      </c>
      <c r="J208" s="25" t="n">
        <f aca="false">datos_base!$H$16*parametros_recargas!$L$43</f>
        <v>42.0704970769892</v>
      </c>
      <c r="K208" s="25" t="n">
        <f aca="false">datos_base!$H$16*parametros_recargas!$M$43</f>
        <v>42.522570910759</v>
      </c>
      <c r="L208" s="25" t="n">
        <f aca="false">datos_base!$H$16*parametros_recargas!$N$43</f>
        <v>42.9795025609412</v>
      </c>
      <c r="M208" s="25" t="n">
        <f aca="false">datos_base!$H$16*parametros_recargas!$O$43</f>
        <v>43.441344227815</v>
      </c>
      <c r="N208" s="25" t="n">
        <f aca="false">datos_base!$H$16*parametros_recargas!$P$43</f>
        <v>43.908148672584</v>
      </c>
      <c r="O208" s="25" t="n">
        <f aca="false">datos_base!$H$16*parametros_recargas!$Q$43</f>
        <v>44.3799692234044</v>
      </c>
      <c r="P208" s="7" t="n">
        <f aca="false">SUM(D208:O208)</f>
        <v>502.497063727929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4" t="n">
        <f aca="false">parametros_recargas!C66</f>
        <v>3</v>
      </c>
      <c r="D209" s="25" t="n">
        <f aca="false">datos_base!$H$17*parametros_recargas!$F$43</f>
        <v>8.6088467258595</v>
      </c>
      <c r="E209" s="25" t="n">
        <f aca="false">datos_base!$H$17*parametros_recargas!$G$43</f>
        <v>8.7013541744065</v>
      </c>
      <c r="F209" s="25" t="n">
        <f aca="false">datos_base!$H$17*parametros_recargas!$H$43</f>
        <v>8.79485567341218</v>
      </c>
      <c r="G209" s="25" t="n">
        <f aca="false">datos_base!$H$17*parametros_recargas!$I$43</f>
        <v>8.88936190457117</v>
      </c>
      <c r="H209" s="25" t="n">
        <f aca="false">datos_base!$H$17*parametros_recargas!$J$43</f>
        <v>8.98488366435957</v>
      </c>
      <c r="I209" s="25" t="n">
        <f aca="false">datos_base!$H$17*parametros_recargas!$K$43</f>
        <v>9.08143186526839</v>
      </c>
      <c r="J209" s="25" t="n">
        <f aca="false">datos_base!$H$17*parametros_recargas!$L$43</f>
        <v>9.17901753705016</v>
      </c>
      <c r="K209" s="25" t="n">
        <f aca="false">datos_base!$H$17*parametros_recargas!$M$43</f>
        <v>9.27765182797904</v>
      </c>
      <c r="L209" s="25" t="n">
        <f aca="false">datos_base!$H$17*parametros_recargas!$N$43</f>
        <v>9.37734600612437</v>
      </c>
      <c r="M209" s="25" t="n">
        <f aca="false">datos_base!$H$17*parametros_recargas!$O$43</f>
        <v>9.47811146063794</v>
      </c>
      <c r="N209" s="25" t="n">
        <f aca="false">datos_base!$H$17*parametros_recargas!$P$43</f>
        <v>9.57995970305511</v>
      </c>
      <c r="O209" s="25" t="n">
        <f aca="false">datos_base!$H$17*parametros_recargas!$Q$43</f>
        <v>9.68290236860991</v>
      </c>
      <c r="P209" s="7" t="n">
        <f aca="false">SUM(D209:O209)</f>
        <v>109.635722911334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4" t="n">
        <f aca="false">parametros_recargas!C67</f>
        <v>3</v>
      </c>
      <c r="D210" s="25" t="n">
        <f aca="false">datos_base!$H$18*parametros_recargas!$F$43</f>
        <v>5.73923116566166</v>
      </c>
      <c r="E210" s="25" t="n">
        <f aca="false">datos_base!$H$18*parametros_recargas!$G$43</f>
        <v>5.80090279818846</v>
      </c>
      <c r="F210" s="25" t="n">
        <f aca="false">datos_base!$H$18*parametros_recargas!$H$43</f>
        <v>5.8632371310228</v>
      </c>
      <c r="G210" s="25" t="n">
        <f aca="false">datos_base!$H$18*parametros_recargas!$I$43</f>
        <v>5.92624128529443</v>
      </c>
      <c r="H210" s="25" t="n">
        <f aca="false">datos_base!$H$18*parametros_recargas!$J$43</f>
        <v>5.98992245865412</v>
      </c>
      <c r="I210" s="25" t="n">
        <f aca="false">datos_base!$H$18*parametros_recargas!$K$43</f>
        <v>6.05428792609588</v>
      </c>
      <c r="J210" s="25" t="n">
        <f aca="false">datos_base!$H$18*parametros_recargas!$L$43</f>
        <v>6.1193450407881</v>
      </c>
      <c r="K210" s="25" t="n">
        <f aca="false">datos_base!$H$18*parametros_recargas!$M$43</f>
        <v>6.18510123491356</v>
      </c>
      <c r="L210" s="25" t="n">
        <f aca="false">datos_base!$H$18*parametros_recargas!$N$43</f>
        <v>6.25156402051852</v>
      </c>
      <c r="M210" s="25" t="n">
        <f aca="false">datos_base!$H$18*parametros_recargas!$O$43</f>
        <v>6.31874099037084</v>
      </c>
      <c r="N210" s="25" t="n">
        <f aca="false">datos_base!$H$18*parametros_recargas!$P$43</f>
        <v>6.38663981882746</v>
      </c>
      <c r="O210" s="25" t="n">
        <f aca="false">datos_base!$H$18*parametros_recargas!$Q$43</f>
        <v>6.45526826271109</v>
      </c>
      <c r="P210" s="7" t="n">
        <f aca="false">SUM(D210:O210)</f>
        <v>73.0904821330469</v>
      </c>
    </row>
    <row r="211" customFormat="false" ht="15" hidden="false" customHeight="false" outlineLevel="0" collapsed="false">
      <c r="A211" s="6" t="s">
        <v>272</v>
      </c>
      <c r="D211" s="7" t="n">
        <f aca="false">SUM(D194:D210)</f>
        <v>6422.73886844531</v>
      </c>
      <c r="E211" s="7" t="n">
        <f aca="false">SUM(E194:E210)</f>
        <v>6491.7552192207</v>
      </c>
      <c r="F211" s="7" t="n">
        <f aca="false">SUM(F194:F210)</f>
        <v>6561.51319390015</v>
      </c>
      <c r="G211" s="7" t="n">
        <f aca="false">SUM(G194:G210)</f>
        <v>6632.02076169687</v>
      </c>
      <c r="H211" s="7" t="n">
        <f aca="false">SUM(H194:H210)</f>
        <v>6703.28597745827</v>
      </c>
      <c r="I211" s="7" t="n">
        <f aca="false">SUM(I194:I210)</f>
        <v>6775.31698258615</v>
      </c>
      <c r="J211" s="7" t="n">
        <f aca="false">SUM(J194:J210)</f>
        <v>6848.12200596675</v>
      </c>
      <c r="K211" s="7" t="n">
        <f aca="false">SUM(K194:K210)</f>
        <v>6921.70936491083</v>
      </c>
      <c r="L211" s="7" t="n">
        <f aca="false">SUM(L194:L210)</f>
        <v>6996.08746610392</v>
      </c>
      <c r="M211" s="7" t="n">
        <f aca="false">SUM(M194:M210)</f>
        <v>7071.26480656659</v>
      </c>
      <c r="N211" s="7" t="n">
        <f aca="false">SUM(N194:N210)</f>
        <v>7147.24997462524</v>
      </c>
      <c r="O211" s="7" t="n">
        <f aca="false">SUM(O194:O210)</f>
        <v>7224.05165089322</v>
      </c>
      <c r="P211" s="7" t="n">
        <f aca="false">SUM(P194:P210)</f>
        <v>81795.116272374</v>
      </c>
    </row>
    <row r="212" customFormat="false" ht="15" hidden="false" customHeight="false" outlineLevel="0" collapsed="false">
      <c r="A212" s="6" t="s">
        <v>273</v>
      </c>
    </row>
    <row r="213" customFormat="false" ht="15" hidden="false" customHeight="false" outlineLevel="0" collapsed="false">
      <c r="A213" s="4" t="s">
        <v>143</v>
      </c>
      <c r="D213" s="25" t="n">
        <f aca="false">SUMPRODUCT(($B$194:$B$210=$A213)*D$194:D$210*$C$194:$C$210)</f>
        <v>5733.26358655523</v>
      </c>
      <c r="E213" s="25" t="n">
        <f aca="false">SUMPRODUCT(($B$194:$B$210=$A213)*E$194:E$210*$C$194:$C$210)</f>
        <v>5794.8710937079</v>
      </c>
      <c r="F213" s="25" t="n">
        <f aca="false">SUMPRODUCT(($B$194:$B$210=$A213)*F$194:F$210*$C$194:$C$210)</f>
        <v>5857.1406121008</v>
      </c>
      <c r="G213" s="25" t="n">
        <f aca="false">SUMPRODUCT(($B$194:$B$210=$A213)*G$194:G$210*$C$194:$C$210)</f>
        <v>5920.07925545925</v>
      </c>
      <c r="H213" s="25" t="n">
        <f aca="false">SUMPRODUCT(($B$194:$B$210=$A213)*H$194:H$210*$C$194:$C$210)</f>
        <v>5983.69421394997</v>
      </c>
      <c r="I213" s="25" t="n">
        <f aca="false">SUMPRODUCT(($B$194:$B$210=$A213)*I$194:I$210*$C$194:$C$210)</f>
        <v>6047.99275500253</v>
      </c>
      <c r="J213" s="25" t="n">
        <f aca="false">SUMPRODUCT(($B$194:$B$210=$A213)*J$194:J$210*$C$194:$C$210)</f>
        <v>6112.9822241396</v>
      </c>
      <c r="K213" s="25" t="n">
        <f aca="false">SUMPRODUCT(($B$194:$B$210=$A213)*K$194:K$210*$C$194:$C$210)</f>
        <v>6178.67004581606</v>
      </c>
      <c r="L213" s="25" t="n">
        <f aca="false">SUMPRODUCT(($B$194:$B$210=$A213)*L$194:L$210*$C$194:$C$210)</f>
        <v>6245.06372426724</v>
      </c>
      <c r="M213" s="25" t="n">
        <f aca="false">SUMPRODUCT(($B$194:$B$210=$A213)*M$194:M$210*$C$194:$C$210)</f>
        <v>6312.17084436615</v>
      </c>
      <c r="N213" s="25" t="n">
        <f aca="false">SUMPRODUCT(($B$194:$B$210=$A213)*N$194:N$210*$C$194:$C$210)</f>
        <v>6379.99907249001</v>
      </c>
      <c r="O213" s="25" t="n">
        <f aca="false">SUMPRODUCT(($B$194:$B$210=$A213)*O$194:O$210*$C$194:$C$210)</f>
        <v>6448.5561573961</v>
      </c>
      <c r="P213" s="25" t="n">
        <f aca="false">SUMPRODUCT(($B$194:$B$210=$A213)*P$194:P$210*$C$194:$C$210)</f>
        <v>73014.4835852508</v>
      </c>
    </row>
    <row r="214" customFormat="false" ht="15" hidden="false" customHeight="false" outlineLevel="0" collapsed="false">
      <c r="A214" s="4" t="s">
        <v>149</v>
      </c>
      <c r="D214" s="25" t="n">
        <f aca="false">SUMPRODUCT(($B$194:$B$210=$A214)*D$194:D$210*$C$194:$C$210)</f>
        <v>8.34804529969563</v>
      </c>
      <c r="E214" s="25" t="n">
        <f aca="false">SUMPRODUCT(($B$194:$B$210=$A214)*E$194:E$210*$C$194:$C$210)</f>
        <v>8.43775027361622</v>
      </c>
      <c r="F214" s="25" t="n">
        <f aca="false">SUMPRODUCT(($B$194:$B$210=$A214)*F$194:F$210*$C$194:$C$210)</f>
        <v>8.52841918365085</v>
      </c>
      <c r="G214" s="25" t="n">
        <f aca="false">SUMPRODUCT(($B$194:$B$210=$A214)*G$194:G$210*$C$194:$C$210)</f>
        <v>8.62006238789666</v>
      </c>
      <c r="H214" s="25" t="n">
        <f aca="false">SUMPRODUCT(($B$194:$B$210=$A214)*H$194:H$210*$C$194:$C$210)</f>
        <v>8.71269035575499</v>
      </c>
      <c r="I214" s="25" t="n">
        <f aca="false">SUMPRODUCT(($B$194:$B$210=$A214)*I$194:I$210*$C$194:$C$210)</f>
        <v>8.80631366912748</v>
      </c>
      <c r="J214" s="25" t="n">
        <f aca="false">SUMPRODUCT(($B$194:$B$210=$A214)*J$194:J$210*$C$194:$C$210)</f>
        <v>8.90094302362492</v>
      </c>
      <c r="K214" s="25" t="n">
        <f aca="false">SUMPRODUCT(($B$194:$B$210=$A214)*K$194:K$210*$C$194:$C$210)</f>
        <v>8.99658922978913</v>
      </c>
      <c r="L214" s="25" t="n">
        <f aca="false">SUMPRODUCT(($B$194:$B$210=$A214)*L$194:L$210*$C$194:$C$210)</f>
        <v>9.09326321432799</v>
      </c>
      <c r="M214" s="25" t="n">
        <f aca="false">SUMPRODUCT(($B$194:$B$210=$A214)*M$194:M$210*$C$194:$C$210)</f>
        <v>9.19097602136367</v>
      </c>
      <c r="N214" s="25" t="n">
        <f aca="false">SUMPRODUCT(($B$194:$B$210=$A214)*N$194:N$210*$C$194:$C$210)</f>
        <v>9.28973881369438</v>
      </c>
      <c r="O214" s="25" t="n">
        <f aca="false">SUMPRODUCT(($B$194:$B$210=$A214)*O$194:O$210*$C$194:$C$210)</f>
        <v>9.38956287406956</v>
      </c>
      <c r="P214" s="25" t="n">
        <f aca="false">SUMPRODUCT(($B$194:$B$210=$A214)*P$194:P$210*$C$194:$C$210)</f>
        <v>106.314354346611</v>
      </c>
    </row>
    <row r="215" customFormat="false" ht="15" hidden="false" customHeight="false" outlineLevel="0" collapsed="false">
      <c r="A215" s="4" t="s">
        <v>155</v>
      </c>
      <c r="D215" s="25" t="n">
        <f aca="false">SUMPRODUCT(($B$194:$B$210=$A215)*D$194:D$210*$C$194:$C$210)</f>
        <v>7.43307812228693</v>
      </c>
      <c r="E215" s="25" t="n">
        <f aca="false">SUMPRODUCT(($B$194:$B$210=$A215)*E$194:E$210*$C$194:$C$210)</f>
        <v>7.51295120097443</v>
      </c>
      <c r="F215" s="25" t="n">
        <f aca="false">SUMPRODUCT(($B$194:$B$210=$A215)*F$194:F$210*$C$194:$C$210)</f>
        <v>7.5936825659054</v>
      </c>
      <c r="G215" s="25" t="n">
        <f aca="false">SUMPRODUCT(($B$194:$B$210=$A215)*G$194:G$210*$C$194:$C$210)</f>
        <v>7.67528143990296</v>
      </c>
      <c r="H215" s="25" t="n">
        <f aca="false">SUMPRODUCT(($B$194:$B$210=$A215)*H$194:H$210*$C$194:$C$210)</f>
        <v>7.75775714489521</v>
      </c>
      <c r="I215" s="25" t="n">
        <f aca="false">SUMPRODUCT(($B$194:$B$210=$A215)*I$194:I$210*$C$194:$C$210)</f>
        <v>7.84111910298023</v>
      </c>
      <c r="J215" s="25" t="n">
        <f aca="false">SUMPRODUCT(($B$194:$B$210=$A215)*J$194:J$210*$C$194:$C$210)</f>
        <v>7.92537683750243</v>
      </c>
      <c r="K215" s="25" t="n">
        <f aca="false">SUMPRODUCT(($B$194:$B$210=$A215)*K$194:K$210*$C$194:$C$210)</f>
        <v>8.01053997414052</v>
      </c>
      <c r="L215" s="25" t="n">
        <f aca="false">SUMPRODUCT(($B$194:$B$210=$A215)*L$194:L$210*$C$194:$C$210)</f>
        <v>8.09661824200717</v>
      </c>
      <c r="M215" s="25" t="n">
        <f aca="false">SUMPRODUCT(($B$194:$B$210=$A215)*M$194:M$210*$C$194:$C$210)</f>
        <v>8.18362147476043</v>
      </c>
      <c r="N215" s="25" t="n">
        <f aca="false">SUMPRODUCT(($B$194:$B$210=$A215)*N$194:N$210*$C$194:$C$210)</f>
        <v>8.27155961172719</v>
      </c>
      <c r="O215" s="25" t="n">
        <f aca="false">SUMPRODUCT(($B$194:$B$210=$A215)*O$194:O$210*$C$194:$C$210)</f>
        <v>8.36044269903861</v>
      </c>
      <c r="P215" s="25" t="n">
        <f aca="false">SUMPRODUCT(($B$194:$B$210=$A215)*P$194:P$210*$C$194:$C$210)</f>
        <v>94.6620284161215</v>
      </c>
    </row>
    <row r="216" customFormat="false" ht="15" hidden="false" customHeight="false" outlineLevel="0" collapsed="false">
      <c r="A216" s="4" t="s">
        <v>146</v>
      </c>
      <c r="D216" s="25" t="n">
        <f aca="false">SUMPRODUCT(($B$194:$B$210=$A216)*D$194:D$210*$C$194:$C$210)</f>
        <v>147.996171796668</v>
      </c>
      <c r="E216" s="25" t="n">
        <f aca="false">SUMPRODUCT(($B$194:$B$210=$A216)*E$194:E$210*$C$194:$C$210)</f>
        <v>149.586483331256</v>
      </c>
      <c r="F216" s="25" t="n">
        <f aca="false">SUMPRODUCT(($B$194:$B$210=$A216)*F$194:F$210*$C$194:$C$210)</f>
        <v>151.193883759065</v>
      </c>
      <c r="G216" s="25" t="n">
        <f aca="false">SUMPRODUCT(($B$194:$B$210=$A216)*G$194:G$210*$C$194:$C$210)</f>
        <v>152.818556710954</v>
      </c>
      <c r="H216" s="25" t="n">
        <f aca="false">SUMPRODUCT(($B$194:$B$210=$A216)*H$194:H$210*$C$194:$C$210)</f>
        <v>154.460687791009</v>
      </c>
      <c r="I216" s="25" t="n">
        <f aca="false">SUMPRODUCT(($B$194:$B$210=$A216)*I$194:I$210*$C$194:$C$210)</f>
        <v>156.120464597749</v>
      </c>
      <c r="J216" s="25" t="n">
        <f aca="false">SUMPRODUCT(($B$194:$B$210=$A216)*J$194:J$210*$C$194:$C$210)</f>
        <v>157.798076745556</v>
      </c>
      <c r="K216" s="25" t="n">
        <f aca="false">SUMPRODUCT(($B$194:$B$210=$A216)*K$194:K$210*$C$194:$C$210)</f>
        <v>159.493715886337</v>
      </c>
      <c r="L216" s="25" t="n">
        <f aca="false">SUMPRODUCT(($B$194:$B$210=$A216)*L$194:L$210*$C$194:$C$210)</f>
        <v>161.20757573142</v>
      </c>
      <c r="M216" s="25" t="n">
        <f aca="false">SUMPRODUCT(($B$194:$B$210=$A216)*M$194:M$210*$C$194:$C$210)</f>
        <v>162.939852073681</v>
      </c>
      <c r="N216" s="25" t="n">
        <f aca="false">SUMPRODUCT(($B$194:$B$210=$A216)*N$194:N$210*$C$194:$C$210)</f>
        <v>164.690742809915</v>
      </c>
      <c r="O216" s="25" t="n">
        <f aca="false">SUMPRODUCT(($B$194:$B$210=$A216)*O$194:O$210*$C$194:$C$210)</f>
        <v>166.460447963439</v>
      </c>
      <c r="P216" s="25" t="n">
        <f aca="false">SUMPRODUCT(($B$194:$B$210=$A216)*P$194:P$210*$C$194:$C$210)</f>
        <v>1884.76665919705</v>
      </c>
    </row>
    <row r="217" customFormat="false" ht="15" hidden="false" customHeight="false" outlineLevel="0" collapsed="false">
      <c r="A217" s="4" t="s">
        <v>147</v>
      </c>
      <c r="D217" s="25" t="n">
        <f aca="false">SUMPRODUCT(($B$194:$B$210=$A217)*D$194:D$210*$C$194:$C$210)</f>
        <v>69.7580057750676</v>
      </c>
      <c r="E217" s="25" t="n">
        <f aca="false">SUMPRODUCT(($B$194:$B$210=$A217)*E$194:E$210*$C$194:$C$210)</f>
        <v>70.507599226487</v>
      </c>
      <c r="F217" s="25" t="n">
        <f aca="false">SUMPRODUCT(($B$194:$B$210=$A217)*F$194:F$210*$C$194:$C$210)</f>
        <v>71.2652475289041</v>
      </c>
      <c r="G217" s="25" t="n">
        <f aca="false">SUMPRODUCT(($B$194:$B$210=$A217)*G$194:G$210*$C$194:$C$210)</f>
        <v>72.0310372367363</v>
      </c>
      <c r="H217" s="25" t="n">
        <f aca="false">SUMPRODUCT(($B$194:$B$210=$A217)*H$194:H$210*$C$194:$C$210)</f>
        <v>72.8050558344828</v>
      </c>
      <c r="I217" s="25" t="n">
        <f aca="false">SUMPRODUCT(($B$194:$B$210=$A217)*I$194:I$210*$C$194:$C$210)</f>
        <v>73.5873917467181</v>
      </c>
      <c r="J217" s="25" t="n">
        <f aca="false">SUMPRODUCT(($B$194:$B$210=$A217)*J$194:J$210*$C$194:$C$210)</f>
        <v>74.3781343481944</v>
      </c>
      <c r="K217" s="25" t="n">
        <f aca="false">SUMPRODUCT(($B$194:$B$210=$A217)*K$194:K$210*$C$194:$C$210)</f>
        <v>75.1773739740515</v>
      </c>
      <c r="L217" s="25" t="n">
        <f aca="false">SUMPRODUCT(($B$194:$B$210=$A217)*L$194:L$210*$C$194:$C$210)</f>
        <v>75.9852019301368</v>
      </c>
      <c r="M217" s="25" t="n">
        <f aca="false">SUMPRODUCT(($B$194:$B$210=$A217)*M$194:M$210*$C$194:$C$210)</f>
        <v>76.8017105034362</v>
      </c>
      <c r="N217" s="25" t="n">
        <f aca="false">SUMPRODUCT(($B$194:$B$210=$A217)*N$194:N$210*$C$194:$C$210)</f>
        <v>77.6269929726171</v>
      </c>
      <c r="O217" s="25" t="n">
        <f aca="false">SUMPRODUCT(($B$194:$B$210=$A217)*O$194:O$210*$C$194:$C$210)</f>
        <v>78.4611436186846</v>
      </c>
      <c r="P217" s="25" t="n">
        <f aca="false">SUMPRODUCT(($B$194:$B$210=$A217)*P$194:P$210*$C$194:$C$210)</f>
        <v>888.384894695516</v>
      </c>
    </row>
    <row r="218" customFormat="false" ht="15" hidden="false" customHeight="false" outlineLevel="0" collapsed="false">
      <c r="A218" s="4" t="s">
        <v>150</v>
      </c>
      <c r="D218" s="25" t="n">
        <f aca="false">SUMPRODUCT(($B$194:$B$210=$A218)*D$194:D$210*$C$194:$C$210)</f>
        <v>72.3636228638831</v>
      </c>
      <c r="E218" s="25" t="n">
        <f aca="false">SUMPRODUCT(($B$194:$B$210=$A218)*E$194:E$210*$C$194:$C$210)</f>
        <v>73.1412153024436</v>
      </c>
      <c r="F218" s="25" t="n">
        <f aca="false">SUMPRODUCT(($B$194:$B$210=$A218)*F$194:F$210*$C$194:$C$210)</f>
        <v>73.9271634586503</v>
      </c>
      <c r="G218" s="25" t="n">
        <f aca="false">SUMPRODUCT(($B$194:$B$210=$A218)*G$194:G$210*$C$194:$C$210)</f>
        <v>74.7215571199212</v>
      </c>
      <c r="H218" s="25" t="n">
        <f aca="false">SUMPRODUCT(($B$194:$B$210=$A218)*H$194:H$210*$C$194:$C$210)</f>
        <v>75.5244870384966</v>
      </c>
      <c r="I218" s="25" t="n">
        <f aca="false">SUMPRODUCT(($B$194:$B$210=$A218)*I$194:I$210*$C$194:$C$210)</f>
        <v>76.3360449418062</v>
      </c>
      <c r="J218" s="25" t="n">
        <f aca="false">SUMPRODUCT(($B$194:$B$210=$A218)*J$194:J$210*$C$194:$C$210)</f>
        <v>77.1563235429483</v>
      </c>
      <c r="K218" s="25" t="n">
        <f aca="false">SUMPRODUCT(($B$194:$B$210=$A218)*K$194:K$210*$C$194:$C$210)</f>
        <v>77.9854165512817</v>
      </c>
      <c r="L218" s="25" t="n">
        <f aca="false">SUMPRODUCT(($B$194:$B$210=$A218)*L$194:L$210*$C$194:$C$210)</f>
        <v>78.8234186831309</v>
      </c>
      <c r="M218" s="25" t="n">
        <f aca="false">SUMPRODUCT(($B$194:$B$210=$A218)*M$194:M$210*$C$194:$C$210)</f>
        <v>79.6704256726066</v>
      </c>
      <c r="N218" s="25" t="n">
        <f aca="false">SUMPRODUCT(($B$194:$B$210=$A218)*N$194:N$210*$C$194:$C$210)</f>
        <v>80.5265342825423</v>
      </c>
      <c r="O218" s="25" t="n">
        <f aca="false">SUMPRODUCT(($B$194:$B$210=$A218)*O$194:O$210*$C$194:$C$210)</f>
        <v>81.3918423155491</v>
      </c>
      <c r="P218" s="25" t="n">
        <f aca="false">SUMPRODUCT(($B$194:$B$210=$A218)*P$194:P$210*$C$194:$C$210)</f>
        <v>921.56805177326</v>
      </c>
    </row>
    <row r="219" customFormat="false" ht="15" hidden="false" customHeight="false" outlineLevel="0" collapsed="false">
      <c r="A219" s="4" t="s">
        <v>151</v>
      </c>
      <c r="D219" s="25" t="n">
        <f aca="false">SUMPRODUCT(($B$194:$B$210=$A219)*D$194:D$210*$C$194:$C$210)</f>
        <v>534.147648198398</v>
      </c>
      <c r="E219" s="25" t="n">
        <f aca="false">SUMPRODUCT(($B$194:$B$210=$A219)*E$194:E$210*$C$194:$C$210)</f>
        <v>539.887399137833</v>
      </c>
      <c r="F219" s="25" t="n">
        <f aca="false">SUMPRODUCT(($B$194:$B$210=$A219)*F$194:F$210*$C$194:$C$210)</f>
        <v>545.68882729509</v>
      </c>
      <c r="G219" s="25" t="n">
        <f aca="false">SUMPRODUCT(($B$194:$B$210=$A219)*G$194:G$210*$C$194:$C$210)</f>
        <v>551.552595430494</v>
      </c>
      <c r="H219" s="25" t="n">
        <f aca="false">SUMPRODUCT(($B$194:$B$210=$A219)*H$194:H$210*$C$194:$C$210)</f>
        <v>557.479373426144</v>
      </c>
      <c r="I219" s="25" t="n">
        <f aca="false">SUMPRODUCT(($B$194:$B$210=$A219)*I$194:I$210*$C$194:$C$210)</f>
        <v>563.469838362442</v>
      </c>
      <c r="J219" s="25" t="n">
        <f aca="false">SUMPRODUCT(($B$194:$B$210=$A219)*J$194:J$210*$C$194:$C$210)</f>
        <v>569.524674595444</v>
      </c>
      <c r="K219" s="25" t="n">
        <f aca="false">SUMPRODUCT(($B$194:$B$210=$A219)*K$194:K$210*$C$194:$C$210)</f>
        <v>575.64457383504</v>
      </c>
      <c r="L219" s="25" t="n">
        <f aca="false">SUMPRODUCT(($B$194:$B$210=$A219)*L$194:L$210*$C$194:$C$210)</f>
        <v>581.830235223974</v>
      </c>
      <c r="M219" s="25" t="n">
        <f aca="false">SUMPRODUCT(($B$194:$B$210=$A219)*M$194:M$210*$C$194:$C$210)</f>
        <v>588.082365417718</v>
      </c>
      <c r="N219" s="25" t="n">
        <f aca="false">SUMPRODUCT(($B$194:$B$210=$A219)*N$194:N$210*$C$194:$C$210)</f>
        <v>594.401678665201</v>
      </c>
      <c r="O219" s="25" t="n">
        <f aca="false">SUMPRODUCT(($B$194:$B$210=$A219)*O$194:O$210*$C$194:$C$210)</f>
        <v>600.788896890402</v>
      </c>
      <c r="P219" s="25" t="n">
        <f aca="false">SUMPRODUCT(($B$194:$B$210=$A219)*P$194:P$210*$C$194:$C$210)</f>
        <v>6802.49810647818</v>
      </c>
    </row>
    <row r="220" customFormat="false" ht="15" hidden="false" customHeight="false" outlineLevel="0" collapsed="false">
      <c r="A220" s="4" t="s">
        <v>154</v>
      </c>
      <c r="D220" s="25" t="n">
        <f aca="false">SUMPRODUCT(($B$194:$B$210=$A220)*D$194:D$210*$C$194:$C$210)</f>
        <v>21.3847515580079</v>
      </c>
      <c r="E220" s="25" t="n">
        <f aca="false">SUMPRODUCT(($B$194:$B$210=$A220)*E$194:E$210*$C$194:$C$210)</f>
        <v>21.6145441036807</v>
      </c>
      <c r="F220" s="25" t="n">
        <f aca="false">SUMPRODUCT(($B$194:$B$210=$A220)*F$194:F$210*$C$194:$C$210)</f>
        <v>21.8468059141427</v>
      </c>
      <c r="G220" s="25" t="n">
        <f aca="false">SUMPRODUCT(($B$194:$B$210=$A220)*G$194:G$210*$C$194:$C$210)</f>
        <v>22.0815635231902</v>
      </c>
      <c r="H220" s="25" t="n">
        <f aca="false">SUMPRODUCT(($B$194:$B$210=$A220)*H$194:H$210*$C$194:$C$210)</f>
        <v>22.3188437497416</v>
      </c>
      <c r="I220" s="25" t="n">
        <f aca="false">SUMPRODUCT(($B$194:$B$210=$A220)*I$194:I$210*$C$194:$C$210)</f>
        <v>22.5586737009017</v>
      </c>
      <c r="J220" s="25" t="n">
        <f aca="false">SUMPRODUCT(($B$194:$B$210=$A220)*J$194:J$210*$C$194:$C$210)</f>
        <v>22.8010807750579</v>
      </c>
      <c r="K220" s="25" t="n">
        <f aca="false">SUMPRODUCT(($B$194:$B$210=$A220)*K$194:K$210*$C$194:$C$210)</f>
        <v>23.0460926650104</v>
      </c>
      <c r="L220" s="25" t="n">
        <f aca="false">SUMPRODUCT(($B$194:$B$210=$A220)*L$194:L$210*$C$194:$C$210)</f>
        <v>23.293737361136</v>
      </c>
      <c r="M220" s="25" t="n">
        <f aca="false">SUMPRODUCT(($B$194:$B$210=$A220)*M$194:M$210*$C$194:$C$210)</f>
        <v>23.5440431545857</v>
      </c>
      <c r="N220" s="25" t="n">
        <f aca="false">SUMPRODUCT(($B$194:$B$210=$A220)*N$194:N$210*$C$194:$C$210)</f>
        <v>23.7970386405163</v>
      </c>
      <c r="O220" s="25" t="n">
        <f aca="false">SUMPRODUCT(($B$194:$B$210=$A220)*O$194:O$210*$C$194:$C$210)</f>
        <v>24.0527527213577</v>
      </c>
      <c r="P220" s="25" t="n">
        <f aca="false">SUMPRODUCT(($B$194:$B$210=$A220)*P$194:P$210*$C$194:$C$210)</f>
        <v>272.339927867329</v>
      </c>
    </row>
    <row r="221" customFormat="false" ht="15" hidden="false" customHeight="false" outlineLevel="0" collapsed="false">
      <c r="A221" s="6" t="s">
        <v>274</v>
      </c>
      <c r="D221" s="26" t="n">
        <f aca="false">SUMPRODUCT(D$194:D$210*parametros_recargas!$D$51:$D$67)</f>
        <v>218.46938093567</v>
      </c>
      <c r="E221" s="26" t="n">
        <f aca="false">SUMPRODUCT(E$194:E$210*parametros_recargas!$D$51:$D$67)</f>
        <v>220.816971229651</v>
      </c>
      <c r="F221" s="26" t="n">
        <f aca="false">SUMPRODUCT(F$194:F$210*parametros_recargas!$D$51:$D$67)</f>
        <v>223.189787851298</v>
      </c>
      <c r="G221" s="26" t="n">
        <f aca="false">SUMPRODUCT(G$194:G$210*parametros_recargas!$D$51:$D$67)</f>
        <v>225.588101873297</v>
      </c>
      <c r="H221" s="26" t="n">
        <f aca="false">SUMPRODUCT(H$194:H$210*parametros_recargas!$D$51:$D$67)</f>
        <v>228.01218728118</v>
      </c>
      <c r="I221" s="26" t="n">
        <f aca="false">SUMPRODUCT(I$194:I$210*parametros_recargas!$D$51:$D$67)</f>
        <v>230.462321004625</v>
      </c>
      <c r="J221" s="26" t="n">
        <f aca="false">SUMPRODUCT(J$194:J$210*parametros_recargas!$D$51:$D$67)</f>
        <v>232.938782949094</v>
      </c>
      <c r="K221" s="26" t="n">
        <f aca="false">SUMPRODUCT(K$194:K$210*parametros_recargas!$D$51:$D$67)</f>
        <v>235.441856027807</v>
      </c>
      <c r="L221" s="26" t="n">
        <f aca="false">SUMPRODUCT(L$194:L$210*parametros_recargas!$D$51:$D$67)</f>
        <v>237.971826194063</v>
      </c>
      <c r="M221" s="26" t="n">
        <f aca="false">SUMPRODUCT(M$194:M$210*parametros_recargas!$D$51:$D$67)</f>
        <v>240.528982473911</v>
      </c>
      <c r="N221" s="26" t="n">
        <f aca="false">SUMPRODUCT(N$194:N$210*parametros_recargas!$D$51:$D$67)</f>
        <v>243.113616999164</v>
      </c>
      <c r="O221" s="26" t="n">
        <f aca="false">SUMPRODUCT(O$194:O$210*parametros_recargas!$D$51:$D$67)</f>
        <v>245.726025040774</v>
      </c>
      <c r="P221" s="26" t="n">
        <f aca="false">SUMPRODUCT(P$194:P$210*parametros_recargas!$D$51:$D$67)</f>
        <v>2782.25983986054</v>
      </c>
    </row>
    <row r="225" customFormat="false" ht="15" hidden="false" customHeight="false" outlineLevel="0" collapsed="false">
      <c r="A225" s="23" t="n">
        <v>2033</v>
      </c>
      <c r="B225" s="3" t="s">
        <v>270</v>
      </c>
      <c r="C225" s="3" t="s">
        <v>271</v>
      </c>
      <c r="D225" s="3" t="s">
        <v>124</v>
      </c>
      <c r="E225" s="3" t="s">
        <v>125</v>
      </c>
      <c r="F225" s="3" t="s">
        <v>126</v>
      </c>
      <c r="G225" s="3" t="s">
        <v>127</v>
      </c>
      <c r="H225" s="3" t="s">
        <v>128</v>
      </c>
      <c r="I225" s="3" t="s">
        <v>129</v>
      </c>
      <c r="J225" s="3" t="s">
        <v>130</v>
      </c>
      <c r="K225" s="3" t="s">
        <v>131</v>
      </c>
      <c r="L225" s="3" t="s">
        <v>132</v>
      </c>
      <c r="M225" s="3" t="s">
        <v>133</v>
      </c>
      <c r="N225" s="3" t="s">
        <v>134</v>
      </c>
      <c r="O225" s="3" t="s">
        <v>135</v>
      </c>
      <c r="P225" s="3" t="s">
        <v>136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4" t="n">
        <f aca="false">parametros_recargas!C51</f>
        <v>1</v>
      </c>
      <c r="D226" s="25" t="n">
        <f aca="false">datos_base!$I$2*parametros_recargas!$F$44</f>
        <v>3980.94698065345</v>
      </c>
      <c r="E226" s="25" t="n">
        <f aca="false">datos_base!$I$2*parametros_recargas!$G$44</f>
        <v>4005.19963082432</v>
      </c>
      <c r="F226" s="25" t="n">
        <f aca="false">datos_base!$I$2*parametros_recargas!$H$44</f>
        <v>4029.60003253349</v>
      </c>
      <c r="G226" s="25" t="n">
        <f aca="false">datos_base!$I$2*parametros_recargas!$I$44</f>
        <v>4054.1490859101</v>
      </c>
      <c r="H226" s="25" t="n">
        <f aca="false">datos_base!$I$2*parametros_recargas!$J$44</f>
        <v>4078.84769656705</v>
      </c>
      <c r="I226" s="25" t="n">
        <f aca="false">datos_base!$I$2*parametros_recargas!$K$44</f>
        <v>4103.69677563438</v>
      </c>
      <c r="J226" s="25" t="n">
        <f aca="false">datos_base!$I$2*parametros_recargas!$L$44</f>
        <v>4128.69723979289</v>
      </c>
      <c r="K226" s="25" t="n">
        <f aca="false">datos_base!$I$2*parametros_recargas!$M$44</f>
        <v>4153.85001130799</v>
      </c>
      <c r="L226" s="25" t="n">
        <f aca="false">datos_base!$I$2*parametros_recargas!$N$44</f>
        <v>4179.15601806369</v>
      </c>
      <c r="M226" s="25" t="n">
        <f aca="false">datos_base!$I$2*parametros_recargas!$O$44</f>
        <v>4204.61619359683</v>
      </c>
      <c r="N226" s="25" t="n">
        <f aca="false">datos_base!$I$2*parametros_recargas!$P$44</f>
        <v>4230.23147713153</v>
      </c>
      <c r="O226" s="25" t="n">
        <f aca="false">datos_base!$I$2*parametros_recargas!$Q$44</f>
        <v>4256.00281361384</v>
      </c>
      <c r="P226" s="7" t="n">
        <f aca="false">SUM(D226:O226)</f>
        <v>49404.9939556296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4" t="n">
        <f aca="false">parametros_recargas!C52</f>
        <v>1</v>
      </c>
      <c r="D227" s="25" t="n">
        <f aca="false">datos_base!$I$3*parametros_recargas!$F$44</f>
        <v>331.266477070139</v>
      </c>
      <c r="E227" s="25" t="n">
        <f aca="false">datos_base!$I$3*parametros_recargas!$G$44</f>
        <v>333.284612458719</v>
      </c>
      <c r="F227" s="25" t="n">
        <f aca="false">datos_base!$I$3*parametros_recargas!$H$44</f>
        <v>335.31504269368</v>
      </c>
      <c r="G227" s="25" t="n">
        <f aca="false">datos_base!$I$3*parametros_recargas!$I$44</f>
        <v>337.357842677452</v>
      </c>
      <c r="H227" s="25" t="n">
        <f aca="false">datos_base!$I$3*parametros_recargas!$J$44</f>
        <v>339.413087768788</v>
      </c>
      <c r="I227" s="25" t="n">
        <f aca="false">datos_base!$I$3*parametros_recargas!$K$44</f>
        <v>341.480853785535</v>
      </c>
      <c r="J227" s="25" t="n">
        <f aca="false">datos_base!$I$3*parametros_recargas!$L$44</f>
        <v>343.561217007441</v>
      </c>
      <c r="K227" s="25" t="n">
        <f aca="false">datos_base!$I$3*parametros_recargas!$M$44</f>
        <v>345.654254178961</v>
      </c>
      <c r="L227" s="25" t="n">
        <f aca="false">datos_base!$I$3*parametros_recargas!$N$44</f>
        <v>347.760042512092</v>
      </c>
      <c r="M227" s="25" t="n">
        <f aca="false">datos_base!$I$3*parametros_recargas!$O$44</f>
        <v>349.878659689221</v>
      </c>
      <c r="N227" s="25" t="n">
        <f aca="false">datos_base!$I$3*parametros_recargas!$P$44</f>
        <v>352.010183865989</v>
      </c>
      <c r="O227" s="25" t="n">
        <f aca="false">datos_base!$I$3*parametros_recargas!$Q$44</f>
        <v>354.154693674176</v>
      </c>
      <c r="P227" s="7" t="n">
        <f aca="false">SUM(D227:O227)</f>
        <v>4111.13696738219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4" t="n">
        <f aca="false">parametros_recargas!C53</f>
        <v>1</v>
      </c>
      <c r="D228" s="25" t="n">
        <f aca="false">datos_base!$I$4*parametros_recargas!$F$44</f>
        <v>2026.1253324368</v>
      </c>
      <c r="E228" s="25" t="n">
        <f aca="false">datos_base!$I$4*parametros_recargas!$G$44</f>
        <v>2038.46885500284</v>
      </c>
      <c r="F228" s="25" t="n">
        <f aca="false">datos_base!$I$4*parametros_recargas!$H$44</f>
        <v>2050.88757654443</v>
      </c>
      <c r="G228" s="25" t="n">
        <f aca="false">datos_base!$I$4*parametros_recargas!$I$44</f>
        <v>2063.38195518736</v>
      </c>
      <c r="H228" s="25" t="n">
        <f aca="false">datos_base!$I$4*parametros_recargas!$J$44</f>
        <v>2075.95245184839</v>
      </c>
      <c r="I228" s="25" t="n">
        <f aca="false">datos_base!$I$4*parametros_recargas!$K$44</f>
        <v>2088.59953025227</v>
      </c>
      <c r="J228" s="25" t="n">
        <f aca="false">datos_base!$I$4*parametros_recargas!$L$44</f>
        <v>2101.32365694886</v>
      </c>
      <c r="K228" s="25" t="n">
        <f aca="false">datos_base!$I$4*parametros_recargas!$M$44</f>
        <v>2114.12530133032</v>
      </c>
      <c r="L228" s="25" t="n">
        <f aca="false">datos_base!$I$4*parametros_recargas!$N$44</f>
        <v>2127.00493564841</v>
      </c>
      <c r="M228" s="25" t="n">
        <f aca="false">datos_base!$I$4*parametros_recargas!$O$44</f>
        <v>2139.96303503197</v>
      </c>
      <c r="N228" s="25" t="n">
        <f aca="false">datos_base!$I$4*parametros_recargas!$P$44</f>
        <v>2153.00007750438</v>
      </c>
      <c r="O228" s="25" t="n">
        <f aca="false">datos_base!$I$4*parametros_recargas!$Q$44</f>
        <v>2166.11654400125</v>
      </c>
      <c r="P228" s="7" t="n">
        <f aca="false">SUM(D228:O228)</f>
        <v>25144.9492517373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4" t="n">
        <f aca="false">parametros_recargas!C54</f>
        <v>1</v>
      </c>
      <c r="D229" s="25" t="n">
        <f aca="false">datos_base!$I$5*parametros_recargas!$F$44</f>
        <v>119.948282854367</v>
      </c>
      <c r="E229" s="25" t="n">
        <f aca="false">datos_base!$I$5*parametros_recargas!$G$44</f>
        <v>120.679029522635</v>
      </c>
      <c r="F229" s="25" t="n">
        <f aca="false">datos_base!$I$5*parametros_recargas!$H$44</f>
        <v>121.414228031983</v>
      </c>
      <c r="G229" s="25" t="n">
        <f aca="false">datos_base!$I$5*parametros_recargas!$I$44</f>
        <v>122.153905503835</v>
      </c>
      <c r="H229" s="25" t="n">
        <f aca="false">datos_base!$I$5*parametros_recargas!$J$44</f>
        <v>122.898089224841</v>
      </c>
      <c r="I229" s="25" t="n">
        <f aca="false">datos_base!$I$5*parametros_recargas!$K$44</f>
        <v>123.646806647887</v>
      </c>
      <c r="J229" s="25" t="n">
        <f aca="false">datos_base!$I$5*parametros_recargas!$L$44</f>
        <v>124.400085393107</v>
      </c>
      <c r="K229" s="25" t="n">
        <f aca="false">datos_base!$I$5*parametros_recargas!$M$44</f>
        <v>125.157953248903</v>
      </c>
      <c r="L229" s="25" t="n">
        <f aca="false">datos_base!$I$5*parametros_recargas!$N$44</f>
        <v>125.920438172967</v>
      </c>
      <c r="M229" s="25" t="n">
        <f aca="false">datos_base!$I$5*parametros_recargas!$O$44</f>
        <v>126.687568293316</v>
      </c>
      <c r="N229" s="25" t="n">
        <f aca="false">datos_base!$I$5*parametros_recargas!$P$44</f>
        <v>127.459371909327</v>
      </c>
      <c r="O229" s="25" t="n">
        <f aca="false">datos_base!$I$5*parametros_recargas!$Q$44</f>
        <v>128.235877492781</v>
      </c>
      <c r="P229" s="7" t="n">
        <f aca="false">SUM(D229:O229)</f>
        <v>1488.60163629595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4" t="n">
        <f aca="false">parametros_recargas!C55</f>
        <v>1</v>
      </c>
      <c r="D230" s="25" t="n">
        <f aca="false">datos_base!$I$6*parametros_recargas!$F$44</f>
        <v>168.844984986266</v>
      </c>
      <c r="E230" s="25" t="n">
        <f aca="false">datos_base!$I$6*parametros_recargas!$G$44</f>
        <v>169.873619221757</v>
      </c>
      <c r="F230" s="25" t="n">
        <f aca="false">datos_base!$I$6*parametros_recargas!$H$44</f>
        <v>170.908520083353</v>
      </c>
      <c r="G230" s="25" t="n">
        <f aca="false">datos_base!$I$6*parametros_recargas!$I$44</f>
        <v>171.949725748474</v>
      </c>
      <c r="H230" s="25" t="n">
        <f aca="false">datos_base!$I$6*parametros_recargas!$J$44</f>
        <v>172.997274627125</v>
      </c>
      <c r="I230" s="25" t="n">
        <f aca="false">datos_base!$I$6*parametros_recargas!$K$44</f>
        <v>174.051205363313</v>
      </c>
      <c r="J230" s="25" t="n">
        <f aca="false">datos_base!$I$6*parametros_recargas!$L$44</f>
        <v>175.111556836469</v>
      </c>
      <c r="K230" s="25" t="n">
        <f aca="false">datos_base!$I$6*parametros_recargas!$M$44</f>
        <v>176.178368162887</v>
      </c>
      <c r="L230" s="25" t="n">
        <f aca="false">datos_base!$I$6*parametros_recargas!$N$44</f>
        <v>177.251678697163</v>
      </c>
      <c r="M230" s="25" t="n">
        <f aca="false">datos_base!$I$6*parametros_recargas!$O$44</f>
        <v>178.331528033648</v>
      </c>
      <c r="N230" s="25" t="n">
        <f aca="false">datos_base!$I$6*parametros_recargas!$P$44</f>
        <v>179.41795600791</v>
      </c>
      <c r="O230" s="25" t="n">
        <f aca="false">datos_base!$I$6*parametros_recargas!$Q$44</f>
        <v>180.511002698202</v>
      </c>
      <c r="P230" s="7" t="n">
        <f aca="false">SUM(D230:O230)</f>
        <v>2095.42742046657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4" t="n">
        <f aca="false">parametros_recargas!C56</f>
        <v>1</v>
      </c>
      <c r="D231" s="25" t="n">
        <f aca="false">datos_base!$I$7*parametros_recargas!$F$44</f>
        <v>31.391945465616</v>
      </c>
      <c r="E231" s="25" t="n">
        <f aca="false">datos_base!$I$7*parametros_recargas!$G$44</f>
        <v>31.583190884171</v>
      </c>
      <c r="F231" s="25" t="n">
        <f aca="false">datos_base!$I$7*parametros_recargas!$H$44</f>
        <v>31.7756014044608</v>
      </c>
      <c r="G231" s="25" t="n">
        <f aca="false">datos_base!$I$7*parametros_recargas!$I$44</f>
        <v>31.9691841244961</v>
      </c>
      <c r="H231" s="25" t="n">
        <f aca="false">datos_base!$I$7*parametros_recargas!$J$44</f>
        <v>32.1639461855301</v>
      </c>
      <c r="I231" s="25" t="n">
        <f aca="false">datos_base!$I$7*parametros_recargas!$K$44</f>
        <v>32.359894772322</v>
      </c>
      <c r="J231" s="25" t="n">
        <f aca="false">datos_base!$I$7*parametros_recargas!$L$44</f>
        <v>32.5570371134014</v>
      </c>
      <c r="K231" s="25" t="n">
        <f aca="false">datos_base!$I$7*parametros_recargas!$M$44</f>
        <v>32.7553804813358</v>
      </c>
      <c r="L231" s="25" t="n">
        <f aca="false">datos_base!$I$7*parametros_recargas!$N$44</f>
        <v>32.9549321929984</v>
      </c>
      <c r="M231" s="25" t="n">
        <f aca="false">datos_base!$I$7*parametros_recargas!$O$44</f>
        <v>33.155699609838</v>
      </c>
      <c r="N231" s="25" t="n">
        <f aca="false">datos_base!$I$7*parametros_recargas!$P$44</f>
        <v>33.3576901381509</v>
      </c>
      <c r="O231" s="25" t="n">
        <f aca="false">datos_base!$I$7*parametros_recargas!$Q$44</f>
        <v>33.5609112293537</v>
      </c>
      <c r="P231" s="7" t="n">
        <f aca="false">SUM(D231:O231)</f>
        <v>389.585413601674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4" t="n">
        <f aca="false">parametros_recargas!C57</f>
        <v>3</v>
      </c>
      <c r="D232" s="25" t="n">
        <f aca="false">datos_base!$I$8*parametros_recargas!$F$44</f>
        <v>16.5174444558334</v>
      </c>
      <c r="E232" s="25" t="n">
        <f aca="false">datos_base!$I$8*parametros_recargas!$G$44</f>
        <v>16.6180717196606</v>
      </c>
      <c r="F232" s="25" t="n">
        <f aca="false">datos_base!$I$8*parametros_recargas!$H$44</f>
        <v>16.719312023008</v>
      </c>
      <c r="G232" s="25" t="n">
        <f aca="false">datos_base!$I$8*parametros_recargas!$I$44</f>
        <v>16.8211691006234</v>
      </c>
      <c r="H232" s="25" t="n">
        <f aca="false">datos_base!$I$8*parametros_recargas!$J$44</f>
        <v>16.9236467100076</v>
      </c>
      <c r="I232" s="25" t="n">
        <f aca="false">datos_base!$I$8*parametros_recargas!$K$44</f>
        <v>17.0267486315523</v>
      </c>
      <c r="J232" s="25" t="n">
        <f aca="false">datos_base!$I$8*parametros_recargas!$L$44</f>
        <v>17.1304786686805</v>
      </c>
      <c r="K232" s="25" t="n">
        <f aca="false">datos_base!$I$8*parametros_recargas!$M$44</f>
        <v>17.2348406479859</v>
      </c>
      <c r="L232" s="25" t="n">
        <f aca="false">datos_base!$I$8*parametros_recargas!$N$44</f>
        <v>17.3398384193748</v>
      </c>
      <c r="M232" s="25" t="n">
        <f aca="false">datos_base!$I$8*parametros_recargas!$O$44</f>
        <v>17.4454758562079</v>
      </c>
      <c r="N232" s="25" t="n">
        <f aca="false">datos_base!$I$8*parametros_recargas!$P$44</f>
        <v>17.5517568554427</v>
      </c>
      <c r="O232" s="25" t="n">
        <f aca="false">datos_base!$I$8*parametros_recargas!$Q$44</f>
        <v>17.6586853377782</v>
      </c>
      <c r="P232" s="7" t="n">
        <f aca="false">SUM(D232:O232)</f>
        <v>204.987468426155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4" t="n">
        <f aca="false">parametros_recargas!C58</f>
        <v>1</v>
      </c>
      <c r="D233" s="25" t="n">
        <f aca="false">datos_base!$I$9*parametros_recargas!$F$44</f>
        <v>9.4854902271876</v>
      </c>
      <c r="E233" s="25" t="n">
        <f aca="false">datos_base!$I$9*parametros_recargas!$G$44</f>
        <v>9.54327755198673</v>
      </c>
      <c r="F233" s="25" t="n">
        <f aca="false">datos_base!$I$9*parametros_recargas!$H$44</f>
        <v>9.60141692763694</v>
      </c>
      <c r="G233" s="25" t="n">
        <f aca="false">datos_base!$I$9*parametros_recargas!$I$44</f>
        <v>9.6599104988958</v>
      </c>
      <c r="H233" s="25" t="n">
        <f aca="false">datos_base!$I$9*parametros_recargas!$J$44</f>
        <v>9.71876042358712</v>
      </c>
      <c r="I233" s="25" t="n">
        <f aca="false">datos_base!$I$9*parametros_recargas!$K$44</f>
        <v>9.77796887268056</v>
      </c>
      <c r="J233" s="25" t="n">
        <f aca="false">datos_base!$I$9*parametros_recargas!$L$44</f>
        <v>9.83753803037173</v>
      </c>
      <c r="K233" s="25" t="n">
        <f aca="false">datos_base!$I$9*parametros_recargas!$M$44</f>
        <v>9.89747009416275</v>
      </c>
      <c r="L233" s="25" t="n">
        <f aca="false">datos_base!$I$9*parametros_recargas!$N$44</f>
        <v>9.95776727494332</v>
      </c>
      <c r="M233" s="25" t="n">
        <f aca="false">datos_base!$I$9*parametros_recargas!$O$44</f>
        <v>10.0184317970723</v>
      </c>
      <c r="N233" s="25" t="n">
        <f aca="false">datos_base!$I$9*parametros_recargas!$P$44</f>
        <v>10.0794658984597</v>
      </c>
      <c r="O233" s="25" t="n">
        <f aca="false">datos_base!$I$9*parametros_recargas!$Q$44</f>
        <v>10.1408718306493</v>
      </c>
      <c r="P233" s="7" t="n">
        <f aca="false">SUM(D233:O233)</f>
        <v>117.718369427634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4" t="n">
        <f aca="false">parametros_recargas!C59</f>
        <v>1</v>
      </c>
      <c r="D234" s="25" t="n">
        <f aca="false">datos_base!$I$10*parametros_recargas!$F$44</f>
        <v>83.113263678995</v>
      </c>
      <c r="E234" s="25" t="n">
        <f aca="false">datos_base!$I$10*parametros_recargas!$G$44</f>
        <v>83.6196047376329</v>
      </c>
      <c r="F234" s="25" t="n">
        <f aca="false">datos_base!$I$10*parametros_recargas!$H$44</f>
        <v>84.1290305177258</v>
      </c>
      <c r="G234" s="25" t="n">
        <f aca="false">datos_base!$I$10*parametros_recargas!$I$44</f>
        <v>84.6415598119555</v>
      </c>
      <c r="H234" s="25" t="n">
        <f aca="false">datos_base!$I$10*parametros_recargas!$J$44</f>
        <v>85.1572115274925</v>
      </c>
      <c r="I234" s="25" t="n">
        <f aca="false">datos_base!$I$10*parametros_recargas!$K$44</f>
        <v>85.6760046866929</v>
      </c>
      <c r="J234" s="25" t="n">
        <f aca="false">datos_base!$I$10*parametros_recargas!$L$44</f>
        <v>86.1979584278007</v>
      </c>
      <c r="K234" s="25" t="n">
        <f aca="false">datos_base!$I$10*parametros_recargas!$M$44</f>
        <v>86.7230920056533</v>
      </c>
      <c r="L234" s="25" t="n">
        <f aca="false">datos_base!$I$10*parametros_recargas!$N$44</f>
        <v>87.2514247923923</v>
      </c>
      <c r="M234" s="25" t="n">
        <f aca="false">datos_base!$I$10*parametros_recargas!$O$44</f>
        <v>87.7829762781777</v>
      </c>
      <c r="N234" s="25" t="n">
        <f aca="false">datos_base!$I$10*parametros_recargas!$P$44</f>
        <v>88.3177660719073</v>
      </c>
      <c r="O234" s="25" t="n">
        <f aca="false">datos_base!$I$10*parametros_recargas!$Q$44</f>
        <v>88.8558139019396</v>
      </c>
      <c r="P234" s="7" t="n">
        <f aca="false">SUM(D234:O234)</f>
        <v>1031.46570643837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4" t="n">
        <f aca="false">parametros_recargas!C60</f>
        <v>1</v>
      </c>
      <c r="D235" s="25" t="n">
        <f aca="false">datos_base!$I$11*parametros_recargas!$F$44</f>
        <v>455.618833301045</v>
      </c>
      <c r="E235" s="25" t="n">
        <f aca="false">datos_base!$I$11*parametros_recargas!$G$44</f>
        <v>458.394545770718</v>
      </c>
      <c r="F235" s="25" t="n">
        <f aca="false">datos_base!$I$11*parametros_recargas!$H$44</f>
        <v>461.187168383588</v>
      </c>
      <c r="G235" s="25" t="n">
        <f aca="false">datos_base!$I$11*parametros_recargas!$I$44</f>
        <v>463.996804159311</v>
      </c>
      <c r="H235" s="25" t="n">
        <f aca="false">datos_base!$I$11*parametros_recargas!$J$44</f>
        <v>466.823556745156</v>
      </c>
      <c r="I235" s="25" t="n">
        <f aca="false">datos_base!$I$11*parametros_recargas!$K$44</f>
        <v>469.667530419832</v>
      </c>
      <c r="J235" s="25" t="n">
        <f aca="false">datos_base!$I$11*parametros_recargas!$L$44</f>
        <v>472.528830097331</v>
      </c>
      <c r="K235" s="25" t="n">
        <f aca="false">datos_base!$I$11*parametros_recargas!$M$44</f>
        <v>475.407561330802</v>
      </c>
      <c r="L235" s="25" t="n">
        <f aca="false">datos_base!$I$11*parametros_recargas!$N$44</f>
        <v>478.303830316441</v>
      </c>
      <c r="M235" s="25" t="n">
        <f aca="false">datos_base!$I$11*parametros_recargas!$O$44</f>
        <v>481.217743897411</v>
      </c>
      <c r="N235" s="25" t="n">
        <f aca="false">datos_base!$I$11*parametros_recargas!$P$44</f>
        <v>484.149409567784</v>
      </c>
      <c r="O235" s="25" t="n">
        <f aca="false">datos_base!$I$11*parametros_recargas!$Q$44</f>
        <v>487.098935476505</v>
      </c>
      <c r="P235" s="7" t="n">
        <f aca="false">SUM(D235:O235)</f>
        <v>5654.39474946592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4" t="n">
        <f aca="false">parametros_recargas!C61</f>
        <v>1</v>
      </c>
      <c r="D236" s="25" t="n">
        <f aca="false">datos_base!$I$12*parametros_recargas!$F$44</f>
        <v>153.484592889374</v>
      </c>
      <c r="E236" s="25" t="n">
        <f aca="false">datos_base!$I$12*parametros_recargas!$G$44</f>
        <v>154.419648833614</v>
      </c>
      <c r="F236" s="25" t="n">
        <f aca="false">datos_base!$I$12*parametros_recargas!$H$44</f>
        <v>155.360401308055</v>
      </c>
      <c r="G236" s="25" t="n">
        <f aca="false">datos_base!$I$12*parametros_recargas!$I$44</f>
        <v>156.306885016992</v>
      </c>
      <c r="H236" s="25" t="n">
        <f aca="false">datos_base!$I$12*parametros_recargas!$J$44</f>
        <v>157.259134876143</v>
      </c>
      <c r="I236" s="25" t="n">
        <f aca="false">datos_base!$I$12*parametros_recargas!$K$44</f>
        <v>158.21718601394</v>
      </c>
      <c r="J236" s="25" t="n">
        <f aca="false">datos_base!$I$12*parametros_recargas!$L$44</f>
        <v>159.181073772823</v>
      </c>
      <c r="K236" s="25" t="n">
        <f aca="false">datos_base!$I$12*parametros_recargas!$M$44</f>
        <v>160.150833710545</v>
      </c>
      <c r="L236" s="25" t="n">
        <f aca="false">datos_base!$I$12*parametros_recargas!$N$44</f>
        <v>161.126501601484</v>
      </c>
      <c r="M236" s="25" t="n">
        <f aca="false">datos_base!$I$12*parametros_recargas!$O$44</f>
        <v>162.108113437961</v>
      </c>
      <c r="N236" s="25" t="n">
        <f aca="false">datos_base!$I$12*parametros_recargas!$P$44</f>
        <v>163.095705431569</v>
      </c>
      <c r="O236" s="25" t="n">
        <f aca="false">datos_base!$I$12*parametros_recargas!$Q$44</f>
        <v>164.089314014508</v>
      </c>
      <c r="P236" s="7" t="n">
        <f aca="false">SUM(D236:O236)</f>
        <v>1904.79939090701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4" t="n">
        <f aca="false">parametros_recargas!C62</f>
        <v>1</v>
      </c>
      <c r="D237" s="25" t="n">
        <f aca="false">datos_base!$I$13*parametros_recargas!$F$44</f>
        <v>24.9031550809862</v>
      </c>
      <c r="E237" s="25" t="n">
        <f aca="false">datos_base!$I$13*parametros_recargas!$G$44</f>
        <v>25.0548696130473</v>
      </c>
      <c r="F237" s="25" t="n">
        <f aca="false">datos_base!$I$13*parametros_recargas!$H$44</f>
        <v>25.2075084175215</v>
      </c>
      <c r="G237" s="25" t="n">
        <f aca="false">datos_base!$I$13*parametros_recargas!$I$44</f>
        <v>25.3610771252436</v>
      </c>
      <c r="H237" s="25" t="n">
        <f aca="false">datos_base!$I$13*parametros_recargas!$J$44</f>
        <v>25.5155814013528</v>
      </c>
      <c r="I237" s="25" t="n">
        <f aca="false">datos_base!$I$13*parametros_recargas!$K$44</f>
        <v>25.6710269455011</v>
      </c>
      <c r="J237" s="25" t="n">
        <f aca="false">datos_base!$I$13*parametros_recargas!$L$44</f>
        <v>25.8274194920639</v>
      </c>
      <c r="K237" s="25" t="n">
        <f aca="false">datos_base!$I$13*parametros_recargas!$M$44</f>
        <v>25.9847648103516</v>
      </c>
      <c r="L237" s="25" t="n">
        <f aca="false">datos_base!$I$13*parametros_recargas!$N$44</f>
        <v>26.143068704822</v>
      </c>
      <c r="M237" s="25" t="n">
        <f aca="false">datos_base!$I$13*parametros_recargas!$O$44</f>
        <v>26.3023370152949</v>
      </c>
      <c r="N237" s="25" t="n">
        <f aca="false">datos_base!$I$13*parametros_recargas!$P$44</f>
        <v>26.4625756171673</v>
      </c>
      <c r="O237" s="25" t="n">
        <f aca="false">datos_base!$I$13*parametros_recargas!$Q$44</f>
        <v>26.6237904216302</v>
      </c>
      <c r="P237" s="7" t="n">
        <f aca="false">SUM(D237:O237)</f>
        <v>309.057174644982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4" t="n">
        <f aca="false">parametros_recargas!C63</f>
        <v>1</v>
      </c>
      <c r="D238" s="25" t="n">
        <f aca="false">datos_base!$I$14*parametros_recargas!$F$44</f>
        <v>8.52161270261564</v>
      </c>
      <c r="E238" s="25" t="n">
        <f aca="false">datos_base!$I$14*parametros_recargas!$G$44</f>
        <v>8.57352791092474</v>
      </c>
      <c r="F238" s="25" t="n">
        <f aca="false">datos_base!$I$14*parametros_recargas!$H$44</f>
        <v>8.62575939608752</v>
      </c>
      <c r="G238" s="25" t="n">
        <f aca="false">datos_base!$I$14*parametros_recargas!$I$44</f>
        <v>8.67830908491986</v>
      </c>
      <c r="H238" s="25" t="n">
        <f aca="false">datos_base!$I$14*parametros_recargas!$J$44</f>
        <v>8.73117891597615</v>
      </c>
      <c r="I238" s="25" t="n">
        <f aca="false">datos_base!$I$14*parametros_recargas!$K$44</f>
        <v>8.78437083962082</v>
      </c>
      <c r="J238" s="25" t="n">
        <f aca="false">datos_base!$I$14*parametros_recargas!$L$44</f>
        <v>8.83788681810026</v>
      </c>
      <c r="K238" s="25" t="n">
        <f aca="false">datos_base!$I$14*parametros_recargas!$M$44</f>
        <v>8.89172882561525</v>
      </c>
      <c r="L238" s="25" t="n">
        <f aca="false">datos_base!$I$14*parametros_recargas!$N$44</f>
        <v>8.94589884839371</v>
      </c>
      <c r="M238" s="25" t="n">
        <f aca="false">datos_base!$I$14*parametros_recargas!$O$44</f>
        <v>9.00039888476405</v>
      </c>
      <c r="N238" s="25" t="n">
        <f aca="false">datos_base!$I$14*parametros_recargas!$P$44</f>
        <v>9.05523094522887</v>
      </c>
      <c r="O238" s="25" t="n">
        <f aca="false">datos_base!$I$14*parametros_recargas!$Q$44</f>
        <v>9.11039705253909</v>
      </c>
      <c r="P238" s="7" t="n">
        <f aca="false">SUM(D238:O238)</f>
        <v>105.756300224786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4" t="n">
        <f aca="false">parametros_recargas!C64</f>
        <v>3</v>
      </c>
      <c r="D239" s="25" t="n">
        <f aca="false">datos_base!$I$15*parametros_recargas!$F$44</f>
        <v>20.6631836376397</v>
      </c>
      <c r="E239" s="25" t="n">
        <f aca="false">datos_base!$I$15*parametros_recargas!$G$44</f>
        <v>20.7890674955799</v>
      </c>
      <c r="F239" s="25" t="n">
        <f aca="false">datos_base!$I$15*parametros_recargas!$H$44</f>
        <v>20.915718260787</v>
      </c>
      <c r="G239" s="25" t="n">
        <f aca="false">datos_base!$I$15*parametros_recargas!$I$44</f>
        <v>21.0431406053991</v>
      </c>
      <c r="H239" s="25" t="n">
        <f aca="false">datos_base!$I$15*parametros_recargas!$J$44</f>
        <v>21.1713392300177</v>
      </c>
      <c r="I239" s="25" t="n">
        <f aca="false">datos_base!$I$15*parametros_recargas!$K$44</f>
        <v>21.3003188638811</v>
      </c>
      <c r="J239" s="25" t="n">
        <f aca="false">datos_base!$I$15*parametros_recargas!$L$44</f>
        <v>21.4300842650392</v>
      </c>
      <c r="K239" s="25" t="n">
        <f aca="false">datos_base!$I$15*parametros_recargas!$M$44</f>
        <v>21.5606402205286</v>
      </c>
      <c r="L239" s="25" t="n">
        <f aca="false">datos_base!$I$15*parametros_recargas!$N$44</f>
        <v>21.6919915465497</v>
      </c>
      <c r="M239" s="25" t="n">
        <f aca="false">datos_base!$I$15*parametros_recargas!$O$44</f>
        <v>21.8241430886437</v>
      </c>
      <c r="N239" s="25" t="n">
        <f aca="false">datos_base!$I$15*parametros_recargas!$P$44</f>
        <v>21.9570997218719</v>
      </c>
      <c r="O239" s="25" t="n">
        <f aca="false">datos_base!$I$15*parametros_recargas!$Q$44</f>
        <v>22.0908663509954</v>
      </c>
      <c r="P239" s="7" t="n">
        <f aca="false">SUM(D239:O239)</f>
        <v>256.437593286933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4" t="n">
        <f aca="false">parametros_recargas!C65</f>
        <v>3</v>
      </c>
      <c r="D240" s="25" t="n">
        <f aca="false">datos_base!$I$16*parametros_recargas!$F$44</f>
        <v>45.4590039935172</v>
      </c>
      <c r="E240" s="25" t="n">
        <f aca="false">datos_base!$I$16*parametros_recargas!$G$44</f>
        <v>45.735948480929</v>
      </c>
      <c r="F240" s="25" t="n">
        <f aca="false">datos_base!$I$16*parametros_recargas!$H$44</f>
        <v>46.0145801643278</v>
      </c>
      <c r="G240" s="25" t="n">
        <f aca="false">datos_base!$I$16*parametros_recargas!$I$44</f>
        <v>46.2949093224171</v>
      </c>
      <c r="H240" s="25" t="n">
        <f aca="false">datos_base!$I$16*parametros_recargas!$J$44</f>
        <v>46.5769462965202</v>
      </c>
      <c r="I240" s="25" t="n">
        <f aca="false">datos_base!$I$16*parametros_recargas!$K$44</f>
        <v>46.8607014909617</v>
      </c>
      <c r="J240" s="25" t="n">
        <f aca="false">datos_base!$I$16*parametros_recargas!$L$44</f>
        <v>47.1461853734512</v>
      </c>
      <c r="K240" s="25" t="n">
        <f aca="false">datos_base!$I$16*parametros_recargas!$M$44</f>
        <v>47.4334084754693</v>
      </c>
      <c r="L240" s="25" t="n">
        <f aca="false">datos_base!$I$16*parametros_recargas!$N$44</f>
        <v>47.7223813926566</v>
      </c>
      <c r="M240" s="25" t="n">
        <f aca="false">datos_base!$I$16*parametros_recargas!$O$44</f>
        <v>48.013114785204</v>
      </c>
      <c r="N240" s="25" t="n">
        <f aca="false">datos_base!$I$16*parametros_recargas!$P$44</f>
        <v>48.3056193782463</v>
      </c>
      <c r="O240" s="25" t="n">
        <f aca="false">datos_base!$I$16*parametros_recargas!$Q$44</f>
        <v>48.5999059622578</v>
      </c>
      <c r="P240" s="7" t="n">
        <f aca="false">SUM(D240:O240)</f>
        <v>564.162705115958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4" t="n">
        <f aca="false">parametros_recargas!C66</f>
        <v>3</v>
      </c>
      <c r="D241" s="25" t="n">
        <f aca="false">datos_base!$I$17*parametros_recargas!$F$44</f>
        <v>9.9183281377059</v>
      </c>
      <c r="E241" s="25" t="n">
        <f aca="false">datos_base!$I$17*parametros_recargas!$G$44</f>
        <v>9.97875238946625</v>
      </c>
      <c r="F241" s="25" t="n">
        <f aca="false">datos_base!$I$17*parametros_recargas!$H$44</f>
        <v>10.0395447567144</v>
      </c>
      <c r="G241" s="25" t="n">
        <f aca="false">datos_base!$I$17*parametros_recargas!$I$44</f>
        <v>10.1007074820767</v>
      </c>
      <c r="H241" s="25" t="n">
        <f aca="false">datos_base!$I$17*parametros_recargas!$J$44</f>
        <v>10.1622428218417</v>
      </c>
      <c r="I241" s="25" t="n">
        <f aca="false">datos_base!$I$17*parametros_recargas!$K$44</f>
        <v>10.2241530460439</v>
      </c>
      <c r="J241" s="25" t="n">
        <f aca="false">datos_base!$I$17*parametros_recargas!$L$44</f>
        <v>10.2864404385473</v>
      </c>
      <c r="K241" s="25" t="n">
        <f aca="false">datos_base!$I$17*parametros_recargas!$M$44</f>
        <v>10.3491072971294</v>
      </c>
      <c r="L241" s="25" t="n">
        <f aca="false">datos_base!$I$17*parametros_recargas!$N$44</f>
        <v>10.4121559335664</v>
      </c>
      <c r="M241" s="25" t="n">
        <f aca="false">datos_base!$I$17*parametros_recargas!$O$44</f>
        <v>10.475588673718</v>
      </c>
      <c r="N241" s="25" t="n">
        <f aca="false">datos_base!$I$17*parametros_recargas!$P$44</f>
        <v>10.5394078576138</v>
      </c>
      <c r="O241" s="25" t="n">
        <f aca="false">datos_base!$I$17*parametros_recargas!$Q$44</f>
        <v>10.6036158395389</v>
      </c>
      <c r="P241" s="7" t="n">
        <f aca="false">SUM(D241:O241)</f>
        <v>123.090044673963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4" t="n">
        <f aca="false">parametros_recargas!C67</f>
        <v>3</v>
      </c>
      <c r="D242" s="25" t="n">
        <f aca="false">datos_base!$I$18*parametros_recargas!$F$44</f>
        <v>6.6122187584706</v>
      </c>
      <c r="E242" s="25" t="n">
        <f aca="false">datos_base!$I$18*parametros_recargas!$G$44</f>
        <v>6.6525015929775</v>
      </c>
      <c r="F242" s="25" t="n">
        <f aca="false">datos_base!$I$18*parametros_recargas!$H$44</f>
        <v>6.69302983780962</v>
      </c>
      <c r="G242" s="25" t="n">
        <f aca="false">datos_base!$I$18*parametros_recargas!$I$44</f>
        <v>6.73380498805111</v>
      </c>
      <c r="H242" s="25" t="n">
        <f aca="false">datos_base!$I$18*parametros_recargas!$J$44</f>
        <v>6.77482854789446</v>
      </c>
      <c r="I242" s="25" t="n">
        <f aca="false">datos_base!$I$18*parametros_recargas!$K$44</f>
        <v>6.81610203069595</v>
      </c>
      <c r="J242" s="25" t="n">
        <f aca="false">datos_base!$I$18*parametros_recargas!$L$44</f>
        <v>6.85762695903154</v>
      </c>
      <c r="K242" s="25" t="n">
        <f aca="false">datos_base!$I$18*parametros_recargas!$M$44</f>
        <v>6.89940486475295</v>
      </c>
      <c r="L242" s="25" t="n">
        <f aca="false">datos_base!$I$18*parametros_recargas!$N$44</f>
        <v>6.94143728904426</v>
      </c>
      <c r="M242" s="25" t="n">
        <f aca="false">datos_base!$I$18*parametros_recargas!$O$44</f>
        <v>6.98372578247869</v>
      </c>
      <c r="N242" s="25" t="n">
        <f aca="false">datos_base!$I$18*parametros_recargas!$P$44</f>
        <v>7.02627190507585</v>
      </c>
      <c r="O242" s="25" t="n">
        <f aca="false">datos_base!$I$18*parametros_recargas!$Q$44</f>
        <v>7.06907722635929</v>
      </c>
      <c r="P242" s="7" t="n">
        <f aca="false">SUM(D242:O242)</f>
        <v>82.0600297826418</v>
      </c>
    </row>
    <row r="243" customFormat="false" ht="15" hidden="false" customHeight="false" outlineLevel="0" collapsed="false">
      <c r="A243" s="6" t="s">
        <v>272</v>
      </c>
      <c r="D243" s="7" t="n">
        <f aca="false">SUM(D226:D242)</f>
        <v>7492.82113033001</v>
      </c>
      <c r="E243" s="7" t="n">
        <f aca="false">SUM(E226:E242)</f>
        <v>7538.46875401097</v>
      </c>
      <c r="F243" s="7" t="n">
        <f aca="false">SUM(F226:F242)</f>
        <v>7584.39447128466</v>
      </c>
      <c r="G243" s="7" t="n">
        <f aca="false">SUM(G226:G242)</f>
        <v>7630.59997634761</v>
      </c>
      <c r="H243" s="7" t="n">
        <f aca="false">SUM(H226:H242)</f>
        <v>7677.08697371771</v>
      </c>
      <c r="I243" s="7" t="n">
        <f aca="false">SUM(I226:I242)</f>
        <v>7723.85717829711</v>
      </c>
      <c r="J243" s="7" t="n">
        <f aca="false">SUM(J226:J242)</f>
        <v>7770.91231543541</v>
      </c>
      <c r="K243" s="7" t="n">
        <f aca="false">SUM(K226:K242)</f>
        <v>7818.25412099339</v>
      </c>
      <c r="L243" s="7" t="n">
        <f aca="false">SUM(L226:L242)</f>
        <v>7865.88434140699</v>
      </c>
      <c r="M243" s="7" t="n">
        <f aca="false">SUM(M226:M242)</f>
        <v>7913.80473375175</v>
      </c>
      <c r="N243" s="7" t="n">
        <f aca="false">SUM(N226:N242)</f>
        <v>7962.01706580766</v>
      </c>
      <c r="O243" s="7" t="n">
        <f aca="false">SUM(O226:O242)</f>
        <v>8010.52311612431</v>
      </c>
      <c r="P243" s="7" t="n">
        <f aca="false">SUM(P226:P242)</f>
        <v>92988.6241775076</v>
      </c>
    </row>
    <row r="244" customFormat="false" ht="15" hidden="false" customHeight="false" outlineLevel="0" collapsed="false">
      <c r="A244" s="6" t="s">
        <v>273</v>
      </c>
    </row>
    <row r="245" customFormat="false" ht="15" hidden="false" customHeight="false" outlineLevel="0" collapsed="false">
      <c r="A245" s="4" t="s">
        <v>143</v>
      </c>
      <c r="D245" s="25" t="n">
        <f aca="false">SUMPRODUCT(($B$226:$B$242=$A245)*D$226:D$242*$C$226:$C$242)</f>
        <v>6706.24527659676</v>
      </c>
      <c r="E245" s="25" t="n">
        <f aca="false">SUMPRODUCT(($B$226:$B$242=$A245)*E$226:E$242*$C$226:$C$242)</f>
        <v>6747.10093768537</v>
      </c>
      <c r="F245" s="25" t="n">
        <f aca="false">SUMPRODUCT(($B$226:$B$242=$A245)*F$226:F$242*$C$226:$C$242)</f>
        <v>6788.2054988625</v>
      </c>
      <c r="G245" s="25" t="n">
        <f aca="false">SUMPRODUCT(($B$226:$B$242=$A245)*G$226:G$242*$C$226:$C$242)</f>
        <v>6829.56047647259</v>
      </c>
      <c r="H245" s="25" t="n">
        <f aca="false">SUMPRODUCT(($B$226:$B$242=$A245)*H$226:H$242*$C$226:$C$242)</f>
        <v>6871.16739609789</v>
      </c>
      <c r="I245" s="25" t="n">
        <f aca="false">SUMPRODUCT(($B$226:$B$242=$A245)*I$226:I$242*$C$226:$C$242)</f>
        <v>6913.02779261482</v>
      </c>
      <c r="J245" s="25" t="n">
        <f aca="false">SUMPRODUCT(($B$226:$B$242=$A245)*J$226:J$242*$C$226:$C$242)</f>
        <v>6955.14321025051</v>
      </c>
      <c r="K245" s="25" t="n">
        <f aca="false">SUMPRODUCT(($B$226:$B$242=$A245)*K$226:K$242*$C$226:$C$242)</f>
        <v>6997.51520263981</v>
      </c>
      <c r="L245" s="25" t="n">
        <f aca="false">SUMPRODUCT(($B$226:$B$242=$A245)*L$226:L$242*$C$226:$C$242)</f>
        <v>7040.14533288261</v>
      </c>
      <c r="M245" s="25" t="n">
        <f aca="false">SUMPRODUCT(($B$226:$B$242=$A245)*M$226:M$242*$C$226:$C$242)</f>
        <v>7083.03517360147</v>
      </c>
      <c r="N245" s="25" t="n">
        <f aca="false">SUMPRODUCT(($B$226:$B$242=$A245)*N$226:N$242*$C$226:$C$242)</f>
        <v>7126.18630699965</v>
      </c>
      <c r="O245" s="25" t="n">
        <f aca="false">SUMPRODUCT(($B$226:$B$242=$A245)*O$226:O$242*$C$226:$C$242)</f>
        <v>7169.60032491951</v>
      </c>
      <c r="P245" s="25" t="n">
        <f aca="false">SUMPRODUCT(($B$226:$B$242=$A245)*P$226:P$242*$C$226:$C$242)</f>
        <v>83226.9329296235</v>
      </c>
    </row>
    <row r="246" customFormat="false" ht="15" hidden="false" customHeight="false" outlineLevel="0" collapsed="false">
      <c r="A246" s="4" t="s">
        <v>149</v>
      </c>
      <c r="D246" s="25" t="n">
        <f aca="false">SUMPRODUCT(($B$226:$B$242=$A246)*D$226:D$242*$C$226:$C$242)</f>
        <v>9.4854902271876</v>
      </c>
      <c r="E246" s="25" t="n">
        <f aca="false">SUMPRODUCT(($B$226:$B$242=$A246)*E$226:E$242*$C$226:$C$242)</f>
        <v>9.54327755198673</v>
      </c>
      <c r="F246" s="25" t="n">
        <f aca="false">SUMPRODUCT(($B$226:$B$242=$A246)*F$226:F$242*$C$226:$C$242)</f>
        <v>9.60141692763694</v>
      </c>
      <c r="G246" s="25" t="n">
        <f aca="false">SUMPRODUCT(($B$226:$B$242=$A246)*G$226:G$242*$C$226:$C$242)</f>
        <v>9.6599104988958</v>
      </c>
      <c r="H246" s="25" t="n">
        <f aca="false">SUMPRODUCT(($B$226:$B$242=$A246)*H$226:H$242*$C$226:$C$242)</f>
        <v>9.71876042358712</v>
      </c>
      <c r="I246" s="25" t="n">
        <f aca="false">SUMPRODUCT(($B$226:$B$242=$A246)*I$226:I$242*$C$226:$C$242)</f>
        <v>9.77796887268056</v>
      </c>
      <c r="J246" s="25" t="n">
        <f aca="false">SUMPRODUCT(($B$226:$B$242=$A246)*J$226:J$242*$C$226:$C$242)</f>
        <v>9.83753803037173</v>
      </c>
      <c r="K246" s="25" t="n">
        <f aca="false">SUMPRODUCT(($B$226:$B$242=$A246)*K$226:K$242*$C$226:$C$242)</f>
        <v>9.89747009416275</v>
      </c>
      <c r="L246" s="25" t="n">
        <f aca="false">SUMPRODUCT(($B$226:$B$242=$A246)*L$226:L$242*$C$226:$C$242)</f>
        <v>9.95776727494332</v>
      </c>
      <c r="M246" s="25" t="n">
        <f aca="false">SUMPRODUCT(($B$226:$B$242=$A246)*M$226:M$242*$C$226:$C$242)</f>
        <v>10.0184317970723</v>
      </c>
      <c r="N246" s="25" t="n">
        <f aca="false">SUMPRODUCT(($B$226:$B$242=$A246)*N$226:N$242*$C$226:$C$242)</f>
        <v>10.0794658984597</v>
      </c>
      <c r="O246" s="25" t="n">
        <f aca="false">SUMPRODUCT(($B$226:$B$242=$A246)*O$226:O$242*$C$226:$C$242)</f>
        <v>10.1408718306493</v>
      </c>
      <c r="P246" s="25" t="n">
        <f aca="false">SUMPRODUCT(($B$226:$B$242=$A246)*P$226:P$242*$C$226:$C$242)</f>
        <v>117.718369427634</v>
      </c>
    </row>
    <row r="247" customFormat="false" ht="15" hidden="false" customHeight="false" outlineLevel="0" collapsed="false">
      <c r="A247" s="4" t="s">
        <v>155</v>
      </c>
      <c r="D247" s="25" t="n">
        <f aca="false">SUMPRODUCT(($B$226:$B$242=$A247)*D$226:D$242*$C$226:$C$242)</f>
        <v>8.52161270261564</v>
      </c>
      <c r="E247" s="25" t="n">
        <f aca="false">SUMPRODUCT(($B$226:$B$242=$A247)*E$226:E$242*$C$226:$C$242)</f>
        <v>8.57352791092474</v>
      </c>
      <c r="F247" s="25" t="n">
        <f aca="false">SUMPRODUCT(($B$226:$B$242=$A247)*F$226:F$242*$C$226:$C$242)</f>
        <v>8.62575939608752</v>
      </c>
      <c r="G247" s="25" t="n">
        <f aca="false">SUMPRODUCT(($B$226:$B$242=$A247)*G$226:G$242*$C$226:$C$242)</f>
        <v>8.67830908491986</v>
      </c>
      <c r="H247" s="25" t="n">
        <f aca="false">SUMPRODUCT(($B$226:$B$242=$A247)*H$226:H$242*$C$226:$C$242)</f>
        <v>8.73117891597615</v>
      </c>
      <c r="I247" s="25" t="n">
        <f aca="false">SUMPRODUCT(($B$226:$B$242=$A247)*I$226:I$242*$C$226:$C$242)</f>
        <v>8.78437083962082</v>
      </c>
      <c r="J247" s="25" t="n">
        <f aca="false">SUMPRODUCT(($B$226:$B$242=$A247)*J$226:J$242*$C$226:$C$242)</f>
        <v>8.83788681810026</v>
      </c>
      <c r="K247" s="25" t="n">
        <f aca="false">SUMPRODUCT(($B$226:$B$242=$A247)*K$226:K$242*$C$226:$C$242)</f>
        <v>8.89172882561525</v>
      </c>
      <c r="L247" s="25" t="n">
        <f aca="false">SUMPRODUCT(($B$226:$B$242=$A247)*L$226:L$242*$C$226:$C$242)</f>
        <v>8.94589884839371</v>
      </c>
      <c r="M247" s="25" t="n">
        <f aca="false">SUMPRODUCT(($B$226:$B$242=$A247)*M$226:M$242*$C$226:$C$242)</f>
        <v>9.00039888476405</v>
      </c>
      <c r="N247" s="25" t="n">
        <f aca="false">SUMPRODUCT(($B$226:$B$242=$A247)*N$226:N$242*$C$226:$C$242)</f>
        <v>9.05523094522887</v>
      </c>
      <c r="O247" s="25" t="n">
        <f aca="false">SUMPRODUCT(($B$226:$B$242=$A247)*O$226:O$242*$C$226:$C$242)</f>
        <v>9.11039705253909</v>
      </c>
      <c r="P247" s="25" t="n">
        <f aca="false">SUMPRODUCT(($B$226:$B$242=$A247)*P$226:P$242*$C$226:$C$242)</f>
        <v>105.756300224786</v>
      </c>
    </row>
    <row r="248" customFormat="false" ht="15" hidden="false" customHeight="false" outlineLevel="0" collapsed="false">
      <c r="A248" s="4" t="s">
        <v>146</v>
      </c>
      <c r="D248" s="25" t="n">
        <f aca="false">SUMPRODUCT(($B$226:$B$242=$A248)*D$226:D$242*$C$226:$C$242)</f>
        <v>168.844984986266</v>
      </c>
      <c r="E248" s="25" t="n">
        <f aca="false">SUMPRODUCT(($B$226:$B$242=$A248)*E$226:E$242*$C$226:$C$242)</f>
        <v>169.873619221757</v>
      </c>
      <c r="F248" s="25" t="n">
        <f aca="false">SUMPRODUCT(($B$226:$B$242=$A248)*F$226:F$242*$C$226:$C$242)</f>
        <v>170.908520083353</v>
      </c>
      <c r="G248" s="25" t="n">
        <f aca="false">SUMPRODUCT(($B$226:$B$242=$A248)*G$226:G$242*$C$226:$C$242)</f>
        <v>171.949725748474</v>
      </c>
      <c r="H248" s="25" t="n">
        <f aca="false">SUMPRODUCT(($B$226:$B$242=$A248)*H$226:H$242*$C$226:$C$242)</f>
        <v>172.997274627125</v>
      </c>
      <c r="I248" s="25" t="n">
        <f aca="false">SUMPRODUCT(($B$226:$B$242=$A248)*I$226:I$242*$C$226:$C$242)</f>
        <v>174.051205363313</v>
      </c>
      <c r="J248" s="25" t="n">
        <f aca="false">SUMPRODUCT(($B$226:$B$242=$A248)*J$226:J$242*$C$226:$C$242)</f>
        <v>175.111556836469</v>
      </c>
      <c r="K248" s="25" t="n">
        <f aca="false">SUMPRODUCT(($B$226:$B$242=$A248)*K$226:K$242*$C$226:$C$242)</f>
        <v>176.178368162887</v>
      </c>
      <c r="L248" s="25" t="n">
        <f aca="false">SUMPRODUCT(($B$226:$B$242=$A248)*L$226:L$242*$C$226:$C$242)</f>
        <v>177.251678697163</v>
      </c>
      <c r="M248" s="25" t="n">
        <f aca="false">SUMPRODUCT(($B$226:$B$242=$A248)*M$226:M$242*$C$226:$C$242)</f>
        <v>178.331528033648</v>
      </c>
      <c r="N248" s="25" t="n">
        <f aca="false">SUMPRODUCT(($B$226:$B$242=$A248)*N$226:N$242*$C$226:$C$242)</f>
        <v>179.41795600791</v>
      </c>
      <c r="O248" s="25" t="n">
        <f aca="false">SUMPRODUCT(($B$226:$B$242=$A248)*O$226:O$242*$C$226:$C$242)</f>
        <v>180.511002698202</v>
      </c>
      <c r="P248" s="25" t="n">
        <f aca="false">SUMPRODUCT(($B$226:$B$242=$A248)*P$226:P$242*$C$226:$C$242)</f>
        <v>2095.42742046657</v>
      </c>
    </row>
    <row r="249" customFormat="false" ht="15" hidden="false" customHeight="false" outlineLevel="0" collapsed="false">
      <c r="A249" s="4" t="s">
        <v>147</v>
      </c>
      <c r="D249" s="25" t="n">
        <f aca="false">SUMPRODUCT(($B$226:$B$242=$A249)*D$226:D$242*$C$226:$C$242)</f>
        <v>80.9442788331163</v>
      </c>
      <c r="E249" s="25" t="n">
        <f aca="false">SUMPRODUCT(($B$226:$B$242=$A249)*E$226:E$242*$C$226:$C$242)</f>
        <v>81.4374060431527</v>
      </c>
      <c r="F249" s="25" t="n">
        <f aca="false">SUMPRODUCT(($B$226:$B$242=$A249)*F$226:F$242*$C$226:$C$242)</f>
        <v>81.9335374734847</v>
      </c>
      <c r="G249" s="25" t="n">
        <f aca="false">SUMPRODUCT(($B$226:$B$242=$A249)*G$226:G$242*$C$226:$C$242)</f>
        <v>82.4326914263664</v>
      </c>
      <c r="H249" s="25" t="n">
        <f aca="false">SUMPRODUCT(($B$226:$B$242=$A249)*H$226:H$242*$C$226:$C$242)</f>
        <v>82.9348863155529</v>
      </c>
      <c r="I249" s="25" t="n">
        <f aca="false">SUMPRODUCT(($B$226:$B$242=$A249)*I$226:I$242*$C$226:$C$242)</f>
        <v>83.440140666979</v>
      </c>
      <c r="J249" s="25" t="n">
        <f aca="false">SUMPRODUCT(($B$226:$B$242=$A249)*J$226:J$242*$C$226:$C$242)</f>
        <v>83.9484731194428</v>
      </c>
      <c r="K249" s="25" t="n">
        <f aca="false">SUMPRODUCT(($B$226:$B$242=$A249)*K$226:K$242*$C$226:$C$242)</f>
        <v>84.4599024252935</v>
      </c>
      <c r="L249" s="25" t="n">
        <f aca="false">SUMPRODUCT(($B$226:$B$242=$A249)*L$226:L$242*$C$226:$C$242)</f>
        <v>84.9744474511229</v>
      </c>
      <c r="M249" s="25" t="n">
        <f aca="false">SUMPRODUCT(($B$226:$B$242=$A249)*M$226:M$242*$C$226:$C$242)</f>
        <v>85.4921271784617</v>
      </c>
      <c r="N249" s="25" t="n">
        <f aca="false">SUMPRODUCT(($B$226:$B$242=$A249)*N$226:N$242*$C$226:$C$242)</f>
        <v>86.0129607044791</v>
      </c>
      <c r="O249" s="25" t="n">
        <f aca="false">SUMPRODUCT(($B$226:$B$242=$A249)*O$226:O$242*$C$226:$C$242)</f>
        <v>86.5369672426882</v>
      </c>
      <c r="P249" s="25" t="n">
        <f aca="false">SUMPRODUCT(($B$226:$B$242=$A249)*P$226:P$242*$C$226:$C$242)</f>
        <v>1004.54781888014</v>
      </c>
    </row>
    <row r="250" customFormat="false" ht="15" hidden="false" customHeight="false" outlineLevel="0" collapsed="false">
      <c r="A250" s="4" t="s">
        <v>150</v>
      </c>
      <c r="D250" s="25" t="n">
        <f aca="false">SUMPRODUCT(($B$226:$B$242=$A250)*D$226:D$242*$C$226:$C$242)</f>
        <v>83.113263678995</v>
      </c>
      <c r="E250" s="25" t="n">
        <f aca="false">SUMPRODUCT(($B$226:$B$242=$A250)*E$226:E$242*$C$226:$C$242)</f>
        <v>83.6196047376329</v>
      </c>
      <c r="F250" s="25" t="n">
        <f aca="false">SUMPRODUCT(($B$226:$B$242=$A250)*F$226:F$242*$C$226:$C$242)</f>
        <v>84.1290305177258</v>
      </c>
      <c r="G250" s="25" t="n">
        <f aca="false">SUMPRODUCT(($B$226:$B$242=$A250)*G$226:G$242*$C$226:$C$242)</f>
        <v>84.6415598119555</v>
      </c>
      <c r="H250" s="25" t="n">
        <f aca="false">SUMPRODUCT(($B$226:$B$242=$A250)*H$226:H$242*$C$226:$C$242)</f>
        <v>85.1572115274925</v>
      </c>
      <c r="I250" s="25" t="n">
        <f aca="false">SUMPRODUCT(($B$226:$B$242=$A250)*I$226:I$242*$C$226:$C$242)</f>
        <v>85.6760046866929</v>
      </c>
      <c r="J250" s="25" t="n">
        <f aca="false">SUMPRODUCT(($B$226:$B$242=$A250)*J$226:J$242*$C$226:$C$242)</f>
        <v>86.1979584278007</v>
      </c>
      <c r="K250" s="25" t="n">
        <f aca="false">SUMPRODUCT(($B$226:$B$242=$A250)*K$226:K$242*$C$226:$C$242)</f>
        <v>86.7230920056533</v>
      </c>
      <c r="L250" s="25" t="n">
        <f aca="false">SUMPRODUCT(($B$226:$B$242=$A250)*L$226:L$242*$C$226:$C$242)</f>
        <v>87.2514247923923</v>
      </c>
      <c r="M250" s="25" t="n">
        <f aca="false">SUMPRODUCT(($B$226:$B$242=$A250)*M$226:M$242*$C$226:$C$242)</f>
        <v>87.7829762781777</v>
      </c>
      <c r="N250" s="25" t="n">
        <f aca="false">SUMPRODUCT(($B$226:$B$242=$A250)*N$226:N$242*$C$226:$C$242)</f>
        <v>88.3177660719073</v>
      </c>
      <c r="O250" s="25" t="n">
        <f aca="false">SUMPRODUCT(($B$226:$B$242=$A250)*O$226:O$242*$C$226:$C$242)</f>
        <v>88.8558139019396</v>
      </c>
      <c r="P250" s="25" t="n">
        <f aca="false">SUMPRODUCT(($B$226:$B$242=$A250)*P$226:P$242*$C$226:$C$242)</f>
        <v>1031.46570643837</v>
      </c>
    </row>
    <row r="251" customFormat="false" ht="15" hidden="false" customHeight="false" outlineLevel="0" collapsed="false">
      <c r="A251" s="4" t="s">
        <v>151</v>
      </c>
      <c r="D251" s="25" t="n">
        <f aca="false">SUMPRODUCT(($B$226:$B$242=$A251)*D$226:D$242*$C$226:$C$242)</f>
        <v>609.103426190419</v>
      </c>
      <c r="E251" s="25" t="n">
        <f aca="false">SUMPRODUCT(($B$226:$B$242=$A251)*E$226:E$242*$C$226:$C$242)</f>
        <v>612.814194604332</v>
      </c>
      <c r="F251" s="25" t="n">
        <f aca="false">SUMPRODUCT(($B$226:$B$242=$A251)*F$226:F$242*$C$226:$C$242)</f>
        <v>616.547569691643</v>
      </c>
      <c r="G251" s="25" t="n">
        <f aca="false">SUMPRODUCT(($B$226:$B$242=$A251)*G$226:G$242*$C$226:$C$242)</f>
        <v>620.303689176302</v>
      </c>
      <c r="H251" s="25" t="n">
        <f aca="false">SUMPRODUCT(($B$226:$B$242=$A251)*H$226:H$242*$C$226:$C$242)</f>
        <v>624.082691621299</v>
      </c>
      <c r="I251" s="25" t="n">
        <f aca="false">SUMPRODUCT(($B$226:$B$242=$A251)*I$226:I$242*$C$226:$C$242)</f>
        <v>627.884716433772</v>
      </c>
      <c r="J251" s="25" t="n">
        <f aca="false">SUMPRODUCT(($B$226:$B$242=$A251)*J$226:J$242*$C$226:$C$242)</f>
        <v>631.709903870154</v>
      </c>
      <c r="K251" s="25" t="n">
        <f aca="false">SUMPRODUCT(($B$226:$B$242=$A251)*K$226:K$242*$C$226:$C$242)</f>
        <v>635.558395041348</v>
      </c>
      <c r="L251" s="25" t="n">
        <f aca="false">SUMPRODUCT(($B$226:$B$242=$A251)*L$226:L$242*$C$226:$C$242)</f>
        <v>639.430331917926</v>
      </c>
      <c r="M251" s="25" t="n">
        <f aca="false">SUMPRODUCT(($B$226:$B$242=$A251)*M$226:M$242*$C$226:$C$242)</f>
        <v>643.325857335373</v>
      </c>
      <c r="N251" s="25" t="n">
        <f aca="false">SUMPRODUCT(($B$226:$B$242=$A251)*N$226:N$242*$C$226:$C$242)</f>
        <v>647.245114999353</v>
      </c>
      <c r="O251" s="25" t="n">
        <f aca="false">SUMPRODUCT(($B$226:$B$242=$A251)*O$226:O$242*$C$226:$C$242)</f>
        <v>651.188249491012</v>
      </c>
      <c r="P251" s="25" t="n">
        <f aca="false">SUMPRODUCT(($B$226:$B$242=$A251)*P$226:P$242*$C$226:$C$242)</f>
        <v>7559.19414037293</v>
      </c>
    </row>
    <row r="252" customFormat="false" ht="15" hidden="false" customHeight="false" outlineLevel="0" collapsed="false">
      <c r="A252" s="4" t="s">
        <v>154</v>
      </c>
      <c r="D252" s="25" t="n">
        <f aca="false">SUMPRODUCT(($B$226:$B$242=$A252)*D$226:D$242*$C$226:$C$242)</f>
        <v>24.9031550809862</v>
      </c>
      <c r="E252" s="25" t="n">
        <f aca="false">SUMPRODUCT(($B$226:$B$242=$A252)*E$226:E$242*$C$226:$C$242)</f>
        <v>25.0548696130473</v>
      </c>
      <c r="F252" s="25" t="n">
        <f aca="false">SUMPRODUCT(($B$226:$B$242=$A252)*F$226:F$242*$C$226:$C$242)</f>
        <v>25.2075084175215</v>
      </c>
      <c r="G252" s="25" t="n">
        <f aca="false">SUMPRODUCT(($B$226:$B$242=$A252)*G$226:G$242*$C$226:$C$242)</f>
        <v>25.3610771252436</v>
      </c>
      <c r="H252" s="25" t="n">
        <f aca="false">SUMPRODUCT(($B$226:$B$242=$A252)*H$226:H$242*$C$226:$C$242)</f>
        <v>25.5155814013528</v>
      </c>
      <c r="I252" s="25" t="n">
        <f aca="false">SUMPRODUCT(($B$226:$B$242=$A252)*I$226:I$242*$C$226:$C$242)</f>
        <v>25.6710269455011</v>
      </c>
      <c r="J252" s="25" t="n">
        <f aca="false">SUMPRODUCT(($B$226:$B$242=$A252)*J$226:J$242*$C$226:$C$242)</f>
        <v>25.8274194920639</v>
      </c>
      <c r="K252" s="25" t="n">
        <f aca="false">SUMPRODUCT(($B$226:$B$242=$A252)*K$226:K$242*$C$226:$C$242)</f>
        <v>25.9847648103516</v>
      </c>
      <c r="L252" s="25" t="n">
        <f aca="false">SUMPRODUCT(($B$226:$B$242=$A252)*L$226:L$242*$C$226:$C$242)</f>
        <v>26.143068704822</v>
      </c>
      <c r="M252" s="25" t="n">
        <f aca="false">SUMPRODUCT(($B$226:$B$242=$A252)*M$226:M$242*$C$226:$C$242)</f>
        <v>26.3023370152949</v>
      </c>
      <c r="N252" s="25" t="n">
        <f aca="false">SUMPRODUCT(($B$226:$B$242=$A252)*N$226:N$242*$C$226:$C$242)</f>
        <v>26.4625756171673</v>
      </c>
      <c r="O252" s="25" t="n">
        <f aca="false">SUMPRODUCT(($B$226:$B$242=$A252)*O$226:O$242*$C$226:$C$242)</f>
        <v>26.6237904216302</v>
      </c>
      <c r="P252" s="25" t="n">
        <f aca="false">SUMPRODUCT(($B$226:$B$242=$A252)*P$226:P$242*$C$226:$C$242)</f>
        <v>309.057174644982</v>
      </c>
    </row>
    <row r="253" customFormat="false" ht="15" hidden="false" customHeight="false" outlineLevel="0" collapsed="false">
      <c r="A253" s="6" t="s">
        <v>274</v>
      </c>
      <c r="D253" s="26" t="n">
        <f aca="false">SUMPRODUCT(D$226:D$242*parametros_recargas!$D$51:$D$67)</f>
        <v>252.654771872541</v>
      </c>
      <c r="E253" s="26" t="n">
        <f aca="false">SUMPRODUCT(E$226:E$242*parametros_recargas!$D$51:$D$67)</f>
        <v>254.193990512227</v>
      </c>
      <c r="F253" s="26" t="n">
        <f aca="false">SUMPRODUCT(F$226:F$242*parametros_recargas!$D$51:$D$67)</f>
        <v>255.742586350702</v>
      </c>
      <c r="G253" s="26" t="n">
        <f aca="false">SUMPRODUCT(G$226:G$242*parametros_recargas!$D$51:$D$67)</f>
        <v>257.300616515559</v>
      </c>
      <c r="H253" s="26" t="n">
        <f aca="false">SUMPRODUCT(H$226:H$242*parametros_recargas!$D$51:$D$67)</f>
        <v>258.868138482425</v>
      </c>
      <c r="I253" s="26" t="n">
        <f aca="false">SUMPRODUCT(I$226:I$242*parametros_recargas!$D$51:$D$67)</f>
        <v>260.445210077075</v>
      </c>
      <c r="J253" s="26" t="n">
        <f aca="false">SUMPRODUCT(J$226:J$242*parametros_recargas!$D$51:$D$67)</f>
        <v>262.031889477573</v>
      </c>
      <c r="K253" s="26" t="n">
        <f aca="false">SUMPRODUCT(K$226:K$242*parametros_recargas!$D$51:$D$67)</f>
        <v>263.628235216412</v>
      </c>
      <c r="L253" s="26" t="n">
        <f aca="false">SUMPRODUCT(L$226:L$242*parametros_recargas!$D$51:$D$67)</f>
        <v>265.234306182676</v>
      </c>
      <c r="M253" s="26" t="n">
        <f aca="false">SUMPRODUCT(M$226:M$242*parametros_recargas!$D$51:$D$67)</f>
        <v>266.850161624213</v>
      </c>
      <c r="N253" s="26" t="n">
        <f aca="false">SUMPRODUCT(N$226:N$242*parametros_recargas!$D$51:$D$67)</f>
        <v>268.475861149819</v>
      </c>
      <c r="O253" s="26" t="n">
        <f aca="false">SUMPRODUCT(O$226:O$242*parametros_recargas!$D$51:$D$67)</f>
        <v>270.111464731438</v>
      </c>
      <c r="P253" s="26" t="n">
        <f aca="false">SUMPRODUCT(P$226:P$242*parametros_recargas!$D$51:$D$67)</f>
        <v>3135.53723219266</v>
      </c>
    </row>
    <row r="257" customFormat="false" ht="15" hidden="false" customHeight="false" outlineLevel="0" collapsed="false">
      <c r="A257" s="23" t="n">
        <v>2034</v>
      </c>
      <c r="B257" s="3" t="s">
        <v>270</v>
      </c>
      <c r="C257" s="3" t="s">
        <v>271</v>
      </c>
      <c r="D257" s="3" t="s">
        <v>124</v>
      </c>
      <c r="E257" s="3" t="s">
        <v>125</v>
      </c>
      <c r="F257" s="3" t="s">
        <v>126</v>
      </c>
      <c r="G257" s="3" t="s">
        <v>127</v>
      </c>
      <c r="H257" s="3" t="s">
        <v>128</v>
      </c>
      <c r="I257" s="3" t="s">
        <v>129</v>
      </c>
      <c r="J257" s="3" t="s">
        <v>130</v>
      </c>
      <c r="K257" s="3" t="s">
        <v>131</v>
      </c>
      <c r="L257" s="3" t="s">
        <v>132</v>
      </c>
      <c r="M257" s="3" t="s">
        <v>133</v>
      </c>
      <c r="N257" s="3" t="s">
        <v>134</v>
      </c>
      <c r="O257" s="3" t="s">
        <v>135</v>
      </c>
      <c r="P257" s="3" t="s">
        <v>136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4" t="n">
        <f aca="false">parametros_recargas!C51</f>
        <v>1</v>
      </c>
      <c r="D258" s="25" t="n">
        <f aca="false">datos_base!$J$2*parametros_recargas!$F$45</f>
        <v>4273.38440725571</v>
      </c>
      <c r="E258" s="25" t="n">
        <f aca="false">datos_base!$J$2*parametros_recargas!$G$45</f>
        <v>4298.13824938435</v>
      </c>
      <c r="F258" s="25" t="n">
        <f aca="false">datos_base!$J$2*parametros_recargas!$H$45</f>
        <v>4323.03547966667</v>
      </c>
      <c r="G258" s="25" t="n">
        <f aca="false">datos_base!$J$2*parametros_recargas!$I$45</f>
        <v>4348.07692868738</v>
      </c>
      <c r="H258" s="25" t="n">
        <f aca="false">datos_base!$J$2*parametros_recargas!$J$45</f>
        <v>4373.26343184239</v>
      </c>
      <c r="I258" s="25" t="n">
        <f aca="false">datos_base!$J$2*parametros_recargas!$K$45</f>
        <v>4398.5958293667</v>
      </c>
      <c r="J258" s="25" t="n">
        <f aca="false">datos_base!$J$2*parametros_recargas!$L$45</f>
        <v>4424.07496636242</v>
      </c>
      <c r="K258" s="25" t="n">
        <f aca="false">datos_base!$J$2*parametros_recargas!$M$45</f>
        <v>4449.70169282697</v>
      </c>
      <c r="L258" s="25" t="n">
        <f aca="false">datos_base!$J$2*parametros_recargas!$N$45</f>
        <v>4475.47686368142</v>
      </c>
      <c r="M258" s="25" t="n">
        <f aca="false">datos_base!$J$2*parametros_recargas!$O$45</f>
        <v>4501.40133879905</v>
      </c>
      <c r="N258" s="25" t="n">
        <f aca="false">datos_base!$J$2*parametros_recargas!$P$45</f>
        <v>4527.47598303398</v>
      </c>
      <c r="O258" s="25" t="n">
        <f aca="false">datos_base!$J$2*parametros_recargas!$Q$45</f>
        <v>4553.70166625006</v>
      </c>
      <c r="P258" s="7" t="n">
        <f aca="false">SUM(D258:O258)</f>
        <v>52946.3268371571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4" t="n">
        <f aca="false">parametros_recargas!C52</f>
        <v>1</v>
      </c>
      <c r="D259" s="25" t="n">
        <f aca="false">datos_base!$J$3*parametros_recargas!$F$45</f>
        <v>359.030878541302</v>
      </c>
      <c r="E259" s="25" t="n">
        <f aca="false">datos_base!$J$3*parametros_recargas!$G$45</f>
        <v>361.110586997118</v>
      </c>
      <c r="F259" s="25" t="n">
        <f aca="false">datos_base!$J$3*parametros_recargas!$H$45</f>
        <v>363.202342292132</v>
      </c>
      <c r="G259" s="25" t="n">
        <f aca="false">datos_base!$J$3*parametros_recargas!$I$45</f>
        <v>365.306214208402</v>
      </c>
      <c r="H259" s="25" t="n">
        <f aca="false">datos_base!$J$3*parametros_recargas!$J$45</f>
        <v>367.422272932202</v>
      </c>
      <c r="I259" s="25" t="n">
        <f aca="false">datos_base!$J$3*parametros_recargas!$K$45</f>
        <v>369.550589056365</v>
      </c>
      <c r="J259" s="25" t="n">
        <f aca="false">datos_base!$J$3*parametros_recargas!$L$45</f>
        <v>371.691233582637</v>
      </c>
      <c r="K259" s="25" t="n">
        <f aca="false">datos_base!$J$3*parametros_recargas!$M$45</f>
        <v>373.844277924046</v>
      </c>
      <c r="L259" s="25" t="n">
        <f aca="false">datos_base!$J$3*parametros_recargas!$N$45</f>
        <v>376.009793907283</v>
      </c>
      <c r="M259" s="25" t="n">
        <f aca="false">datos_base!$J$3*parametros_recargas!$O$45</f>
        <v>378.187853775101</v>
      </c>
      <c r="N259" s="25" t="n">
        <f aca="false">datos_base!$J$3*parametros_recargas!$P$45</f>
        <v>380.378530188724</v>
      </c>
      <c r="O259" s="25" t="n">
        <f aca="false">datos_base!$J$3*parametros_recargas!$Q$45</f>
        <v>382.581896230269</v>
      </c>
      <c r="P259" s="7" t="n">
        <f aca="false">SUM(D259:O259)</f>
        <v>4448.31646963558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4" t="n">
        <f aca="false">parametros_recargas!C53</f>
        <v>1</v>
      </c>
      <c r="D260" s="25" t="n">
        <f aca="false">datos_base!$J$4*parametros_recargas!$F$45</f>
        <v>2189.23135023792</v>
      </c>
      <c r="E260" s="25" t="n">
        <f aca="false">datos_base!$J$4*parametros_recargas!$G$45</f>
        <v>2201.91260754182</v>
      </c>
      <c r="F260" s="25" t="n">
        <f aca="false">datos_base!$J$4*parametros_recargas!$H$45</f>
        <v>2214.66732180895</v>
      </c>
      <c r="G260" s="25" t="n">
        <f aca="false">datos_base!$J$4*parametros_recargas!$I$45</f>
        <v>2227.49591854329</v>
      </c>
      <c r="H260" s="25" t="n">
        <f aca="false">datos_base!$J$4*parametros_recargas!$J$45</f>
        <v>2240.39882571359</v>
      </c>
      <c r="I260" s="25" t="n">
        <f aca="false">datos_base!$J$4*parametros_recargas!$K$45</f>
        <v>2253.37647376761</v>
      </c>
      <c r="J260" s="25" t="n">
        <f aca="false">datos_base!$J$4*parametros_recargas!$L$45</f>
        <v>2266.42929564652</v>
      </c>
      <c r="K260" s="25" t="n">
        <f aca="false">datos_base!$J$4*parametros_recargas!$M$45</f>
        <v>2279.55772679934</v>
      </c>
      <c r="L260" s="25" t="n">
        <f aca="false">datos_base!$J$4*parametros_recargas!$N$45</f>
        <v>2292.76220519742</v>
      </c>
      <c r="M260" s="25" t="n">
        <f aca="false">datos_base!$J$4*parametros_recargas!$O$45</f>
        <v>2306.04317134912</v>
      </c>
      <c r="N260" s="25" t="n">
        <f aca="false">datos_base!$J$4*parametros_recargas!$P$45</f>
        <v>2319.40106831446</v>
      </c>
      <c r="O260" s="25" t="n">
        <f aca="false">datos_base!$J$4*parametros_recargas!$Q$45</f>
        <v>2332.83634171991</v>
      </c>
      <c r="P260" s="7" t="n">
        <f aca="false">SUM(D260:O260)</f>
        <v>27124.1123066399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4" t="n">
        <f aca="false">parametros_recargas!C54</f>
        <v>1</v>
      </c>
      <c r="D261" s="25" t="n">
        <f aca="false">datos_base!$J$5*parametros_recargas!$F$45</f>
        <v>129.616621985961</v>
      </c>
      <c r="E261" s="25" t="n">
        <f aca="false">datos_base!$J$5*parametros_recargas!$G$45</f>
        <v>130.367434244376</v>
      </c>
      <c r="F261" s="25" t="n">
        <f aca="false">datos_base!$J$5*parametros_recargas!$H$45</f>
        <v>131.122595628997</v>
      </c>
      <c r="G261" s="25" t="n">
        <f aca="false">datos_base!$J$5*parametros_recargas!$I$45</f>
        <v>131.882131332405</v>
      </c>
      <c r="H261" s="25" t="n">
        <f aca="false">datos_base!$J$5*parametros_recargas!$J$45</f>
        <v>132.646066693111</v>
      </c>
      <c r="I261" s="25" t="n">
        <f aca="false">datos_base!$J$5*parametros_recargas!$K$45</f>
        <v>133.4144271964</v>
      </c>
      <c r="J261" s="25" t="n">
        <f aca="false">datos_base!$J$5*parametros_recargas!$L$45</f>
        <v>134.187238475183</v>
      </c>
      <c r="K261" s="25" t="n">
        <f aca="false">datos_base!$J$5*parametros_recargas!$M$45</f>
        <v>134.964526310851</v>
      </c>
      <c r="L261" s="25" t="n">
        <f aca="false">datos_base!$J$5*parametros_recargas!$N$45</f>
        <v>135.746316634135</v>
      </c>
      <c r="M261" s="25" t="n">
        <f aca="false">datos_base!$J$5*parametros_recargas!$O$45</f>
        <v>136.532635525972</v>
      </c>
      <c r="N261" s="25" t="n">
        <f aca="false">datos_base!$J$5*parametros_recargas!$P$45</f>
        <v>137.323509218373</v>
      </c>
      <c r="O261" s="25" t="n">
        <f aca="false">datos_base!$J$5*parametros_recargas!$Q$45</f>
        <v>138.118964095302</v>
      </c>
      <c r="P261" s="7" t="n">
        <f aca="false">SUM(D261:O261)</f>
        <v>1605.92246734107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4" t="n">
        <f aca="false">parametros_recargas!C55</f>
        <v>1</v>
      </c>
      <c r="D262" s="25" t="n">
        <f aca="false">datos_base!$J$6*parametros_recargas!$F$45</f>
        <v>182.749291262661</v>
      </c>
      <c r="E262" s="25" t="n">
        <f aca="false">datos_base!$J$6*parametros_recargas!$G$45</f>
        <v>183.807877777218</v>
      </c>
      <c r="F262" s="25" t="n">
        <f aca="false">datos_base!$J$6*parametros_recargas!$H$45</f>
        <v>184.872596219297</v>
      </c>
      <c r="G262" s="25" t="n">
        <f aca="false">datos_base!$J$6*parametros_recargas!$I$45</f>
        <v>185.943482108466</v>
      </c>
      <c r="H262" s="25" t="n">
        <f aca="false">datos_base!$J$6*parametros_recargas!$J$45</f>
        <v>187.020571170041</v>
      </c>
      <c r="I262" s="25" t="n">
        <f aca="false">datos_base!$J$6*parametros_recargas!$K$45</f>
        <v>188.103899336281</v>
      </c>
      <c r="J262" s="25" t="n">
        <f aca="false">datos_base!$J$6*parametros_recargas!$L$45</f>
        <v>189.193502747584</v>
      </c>
      <c r="K262" s="25" t="n">
        <f aca="false">datos_base!$J$6*parametros_recargas!$M$45</f>
        <v>190.289417753691</v>
      </c>
      <c r="L262" s="25" t="n">
        <f aca="false">datos_base!$J$6*parametros_recargas!$N$45</f>
        <v>191.391680914906</v>
      </c>
      <c r="M262" s="25" t="n">
        <f aca="false">datos_base!$J$6*parametros_recargas!$O$45</f>
        <v>192.500329003306</v>
      </c>
      <c r="N262" s="25" t="n">
        <f aca="false">datos_base!$J$6*parametros_recargas!$P$45</f>
        <v>193.615399003975</v>
      </c>
      <c r="O262" s="25" t="n">
        <f aca="false">datos_base!$J$6*parametros_recargas!$Q$45</f>
        <v>194.736928116236</v>
      </c>
      <c r="P262" s="7" t="n">
        <f aca="false">SUM(D262:O262)</f>
        <v>2264.22497541366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4" t="n">
        <f aca="false">parametros_recargas!C56</f>
        <v>1</v>
      </c>
      <c r="D263" s="25" t="n">
        <f aca="false">datos_base!$J$7*parametros_recargas!$F$45</f>
        <v>34.3737536269688</v>
      </c>
      <c r="E263" s="25" t="n">
        <f aca="false">datos_base!$J$7*parametros_recargas!$G$45</f>
        <v>34.5728657099366</v>
      </c>
      <c r="F263" s="25" t="n">
        <f aca="false">datos_base!$J$7*parametros_recargas!$H$45</f>
        <v>34.7731311618967</v>
      </c>
      <c r="G263" s="25" t="n">
        <f aca="false">datos_base!$J$7*parametros_recargas!$I$45</f>
        <v>34.9745566638101</v>
      </c>
      <c r="H263" s="25" t="n">
        <f aca="false">datos_base!$J$7*parametros_recargas!$J$45</f>
        <v>35.1771489353373</v>
      </c>
      <c r="I263" s="25" t="n">
        <f aca="false">datos_base!$J$7*parametros_recargas!$K$45</f>
        <v>35.3809147350633</v>
      </c>
      <c r="J263" s="25" t="n">
        <f aca="false">datos_base!$J$7*parametros_recargas!$L$45</f>
        <v>35.5858608607223</v>
      </c>
      <c r="K263" s="25" t="n">
        <f aca="false">datos_base!$J$7*parametros_recargas!$M$45</f>
        <v>35.791994149425</v>
      </c>
      <c r="L263" s="25" t="n">
        <f aca="false">datos_base!$J$7*parametros_recargas!$N$45</f>
        <v>35.9993214778862</v>
      </c>
      <c r="M263" s="25" t="n">
        <f aca="false">datos_base!$J$7*parametros_recargas!$O$45</f>
        <v>36.2078497626547</v>
      </c>
      <c r="N263" s="25" t="n">
        <f aca="false">datos_base!$J$7*parametros_recargas!$P$45</f>
        <v>36.417585960344</v>
      </c>
      <c r="O263" s="25" t="n">
        <f aca="false">datos_base!$J$7*parametros_recargas!$Q$45</f>
        <v>36.6285370678638</v>
      </c>
      <c r="P263" s="7" t="n">
        <f aca="false">SUM(D263:O263)</f>
        <v>425.883520111909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4" t="n">
        <f aca="false">parametros_recargas!C57</f>
        <v>3</v>
      </c>
      <c r="D264" s="25" t="n">
        <f aca="false">datos_base!$J$8*parametros_recargas!$F$45</f>
        <v>17.9926628476519</v>
      </c>
      <c r="E264" s="25" t="n">
        <f aca="false">datos_base!$J$8*parametros_recargas!$G$45</f>
        <v>18.0968864543203</v>
      </c>
      <c r="F264" s="25" t="n">
        <f aca="false">datos_base!$J$8*parametros_recargas!$H$45</f>
        <v>18.2017137826434</v>
      </c>
      <c r="G264" s="25" t="n">
        <f aca="false">datos_base!$J$8*parametros_recargas!$I$45</f>
        <v>18.3071483297161</v>
      </c>
      <c r="H264" s="25" t="n">
        <f aca="false">datos_base!$J$8*parametros_recargas!$J$45</f>
        <v>18.4131936128902</v>
      </c>
      <c r="I264" s="25" t="n">
        <f aca="false">datos_base!$J$8*parametros_recargas!$K$45</f>
        <v>18.5198531698923</v>
      </c>
      <c r="J264" s="25" t="n">
        <f aca="false">datos_base!$J$8*parametros_recargas!$L$45</f>
        <v>18.6271305589413</v>
      </c>
      <c r="K264" s="25" t="n">
        <f aca="false">datos_base!$J$8*parametros_recargas!$M$45</f>
        <v>18.7350293588674</v>
      </c>
      <c r="L264" s="25" t="n">
        <f aca="false">datos_base!$J$8*parametros_recargas!$N$45</f>
        <v>18.8435531692312</v>
      </c>
      <c r="M264" s="25" t="n">
        <f aca="false">datos_base!$J$8*parametros_recargas!$O$45</f>
        <v>18.9527056104443</v>
      </c>
      <c r="N264" s="25" t="n">
        <f aca="false">datos_base!$J$8*parametros_recargas!$P$45</f>
        <v>19.0624903238894</v>
      </c>
      <c r="O264" s="25" t="n">
        <f aca="false">datos_base!$J$8*parametros_recargas!$Q$45</f>
        <v>19.1729109720425</v>
      </c>
      <c r="P264" s="7" t="n">
        <f aca="false">SUM(D264:O264)</f>
        <v>222.92527819053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4" t="n">
        <f aca="false">parametros_recargas!C58</f>
        <v>1</v>
      </c>
      <c r="D265" s="25" t="n">
        <f aca="false">datos_base!$J$9*parametros_recargas!$F$45</f>
        <v>10.3706883266163</v>
      </c>
      <c r="E265" s="25" t="n">
        <f aca="false">datos_base!$J$9*parametros_recargas!$G$45</f>
        <v>10.4307611768767</v>
      </c>
      <c r="F265" s="25" t="n">
        <f aca="false">datos_base!$J$9*parametros_recargas!$H$45</f>
        <v>10.4911820028187</v>
      </c>
      <c r="G265" s="25" t="n">
        <f aca="false">datos_base!$J$9*parametros_recargas!$I$45</f>
        <v>10.5519528201128</v>
      </c>
      <c r="H265" s="25" t="n">
        <f aca="false">datos_base!$J$9*parametros_recargas!$J$45</f>
        <v>10.6130756561053</v>
      </c>
      <c r="I265" s="25" t="n">
        <f aca="false">datos_base!$J$9*parametros_recargas!$K$45</f>
        <v>10.6745525498864</v>
      </c>
      <c r="J265" s="25" t="n">
        <f aca="false">datos_base!$J$9*parametros_recargas!$L$45</f>
        <v>10.7363855523575</v>
      </c>
      <c r="K265" s="25" t="n">
        <f aca="false">datos_base!$J$9*parametros_recargas!$M$45</f>
        <v>10.7985767263001</v>
      </c>
      <c r="L265" s="25" t="n">
        <f aca="false">datos_base!$J$9*parametros_recargas!$N$45</f>
        <v>10.8611281464445</v>
      </c>
      <c r="M265" s="25" t="n">
        <f aca="false">datos_base!$J$9*parametros_recargas!$O$45</f>
        <v>10.9240418995391</v>
      </c>
      <c r="N265" s="25" t="n">
        <f aca="false">datos_base!$J$9*parametros_recargas!$P$45</f>
        <v>10.9873200844196</v>
      </c>
      <c r="O265" s="25" t="n">
        <f aca="false">datos_base!$J$9*parametros_recargas!$Q$45</f>
        <v>11.0509648120796</v>
      </c>
      <c r="P265" s="7" t="n">
        <f aca="false">SUM(D265:O265)</f>
        <v>128.490629753557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4" t="n">
        <f aca="false">parametros_recargas!C59</f>
        <v>1</v>
      </c>
      <c r="D266" s="25" t="n">
        <f aca="false">datos_base!$J$10*parametros_recargas!$F$45</f>
        <v>90.0492305892077</v>
      </c>
      <c r="E266" s="25" t="n">
        <f aca="false">datos_base!$J$10*parametros_recargas!$G$45</f>
        <v>90.5708462982991</v>
      </c>
      <c r="F266" s="25" t="n">
        <f aca="false">datos_base!$J$10*parametros_recargas!$H$45</f>
        <v>91.0954834984814</v>
      </c>
      <c r="G266" s="25" t="n">
        <f aca="false">datos_base!$J$10*parametros_recargas!$I$45</f>
        <v>91.6231596919278</v>
      </c>
      <c r="H266" s="25" t="n">
        <f aca="false">datos_base!$J$10*parametros_recargas!$J$45</f>
        <v>92.1538924821936</v>
      </c>
      <c r="I266" s="25" t="n">
        <f aca="false">datos_base!$J$10*parametros_recargas!$K$45</f>
        <v>92.687699574804</v>
      </c>
      <c r="J266" s="25" t="n">
        <f aca="false">datos_base!$J$10*parametros_recargas!$L$45</f>
        <v>93.2245987778446</v>
      </c>
      <c r="K266" s="25" t="n">
        <f aca="false">datos_base!$J$10*parametros_recargas!$M$45</f>
        <v>93.7646080025552</v>
      </c>
      <c r="L266" s="25" t="n">
        <f aca="false">datos_base!$J$10*parametros_recargas!$N$45</f>
        <v>94.3077452639278</v>
      </c>
      <c r="M266" s="25" t="n">
        <f aca="false">datos_base!$J$10*parametros_recargas!$O$45</f>
        <v>94.8540286813072</v>
      </c>
      <c r="N266" s="25" t="n">
        <f aca="false">datos_base!$J$10*parametros_recargas!$P$45</f>
        <v>95.4034764789956</v>
      </c>
      <c r="O266" s="25" t="n">
        <f aca="false">datos_base!$J$10*parametros_recargas!$Q$45</f>
        <v>95.9561069868607</v>
      </c>
      <c r="P266" s="7" t="n">
        <f aca="false">SUM(D266:O266)</f>
        <v>1115.6908763264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4" t="n">
        <f aca="false">parametros_recargas!C60</f>
        <v>1</v>
      </c>
      <c r="D267" s="25" t="n">
        <f aca="false">datos_base!$J$11*parametros_recargas!$F$45</f>
        <v>492.309076221783</v>
      </c>
      <c r="E267" s="25" t="n">
        <f aca="false">datos_base!$J$11*parametros_recargas!$G$45</f>
        <v>495.160806838528</v>
      </c>
      <c r="F267" s="25" t="n">
        <f aca="false">datos_base!$J$11*parametros_recargas!$H$45</f>
        <v>498.029056280342</v>
      </c>
      <c r="G267" s="25" t="n">
        <f aca="false">datos_base!$J$11*parametros_recargas!$I$45</f>
        <v>500.913920233538</v>
      </c>
      <c r="H267" s="25" t="n">
        <f aca="false">datos_base!$J$11*parametros_recargas!$J$45</f>
        <v>503.815494938694</v>
      </c>
      <c r="I267" s="25" t="n">
        <f aca="false">datos_base!$J$11*parametros_recargas!$K$45</f>
        <v>506.733877193868</v>
      </c>
      <c r="J267" s="25" t="n">
        <f aca="false">datos_base!$J$11*parametros_recargas!$L$45</f>
        <v>509.66916435783</v>
      </c>
      <c r="K267" s="25" t="n">
        <f aca="false">datos_base!$J$11*parametros_recargas!$M$45</f>
        <v>512.621454353303</v>
      </c>
      <c r="L267" s="25" t="n">
        <f aca="false">datos_base!$J$11*parametros_recargas!$N$45</f>
        <v>515.590845670234</v>
      </c>
      <c r="M267" s="25" t="n">
        <f aca="false">datos_base!$J$11*parametros_recargas!$O$45</f>
        <v>518.577437369082</v>
      </c>
      <c r="N267" s="25" t="n">
        <f aca="false">datos_base!$J$11*parametros_recargas!$P$45</f>
        <v>521.581329084115</v>
      </c>
      <c r="O267" s="25" t="n">
        <f aca="false">datos_base!$J$11*parametros_recargas!$Q$45</f>
        <v>524.602621026744</v>
      </c>
      <c r="P267" s="7" t="n">
        <f aca="false">SUM(D267:O267)</f>
        <v>6099.60508356806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4" t="n">
        <f aca="false">parametros_recargas!C61</f>
        <v>1</v>
      </c>
      <c r="D268" s="25" t="n">
        <f aca="false">datos_base!$J$12*parametros_recargas!$F$45</f>
        <v>167.168597100551</v>
      </c>
      <c r="E268" s="25" t="n">
        <f aca="false">datos_base!$J$12*parametros_recargas!$G$45</f>
        <v>168.136931485464</v>
      </c>
      <c r="F268" s="25" t="n">
        <f aca="false">datos_base!$J$12*parametros_recargas!$H$45</f>
        <v>169.110875006884</v>
      </c>
      <c r="G268" s="25" t="n">
        <f aca="false">datos_base!$J$12*parametros_recargas!$I$45</f>
        <v>170.090460156081</v>
      </c>
      <c r="H268" s="25" t="n">
        <f aca="false">datos_base!$J$12*parametros_recargas!$J$45</f>
        <v>171.07571961253</v>
      </c>
      <c r="I268" s="25" t="n">
        <f aca="false">datos_base!$J$12*parametros_recargas!$K$45</f>
        <v>172.066686245006</v>
      </c>
      <c r="J268" s="25" t="n">
        <f aca="false">datos_base!$J$12*parametros_recargas!$L$45</f>
        <v>173.063393112676</v>
      </c>
      <c r="K268" s="25" t="n">
        <f aca="false">datos_base!$J$12*parametros_recargas!$M$45</f>
        <v>174.065873466207</v>
      </c>
      <c r="L268" s="25" t="n">
        <f aca="false">datos_base!$J$12*parametros_recargas!$N$45</f>
        <v>175.07416074887</v>
      </c>
      <c r="M268" s="25" t="n">
        <f aca="false">datos_base!$J$12*parametros_recargas!$O$45</f>
        <v>176.088288597659</v>
      </c>
      <c r="N268" s="25" t="n">
        <f aca="false">datos_base!$J$12*parametros_recargas!$P$45</f>
        <v>177.108290844415</v>
      </c>
      <c r="O268" s="25" t="n">
        <f aca="false">datos_base!$J$12*parametros_recargas!$Q$45</f>
        <v>178.134201516947</v>
      </c>
      <c r="P268" s="7" t="n">
        <f aca="false">SUM(D268:O268)</f>
        <v>2071.18347789329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4" t="n">
        <f aca="false">parametros_recargas!C62</f>
        <v>1</v>
      </c>
      <c r="D269" s="25" t="n">
        <f aca="false">datos_base!$J$13*parametros_recargas!$F$45</f>
        <v>27.2583751574805</v>
      </c>
      <c r="E269" s="25" t="n">
        <f aca="false">datos_base!$J$13*parametros_recargas!$G$45</f>
        <v>27.4162709728408</v>
      </c>
      <c r="F269" s="25" t="n">
        <f aca="false">datos_base!$J$13*parametros_recargas!$H$45</f>
        <v>27.5750814094272</v>
      </c>
      <c r="G269" s="25" t="n">
        <f aca="false">datos_base!$J$13*parametros_recargas!$I$45</f>
        <v>27.7348117652394</v>
      </c>
      <c r="H269" s="25" t="n">
        <f aca="false">datos_base!$J$13*parametros_recargas!$J$45</f>
        <v>27.8954673689662</v>
      </c>
      <c r="I269" s="25" t="n">
        <f aca="false">datos_base!$J$13*parametros_recargas!$K$45</f>
        <v>28.057053580163</v>
      </c>
      <c r="J269" s="25" t="n">
        <f aca="false">datos_base!$J$13*parametros_recargas!$L$45</f>
        <v>28.2195757894309</v>
      </c>
      <c r="K269" s="25" t="n">
        <f aca="false">datos_base!$J$13*parametros_recargas!$M$45</f>
        <v>28.3830394185963</v>
      </c>
      <c r="L269" s="25" t="n">
        <f aca="false">datos_base!$J$13*parametros_recargas!$N$45</f>
        <v>28.5474499208919</v>
      </c>
      <c r="M269" s="25" t="n">
        <f aca="false">datos_base!$J$13*parametros_recargas!$O$45</f>
        <v>28.7128127811385</v>
      </c>
      <c r="N269" s="25" t="n">
        <f aca="false">datos_base!$J$13*parametros_recargas!$P$45</f>
        <v>28.8791335159282</v>
      </c>
      <c r="O269" s="25" t="n">
        <f aca="false">datos_base!$J$13*parametros_recargas!$Q$45</f>
        <v>29.0464176738082</v>
      </c>
      <c r="P269" s="7" t="n">
        <f aca="false">SUM(D269:O269)</f>
        <v>337.725489353911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4" t="n">
        <f aca="false">parametros_recargas!C63</f>
        <v>1</v>
      </c>
      <c r="D270" s="25" t="n">
        <f aca="false">datos_base!$J$14*parametros_recargas!$F$45</f>
        <v>9.34473871332977</v>
      </c>
      <c r="E270" s="25" t="n">
        <f aca="false">datos_base!$J$14*parametros_recargas!$G$45</f>
        <v>9.39886868732659</v>
      </c>
      <c r="F270" s="25" t="n">
        <f aca="false">datos_base!$J$14*parametros_recargas!$H$45</f>
        <v>9.45331221252851</v>
      </c>
      <c r="G270" s="25" t="n">
        <f aca="false">datos_base!$J$14*parametros_recargas!$I$45</f>
        <v>9.50807110520017</v>
      </c>
      <c r="H270" s="25" t="n">
        <f aca="false">datos_base!$J$14*parametros_recargas!$J$45</f>
        <v>9.56314719212706</v>
      </c>
      <c r="I270" s="25" t="n">
        <f aca="false">datos_base!$J$14*parametros_recargas!$K$45</f>
        <v>9.61854231067641</v>
      </c>
      <c r="J270" s="25" t="n">
        <f aca="false">datos_base!$J$14*parametros_recargas!$L$45</f>
        <v>9.67425830885852</v>
      </c>
      <c r="K270" s="25" t="n">
        <f aca="false">datos_base!$J$14*parametros_recargas!$M$45</f>
        <v>9.73029704538842</v>
      </c>
      <c r="L270" s="25" t="n">
        <f aca="false">datos_base!$J$14*parametros_recargas!$N$45</f>
        <v>9.78666038974784</v>
      </c>
      <c r="M270" s="25" t="n">
        <f aca="false">datos_base!$J$14*parametros_recargas!$O$45</f>
        <v>9.84335022224761</v>
      </c>
      <c r="N270" s="25" t="n">
        <f aca="false">datos_base!$J$14*parametros_recargas!$P$45</f>
        <v>9.90036843409037</v>
      </c>
      <c r="O270" s="25" t="n">
        <f aca="false">datos_base!$J$14*parametros_recargas!$Q$45</f>
        <v>9.95771692743366</v>
      </c>
      <c r="P270" s="7" t="n">
        <f aca="false">SUM(D270:O270)</f>
        <v>115.779331548955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4" t="n">
        <f aca="false">parametros_recargas!C64</f>
        <v>3</v>
      </c>
      <c r="D271" s="25" t="n">
        <f aca="false">datos_base!$J$15*parametros_recargas!$F$45</f>
        <v>22.457034868218</v>
      </c>
      <c r="E271" s="25" t="n">
        <f aca="false">datos_base!$J$15*parametros_recargas!$G$45</f>
        <v>22.587118624517</v>
      </c>
      <c r="F271" s="25" t="n">
        <f aca="false">datos_base!$J$15*parametros_recargas!$H$45</f>
        <v>22.7179558989786</v>
      </c>
      <c r="G271" s="25" t="n">
        <f aca="false">datos_base!$J$15*parametros_recargas!$I$45</f>
        <v>22.8495510564032</v>
      </c>
      <c r="H271" s="25" t="n">
        <f aca="false">datos_base!$J$15*parametros_recargas!$J$45</f>
        <v>22.9819084868745</v>
      </c>
      <c r="I271" s="25" t="n">
        <f aca="false">datos_base!$J$15*parametros_recargas!$K$45</f>
        <v>23.1150326059061</v>
      </c>
      <c r="J271" s="25" t="n">
        <f aca="false">datos_base!$J$15*parametros_recargas!$L$45</f>
        <v>23.2489278545885</v>
      </c>
      <c r="K271" s="25" t="n">
        <f aca="false">datos_base!$J$15*parametros_recargas!$M$45</f>
        <v>23.3835986997377</v>
      </c>
      <c r="L271" s="25" t="n">
        <f aca="false">datos_base!$J$15*parametros_recargas!$N$45</f>
        <v>23.519049634044</v>
      </c>
      <c r="M271" s="25" t="n">
        <f aca="false">datos_base!$J$15*parametros_recargas!$O$45</f>
        <v>23.6552851762218</v>
      </c>
      <c r="N271" s="25" t="n">
        <f aca="false">datos_base!$J$15*parametros_recargas!$P$45</f>
        <v>23.7923098711606</v>
      </c>
      <c r="O271" s="25" t="n">
        <f aca="false">datos_base!$J$15*parametros_recargas!$Q$45</f>
        <v>23.9301282900761</v>
      </c>
      <c r="P271" s="7" t="n">
        <f aca="false">SUM(D271:O271)</f>
        <v>278.237901066726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4" t="n">
        <f aca="false">parametros_recargas!C65</f>
        <v>3</v>
      </c>
      <c r="D272" s="25" t="n">
        <f aca="false">datos_base!$J$16*parametros_recargas!$F$45</f>
        <v>49.4054766868156</v>
      </c>
      <c r="E272" s="25" t="n">
        <f aca="false">datos_base!$J$16*parametros_recargas!$G$45</f>
        <v>49.6916609505385</v>
      </c>
      <c r="F272" s="25" t="n">
        <f aca="false">datos_base!$J$16*parametros_recargas!$H$45</f>
        <v>49.9795029542186</v>
      </c>
      <c r="G272" s="25" t="n">
        <f aca="false">datos_base!$J$16*parametros_recargas!$I$45</f>
        <v>50.2690123004164</v>
      </c>
      <c r="H272" s="25" t="n">
        <f aca="false">datos_base!$J$16*parametros_recargas!$J$45</f>
        <v>50.5601986473162</v>
      </c>
      <c r="I272" s="25" t="n">
        <f aca="false">datos_base!$J$16*parametros_recargas!$K$45</f>
        <v>50.8530717090477</v>
      </c>
      <c r="J272" s="25" t="n">
        <f aca="false">datos_base!$J$16*parametros_recargas!$L$45</f>
        <v>51.1476412560102</v>
      </c>
      <c r="K272" s="25" t="n">
        <f aca="false">datos_base!$J$16*parametros_recargas!$M$45</f>
        <v>51.443917115199</v>
      </c>
      <c r="L272" s="25" t="n">
        <f aca="false">datos_base!$J$16*parametros_recargas!$N$45</f>
        <v>51.7419091705326</v>
      </c>
      <c r="M272" s="25" t="n">
        <f aca="false">datos_base!$J$16*parametros_recargas!$O$45</f>
        <v>52.0416273631827</v>
      </c>
      <c r="N272" s="25" t="n">
        <f aca="false">datos_base!$J$16*parametros_recargas!$P$45</f>
        <v>52.343081691906</v>
      </c>
      <c r="O272" s="25" t="n">
        <f aca="false">datos_base!$J$16*parametros_recargas!$Q$45</f>
        <v>52.6462822133774</v>
      </c>
      <c r="P272" s="7" t="n">
        <f aca="false">SUM(D272:O272)</f>
        <v>612.123382058561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4" t="n">
        <f aca="false">parametros_recargas!C66</f>
        <v>3</v>
      </c>
      <c r="D273" s="25" t="n">
        <f aca="false">datos_base!$J$17*parametros_recargas!$F$45</f>
        <v>10.7793767413975</v>
      </c>
      <c r="E273" s="25" t="n">
        <f aca="false">datos_base!$J$17*parametros_recargas!$G$45</f>
        <v>10.8418169444479</v>
      </c>
      <c r="F273" s="25" t="n">
        <f aca="false">datos_base!$J$17*parametros_recargas!$H$45</f>
        <v>10.9046188362166</v>
      </c>
      <c r="G273" s="25" t="n">
        <f aca="false">datos_base!$J$17*parametros_recargas!$I$45</f>
        <v>10.9677845118077</v>
      </c>
      <c r="H273" s="25" t="n">
        <f aca="false">datos_base!$J$17*parametros_recargas!$J$45</f>
        <v>11.0313160784613</v>
      </c>
      <c r="I273" s="25" t="n">
        <f aca="false">datos_base!$J$17*parametros_recargas!$K$45</f>
        <v>11.095215655624</v>
      </c>
      <c r="J273" s="25" t="n">
        <f aca="false">datos_base!$J$17*parametros_recargas!$L$45</f>
        <v>11.1594853750193</v>
      </c>
      <c r="K273" s="25" t="n">
        <f aca="false">datos_base!$J$17*parametros_recargas!$M$45</f>
        <v>11.2241273807189</v>
      </c>
      <c r="L273" s="25" t="n">
        <f aca="false">datos_base!$J$17*parametros_recargas!$N$45</f>
        <v>11.289143829214</v>
      </c>
      <c r="M273" s="25" t="n">
        <f aca="false">datos_base!$J$17*parametros_recargas!$O$45</f>
        <v>11.3545368894876</v>
      </c>
      <c r="N273" s="25" t="n">
        <f aca="false">datos_base!$J$17*parametros_recargas!$P$45</f>
        <v>11.4203087430865</v>
      </c>
      <c r="O273" s="25" t="n">
        <f aca="false">datos_base!$J$17*parametros_recargas!$Q$45</f>
        <v>11.4864615841946</v>
      </c>
      <c r="P273" s="7" t="n">
        <f aca="false">SUM(D273:O273)</f>
        <v>133.554192569676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4" t="n">
        <f aca="false">parametros_recargas!C67</f>
        <v>3</v>
      </c>
      <c r="D274" s="25" t="n">
        <f aca="false">datos_base!$J$18*parametros_recargas!$F$45</f>
        <v>7.18625115317696</v>
      </c>
      <c r="E274" s="25" t="n">
        <f aca="false">datos_base!$J$18*parametros_recargas!$G$45</f>
        <v>7.22787795516567</v>
      </c>
      <c r="F274" s="25" t="n">
        <f aca="false">datos_base!$J$18*parametros_recargas!$H$45</f>
        <v>7.26974588296629</v>
      </c>
      <c r="G274" s="25" t="n">
        <f aca="false">datos_base!$J$18*parametros_recargas!$I$45</f>
        <v>7.3118563333149</v>
      </c>
      <c r="H274" s="25" t="n">
        <f aca="false">datos_base!$J$18*parametros_recargas!$J$45</f>
        <v>7.3542107110383</v>
      </c>
      <c r="I274" s="25" t="n">
        <f aca="false">datos_base!$J$18*parametros_recargas!$K$45</f>
        <v>7.39681042910081</v>
      </c>
      <c r="J274" s="25" t="n">
        <f aca="false">datos_base!$J$18*parametros_recargas!$L$45</f>
        <v>7.43965690865143</v>
      </c>
      <c r="K274" s="25" t="n">
        <f aca="false">datos_base!$J$18*parametros_recargas!$M$45</f>
        <v>7.48275157907128</v>
      </c>
      <c r="L274" s="25" t="n">
        <f aca="false">datos_base!$J$18*parametros_recargas!$N$45</f>
        <v>7.52609587802124</v>
      </c>
      <c r="M274" s="25" t="n">
        <f aca="false">datos_base!$J$18*parametros_recargas!$O$45</f>
        <v>7.56969125148992</v>
      </c>
      <c r="N274" s="25" t="n">
        <f aca="false">datos_base!$J$18*parametros_recargas!$P$45</f>
        <v>7.61353915384193</v>
      </c>
      <c r="O274" s="25" t="n">
        <f aca="false">datos_base!$J$18*parametros_recargas!$Q$45</f>
        <v>7.65764104786635</v>
      </c>
      <c r="P274" s="7" t="n">
        <f aca="false">SUM(D274:O274)</f>
        <v>89.0361282837051</v>
      </c>
    </row>
    <row r="275" customFormat="false" ht="15" hidden="false" customHeight="false" outlineLevel="0" collapsed="false">
      <c r="A275" s="6" t="s">
        <v>272</v>
      </c>
      <c r="D275" s="7" t="n">
        <f aca="false">SUM(D258:D274)</f>
        <v>8072.70781131675</v>
      </c>
      <c r="E275" s="7" t="n">
        <f aca="false">SUM(E258:E274)</f>
        <v>8119.46946804314</v>
      </c>
      <c r="F275" s="7" t="n">
        <f aca="false">SUM(F258:F274)</f>
        <v>8166.50199454345</v>
      </c>
      <c r="G275" s="7" t="n">
        <f aca="false">SUM(G258:G274)</f>
        <v>8213.80695984751</v>
      </c>
      <c r="H275" s="7" t="n">
        <f aca="false">SUM(H258:H274)</f>
        <v>8261.38594207386</v>
      </c>
      <c r="I275" s="7" t="n">
        <f aca="false">SUM(I258:I274)</f>
        <v>8309.24052848239</v>
      </c>
      <c r="J275" s="7" t="n">
        <f aca="false">SUM(J258:J274)</f>
        <v>8357.37231552728</v>
      </c>
      <c r="K275" s="7" t="n">
        <f aca="false">SUM(K258:K274)</f>
        <v>8405.78290891026</v>
      </c>
      <c r="L275" s="7" t="n">
        <f aca="false">SUM(L258:L274)</f>
        <v>8454.47392363421</v>
      </c>
      <c r="M275" s="7" t="n">
        <f aca="false">SUM(M258:M274)</f>
        <v>8503.44698405701</v>
      </c>
      <c r="N275" s="7" t="n">
        <f aca="false">SUM(N258:N274)</f>
        <v>8552.70372394571</v>
      </c>
      <c r="O275" s="7" t="n">
        <f aca="false">SUM(O258:O274)</f>
        <v>8602.24578653107</v>
      </c>
      <c r="P275" s="7" t="n">
        <f aca="false">SUM(P258:P274)</f>
        <v>100019.138346913</v>
      </c>
    </row>
    <row r="276" customFormat="false" ht="15" hidden="false" customHeight="false" outlineLevel="0" collapsed="false">
      <c r="A276" s="6" t="s">
        <v>273</v>
      </c>
    </row>
    <row r="277" customFormat="false" ht="15" hidden="false" customHeight="false" outlineLevel="0" collapsed="false">
      <c r="A277" s="4" t="s">
        <v>143</v>
      </c>
      <c r="D277" s="25" t="n">
        <f aca="false">SUMPRODUCT(($B$258:$B$274=$A277)*D$258:D$274*$C$258:$C$274)</f>
        <v>7220.74767636972</v>
      </c>
      <c r="E277" s="25" t="n">
        <f aca="false">SUMPRODUCT(($B$258:$B$274=$A277)*E$258:E$274*$C$258:$C$274)</f>
        <v>7262.57430159167</v>
      </c>
      <c r="F277" s="25" t="n">
        <f aca="false">SUMPRODUCT(($B$258:$B$274=$A277)*F$258:F$274*$C$258:$C$274)</f>
        <v>7304.64321011389</v>
      </c>
      <c r="G277" s="25" t="n">
        <f aca="false">SUMPRODUCT(($B$258:$B$274=$A277)*G$258:G$274*$C$258:$C$274)</f>
        <v>7346.95580537731</v>
      </c>
      <c r="H277" s="25" t="n">
        <f aca="false">SUMPRODUCT(($B$258:$B$274=$A277)*H$258:H$274*$C$258:$C$274)</f>
        <v>7389.51349895236</v>
      </c>
      <c r="I277" s="25" t="n">
        <f aca="false">SUMPRODUCT(($B$258:$B$274=$A277)*I$258:I$274*$C$258:$C$274)</f>
        <v>7432.31771058611</v>
      </c>
      <c r="J277" s="25" t="n">
        <f aca="false">SUMPRODUCT(($B$258:$B$274=$A277)*J$258:J$274*$C$258:$C$274)</f>
        <v>7475.36986824957</v>
      </c>
      <c r="K277" s="25" t="n">
        <f aca="false">SUMPRODUCT(($B$258:$B$274=$A277)*K$258:K$274*$C$258:$C$274)</f>
        <v>7518.67140818538</v>
      </c>
      <c r="L277" s="25" t="n">
        <f aca="false">SUMPRODUCT(($B$258:$B$274=$A277)*L$258:L$274*$C$258:$C$274)</f>
        <v>7562.2237749557</v>
      </c>
      <c r="M277" s="25" t="n">
        <f aca="false">SUMPRODUCT(($B$258:$B$274=$A277)*M$258:M$274*$C$258:$C$274)</f>
        <v>7606.02842149039</v>
      </c>
      <c r="N277" s="25" t="n">
        <f aca="false">SUMPRODUCT(($B$258:$B$274=$A277)*N$258:N$274*$C$258:$C$274)</f>
        <v>7650.08680913552</v>
      </c>
      <c r="O277" s="25" t="n">
        <f aca="false">SUMPRODUCT(($B$258:$B$274=$A277)*O$258:O$274*$C$258:$C$274)</f>
        <v>7694.40040770209</v>
      </c>
      <c r="P277" s="25" t="n">
        <f aca="false">SUMPRODUCT(($B$258:$B$274=$A277)*P$258:P$274*$C$258:$C$274)</f>
        <v>89463.5328927097</v>
      </c>
    </row>
    <row r="278" customFormat="false" ht="15" hidden="false" customHeight="false" outlineLevel="0" collapsed="false">
      <c r="A278" s="4" t="s">
        <v>149</v>
      </c>
      <c r="D278" s="25" t="n">
        <f aca="false">SUMPRODUCT(($B$258:$B$274=$A278)*D$258:D$274*$C$258:$C$274)</f>
        <v>10.3706883266163</v>
      </c>
      <c r="E278" s="25" t="n">
        <f aca="false">SUMPRODUCT(($B$258:$B$274=$A278)*E$258:E$274*$C$258:$C$274)</f>
        <v>10.4307611768767</v>
      </c>
      <c r="F278" s="25" t="n">
        <f aca="false">SUMPRODUCT(($B$258:$B$274=$A278)*F$258:F$274*$C$258:$C$274)</f>
        <v>10.4911820028187</v>
      </c>
      <c r="G278" s="25" t="n">
        <f aca="false">SUMPRODUCT(($B$258:$B$274=$A278)*G$258:G$274*$C$258:$C$274)</f>
        <v>10.5519528201128</v>
      </c>
      <c r="H278" s="25" t="n">
        <f aca="false">SUMPRODUCT(($B$258:$B$274=$A278)*H$258:H$274*$C$258:$C$274)</f>
        <v>10.6130756561053</v>
      </c>
      <c r="I278" s="25" t="n">
        <f aca="false">SUMPRODUCT(($B$258:$B$274=$A278)*I$258:I$274*$C$258:$C$274)</f>
        <v>10.6745525498864</v>
      </c>
      <c r="J278" s="25" t="n">
        <f aca="false">SUMPRODUCT(($B$258:$B$274=$A278)*J$258:J$274*$C$258:$C$274)</f>
        <v>10.7363855523575</v>
      </c>
      <c r="K278" s="25" t="n">
        <f aca="false">SUMPRODUCT(($B$258:$B$274=$A278)*K$258:K$274*$C$258:$C$274)</f>
        <v>10.7985767263001</v>
      </c>
      <c r="L278" s="25" t="n">
        <f aca="false">SUMPRODUCT(($B$258:$B$274=$A278)*L$258:L$274*$C$258:$C$274)</f>
        <v>10.8611281464445</v>
      </c>
      <c r="M278" s="25" t="n">
        <f aca="false">SUMPRODUCT(($B$258:$B$274=$A278)*M$258:M$274*$C$258:$C$274)</f>
        <v>10.9240418995391</v>
      </c>
      <c r="N278" s="25" t="n">
        <f aca="false">SUMPRODUCT(($B$258:$B$274=$A278)*N$258:N$274*$C$258:$C$274)</f>
        <v>10.9873200844196</v>
      </c>
      <c r="O278" s="25" t="n">
        <f aca="false">SUMPRODUCT(($B$258:$B$274=$A278)*O$258:O$274*$C$258:$C$274)</f>
        <v>11.0509648120796</v>
      </c>
      <c r="P278" s="25" t="n">
        <f aca="false">SUMPRODUCT(($B$258:$B$274=$A278)*P$258:P$274*$C$258:$C$274)</f>
        <v>128.490629753557</v>
      </c>
    </row>
    <row r="279" customFormat="false" ht="15" hidden="false" customHeight="false" outlineLevel="0" collapsed="false">
      <c r="A279" s="4" t="s">
        <v>155</v>
      </c>
      <c r="D279" s="25" t="n">
        <f aca="false">SUMPRODUCT(($B$258:$B$274=$A279)*D$258:D$274*$C$258:$C$274)</f>
        <v>9.34473871332977</v>
      </c>
      <c r="E279" s="25" t="n">
        <f aca="false">SUMPRODUCT(($B$258:$B$274=$A279)*E$258:E$274*$C$258:$C$274)</f>
        <v>9.39886868732659</v>
      </c>
      <c r="F279" s="25" t="n">
        <f aca="false">SUMPRODUCT(($B$258:$B$274=$A279)*F$258:F$274*$C$258:$C$274)</f>
        <v>9.45331221252851</v>
      </c>
      <c r="G279" s="25" t="n">
        <f aca="false">SUMPRODUCT(($B$258:$B$274=$A279)*G$258:G$274*$C$258:$C$274)</f>
        <v>9.50807110520017</v>
      </c>
      <c r="H279" s="25" t="n">
        <f aca="false">SUMPRODUCT(($B$258:$B$274=$A279)*H$258:H$274*$C$258:$C$274)</f>
        <v>9.56314719212706</v>
      </c>
      <c r="I279" s="25" t="n">
        <f aca="false">SUMPRODUCT(($B$258:$B$274=$A279)*I$258:I$274*$C$258:$C$274)</f>
        <v>9.61854231067641</v>
      </c>
      <c r="J279" s="25" t="n">
        <f aca="false">SUMPRODUCT(($B$258:$B$274=$A279)*J$258:J$274*$C$258:$C$274)</f>
        <v>9.67425830885852</v>
      </c>
      <c r="K279" s="25" t="n">
        <f aca="false">SUMPRODUCT(($B$258:$B$274=$A279)*K$258:K$274*$C$258:$C$274)</f>
        <v>9.73029704538842</v>
      </c>
      <c r="L279" s="25" t="n">
        <f aca="false">SUMPRODUCT(($B$258:$B$274=$A279)*L$258:L$274*$C$258:$C$274)</f>
        <v>9.78666038974784</v>
      </c>
      <c r="M279" s="25" t="n">
        <f aca="false">SUMPRODUCT(($B$258:$B$274=$A279)*M$258:M$274*$C$258:$C$274)</f>
        <v>9.84335022224761</v>
      </c>
      <c r="N279" s="25" t="n">
        <f aca="false">SUMPRODUCT(($B$258:$B$274=$A279)*N$258:N$274*$C$258:$C$274)</f>
        <v>9.90036843409037</v>
      </c>
      <c r="O279" s="25" t="n">
        <f aca="false">SUMPRODUCT(($B$258:$B$274=$A279)*O$258:O$274*$C$258:$C$274)</f>
        <v>9.95771692743366</v>
      </c>
      <c r="P279" s="25" t="n">
        <f aca="false">SUMPRODUCT(($B$258:$B$274=$A279)*P$258:P$274*$C$258:$C$274)</f>
        <v>115.779331548955</v>
      </c>
    </row>
    <row r="280" customFormat="false" ht="15" hidden="false" customHeight="false" outlineLevel="0" collapsed="false">
      <c r="A280" s="4" t="s">
        <v>146</v>
      </c>
      <c r="D280" s="25" t="n">
        <f aca="false">SUMPRODUCT(($B$258:$B$274=$A280)*D$258:D$274*$C$258:$C$274)</f>
        <v>182.749291262661</v>
      </c>
      <c r="E280" s="25" t="n">
        <f aca="false">SUMPRODUCT(($B$258:$B$274=$A280)*E$258:E$274*$C$258:$C$274)</f>
        <v>183.807877777218</v>
      </c>
      <c r="F280" s="25" t="n">
        <f aca="false">SUMPRODUCT(($B$258:$B$274=$A280)*F$258:F$274*$C$258:$C$274)</f>
        <v>184.872596219297</v>
      </c>
      <c r="G280" s="25" t="n">
        <f aca="false">SUMPRODUCT(($B$258:$B$274=$A280)*G$258:G$274*$C$258:$C$274)</f>
        <v>185.943482108466</v>
      </c>
      <c r="H280" s="25" t="n">
        <f aca="false">SUMPRODUCT(($B$258:$B$274=$A280)*H$258:H$274*$C$258:$C$274)</f>
        <v>187.020571170041</v>
      </c>
      <c r="I280" s="25" t="n">
        <f aca="false">SUMPRODUCT(($B$258:$B$274=$A280)*I$258:I$274*$C$258:$C$274)</f>
        <v>188.103899336281</v>
      </c>
      <c r="J280" s="25" t="n">
        <f aca="false">SUMPRODUCT(($B$258:$B$274=$A280)*J$258:J$274*$C$258:$C$274)</f>
        <v>189.193502747584</v>
      </c>
      <c r="K280" s="25" t="n">
        <f aca="false">SUMPRODUCT(($B$258:$B$274=$A280)*K$258:K$274*$C$258:$C$274)</f>
        <v>190.289417753691</v>
      </c>
      <c r="L280" s="25" t="n">
        <f aca="false">SUMPRODUCT(($B$258:$B$274=$A280)*L$258:L$274*$C$258:$C$274)</f>
        <v>191.391680914906</v>
      </c>
      <c r="M280" s="25" t="n">
        <f aca="false">SUMPRODUCT(($B$258:$B$274=$A280)*M$258:M$274*$C$258:$C$274)</f>
        <v>192.500329003306</v>
      </c>
      <c r="N280" s="25" t="n">
        <f aca="false">SUMPRODUCT(($B$258:$B$274=$A280)*N$258:N$274*$C$258:$C$274)</f>
        <v>193.615399003975</v>
      </c>
      <c r="O280" s="25" t="n">
        <f aca="false">SUMPRODUCT(($B$258:$B$274=$A280)*O$258:O$274*$C$258:$C$274)</f>
        <v>194.736928116236</v>
      </c>
      <c r="P280" s="25" t="n">
        <f aca="false">SUMPRODUCT(($B$258:$B$274=$A280)*P$258:P$274*$C$258:$C$274)</f>
        <v>2264.22497541366</v>
      </c>
    </row>
    <row r="281" customFormat="false" ht="15" hidden="false" customHeight="false" outlineLevel="0" collapsed="false">
      <c r="A281" s="4" t="s">
        <v>147</v>
      </c>
      <c r="D281" s="25" t="n">
        <f aca="false">SUMPRODUCT(($B$258:$B$274=$A281)*D$258:D$274*$C$258:$C$274)</f>
        <v>88.3517421699246</v>
      </c>
      <c r="E281" s="25" t="n">
        <f aca="false">SUMPRODUCT(($B$258:$B$274=$A281)*E$258:E$274*$C$258:$C$274)</f>
        <v>88.8635250728976</v>
      </c>
      <c r="F281" s="25" t="n">
        <f aca="false">SUMPRODUCT(($B$258:$B$274=$A281)*F$258:F$274*$C$258:$C$274)</f>
        <v>89.378272509827</v>
      </c>
      <c r="G281" s="25" t="n">
        <f aca="false">SUMPRODUCT(($B$258:$B$274=$A281)*G$258:G$274*$C$258:$C$274)</f>
        <v>89.8960016529583</v>
      </c>
      <c r="H281" s="25" t="n">
        <f aca="false">SUMPRODUCT(($B$258:$B$274=$A281)*H$258:H$274*$C$258:$C$274)</f>
        <v>90.416729774008</v>
      </c>
      <c r="I281" s="25" t="n">
        <f aca="false">SUMPRODUCT(($B$258:$B$274=$A281)*I$258:I$274*$C$258:$C$274)</f>
        <v>90.9404742447403</v>
      </c>
      <c r="J281" s="25" t="n">
        <f aca="false">SUMPRODUCT(($B$258:$B$274=$A281)*J$258:J$274*$C$258:$C$274)</f>
        <v>91.4672525375463</v>
      </c>
      <c r="K281" s="25" t="n">
        <f aca="false">SUMPRODUCT(($B$258:$B$274=$A281)*K$258:K$274*$C$258:$C$274)</f>
        <v>91.9970822260271</v>
      </c>
      <c r="L281" s="25" t="n">
        <f aca="false">SUMPRODUCT(($B$258:$B$274=$A281)*L$258:L$274*$C$258:$C$274)</f>
        <v>92.5299809855798</v>
      </c>
      <c r="M281" s="25" t="n">
        <f aca="false">SUMPRODUCT(($B$258:$B$274=$A281)*M$258:M$274*$C$258:$C$274)</f>
        <v>93.0659665939876</v>
      </c>
      <c r="N281" s="25" t="n">
        <f aca="false">SUMPRODUCT(($B$258:$B$274=$A281)*N$258:N$274*$C$258:$C$274)</f>
        <v>93.6050569320123</v>
      </c>
      <c r="O281" s="25" t="n">
        <f aca="false">SUMPRODUCT(($B$258:$B$274=$A281)*O$258:O$274*$C$258:$C$274)</f>
        <v>94.1472699839913</v>
      </c>
      <c r="P281" s="25" t="n">
        <f aca="false">SUMPRODUCT(($B$258:$B$274=$A281)*P$258:P$274*$C$258:$C$274)</f>
        <v>1094.6593546835</v>
      </c>
    </row>
    <row r="282" customFormat="false" ht="15" hidden="false" customHeight="false" outlineLevel="0" collapsed="false">
      <c r="A282" s="4" t="s">
        <v>150</v>
      </c>
      <c r="D282" s="25" t="n">
        <f aca="false">SUMPRODUCT(($B$258:$B$274=$A282)*D$258:D$274*$C$258:$C$274)</f>
        <v>90.0492305892077</v>
      </c>
      <c r="E282" s="25" t="n">
        <f aca="false">SUMPRODUCT(($B$258:$B$274=$A282)*E$258:E$274*$C$258:$C$274)</f>
        <v>90.5708462982991</v>
      </c>
      <c r="F282" s="25" t="n">
        <f aca="false">SUMPRODUCT(($B$258:$B$274=$A282)*F$258:F$274*$C$258:$C$274)</f>
        <v>91.0954834984814</v>
      </c>
      <c r="G282" s="25" t="n">
        <f aca="false">SUMPRODUCT(($B$258:$B$274=$A282)*G$258:G$274*$C$258:$C$274)</f>
        <v>91.6231596919278</v>
      </c>
      <c r="H282" s="25" t="n">
        <f aca="false">SUMPRODUCT(($B$258:$B$274=$A282)*H$258:H$274*$C$258:$C$274)</f>
        <v>92.1538924821936</v>
      </c>
      <c r="I282" s="25" t="n">
        <f aca="false">SUMPRODUCT(($B$258:$B$274=$A282)*I$258:I$274*$C$258:$C$274)</f>
        <v>92.687699574804</v>
      </c>
      <c r="J282" s="25" t="n">
        <f aca="false">SUMPRODUCT(($B$258:$B$274=$A282)*J$258:J$274*$C$258:$C$274)</f>
        <v>93.2245987778446</v>
      </c>
      <c r="K282" s="25" t="n">
        <f aca="false">SUMPRODUCT(($B$258:$B$274=$A282)*K$258:K$274*$C$258:$C$274)</f>
        <v>93.7646080025552</v>
      </c>
      <c r="L282" s="25" t="n">
        <f aca="false">SUMPRODUCT(($B$258:$B$274=$A282)*L$258:L$274*$C$258:$C$274)</f>
        <v>94.3077452639278</v>
      </c>
      <c r="M282" s="25" t="n">
        <f aca="false">SUMPRODUCT(($B$258:$B$274=$A282)*M$258:M$274*$C$258:$C$274)</f>
        <v>94.8540286813072</v>
      </c>
      <c r="N282" s="25" t="n">
        <f aca="false">SUMPRODUCT(($B$258:$B$274=$A282)*N$258:N$274*$C$258:$C$274)</f>
        <v>95.4034764789956</v>
      </c>
      <c r="O282" s="25" t="n">
        <f aca="false">SUMPRODUCT(($B$258:$B$274=$A282)*O$258:O$274*$C$258:$C$274)</f>
        <v>95.9561069868607</v>
      </c>
      <c r="P282" s="25" t="n">
        <f aca="false">SUMPRODUCT(($B$258:$B$274=$A282)*P$258:P$274*$C$258:$C$274)</f>
        <v>1115.6908763264</v>
      </c>
    </row>
    <row r="283" customFormat="false" ht="15" hidden="false" customHeight="false" outlineLevel="0" collapsed="false">
      <c r="A283" s="4" t="s">
        <v>151</v>
      </c>
      <c r="D283" s="25" t="n">
        <f aca="false">SUMPRODUCT(($B$258:$B$274=$A283)*D$258:D$274*$C$258:$C$274)</f>
        <v>659.477673322334</v>
      </c>
      <c r="E283" s="25" t="n">
        <f aca="false">SUMPRODUCT(($B$258:$B$274=$A283)*E$258:E$274*$C$258:$C$274)</f>
        <v>663.297738323991</v>
      </c>
      <c r="F283" s="25" t="n">
        <f aca="false">SUMPRODUCT(($B$258:$B$274=$A283)*F$258:F$274*$C$258:$C$274)</f>
        <v>667.139931287226</v>
      </c>
      <c r="G283" s="25" t="n">
        <f aca="false">SUMPRODUCT(($B$258:$B$274=$A283)*G$258:G$274*$C$258:$C$274)</f>
        <v>671.004380389619</v>
      </c>
      <c r="H283" s="25" t="n">
        <f aca="false">SUMPRODUCT(($B$258:$B$274=$A283)*H$258:H$274*$C$258:$C$274)</f>
        <v>674.891214551223</v>
      </c>
      <c r="I283" s="25" t="n">
        <f aca="false">SUMPRODUCT(($B$258:$B$274=$A283)*I$258:I$274*$C$258:$C$274)</f>
        <v>678.800563438874</v>
      </c>
      <c r="J283" s="25" t="n">
        <f aca="false">SUMPRODUCT(($B$258:$B$274=$A283)*J$258:J$274*$C$258:$C$274)</f>
        <v>682.732557470506</v>
      </c>
      <c r="K283" s="25" t="n">
        <f aca="false">SUMPRODUCT(($B$258:$B$274=$A283)*K$258:K$274*$C$258:$C$274)</f>
        <v>686.687327819509</v>
      </c>
      <c r="L283" s="25" t="n">
        <f aca="false">SUMPRODUCT(($B$258:$B$274=$A283)*L$258:L$274*$C$258:$C$274)</f>
        <v>690.665006419104</v>
      </c>
      <c r="M283" s="25" t="n">
        <f aca="false">SUMPRODUCT(($B$258:$B$274=$A283)*M$258:M$274*$C$258:$C$274)</f>
        <v>694.665725966741</v>
      </c>
      <c r="N283" s="25" t="n">
        <f aca="false">SUMPRODUCT(($B$258:$B$274=$A283)*N$258:N$274*$C$258:$C$274)</f>
        <v>698.68961992853</v>
      </c>
      <c r="O283" s="25" t="n">
        <f aca="false">SUMPRODUCT(($B$258:$B$274=$A283)*O$258:O$274*$C$258:$C$274)</f>
        <v>702.73682254369</v>
      </c>
      <c r="P283" s="25" t="n">
        <f aca="false">SUMPRODUCT(($B$258:$B$274=$A283)*P$258:P$274*$C$258:$C$274)</f>
        <v>8170.78856146135</v>
      </c>
    </row>
    <row r="284" customFormat="false" ht="15" hidden="false" customHeight="false" outlineLevel="0" collapsed="false">
      <c r="A284" s="4" t="s">
        <v>154</v>
      </c>
      <c r="D284" s="25" t="n">
        <f aca="false">SUMPRODUCT(($B$258:$B$274=$A284)*D$258:D$274*$C$258:$C$274)</f>
        <v>27.2583751574805</v>
      </c>
      <c r="E284" s="25" t="n">
        <f aca="false">SUMPRODUCT(($B$258:$B$274=$A284)*E$258:E$274*$C$258:$C$274)</f>
        <v>27.4162709728408</v>
      </c>
      <c r="F284" s="25" t="n">
        <f aca="false">SUMPRODUCT(($B$258:$B$274=$A284)*F$258:F$274*$C$258:$C$274)</f>
        <v>27.5750814094272</v>
      </c>
      <c r="G284" s="25" t="n">
        <f aca="false">SUMPRODUCT(($B$258:$B$274=$A284)*G$258:G$274*$C$258:$C$274)</f>
        <v>27.7348117652394</v>
      </c>
      <c r="H284" s="25" t="n">
        <f aca="false">SUMPRODUCT(($B$258:$B$274=$A284)*H$258:H$274*$C$258:$C$274)</f>
        <v>27.8954673689662</v>
      </c>
      <c r="I284" s="25" t="n">
        <f aca="false">SUMPRODUCT(($B$258:$B$274=$A284)*I$258:I$274*$C$258:$C$274)</f>
        <v>28.057053580163</v>
      </c>
      <c r="J284" s="25" t="n">
        <f aca="false">SUMPRODUCT(($B$258:$B$274=$A284)*J$258:J$274*$C$258:$C$274)</f>
        <v>28.2195757894309</v>
      </c>
      <c r="K284" s="25" t="n">
        <f aca="false">SUMPRODUCT(($B$258:$B$274=$A284)*K$258:K$274*$C$258:$C$274)</f>
        <v>28.3830394185963</v>
      </c>
      <c r="L284" s="25" t="n">
        <f aca="false">SUMPRODUCT(($B$258:$B$274=$A284)*L$258:L$274*$C$258:$C$274)</f>
        <v>28.5474499208919</v>
      </c>
      <c r="M284" s="25" t="n">
        <f aca="false">SUMPRODUCT(($B$258:$B$274=$A284)*M$258:M$274*$C$258:$C$274)</f>
        <v>28.7128127811385</v>
      </c>
      <c r="N284" s="25" t="n">
        <f aca="false">SUMPRODUCT(($B$258:$B$274=$A284)*N$258:N$274*$C$258:$C$274)</f>
        <v>28.8791335159282</v>
      </c>
      <c r="O284" s="25" t="n">
        <f aca="false">SUMPRODUCT(($B$258:$B$274=$A284)*O$258:O$274*$C$258:$C$274)</f>
        <v>29.0464176738082</v>
      </c>
      <c r="P284" s="25" t="n">
        <f aca="false">SUMPRODUCT(($B$258:$B$274=$A284)*P$258:P$274*$C$258:$C$274)</f>
        <v>337.725489353911</v>
      </c>
    </row>
    <row r="285" customFormat="false" ht="15" hidden="false" customHeight="false" outlineLevel="0" collapsed="false">
      <c r="A285" s="6" t="s">
        <v>274</v>
      </c>
      <c r="D285" s="26" t="n">
        <f aca="false">SUMPRODUCT(D$258:D$274*parametros_recargas!$D$51:$D$67)</f>
        <v>274.989399397811</v>
      </c>
      <c r="E285" s="26" t="n">
        <f aca="false">SUMPRODUCT(E$258:E$274*parametros_recargas!$D$51:$D$67)</f>
        <v>276.582292414453</v>
      </c>
      <c r="F285" s="26" t="n">
        <f aca="false">SUMPRODUCT(F$258:F$274*parametros_recargas!$D$51:$D$67)</f>
        <v>278.184412361907</v>
      </c>
      <c r="G285" s="26" t="n">
        <f aca="false">SUMPRODUCT(G$258:G$274*parametros_recargas!$D$51:$D$67)</f>
        <v>279.795812687739</v>
      </c>
      <c r="H285" s="26" t="n">
        <f aca="false">SUMPRODUCT(H$258:H$274*parametros_recargas!$D$51:$D$67)</f>
        <v>281.41654714911</v>
      </c>
      <c r="I285" s="26" t="n">
        <f aca="false">SUMPRODUCT(I$258:I$274*parametros_recargas!$D$51:$D$67)</f>
        <v>283.046669814576</v>
      </c>
      <c r="J285" s="26" t="n">
        <f aca="false">SUMPRODUCT(J$258:J$274*parametros_recargas!$D$51:$D$67)</f>
        <v>284.686235065887</v>
      </c>
      <c r="K285" s="26" t="n">
        <f aca="false">SUMPRODUCT(K$258:K$274*parametros_recargas!$D$51:$D$67)</f>
        <v>286.335297599801</v>
      </c>
      <c r="L285" s="26" t="n">
        <f aca="false">SUMPRODUCT(L$258:L$274*parametros_recargas!$D$51:$D$67)</f>
        <v>287.993912429913</v>
      </c>
      <c r="M285" s="26" t="n">
        <f aca="false">SUMPRODUCT(M$258:M$274*parametros_recargas!$D$51:$D$67)</f>
        <v>289.662134888486</v>
      </c>
      <c r="N285" s="26" t="n">
        <f aca="false">SUMPRODUCT(N$258:N$274*parametros_recargas!$D$51:$D$67)</f>
        <v>291.340020628299</v>
      </c>
      <c r="O285" s="26" t="n">
        <f aca="false">SUMPRODUCT(O$258:O$274*parametros_recargas!$D$51:$D$67)</f>
        <v>293.027625624504</v>
      </c>
      <c r="P285" s="26" t="n">
        <f aca="false">SUMPRODUCT(P$258:P$274*parametros_recargas!$D$51:$D$67)</f>
        <v>3407.06036006249</v>
      </c>
    </row>
    <row r="289" customFormat="false" ht="15" hidden="false" customHeight="false" outlineLevel="0" collapsed="false">
      <c r="A289" s="23" t="n">
        <v>2035</v>
      </c>
      <c r="B289" s="3" t="s">
        <v>270</v>
      </c>
      <c r="C289" s="3" t="s">
        <v>271</v>
      </c>
      <c r="D289" s="3" t="s">
        <v>124</v>
      </c>
      <c r="E289" s="3" t="s">
        <v>125</v>
      </c>
      <c r="F289" s="3" t="s">
        <v>126</v>
      </c>
      <c r="G289" s="3" t="s">
        <v>127</v>
      </c>
      <c r="H289" s="3" t="s">
        <v>128</v>
      </c>
      <c r="I289" s="3" t="s">
        <v>129</v>
      </c>
      <c r="J289" s="3" t="s">
        <v>130</v>
      </c>
      <c r="K289" s="3" t="s">
        <v>131</v>
      </c>
      <c r="L289" s="3" t="s">
        <v>132</v>
      </c>
      <c r="M289" s="3" t="s">
        <v>133</v>
      </c>
      <c r="N289" s="3" t="s">
        <v>134</v>
      </c>
      <c r="O289" s="3" t="s">
        <v>135</v>
      </c>
      <c r="P289" s="3" t="s">
        <v>136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4" t="n">
        <f aca="false">parametros_recargas!C51</f>
        <v>1</v>
      </c>
      <c r="D290" s="25" t="n">
        <f aca="false">datos_base!$K$2*parametros_recargas!$F$46</f>
        <v>4566.32808160423</v>
      </c>
      <c r="E290" s="25" t="n">
        <f aca="false">datos_base!$K$2*parametros_recargas!$G$46</f>
        <v>4592.77881799193</v>
      </c>
      <c r="F290" s="25" t="n">
        <f aca="false">datos_base!$K$2*parametros_recargas!$H$46</f>
        <v>4619.38277189771</v>
      </c>
      <c r="G290" s="25" t="n">
        <f aca="false">datos_base!$K$2*parametros_recargas!$I$46</f>
        <v>4646.14083084349</v>
      </c>
      <c r="H290" s="25" t="n">
        <f aca="false">datos_base!$K$2*parametros_recargas!$J$46</f>
        <v>4673.05388749219</v>
      </c>
      <c r="I290" s="25" t="n">
        <f aca="false">datos_base!$K$2*parametros_recargas!$K$46</f>
        <v>4700.12283967754</v>
      </c>
      <c r="J290" s="25" t="n">
        <f aca="false">datos_base!$K$2*parametros_recargas!$L$46</f>
        <v>4727.34859043402</v>
      </c>
      <c r="K290" s="25" t="n">
        <f aca="false">datos_base!$K$2*parametros_recargas!$M$46</f>
        <v>4754.73204802702</v>
      </c>
      <c r="L290" s="25" t="n">
        <f aca="false">datos_base!$K$2*parametros_recargas!$N$46</f>
        <v>4782.27412598308</v>
      </c>
      <c r="M290" s="25" t="n">
        <f aca="false">datos_base!$K$2*parametros_recargas!$O$46</f>
        <v>4809.97574312042</v>
      </c>
      <c r="N290" s="25" t="n">
        <f aca="false">datos_base!$K$2*parametros_recargas!$P$46</f>
        <v>4837.83782357956</v>
      </c>
      <c r="O290" s="25" t="n">
        <f aca="false">datos_base!$K$2*parametros_recargas!$Q$46</f>
        <v>4865.86129685417</v>
      </c>
      <c r="P290" s="7" t="n">
        <f aca="false">SUM(D290:O290)</f>
        <v>56575.8368575054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4" t="n">
        <f aca="false">parametros_recargas!C52</f>
        <v>1</v>
      </c>
      <c r="D291" s="25" t="n">
        <f aca="false">datos_base!$K$3*parametros_recargas!$F$46</f>
        <v>386.666028458964</v>
      </c>
      <c r="E291" s="25" t="n">
        <f aca="false">datos_base!$K$3*parametros_recargas!$G$46</f>
        <v>388.905815221121</v>
      </c>
      <c r="F291" s="25" t="n">
        <f aca="false">datos_base!$K$3*parametros_recargas!$H$46</f>
        <v>391.158576085917</v>
      </c>
      <c r="G291" s="25" t="n">
        <f aca="false">datos_base!$K$3*parametros_recargas!$I$46</f>
        <v>393.424386206639</v>
      </c>
      <c r="H291" s="25" t="n">
        <f aca="false">datos_base!$K$3*parametros_recargas!$J$46</f>
        <v>395.703321171905</v>
      </c>
      <c r="I291" s="25" t="n">
        <f aca="false">datos_base!$K$3*parametros_recargas!$K$46</f>
        <v>397.995457008184</v>
      </c>
      <c r="J291" s="25" t="n">
        <f aca="false">datos_base!$K$3*parametros_recargas!$L$46</f>
        <v>400.300870182335</v>
      </c>
      <c r="K291" s="25" t="n">
        <f aca="false">datos_base!$K$3*parametros_recargas!$M$46</f>
        <v>402.619637604153</v>
      </c>
      <c r="L291" s="25" t="n">
        <f aca="false">datos_base!$K$3*parametros_recargas!$N$46</f>
        <v>404.951836628941</v>
      </c>
      <c r="M291" s="25" t="n">
        <f aca="false">datos_base!$K$3*parametros_recargas!$O$46</f>
        <v>407.297545060084</v>
      </c>
      <c r="N291" s="25" t="n">
        <f aca="false">datos_base!$K$3*parametros_recargas!$P$46</f>
        <v>409.656841151651</v>
      </c>
      <c r="O291" s="25" t="n">
        <f aca="false">datos_base!$K$3*parametros_recargas!$Q$46</f>
        <v>412.029803611</v>
      </c>
      <c r="P291" s="7" t="n">
        <f aca="false">SUM(D291:O291)</f>
        <v>4790.71011839089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4" t="n">
        <f aca="false">parametros_recargas!C53</f>
        <v>1</v>
      </c>
      <c r="D292" s="25" t="n">
        <f aca="false">datos_base!$K$4*parametros_recargas!$F$46</f>
        <v>2351.88207554355</v>
      </c>
      <c r="E292" s="25" t="n">
        <f aca="false">datos_base!$K$4*parametros_recargas!$G$46</f>
        <v>2365.50549718199</v>
      </c>
      <c r="F292" s="25" t="n">
        <f aca="false">datos_base!$K$4*parametros_recargas!$H$46</f>
        <v>2379.20783332854</v>
      </c>
      <c r="G292" s="25" t="n">
        <f aca="false">datos_base!$K$4*parametros_recargas!$I$46</f>
        <v>2392.98954110036</v>
      </c>
      <c r="H292" s="25" t="n">
        <f aca="false">datos_base!$K$4*parametros_recargas!$J$46</f>
        <v>2406.85108026246</v>
      </c>
      <c r="I292" s="25" t="n">
        <f aca="false">datos_base!$K$4*parametros_recargas!$K$46</f>
        <v>2420.79291324309</v>
      </c>
      <c r="J292" s="25" t="n">
        <f aca="false">datos_base!$K$4*parametros_recargas!$L$46</f>
        <v>2434.81550514912</v>
      </c>
      <c r="K292" s="25" t="n">
        <f aca="false">datos_base!$K$4*parametros_recargas!$M$46</f>
        <v>2448.91932378161</v>
      </c>
      <c r="L292" s="25" t="n">
        <f aca="false">datos_base!$K$4*parametros_recargas!$N$46</f>
        <v>2463.10483965136</v>
      </c>
      <c r="M292" s="25" t="n">
        <f aca="false">datos_base!$K$4*parametros_recargas!$O$46</f>
        <v>2477.37252599465</v>
      </c>
      <c r="N292" s="25" t="n">
        <f aca="false">datos_base!$K$4*parametros_recargas!$P$46</f>
        <v>2491.722858789</v>
      </c>
      <c r="O292" s="25" t="n">
        <f aca="false">datos_base!$K$4*parametros_recargas!$Q$46</f>
        <v>2506.15631676906</v>
      </c>
      <c r="P292" s="7" t="n">
        <f aca="false">SUM(D292:O292)</f>
        <v>29139.3203107948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4" t="n">
        <f aca="false">parametros_recargas!C54</f>
        <v>1</v>
      </c>
      <c r="D293" s="25" t="n">
        <f aca="false">datos_base!$K$5*parametros_recargas!$F$46</f>
        <v>139.257391402213</v>
      </c>
      <c r="E293" s="25" t="n">
        <f aca="false">datos_base!$K$5*parametros_recargas!$G$46</f>
        <v>140.064048410687</v>
      </c>
      <c r="F293" s="25" t="n">
        <f aca="false">datos_base!$K$5*parametros_recargas!$H$46</f>
        <v>140.875378029518</v>
      </c>
      <c r="G293" s="25" t="n">
        <f aca="false">datos_base!$K$5*parametros_recargas!$I$46</f>
        <v>141.691407325088</v>
      </c>
      <c r="H293" s="25" t="n">
        <f aca="false">datos_base!$K$5*parametros_recargas!$J$46</f>
        <v>142.512163520565</v>
      </c>
      <c r="I293" s="25" t="n">
        <f aca="false">datos_base!$K$5*parametros_recargas!$K$46</f>
        <v>143.337673996807</v>
      </c>
      <c r="J293" s="25" t="n">
        <f aca="false">datos_base!$K$5*parametros_recargas!$L$46</f>
        <v>144.167966293278</v>
      </c>
      <c r="K293" s="25" t="n">
        <f aca="false">datos_base!$K$5*parametros_recargas!$M$46</f>
        <v>145.003068108966</v>
      </c>
      <c r="L293" s="25" t="n">
        <f aca="false">datos_base!$K$5*parametros_recargas!$N$46</f>
        <v>145.843007303307</v>
      </c>
      <c r="M293" s="25" t="n">
        <f aca="false">datos_base!$K$5*parametros_recargas!$O$46</f>
        <v>146.687811897114</v>
      </c>
      <c r="N293" s="25" t="n">
        <f aca="false">datos_base!$K$5*parametros_recargas!$P$46</f>
        <v>147.537510073513</v>
      </c>
      <c r="O293" s="25" t="n">
        <f aca="false">datos_base!$K$5*parametros_recargas!$Q$46</f>
        <v>148.392130178882</v>
      </c>
      <c r="P293" s="7" t="n">
        <f aca="false">SUM(D293:O293)</f>
        <v>1725.36955653994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4" t="n">
        <f aca="false">parametros_recargas!C55</f>
        <v>1</v>
      </c>
      <c r="D294" s="25" t="n">
        <f aca="false">datos_base!$K$6*parametros_recargas!$F$46</f>
        <v>196.600064493037</v>
      </c>
      <c r="E294" s="25" t="n">
        <f aca="false">datos_base!$K$6*parametros_recargas!$G$46</f>
        <v>197.738882463795</v>
      </c>
      <c r="F294" s="25" t="n">
        <f aca="false">datos_base!$K$6*parametros_recargas!$H$46</f>
        <v>198.884297107723</v>
      </c>
      <c r="G294" s="25" t="n">
        <f aca="false">datos_base!$K$6*parametros_recargas!$I$46</f>
        <v>200.036346636455</v>
      </c>
      <c r="H294" s="25" t="n">
        <f aca="false">datos_base!$K$6*parametros_recargas!$J$46</f>
        <v>201.19506948297</v>
      </c>
      <c r="I294" s="25" t="n">
        <f aca="false">datos_base!$K$6*parametros_recargas!$K$46</f>
        <v>202.360504302872</v>
      </c>
      <c r="J294" s="25" t="n">
        <f aca="false">datos_base!$K$6*parametros_recargas!$L$46</f>
        <v>203.53268997568</v>
      </c>
      <c r="K294" s="25" t="n">
        <f aca="false">datos_base!$K$6*parametros_recargas!$M$46</f>
        <v>204.711665606124</v>
      </c>
      <c r="L294" s="25" t="n">
        <f aca="false">datos_base!$K$6*parametros_recargas!$N$46</f>
        <v>205.897470525453</v>
      </c>
      <c r="M294" s="25" t="n">
        <f aca="false">datos_base!$K$6*parametros_recargas!$O$46</f>
        <v>207.090144292741</v>
      </c>
      <c r="N294" s="25" t="n">
        <f aca="false">datos_base!$K$6*parametros_recargas!$P$46</f>
        <v>208.289726696214</v>
      </c>
      <c r="O294" s="25" t="n">
        <f aca="false">datos_base!$K$6*parametros_recargas!$Q$46</f>
        <v>209.496257754572</v>
      </c>
      <c r="P294" s="7" t="n">
        <f aca="false">SUM(D294:O294)</f>
        <v>2435.83311933763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4" t="n">
        <f aca="false">parametros_recargas!C56</f>
        <v>1</v>
      </c>
      <c r="D295" s="25" t="n">
        <f aca="false">datos_base!$K$7*parametros_recargas!$F$46</f>
        <v>37.3257870800506</v>
      </c>
      <c r="E295" s="25" t="n">
        <f aca="false">datos_base!$K$7*parametros_recargas!$G$46</f>
        <v>37.5419989984397</v>
      </c>
      <c r="F295" s="25" t="n">
        <f aca="false">datos_base!$K$7*parametros_recargas!$H$46</f>
        <v>37.75946333767</v>
      </c>
      <c r="G295" s="25" t="n">
        <f aca="false">datos_base!$K$7*parametros_recargas!$I$46</f>
        <v>37.9781873524663</v>
      </c>
      <c r="H295" s="25" t="n">
        <f aca="false">datos_base!$K$7*parametros_recargas!$J$46</f>
        <v>38.1981783395768</v>
      </c>
      <c r="I295" s="25" t="n">
        <f aca="false">datos_base!$K$7*parametros_recargas!$K$46</f>
        <v>38.4194436380167</v>
      </c>
      <c r="J295" s="25" t="n">
        <f aca="false">datos_base!$K$7*parametros_recargas!$L$46</f>
        <v>38.6419906293126</v>
      </c>
      <c r="K295" s="25" t="n">
        <f aca="false">datos_base!$K$7*parametros_recargas!$M$46</f>
        <v>38.8658267377493</v>
      </c>
      <c r="L295" s="25" t="n">
        <f aca="false">datos_base!$K$7*parametros_recargas!$N$46</f>
        <v>39.0909594306173</v>
      </c>
      <c r="M295" s="25" t="n">
        <f aca="false">datos_base!$K$7*parametros_recargas!$O$46</f>
        <v>39.3173962184615</v>
      </c>
      <c r="N295" s="25" t="n">
        <f aca="false">datos_base!$K$7*parametros_recargas!$P$46</f>
        <v>39.5451446553324</v>
      </c>
      <c r="O295" s="25" t="n">
        <f aca="false">datos_base!$K$7*parametros_recargas!$Q$46</f>
        <v>39.7742123390377</v>
      </c>
      <c r="P295" s="7" t="n">
        <f aca="false">SUM(D295:O295)</f>
        <v>462.458588756731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4" t="n">
        <f aca="false">parametros_recargas!C57</f>
        <v>3</v>
      </c>
      <c r="D296" s="25" t="n">
        <f aca="false">datos_base!$K$8*parametros_recargas!$F$46</f>
        <v>19.4568973622889</v>
      </c>
      <c r="E296" s="25" t="n">
        <f aca="false">datos_base!$K$8*parametros_recargas!$G$46</f>
        <v>19.5696026374805</v>
      </c>
      <c r="F296" s="25" t="n">
        <f aca="false">datos_base!$K$8*parametros_recargas!$H$46</f>
        <v>19.6829607649137</v>
      </c>
      <c r="G296" s="25" t="n">
        <f aca="false">datos_base!$K$8*parametros_recargas!$I$46</f>
        <v>19.7969755262751</v>
      </c>
      <c r="H296" s="25" t="n">
        <f aca="false">datos_base!$K$8*parametros_recargas!$J$46</f>
        <v>19.9116507251573</v>
      </c>
      <c r="I296" s="25" t="n">
        <f aca="false">datos_base!$K$8*parametros_recargas!$K$46</f>
        <v>20.0269901871851</v>
      </c>
      <c r="J296" s="25" t="n">
        <f aca="false">datos_base!$K$8*parametros_recargas!$L$46</f>
        <v>20.1429977601439</v>
      </c>
      <c r="K296" s="25" t="n">
        <f aca="false">datos_base!$K$8*parametros_recargas!$M$46</f>
        <v>20.2596773141071</v>
      </c>
      <c r="L296" s="25" t="n">
        <f aca="false">datos_base!$K$8*parametros_recargas!$N$46</f>
        <v>20.3770327415662</v>
      </c>
      <c r="M296" s="25" t="n">
        <f aca="false">datos_base!$K$8*parametros_recargas!$O$46</f>
        <v>20.49506795756</v>
      </c>
      <c r="N296" s="25" t="n">
        <f aca="false">datos_base!$K$8*parametros_recargas!$P$46</f>
        <v>20.6137868998054</v>
      </c>
      <c r="O296" s="25" t="n">
        <f aca="false">datos_base!$K$8*parametros_recargas!$Q$46</f>
        <v>20.7331935288287</v>
      </c>
      <c r="P296" s="7" t="n">
        <f aca="false">SUM(D296:O296)</f>
        <v>241.066833405312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4" t="n">
        <f aca="false">parametros_recargas!C58</f>
        <v>1</v>
      </c>
      <c r="D297" s="25" t="n">
        <f aca="false">datos_base!$K$9*parametros_recargas!$F$46</f>
        <v>11.2476788129262</v>
      </c>
      <c r="E297" s="25" t="n">
        <f aca="false">datos_base!$K$9*parametros_recargas!$G$46</f>
        <v>11.3128316845415</v>
      </c>
      <c r="F297" s="25" t="n">
        <f aca="false">datos_base!$K$9*parametros_recargas!$H$46</f>
        <v>11.3783619581746</v>
      </c>
      <c r="G297" s="25" t="n">
        <f aca="false">datos_base!$K$9*parametros_recargas!$I$46</f>
        <v>11.44427181995</v>
      </c>
      <c r="H297" s="25" t="n">
        <f aca="false">datos_base!$K$9*parametros_recargas!$J$46</f>
        <v>11.5105634686552</v>
      </c>
      <c r="I297" s="25" t="n">
        <f aca="false">datos_base!$K$9*parametros_recargas!$K$46</f>
        <v>11.5772391158147</v>
      </c>
      <c r="J297" s="25" t="n">
        <f aca="false">datos_base!$K$9*parametros_recargas!$L$46</f>
        <v>11.644300985763</v>
      </c>
      <c r="K297" s="25" t="n">
        <f aca="false">datos_base!$K$9*parametros_recargas!$M$46</f>
        <v>11.7117513157194</v>
      </c>
      <c r="L297" s="25" t="n">
        <f aca="false">datos_base!$K$9*parametros_recargas!$N$46</f>
        <v>11.7795923558624</v>
      </c>
      <c r="M297" s="25" t="n">
        <f aca="false">datos_base!$K$9*parametros_recargas!$O$46</f>
        <v>11.8478263694048</v>
      </c>
      <c r="N297" s="25" t="n">
        <f aca="false">datos_base!$K$9*parametros_recargas!$P$46</f>
        <v>11.9164556326693</v>
      </c>
      <c r="O297" s="25" t="n">
        <f aca="false">datos_base!$K$9*parametros_recargas!$Q$46</f>
        <v>11.9854824351641</v>
      </c>
      <c r="P297" s="7" t="n">
        <f aca="false">SUM(D297:O297)</f>
        <v>139.356355954645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4" t="n">
        <f aca="false">parametros_recargas!C59</f>
        <v>1</v>
      </c>
      <c r="D298" s="25" t="n">
        <f aca="false">datos_base!$K$10*parametros_recargas!$F$46</f>
        <v>96.9542676729697</v>
      </c>
      <c r="E298" s="25" t="n">
        <f aca="false">datos_base!$K$10*parametros_recargas!$G$46</f>
        <v>97.515881234249</v>
      </c>
      <c r="F298" s="25" t="n">
        <f aca="false">datos_base!$K$10*parametros_recargas!$H$46</f>
        <v>98.0807479766393</v>
      </c>
      <c r="G298" s="25" t="n">
        <f aca="false">datos_base!$K$10*parametros_recargas!$I$46</f>
        <v>98.6488867443922</v>
      </c>
      <c r="H298" s="25" t="n">
        <f aca="false">datos_base!$K$10*parametros_recargas!$J$46</f>
        <v>99.220316490916</v>
      </c>
      <c r="I298" s="25" t="n">
        <f aca="false">datos_base!$K$10*parametros_recargas!$K$46</f>
        <v>99.7950562794078</v>
      </c>
      <c r="J298" s="25" t="n">
        <f aca="false">datos_base!$K$10*parametros_recargas!$L$46</f>
        <v>100.373125283489</v>
      </c>
      <c r="K298" s="25" t="n">
        <f aca="false">datos_base!$K$10*parametros_recargas!$M$46</f>
        <v>100.954542787846</v>
      </c>
      <c r="L298" s="25" t="n">
        <f aca="false">datos_base!$K$10*parametros_recargas!$N$46</f>
        <v>101.539328188873</v>
      </c>
      <c r="M298" s="25" t="n">
        <f aca="false">datos_base!$K$10*parametros_recargas!$O$46</f>
        <v>102.127500995319</v>
      </c>
      <c r="N298" s="25" t="n">
        <f aca="false">datos_base!$K$10*parametros_recargas!$P$46</f>
        <v>102.719080828937</v>
      </c>
      <c r="O298" s="25" t="n">
        <f aca="false">datos_base!$K$10*parametros_recargas!$Q$46</f>
        <v>103.314087425142</v>
      </c>
      <c r="P298" s="7" t="n">
        <f aca="false">SUM(D298:O298)</f>
        <v>1201.24282190818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4" t="n">
        <f aca="false">parametros_recargas!C60</f>
        <v>1</v>
      </c>
      <c r="D299" s="25" t="n">
        <f aca="false">datos_base!$K$11*parametros_recargas!$F$46</f>
        <v>528.896324018307</v>
      </c>
      <c r="E299" s="25" t="n">
        <f aca="false">datos_base!$K$11*parametros_recargas!$G$46</f>
        <v>531.959988519198</v>
      </c>
      <c r="F299" s="25" t="n">
        <f aca="false">datos_base!$K$11*parametros_recargas!$H$46</f>
        <v>535.041399485223</v>
      </c>
      <c r="G299" s="25" t="n">
        <f aca="false">datos_base!$K$11*parametros_recargas!$I$46</f>
        <v>538.140659713874</v>
      </c>
      <c r="H299" s="25" t="n">
        <f aca="false">datos_base!$K$11*parametros_recargas!$J$46</f>
        <v>541.257872598102</v>
      </c>
      <c r="I299" s="25" t="n">
        <f aca="false">datos_base!$K$11*parametros_recargas!$K$46</f>
        <v>544.393142129771</v>
      </c>
      <c r="J299" s="25" t="n">
        <f aca="false">datos_base!$K$11*parametros_recargas!$L$46</f>
        <v>547.546572903122</v>
      </c>
      <c r="K299" s="25" t="n">
        <f aca="false">datos_base!$K$11*parametros_recargas!$M$46</f>
        <v>550.718270118263</v>
      </c>
      <c r="L299" s="25" t="n">
        <f aca="false">datos_base!$K$11*parametros_recargas!$N$46</f>
        <v>553.908339584684</v>
      </c>
      <c r="M299" s="25" t="n">
        <f aca="false">datos_base!$K$11*parametros_recargas!$O$46</f>
        <v>557.11688772478</v>
      </c>
      <c r="N299" s="25" t="n">
        <f aca="false">datos_base!$K$11*parametros_recargas!$P$46</f>
        <v>560.344021577406</v>
      </c>
      <c r="O299" s="25" t="n">
        <f aca="false">datos_base!$K$11*parametros_recargas!$Q$46</f>
        <v>563.589848801445</v>
      </c>
      <c r="P299" s="7" t="n">
        <f aca="false">SUM(D299:O299)</f>
        <v>6552.91332717418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4" t="n">
        <f aca="false">parametros_recargas!C61</f>
        <v>1</v>
      </c>
      <c r="D300" s="25" t="n">
        <f aca="false">datos_base!$K$12*parametros_recargas!$F$46</f>
        <v>180.751741738835</v>
      </c>
      <c r="E300" s="25" t="n">
        <f aca="false">datos_base!$K$12*parametros_recargas!$G$46</f>
        <v>181.798757324862</v>
      </c>
      <c r="F300" s="25" t="n">
        <f aca="false">datos_base!$K$12*parametros_recargas!$H$46</f>
        <v>182.851837813095</v>
      </c>
      <c r="G300" s="25" t="n">
        <f aca="false">datos_base!$K$12*parametros_recargas!$I$46</f>
        <v>183.911018334855</v>
      </c>
      <c r="H300" s="25" t="n">
        <f aca="false">datos_base!$K$12*parametros_recargas!$J$46</f>
        <v>184.97633422496</v>
      </c>
      <c r="I300" s="25" t="n">
        <f aca="false">datos_base!$K$12*parametros_recargas!$K$46</f>
        <v>186.04782102291</v>
      </c>
      <c r="J300" s="25" t="n">
        <f aca="false">datos_base!$K$12*parametros_recargas!$L$46</f>
        <v>187.125514474068</v>
      </c>
      <c r="K300" s="25" t="n">
        <f aca="false">datos_base!$K$12*parametros_recargas!$M$46</f>
        <v>188.209450530854</v>
      </c>
      <c r="L300" s="25" t="n">
        <f aca="false">datos_base!$K$12*parametros_recargas!$N$46</f>
        <v>189.299665353946</v>
      </c>
      <c r="M300" s="25" t="n">
        <f aca="false">datos_base!$K$12*parametros_recargas!$O$46</f>
        <v>190.396195313483</v>
      </c>
      <c r="N300" s="25" t="n">
        <f aca="false">datos_base!$K$12*parametros_recargas!$P$46</f>
        <v>191.499076990283</v>
      </c>
      <c r="O300" s="25" t="n">
        <f aca="false">datos_base!$K$12*parametros_recargas!$Q$46</f>
        <v>192.608347177058</v>
      </c>
      <c r="P300" s="7" t="n">
        <f aca="false">SUM(D300:O300)</f>
        <v>2239.47576029921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4" t="n">
        <f aca="false">parametros_recargas!C62</f>
        <v>1</v>
      </c>
      <c r="D301" s="25" t="n">
        <f aca="false">datos_base!$K$13*parametros_recargas!$F$46</f>
        <v>29.590486750497</v>
      </c>
      <c r="E301" s="25" t="n">
        <f aca="false">datos_base!$K$13*parametros_recargas!$G$46</f>
        <v>29.7618914657591</v>
      </c>
      <c r="F301" s="25" t="n">
        <f aca="false">datos_base!$K$13*parametros_recargas!$H$46</f>
        <v>29.9342890533813</v>
      </c>
      <c r="G301" s="25" t="n">
        <f aca="false">datos_base!$K$13*parametros_recargas!$I$46</f>
        <v>30.1076852646378</v>
      </c>
      <c r="H301" s="25" t="n">
        <f aca="false">datos_base!$K$13*parametros_recargas!$J$46</f>
        <v>30.2820858841173</v>
      </c>
      <c r="I301" s="25" t="n">
        <f aca="false">datos_base!$K$13*parametros_recargas!$K$46</f>
        <v>30.4574967299164</v>
      </c>
      <c r="J301" s="25" t="n">
        <f aca="false">datos_base!$K$13*parametros_recargas!$L$46</f>
        <v>30.6339236538332</v>
      </c>
      <c r="K301" s="25" t="n">
        <f aca="false">datos_base!$K$13*parametros_recargas!$M$46</f>
        <v>30.8113725415626</v>
      </c>
      <c r="L301" s="25" t="n">
        <f aca="false">datos_base!$K$13*parametros_recargas!$N$46</f>
        <v>30.989849312893</v>
      </c>
      <c r="M301" s="25" t="n">
        <f aca="false">datos_base!$K$13*parametros_recargas!$O$46</f>
        <v>31.1693599219033</v>
      </c>
      <c r="N301" s="25" t="n">
        <f aca="false">datos_base!$K$13*parametros_recargas!$P$46</f>
        <v>31.349910357162</v>
      </c>
      <c r="O301" s="25" t="n">
        <f aca="false">datos_base!$K$13*parametros_recargas!$Q$46</f>
        <v>31.5315066419265</v>
      </c>
      <c r="P301" s="7" t="n">
        <f aca="false">SUM(D301:O301)</f>
        <v>366.61985757759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4" t="n">
        <f aca="false">parametros_recargas!C63</f>
        <v>1</v>
      </c>
      <c r="D302" s="25" t="n">
        <f aca="false">datos_base!$K$14*parametros_recargas!$F$46</f>
        <v>10.1590981273011</v>
      </c>
      <c r="E302" s="25" t="n">
        <f aca="false">datos_base!$K$14*parametros_recargas!$G$46</f>
        <v>10.2179453283124</v>
      </c>
      <c r="F302" s="25" t="n">
        <f aca="false">datos_base!$K$14*parametros_recargas!$H$46</f>
        <v>10.2771334053566</v>
      </c>
      <c r="G302" s="25" t="n">
        <f aca="false">datos_base!$K$14*parametros_recargas!$I$46</f>
        <v>10.3366643329791</v>
      </c>
      <c r="H302" s="25" t="n">
        <f aca="false">datos_base!$K$14*parametros_recargas!$J$46</f>
        <v>10.3965400971628</v>
      </c>
      <c r="I302" s="25" t="n">
        <f aca="false">datos_base!$K$14*parametros_recargas!$K$46</f>
        <v>10.4567626953948</v>
      </c>
      <c r="J302" s="25" t="n">
        <f aca="false">datos_base!$K$14*parametros_recargas!$L$46</f>
        <v>10.5173341367328</v>
      </c>
      <c r="K302" s="25" t="n">
        <f aca="false">datos_base!$K$14*parametros_recargas!$M$46</f>
        <v>10.5782564418717</v>
      </c>
      <c r="L302" s="25" t="n">
        <f aca="false">datos_base!$K$14*parametros_recargas!$N$46</f>
        <v>10.6395316432118</v>
      </c>
      <c r="M302" s="25" t="n">
        <f aca="false">datos_base!$K$14*parametros_recargas!$O$46</f>
        <v>10.7011617849261</v>
      </c>
      <c r="N302" s="25" t="n">
        <f aca="false">datos_base!$K$14*parametros_recargas!$P$46</f>
        <v>10.7631489230285</v>
      </c>
      <c r="O302" s="25" t="n">
        <f aca="false">datos_base!$K$14*parametros_recargas!$Q$46</f>
        <v>10.8254951254425</v>
      </c>
      <c r="P302" s="7" t="n">
        <f aca="false">SUM(D302:O302)</f>
        <v>125.86907204172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4" t="n">
        <f aca="false">parametros_recargas!C64</f>
        <v>3</v>
      </c>
      <c r="D303" s="25" t="n">
        <f aca="false">datos_base!$K$15*parametros_recargas!$F$46</f>
        <v>24.2397253859377</v>
      </c>
      <c r="E303" s="25" t="n">
        <f aca="false">datos_base!$K$15*parametros_recargas!$G$46</f>
        <v>24.3801354867529</v>
      </c>
      <c r="F303" s="25" t="n">
        <f aca="false">datos_base!$K$15*parametros_recargas!$H$46</f>
        <v>24.5213589217169</v>
      </c>
      <c r="G303" s="25" t="n">
        <f aca="false">datos_base!$K$15*parametros_recargas!$I$46</f>
        <v>24.6634004021176</v>
      </c>
      <c r="H303" s="25" t="n">
        <f aca="false">datos_base!$K$15*parametros_recargas!$J$46</f>
        <v>24.8062646665336</v>
      </c>
      <c r="I303" s="25" t="n">
        <f aca="false">datos_base!$K$15*parametros_recargas!$K$46</f>
        <v>24.949956480992</v>
      </c>
      <c r="J303" s="25" t="n">
        <f aca="false">datos_base!$K$15*parametros_recargas!$L$46</f>
        <v>25.0944806391272</v>
      </c>
      <c r="K303" s="25" t="n">
        <f aca="false">datos_base!$K$15*parametros_recargas!$M$46</f>
        <v>25.2398419623413</v>
      </c>
      <c r="L303" s="25" t="n">
        <f aca="false">datos_base!$K$15*parametros_recargas!$N$46</f>
        <v>25.3860452999645</v>
      </c>
      <c r="M303" s="25" t="n">
        <f aca="false">datos_base!$K$15*parametros_recargas!$O$46</f>
        <v>25.533095529417</v>
      </c>
      <c r="N303" s="25" t="n">
        <f aca="false">datos_base!$K$15*parametros_recargas!$P$46</f>
        <v>25.680997556372</v>
      </c>
      <c r="O303" s="25" t="n">
        <f aca="false">datos_base!$K$15*parametros_recargas!$Q$46</f>
        <v>25.8297563149187</v>
      </c>
      <c r="P303" s="7" t="n">
        <f aca="false">SUM(D303:O303)</f>
        <v>300.325058646191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4" t="n">
        <f aca="false">parametros_recargas!C65</f>
        <v>3</v>
      </c>
      <c r="D304" s="25" t="n">
        <f aca="false">datos_base!$K$16*parametros_recargas!$F$46</f>
        <v>53.3273958164932</v>
      </c>
      <c r="E304" s="25" t="n">
        <f aca="false">datos_base!$K$16*parametros_recargas!$G$46</f>
        <v>53.6362980380981</v>
      </c>
      <c r="F304" s="25" t="n">
        <f aca="false">datos_base!$K$16*parametros_recargas!$H$46</f>
        <v>53.946989594829</v>
      </c>
      <c r="G304" s="25" t="n">
        <f aca="false">datos_base!$K$16*parametros_recargas!$I$46</f>
        <v>54.2594808515198</v>
      </c>
      <c r="H304" s="25" t="n">
        <f aca="false">datos_base!$K$16*parametros_recargas!$J$46</f>
        <v>54.573782233043</v>
      </c>
      <c r="I304" s="25" t="n">
        <f aca="false">datos_base!$K$16*parametros_recargas!$K$46</f>
        <v>54.8899042246584</v>
      </c>
      <c r="J304" s="25" t="n">
        <f aca="false">datos_base!$K$16*parametros_recargas!$L$46</f>
        <v>55.2078573723617</v>
      </c>
      <c r="K304" s="25" t="n">
        <f aca="false">datos_base!$K$16*parametros_recargas!$M$46</f>
        <v>55.5276522832374</v>
      </c>
      <c r="L304" s="25" t="n">
        <f aca="false">datos_base!$K$16*parametros_recargas!$N$46</f>
        <v>55.849299625812</v>
      </c>
      <c r="M304" s="25" t="n">
        <f aca="false">datos_base!$K$16*parametros_recargas!$O$46</f>
        <v>56.17281013041</v>
      </c>
      <c r="N304" s="25" t="n">
        <f aca="false">datos_base!$K$16*parametros_recargas!$P$46</f>
        <v>56.4981945895121</v>
      </c>
      <c r="O304" s="25" t="n">
        <f aca="false">datos_base!$K$16*parametros_recargas!$Q$46</f>
        <v>56.8254638581151</v>
      </c>
      <c r="P304" s="7" t="n">
        <f aca="false">SUM(D304:O304)</f>
        <v>660.71512861809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4" t="n">
        <f aca="false">parametros_recargas!C66</f>
        <v>3</v>
      </c>
      <c r="D305" s="25" t="n">
        <f aca="false">datos_base!$K$17*parametros_recargas!$F$46</f>
        <v>11.6350681861806</v>
      </c>
      <c r="E305" s="25" t="n">
        <f aca="false">datos_base!$K$17*parametros_recargas!$G$46</f>
        <v>11.7024650345774</v>
      </c>
      <c r="F305" s="25" t="n">
        <f aca="false">datos_base!$K$17*parametros_recargas!$H$46</f>
        <v>11.7702522833655</v>
      </c>
      <c r="G305" s="25" t="n">
        <f aca="false">datos_base!$K$17*parametros_recargas!$I$46</f>
        <v>11.8384321939633</v>
      </c>
      <c r="H305" s="25" t="n">
        <f aca="false">datos_base!$K$17*parametros_recargas!$J$46</f>
        <v>11.9070070408884</v>
      </c>
      <c r="I305" s="25" t="n">
        <f aca="false">datos_base!$K$17*parametros_recargas!$K$46</f>
        <v>11.975979111834</v>
      </c>
      <c r="J305" s="25" t="n">
        <f aca="false">datos_base!$K$17*parametros_recargas!$L$46</f>
        <v>12.0453507077444</v>
      </c>
      <c r="K305" s="25" t="n">
        <f aca="false">datos_base!$K$17*parametros_recargas!$M$46</f>
        <v>12.1151241428928</v>
      </c>
      <c r="L305" s="25" t="n">
        <f aca="false">datos_base!$K$17*parametros_recargas!$N$46</f>
        <v>12.1853017449575</v>
      </c>
      <c r="M305" s="25" t="n">
        <f aca="false">datos_base!$K$17*parametros_recargas!$O$46</f>
        <v>12.2558858551004</v>
      </c>
      <c r="N305" s="25" t="n">
        <f aca="false">datos_base!$K$17*parametros_recargas!$P$46</f>
        <v>12.3268788280444</v>
      </c>
      <c r="O305" s="25" t="n">
        <f aca="false">datos_base!$K$17*parametros_recargas!$Q$46</f>
        <v>12.3982830321526</v>
      </c>
      <c r="P305" s="7" t="n">
        <f aca="false">SUM(D305:O305)</f>
        <v>144.156028161701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4" t="n">
        <f aca="false">parametros_recargas!C67</f>
        <v>3</v>
      </c>
      <c r="D306" s="25" t="n">
        <f aca="false">datos_base!$K$18*parametros_recargas!$F$46</f>
        <v>7.75671210861107</v>
      </c>
      <c r="E306" s="25" t="n">
        <f aca="false">datos_base!$K$18*parametros_recargas!$G$46</f>
        <v>7.80164334078571</v>
      </c>
      <c r="F306" s="25" t="n">
        <f aca="false">datos_base!$K$18*parametros_recargas!$H$46</f>
        <v>7.84683483988742</v>
      </c>
      <c r="G306" s="25" t="n">
        <f aca="false">datos_base!$K$18*parametros_recargas!$I$46</f>
        <v>7.8922881135284</v>
      </c>
      <c r="H306" s="25" t="n">
        <f aca="false">datos_base!$K$18*parametros_recargas!$J$46</f>
        <v>7.93800467805378</v>
      </c>
      <c r="I306" s="25" t="n">
        <f aca="false">datos_base!$K$18*parametros_recargas!$K$46</f>
        <v>7.98398605859219</v>
      </c>
      <c r="J306" s="25" t="n">
        <f aca="false">datos_base!$K$18*parametros_recargas!$L$46</f>
        <v>8.0302337891067</v>
      </c>
      <c r="K306" s="25" t="n">
        <f aca="false">datos_base!$K$18*parametros_recargas!$M$46</f>
        <v>8.07674941244593</v>
      </c>
      <c r="L306" s="25" t="n">
        <f aca="false">datos_base!$K$18*parametros_recargas!$N$46</f>
        <v>8.12353448039554</v>
      </c>
      <c r="M306" s="25" t="n">
        <f aca="false">datos_base!$K$18*parametros_recargas!$O$46</f>
        <v>8.17059055373003</v>
      </c>
      <c r="N306" s="25" t="n">
        <f aca="false">datos_base!$K$18*parametros_recargas!$P$46</f>
        <v>8.21791920226476</v>
      </c>
      <c r="O306" s="25" t="n">
        <f aca="false">datos_base!$K$18*parametros_recargas!$Q$46</f>
        <v>8.26552200490835</v>
      </c>
      <c r="P306" s="7" t="n">
        <f aca="false">SUM(D306:O306)</f>
        <v>96.1040185823099</v>
      </c>
    </row>
    <row r="307" customFormat="false" ht="15" hidden="false" customHeight="false" outlineLevel="0" collapsed="false">
      <c r="A307" s="6" t="s">
        <v>272</v>
      </c>
      <c r="D307" s="7" t="n">
        <f aca="false">SUM(D290:D306)</f>
        <v>8652.07482456239</v>
      </c>
      <c r="E307" s="7" t="n">
        <f aca="false">SUM(E290:E306)</f>
        <v>8702.19250036257</v>
      </c>
      <c r="F307" s="7" t="n">
        <f aca="false">SUM(F290:F306)</f>
        <v>8752.60048588367</v>
      </c>
      <c r="G307" s="7" t="n">
        <f aca="false">SUM(G290:G306)</f>
        <v>8803.30046276259</v>
      </c>
      <c r="H307" s="7" t="n">
        <f aca="false">SUM(H290:H306)</f>
        <v>8854.29412237726</v>
      </c>
      <c r="I307" s="7" t="n">
        <f aca="false">SUM(I290:I306)</f>
        <v>8905.58316590298</v>
      </c>
      <c r="J307" s="7" t="n">
        <f aca="false">SUM(J290:J306)</f>
        <v>8957.16930436924</v>
      </c>
      <c r="K307" s="7" t="n">
        <f aca="false">SUM(K290:K306)</f>
        <v>9009.05425871676</v>
      </c>
      <c r="L307" s="7" t="n">
        <f aca="false">SUM(L290:L306)</f>
        <v>9061.23975985492</v>
      </c>
      <c r="M307" s="7" t="n">
        <f aca="false">SUM(M290:M306)</f>
        <v>9113.7275487195</v>
      </c>
      <c r="N307" s="7" t="n">
        <f aca="false">SUM(N290:N306)</f>
        <v>9166.51937633075</v>
      </c>
      <c r="O307" s="7" t="n">
        <f aca="false">SUM(O290:O306)</f>
        <v>9219.61700385182</v>
      </c>
      <c r="P307" s="7" t="n">
        <f aca="false">SUM(P290:P306)</f>
        <v>107197.372813694</v>
      </c>
    </row>
    <row r="308" customFormat="false" ht="15" hidden="false" customHeight="false" outlineLevel="0" collapsed="false">
      <c r="A308" s="6" t="s">
        <v>273</v>
      </c>
    </row>
    <row r="309" customFormat="false" ht="15" hidden="false" customHeight="false" outlineLevel="0" collapsed="false">
      <c r="A309" s="4" t="s">
        <v>143</v>
      </c>
      <c r="D309" s="25" t="n">
        <f aca="false">SUMPRODUCT(($B$290:$B$306=$A309)*D$290:D$306*$C$290:$C$306)</f>
        <v>7735.01028150062</v>
      </c>
      <c r="E309" s="25" t="n">
        <f aca="false">SUMPRODUCT(($B$290:$B$306=$A309)*E$290:E$306*$C$290:$C$306)</f>
        <v>7779.81580450636</v>
      </c>
      <c r="F309" s="25" t="n">
        <f aca="false">SUMPRODUCT(($B$290:$B$306=$A309)*F$290:F$306*$C$290:$C$306)</f>
        <v>7824.88086626109</v>
      </c>
      <c r="G309" s="25" t="n">
        <f aca="false">SUMPRODUCT(($B$290:$B$306=$A309)*G$290:G$306*$C$290:$C$306)</f>
        <v>7870.20697015897</v>
      </c>
      <c r="H309" s="25" t="n">
        <f aca="false">SUMPRODUCT(($B$290:$B$306=$A309)*H$290:H$306*$C$290:$C$306)</f>
        <v>7915.79562830268</v>
      </c>
      <c r="I309" s="25" t="n">
        <f aca="false">SUMPRODUCT(($B$290:$B$306=$A309)*I$290:I$306*$C$290:$C$306)</f>
        <v>7961.64836155385</v>
      </c>
      <c r="J309" s="25" t="n">
        <f aca="false">SUMPRODUCT(($B$290:$B$306=$A309)*J$290:J$306*$C$290:$C$306)</f>
        <v>8007.76669958378</v>
      </c>
      <c r="K309" s="25" t="n">
        <f aca="false">SUMPRODUCT(($B$290:$B$306=$A309)*K$290:K$306*$C$290:$C$306)</f>
        <v>8054.1521809245</v>
      </c>
      <c r="L309" s="25" t="n">
        <f aca="false">SUMPRODUCT(($B$290:$B$306=$A309)*L$290:L$306*$C$290:$C$306)</f>
        <v>8100.80635302007</v>
      </c>
      <c r="M309" s="25" t="n">
        <f aca="false">SUMPRODUCT(($B$290:$B$306=$A309)*M$290:M$306*$C$290:$C$306)</f>
        <v>8147.73077227823</v>
      </c>
      <c r="N309" s="25" t="n">
        <f aca="false">SUMPRODUCT(($B$290:$B$306=$A309)*N$290:N$306*$C$290:$C$306)</f>
        <v>8194.9270041223</v>
      </c>
      <c r="O309" s="25" t="n">
        <f aca="false">SUMPRODUCT(($B$290:$B$306=$A309)*O$290:O$306*$C$290:$C$306)</f>
        <v>8242.39662304339</v>
      </c>
      <c r="P309" s="25" t="n">
        <f aca="false">SUMPRODUCT(($B$290:$B$306=$A309)*P$290:P$306*$C$290:$C$306)</f>
        <v>95835.1375452558</v>
      </c>
    </row>
    <row r="310" customFormat="false" ht="15" hidden="false" customHeight="false" outlineLevel="0" collapsed="false">
      <c r="A310" s="4" t="s">
        <v>149</v>
      </c>
      <c r="D310" s="25" t="n">
        <f aca="false">SUMPRODUCT(($B$290:$B$306=$A310)*D$290:D$306*$C$290:$C$306)</f>
        <v>11.2476788129262</v>
      </c>
      <c r="E310" s="25" t="n">
        <f aca="false">SUMPRODUCT(($B$290:$B$306=$A310)*E$290:E$306*$C$290:$C$306)</f>
        <v>11.3128316845415</v>
      </c>
      <c r="F310" s="25" t="n">
        <f aca="false">SUMPRODUCT(($B$290:$B$306=$A310)*F$290:F$306*$C$290:$C$306)</f>
        <v>11.3783619581746</v>
      </c>
      <c r="G310" s="25" t="n">
        <f aca="false">SUMPRODUCT(($B$290:$B$306=$A310)*G$290:G$306*$C$290:$C$306)</f>
        <v>11.44427181995</v>
      </c>
      <c r="H310" s="25" t="n">
        <f aca="false">SUMPRODUCT(($B$290:$B$306=$A310)*H$290:H$306*$C$290:$C$306)</f>
        <v>11.5105634686552</v>
      </c>
      <c r="I310" s="25" t="n">
        <f aca="false">SUMPRODUCT(($B$290:$B$306=$A310)*I$290:I$306*$C$290:$C$306)</f>
        <v>11.5772391158147</v>
      </c>
      <c r="J310" s="25" t="n">
        <f aca="false">SUMPRODUCT(($B$290:$B$306=$A310)*J$290:J$306*$C$290:$C$306)</f>
        <v>11.644300985763</v>
      </c>
      <c r="K310" s="25" t="n">
        <f aca="false">SUMPRODUCT(($B$290:$B$306=$A310)*K$290:K$306*$C$290:$C$306)</f>
        <v>11.7117513157194</v>
      </c>
      <c r="L310" s="25" t="n">
        <f aca="false">SUMPRODUCT(($B$290:$B$306=$A310)*L$290:L$306*$C$290:$C$306)</f>
        <v>11.7795923558624</v>
      </c>
      <c r="M310" s="25" t="n">
        <f aca="false">SUMPRODUCT(($B$290:$B$306=$A310)*M$290:M$306*$C$290:$C$306)</f>
        <v>11.8478263694048</v>
      </c>
      <c r="N310" s="25" t="n">
        <f aca="false">SUMPRODUCT(($B$290:$B$306=$A310)*N$290:N$306*$C$290:$C$306)</f>
        <v>11.9164556326693</v>
      </c>
      <c r="O310" s="25" t="n">
        <f aca="false">SUMPRODUCT(($B$290:$B$306=$A310)*O$290:O$306*$C$290:$C$306)</f>
        <v>11.9854824351641</v>
      </c>
      <c r="P310" s="25" t="n">
        <f aca="false">SUMPRODUCT(($B$290:$B$306=$A310)*P$290:P$306*$C$290:$C$306)</f>
        <v>139.356355954645</v>
      </c>
    </row>
    <row r="311" customFormat="false" ht="15" hidden="false" customHeight="false" outlineLevel="0" collapsed="false">
      <c r="A311" s="4" t="s">
        <v>155</v>
      </c>
      <c r="D311" s="25" t="n">
        <f aca="false">SUMPRODUCT(($B$290:$B$306=$A311)*D$290:D$306*$C$290:$C$306)</f>
        <v>10.1590981273011</v>
      </c>
      <c r="E311" s="25" t="n">
        <f aca="false">SUMPRODUCT(($B$290:$B$306=$A311)*E$290:E$306*$C$290:$C$306)</f>
        <v>10.2179453283124</v>
      </c>
      <c r="F311" s="25" t="n">
        <f aca="false">SUMPRODUCT(($B$290:$B$306=$A311)*F$290:F$306*$C$290:$C$306)</f>
        <v>10.2771334053566</v>
      </c>
      <c r="G311" s="25" t="n">
        <f aca="false">SUMPRODUCT(($B$290:$B$306=$A311)*G$290:G$306*$C$290:$C$306)</f>
        <v>10.3366643329791</v>
      </c>
      <c r="H311" s="25" t="n">
        <f aca="false">SUMPRODUCT(($B$290:$B$306=$A311)*H$290:H$306*$C$290:$C$306)</f>
        <v>10.3965400971628</v>
      </c>
      <c r="I311" s="25" t="n">
        <f aca="false">SUMPRODUCT(($B$290:$B$306=$A311)*I$290:I$306*$C$290:$C$306)</f>
        <v>10.4567626953948</v>
      </c>
      <c r="J311" s="25" t="n">
        <f aca="false">SUMPRODUCT(($B$290:$B$306=$A311)*J$290:J$306*$C$290:$C$306)</f>
        <v>10.5173341367328</v>
      </c>
      <c r="K311" s="25" t="n">
        <f aca="false">SUMPRODUCT(($B$290:$B$306=$A311)*K$290:K$306*$C$290:$C$306)</f>
        <v>10.5782564418717</v>
      </c>
      <c r="L311" s="25" t="n">
        <f aca="false">SUMPRODUCT(($B$290:$B$306=$A311)*L$290:L$306*$C$290:$C$306)</f>
        <v>10.6395316432118</v>
      </c>
      <c r="M311" s="25" t="n">
        <f aca="false">SUMPRODUCT(($B$290:$B$306=$A311)*M$290:M$306*$C$290:$C$306)</f>
        <v>10.7011617849261</v>
      </c>
      <c r="N311" s="25" t="n">
        <f aca="false">SUMPRODUCT(($B$290:$B$306=$A311)*N$290:N$306*$C$290:$C$306)</f>
        <v>10.7631489230285</v>
      </c>
      <c r="O311" s="25" t="n">
        <f aca="false">SUMPRODUCT(($B$290:$B$306=$A311)*O$290:O$306*$C$290:$C$306)</f>
        <v>10.8254951254425</v>
      </c>
      <c r="P311" s="25" t="n">
        <f aca="false">SUMPRODUCT(($B$290:$B$306=$A311)*P$290:P$306*$C$290:$C$306)</f>
        <v>125.86907204172</v>
      </c>
    </row>
    <row r="312" customFormat="false" ht="15" hidden="false" customHeight="false" outlineLevel="0" collapsed="false">
      <c r="A312" s="4" t="s">
        <v>146</v>
      </c>
      <c r="D312" s="25" t="n">
        <f aca="false">SUMPRODUCT(($B$290:$B$306=$A312)*D$290:D$306*$C$290:$C$306)</f>
        <v>196.600064493037</v>
      </c>
      <c r="E312" s="25" t="n">
        <f aca="false">SUMPRODUCT(($B$290:$B$306=$A312)*E$290:E$306*$C$290:$C$306)</f>
        <v>197.738882463795</v>
      </c>
      <c r="F312" s="25" t="n">
        <f aca="false">SUMPRODUCT(($B$290:$B$306=$A312)*F$290:F$306*$C$290:$C$306)</f>
        <v>198.884297107723</v>
      </c>
      <c r="G312" s="25" t="n">
        <f aca="false">SUMPRODUCT(($B$290:$B$306=$A312)*G$290:G$306*$C$290:$C$306)</f>
        <v>200.036346636455</v>
      </c>
      <c r="H312" s="25" t="n">
        <f aca="false">SUMPRODUCT(($B$290:$B$306=$A312)*H$290:H$306*$C$290:$C$306)</f>
        <v>201.19506948297</v>
      </c>
      <c r="I312" s="25" t="n">
        <f aca="false">SUMPRODUCT(($B$290:$B$306=$A312)*I$290:I$306*$C$290:$C$306)</f>
        <v>202.360504302872</v>
      </c>
      <c r="J312" s="25" t="n">
        <f aca="false">SUMPRODUCT(($B$290:$B$306=$A312)*J$290:J$306*$C$290:$C$306)</f>
        <v>203.53268997568</v>
      </c>
      <c r="K312" s="25" t="n">
        <f aca="false">SUMPRODUCT(($B$290:$B$306=$A312)*K$290:K$306*$C$290:$C$306)</f>
        <v>204.711665606124</v>
      </c>
      <c r="L312" s="25" t="n">
        <f aca="false">SUMPRODUCT(($B$290:$B$306=$A312)*L$290:L$306*$C$290:$C$306)</f>
        <v>205.897470525453</v>
      </c>
      <c r="M312" s="25" t="n">
        <f aca="false">SUMPRODUCT(($B$290:$B$306=$A312)*M$290:M$306*$C$290:$C$306)</f>
        <v>207.090144292741</v>
      </c>
      <c r="N312" s="25" t="n">
        <f aca="false">SUMPRODUCT(($B$290:$B$306=$A312)*N$290:N$306*$C$290:$C$306)</f>
        <v>208.289726696214</v>
      </c>
      <c r="O312" s="25" t="n">
        <f aca="false">SUMPRODUCT(($B$290:$B$306=$A312)*O$290:O$306*$C$290:$C$306)</f>
        <v>209.496257754572</v>
      </c>
      <c r="P312" s="25" t="n">
        <f aca="false">SUMPRODUCT(($B$290:$B$306=$A312)*P$290:P$306*$C$290:$C$306)</f>
        <v>2435.83311933763</v>
      </c>
    </row>
    <row r="313" customFormat="false" ht="15" hidden="false" customHeight="false" outlineLevel="0" collapsed="false">
      <c r="A313" s="4" t="s">
        <v>147</v>
      </c>
      <c r="D313" s="25" t="n">
        <f aca="false">SUMPRODUCT(($B$290:$B$306=$A313)*D$290:D$306*$C$290:$C$306)</f>
        <v>95.6964791669174</v>
      </c>
      <c r="E313" s="25" t="n">
        <f aca="false">SUMPRODUCT(($B$290:$B$306=$A313)*E$290:E$306*$C$290:$C$306)</f>
        <v>96.2508069108813</v>
      </c>
      <c r="F313" s="25" t="n">
        <f aca="false">SUMPRODUCT(($B$290:$B$306=$A313)*F$290:F$306*$C$290:$C$306)</f>
        <v>96.808345632411</v>
      </c>
      <c r="G313" s="25" t="n">
        <f aca="false">SUMPRODUCT(($B$290:$B$306=$A313)*G$290:G$306*$C$290:$C$306)</f>
        <v>97.3691139312916</v>
      </c>
      <c r="H313" s="25" t="n">
        <f aca="false">SUMPRODUCT(($B$290:$B$306=$A313)*H$290:H$306*$C$290:$C$306)</f>
        <v>97.9331305150486</v>
      </c>
      <c r="I313" s="25" t="n">
        <f aca="false">SUMPRODUCT(($B$290:$B$306=$A313)*I$290:I$306*$C$290:$C$306)</f>
        <v>98.5004141995721</v>
      </c>
      <c r="J313" s="25" t="n">
        <f aca="false">SUMPRODUCT(($B$290:$B$306=$A313)*J$290:J$306*$C$290:$C$306)</f>
        <v>99.0709839097442</v>
      </c>
      <c r="K313" s="25" t="n">
        <f aca="false">SUMPRODUCT(($B$290:$B$306=$A313)*K$290:K$306*$C$290:$C$306)</f>
        <v>99.6448586800707</v>
      </c>
      <c r="L313" s="25" t="n">
        <f aca="false">SUMPRODUCT(($B$290:$B$306=$A313)*L$290:L$306*$C$290:$C$306)</f>
        <v>100.222057655316</v>
      </c>
      <c r="M313" s="25" t="n">
        <f aca="false">SUMPRODUCT(($B$290:$B$306=$A313)*M$290:M$306*$C$290:$C$306)</f>
        <v>100.802600091142</v>
      </c>
      <c r="N313" s="25" t="n">
        <f aca="false">SUMPRODUCT(($B$290:$B$306=$A313)*N$290:N$306*$C$290:$C$306)</f>
        <v>101.386505354749</v>
      </c>
      <c r="O313" s="25" t="n">
        <f aca="false">SUMPRODUCT(($B$290:$B$306=$A313)*O$290:O$306*$C$290:$C$306)</f>
        <v>101.973792925524</v>
      </c>
      <c r="P313" s="25" t="n">
        <f aca="false">SUMPRODUCT(($B$290:$B$306=$A313)*P$290:P$306*$C$290:$C$306)</f>
        <v>1185.65908897267</v>
      </c>
    </row>
    <row r="314" customFormat="false" ht="15" hidden="false" customHeight="false" outlineLevel="0" collapsed="false">
      <c r="A314" s="4" t="s">
        <v>150</v>
      </c>
      <c r="D314" s="25" t="n">
        <f aca="false">SUMPRODUCT(($B$290:$B$306=$A314)*D$290:D$306*$C$290:$C$306)</f>
        <v>96.9542676729697</v>
      </c>
      <c r="E314" s="25" t="n">
        <f aca="false">SUMPRODUCT(($B$290:$B$306=$A314)*E$290:E$306*$C$290:$C$306)</f>
        <v>97.515881234249</v>
      </c>
      <c r="F314" s="25" t="n">
        <f aca="false">SUMPRODUCT(($B$290:$B$306=$A314)*F$290:F$306*$C$290:$C$306)</f>
        <v>98.0807479766393</v>
      </c>
      <c r="G314" s="25" t="n">
        <f aca="false">SUMPRODUCT(($B$290:$B$306=$A314)*G$290:G$306*$C$290:$C$306)</f>
        <v>98.6488867443922</v>
      </c>
      <c r="H314" s="25" t="n">
        <f aca="false">SUMPRODUCT(($B$290:$B$306=$A314)*H$290:H$306*$C$290:$C$306)</f>
        <v>99.220316490916</v>
      </c>
      <c r="I314" s="25" t="n">
        <f aca="false">SUMPRODUCT(($B$290:$B$306=$A314)*I$290:I$306*$C$290:$C$306)</f>
        <v>99.7950562794078</v>
      </c>
      <c r="J314" s="25" t="n">
        <f aca="false">SUMPRODUCT(($B$290:$B$306=$A314)*J$290:J$306*$C$290:$C$306)</f>
        <v>100.373125283489</v>
      </c>
      <c r="K314" s="25" t="n">
        <f aca="false">SUMPRODUCT(($B$290:$B$306=$A314)*K$290:K$306*$C$290:$C$306)</f>
        <v>100.954542787846</v>
      </c>
      <c r="L314" s="25" t="n">
        <f aca="false">SUMPRODUCT(($B$290:$B$306=$A314)*L$290:L$306*$C$290:$C$306)</f>
        <v>101.539328188873</v>
      </c>
      <c r="M314" s="25" t="n">
        <f aca="false">SUMPRODUCT(($B$290:$B$306=$A314)*M$290:M$306*$C$290:$C$306)</f>
        <v>102.127500995319</v>
      </c>
      <c r="N314" s="25" t="n">
        <f aca="false">SUMPRODUCT(($B$290:$B$306=$A314)*N$290:N$306*$C$290:$C$306)</f>
        <v>102.719080828937</v>
      </c>
      <c r="O314" s="25" t="n">
        <f aca="false">SUMPRODUCT(($B$290:$B$306=$A314)*O$290:O$306*$C$290:$C$306)</f>
        <v>103.314087425142</v>
      </c>
      <c r="P314" s="25" t="n">
        <f aca="false">SUMPRODUCT(($B$290:$B$306=$A314)*P$290:P$306*$C$290:$C$306)</f>
        <v>1201.24282190818</v>
      </c>
    </row>
    <row r="315" customFormat="false" ht="15" hidden="false" customHeight="false" outlineLevel="0" collapsed="false">
      <c r="A315" s="4" t="s">
        <v>151</v>
      </c>
      <c r="D315" s="25" t="n">
        <f aca="false">SUMPRODUCT(($B$290:$B$306=$A315)*D$290:D$306*$C$290:$C$306)</f>
        <v>709.648065757142</v>
      </c>
      <c r="E315" s="25" t="n">
        <f aca="false">SUMPRODUCT(($B$290:$B$306=$A315)*E$290:E$306*$C$290:$C$306)</f>
        <v>713.758745844059</v>
      </c>
      <c r="F315" s="25" t="n">
        <f aca="false">SUMPRODUCT(($B$290:$B$306=$A315)*F$290:F$306*$C$290:$C$306)</f>
        <v>717.893237298318</v>
      </c>
      <c r="G315" s="25" t="n">
        <f aca="false">SUMPRODUCT(($B$290:$B$306=$A315)*G$290:G$306*$C$290:$C$306)</f>
        <v>722.051678048729</v>
      </c>
      <c r="H315" s="25" t="n">
        <f aca="false">SUMPRODUCT(($B$290:$B$306=$A315)*H$290:H$306*$C$290:$C$306)</f>
        <v>726.234206823063</v>
      </c>
      <c r="I315" s="25" t="n">
        <f aca="false">SUMPRODUCT(($B$290:$B$306=$A315)*I$290:I$306*$C$290:$C$306)</f>
        <v>730.440963152682</v>
      </c>
      <c r="J315" s="25" t="n">
        <f aca="false">SUMPRODUCT(($B$290:$B$306=$A315)*J$290:J$306*$C$290:$C$306)</f>
        <v>734.67208737719</v>
      </c>
      <c r="K315" s="25" t="n">
        <f aca="false">SUMPRODUCT(($B$290:$B$306=$A315)*K$290:K$306*$C$290:$C$306)</f>
        <v>738.927720649117</v>
      </c>
      <c r="L315" s="25" t="n">
        <f aca="false">SUMPRODUCT(($B$290:$B$306=$A315)*L$290:L$306*$C$290:$C$306)</f>
        <v>743.20800493863</v>
      </c>
      <c r="M315" s="25" t="n">
        <f aca="false">SUMPRODUCT(($B$290:$B$306=$A315)*M$290:M$306*$C$290:$C$306)</f>
        <v>747.513083038264</v>
      </c>
      <c r="N315" s="25" t="n">
        <f aca="false">SUMPRODUCT(($B$290:$B$306=$A315)*N$290:N$306*$C$290:$C$306)</f>
        <v>751.843098567689</v>
      </c>
      <c r="O315" s="25" t="n">
        <f aca="false">SUMPRODUCT(($B$290:$B$306=$A315)*O$290:O$306*$C$290:$C$306)</f>
        <v>756.198195978504</v>
      </c>
      <c r="P315" s="25" t="n">
        <f aca="false">SUMPRODUCT(($B$290:$B$306=$A315)*P$290:P$306*$C$290:$C$306)</f>
        <v>8792.38908747338</v>
      </c>
    </row>
    <row r="316" customFormat="false" ht="15" hidden="false" customHeight="false" outlineLevel="0" collapsed="false">
      <c r="A316" s="4" t="s">
        <v>154</v>
      </c>
      <c r="D316" s="25" t="n">
        <f aca="false">SUMPRODUCT(($B$290:$B$306=$A316)*D$290:D$306*$C$290:$C$306)</f>
        <v>29.590486750497</v>
      </c>
      <c r="E316" s="25" t="n">
        <f aca="false">SUMPRODUCT(($B$290:$B$306=$A316)*E$290:E$306*$C$290:$C$306)</f>
        <v>29.7618914657591</v>
      </c>
      <c r="F316" s="25" t="n">
        <f aca="false">SUMPRODUCT(($B$290:$B$306=$A316)*F$290:F$306*$C$290:$C$306)</f>
        <v>29.9342890533813</v>
      </c>
      <c r="G316" s="25" t="n">
        <f aca="false">SUMPRODUCT(($B$290:$B$306=$A316)*G$290:G$306*$C$290:$C$306)</f>
        <v>30.1076852646378</v>
      </c>
      <c r="H316" s="25" t="n">
        <f aca="false">SUMPRODUCT(($B$290:$B$306=$A316)*H$290:H$306*$C$290:$C$306)</f>
        <v>30.2820858841173</v>
      </c>
      <c r="I316" s="25" t="n">
        <f aca="false">SUMPRODUCT(($B$290:$B$306=$A316)*I$290:I$306*$C$290:$C$306)</f>
        <v>30.4574967299164</v>
      </c>
      <c r="J316" s="25" t="n">
        <f aca="false">SUMPRODUCT(($B$290:$B$306=$A316)*J$290:J$306*$C$290:$C$306)</f>
        <v>30.6339236538332</v>
      </c>
      <c r="K316" s="25" t="n">
        <f aca="false">SUMPRODUCT(($B$290:$B$306=$A316)*K$290:K$306*$C$290:$C$306)</f>
        <v>30.8113725415626</v>
      </c>
      <c r="L316" s="25" t="n">
        <f aca="false">SUMPRODUCT(($B$290:$B$306=$A316)*L$290:L$306*$C$290:$C$306)</f>
        <v>30.989849312893</v>
      </c>
      <c r="M316" s="25" t="n">
        <f aca="false">SUMPRODUCT(($B$290:$B$306=$A316)*M$290:M$306*$C$290:$C$306)</f>
        <v>31.1693599219033</v>
      </c>
      <c r="N316" s="25" t="n">
        <f aca="false">SUMPRODUCT(($B$290:$B$306=$A316)*N$290:N$306*$C$290:$C$306)</f>
        <v>31.349910357162</v>
      </c>
      <c r="O316" s="25" t="n">
        <f aca="false">SUMPRODUCT(($B$290:$B$306=$A316)*O$290:O$306*$C$290:$C$306)</f>
        <v>31.5315066419265</v>
      </c>
      <c r="P316" s="25" t="n">
        <f aca="false">SUMPRODUCT(($B$290:$B$306=$A316)*P$290:P$306*$C$290:$C$306)</f>
        <v>366.61985757759</v>
      </c>
    </row>
    <row r="317" customFormat="false" ht="15" hidden="false" customHeight="false" outlineLevel="0" collapsed="false">
      <c r="A317" s="6" t="s">
        <v>274</v>
      </c>
      <c r="D317" s="26" t="n">
        <f aca="false">SUMPRODUCT(D$290:D$306*parametros_recargas!$D$51:$D$67)</f>
        <v>297.167540598347</v>
      </c>
      <c r="E317" s="26" t="n">
        <f aca="false">SUMPRODUCT(E$290:E$306*parametros_recargas!$D$51:$D$67)</f>
        <v>298.888901862556</v>
      </c>
      <c r="F317" s="26" t="n">
        <f aca="false">SUMPRODUCT(F$290:F$306*parametros_recargas!$D$51:$D$67)</f>
        <v>300.620234217808</v>
      </c>
      <c r="G317" s="26" t="n">
        <f aca="false">SUMPRODUCT(G$290:G$306*parametros_recargas!$D$51:$D$67)</f>
        <v>302.361595422259</v>
      </c>
      <c r="H317" s="26" t="n">
        <f aca="false">SUMPRODUCT(H$290:H$306*parametros_recargas!$D$51:$D$67)</f>
        <v>304.113043568637</v>
      </c>
      <c r="I317" s="26" t="n">
        <f aca="false">SUMPRODUCT(I$290:I$306*parametros_recargas!$D$51:$D$67)</f>
        <v>305.874637086172</v>
      </c>
      <c r="J317" s="26" t="n">
        <f aca="false">SUMPRODUCT(J$290:J$306*parametros_recargas!$D$51:$D$67)</f>
        <v>307.646434742552</v>
      </c>
      <c r="K317" s="26" t="n">
        <f aca="false">SUMPRODUCT(K$290:K$306*parametros_recargas!$D$51:$D$67)</f>
        <v>309.428495645879</v>
      </c>
      <c r="L317" s="26" t="n">
        <f aca="false">SUMPRODUCT(L$290:L$306*parametros_recargas!$D$51:$D$67)</f>
        <v>311.220879246642</v>
      </c>
      <c r="M317" s="26" t="n">
        <f aca="false">SUMPRODUCT(M$290:M$306*parametros_recargas!$D$51:$D$67)</f>
        <v>313.023645339701</v>
      </c>
      <c r="N317" s="26" t="n">
        <f aca="false">SUMPRODUCT(N$290:N$306*parametros_recargas!$D$51:$D$67)</f>
        <v>314.836854066282</v>
      </c>
      <c r="O317" s="26" t="n">
        <f aca="false">SUMPRODUCT(O$290:O$306*parametros_recargas!$D$51:$D$67)</f>
        <v>316.660565915982</v>
      </c>
      <c r="P317" s="26" t="n">
        <f aca="false">SUMPRODUCT(P$290:P$306*parametros_recargas!$D$51:$D$67)</f>
        <v>3681.84282771281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275</v>
      </c>
      <c r="B1" s="3" t="s">
        <v>124</v>
      </c>
      <c r="C1" s="3" t="s">
        <v>125</v>
      </c>
      <c r="D1" s="3" t="s">
        <v>126</v>
      </c>
      <c r="E1" s="3" t="s">
        <v>127</v>
      </c>
      <c r="F1" s="3" t="s">
        <v>128</v>
      </c>
      <c r="G1" s="3" t="s">
        <v>129</v>
      </c>
      <c r="H1" s="3" t="s">
        <v>130</v>
      </c>
      <c r="I1" s="3" t="s">
        <v>131</v>
      </c>
      <c r="J1" s="3" t="s">
        <v>132</v>
      </c>
      <c r="K1" s="3" t="s">
        <v>133</v>
      </c>
      <c r="L1" s="3" t="s">
        <v>134</v>
      </c>
      <c r="M1" s="3" t="s">
        <v>135</v>
      </c>
      <c r="N1" s="3" t="s">
        <v>276</v>
      </c>
      <c r="O1" s="3" t="s">
        <v>277</v>
      </c>
      <c r="P1" s="3" t="s">
        <v>278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5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77.0121773170671</v>
      </c>
      <c r="C2" s="25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87.2789708837891</v>
      </c>
      <c r="D2" s="25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98.9144707228673</v>
      </c>
      <c r="E2" s="25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112.101144402955</v>
      </c>
      <c r="F2" s="25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127.045784955578</v>
      </c>
      <c r="G2" s="25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143.982753797414</v>
      </c>
      <c r="H2" s="25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163.177655979183</v>
      </c>
      <c r="I2" s="25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184.931505396301</v>
      </c>
      <c r="J2" s="25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209.585445279989</v>
      </c>
      <c r="K2" s="25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237.526097995469</v>
      </c>
      <c r="L2" s="25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269.191628042599</v>
      </c>
      <c r="M2" s="25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305.078613338762</v>
      </c>
      <c r="N2" s="7" t="n">
        <f aca="false">SUM(B2:M2)</f>
        <v>2015.82624811197</v>
      </c>
      <c r="O2" s="26" t="n">
        <f aca="false">MAX(B2:M2)</f>
        <v>305.078613338762</v>
      </c>
      <c r="P2" s="15" t="n">
        <f aca="false">O2/parametros_recargas!$B$6</f>
        <v>2.03385742225842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5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77.0121773170671</v>
      </c>
      <c r="C3" s="25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87.2789708837891</v>
      </c>
      <c r="D3" s="25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98.9144707228673</v>
      </c>
      <c r="E3" s="25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112.101144402955</v>
      </c>
      <c r="F3" s="25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127.045784955578</v>
      </c>
      <c r="G3" s="25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143.982753797414</v>
      </c>
      <c r="H3" s="25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163.177655979183</v>
      </c>
      <c r="I3" s="25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184.931505396301</v>
      </c>
      <c r="J3" s="25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209.585445279989</v>
      </c>
      <c r="K3" s="25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237.526097995469</v>
      </c>
      <c r="L3" s="25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269.191628042599</v>
      </c>
      <c r="M3" s="25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305.078613338762</v>
      </c>
      <c r="N3" s="7" t="n">
        <f aca="false">SUM(B3:M3)</f>
        <v>2015.82624811197</v>
      </c>
      <c r="O3" s="26" t="n">
        <f aca="false">MAX(B3:M3)</f>
        <v>305.078613338762</v>
      </c>
      <c r="P3" s="15" t="n">
        <f aca="false">O3/parametros_recargas!$B$6</f>
        <v>2.03385742225842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5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56.9822447775843</v>
      </c>
      <c r="C4" s="25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64.5787699568591</v>
      </c>
      <c r="D4" s="25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73.1880175205292</v>
      </c>
      <c r="E4" s="25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82.9449974374492</v>
      </c>
      <c r="F4" s="25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94.0027183817166</v>
      </c>
      <c r="G4" s="25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106.534587210231</v>
      </c>
      <c r="H4" s="25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120.737128323959</v>
      </c>
      <c r="I4" s="25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136.833065557852</v>
      </c>
      <c r="J4" s="25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155.074814929517</v>
      </c>
      <c r="K4" s="25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175.748443019839</v>
      </c>
      <c r="L4" s="25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199.178153060742</v>
      </c>
      <c r="M4" s="25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225.731369080806</v>
      </c>
      <c r="N4" s="7" t="n">
        <f aca="false">SUM(B4:M4)</f>
        <v>1491.53430925708</v>
      </c>
      <c r="O4" s="26" t="n">
        <f aca="false">MAX(B4:M4)</f>
        <v>225.731369080806</v>
      </c>
      <c r="P4" s="15" t="n">
        <f aca="false">O4/parametros_recargas!$B$6</f>
        <v>1.50487579387204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5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6.70379350324521</v>
      </c>
      <c r="C5" s="25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7.59750234786577</v>
      </c>
      <c r="D5" s="25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8.6103550024152</v>
      </c>
      <c r="E5" s="25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9.75823499264108</v>
      </c>
      <c r="F5" s="25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11.0591433390255</v>
      </c>
      <c r="G5" s="25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12.5334808482625</v>
      </c>
      <c r="H5" s="25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14.2043680381129</v>
      </c>
      <c r="I5" s="25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16.0980077126884</v>
      </c>
      <c r="J5" s="25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18.2440958740608</v>
      </c>
      <c r="K5" s="25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20.6762874140987</v>
      </c>
      <c r="L5" s="25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23.432723889499</v>
      </c>
      <c r="M5" s="25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26.5566316565654</v>
      </c>
      <c r="N5" s="7" t="n">
        <f aca="false">SUM(B5:M5)</f>
        <v>175.47462461848</v>
      </c>
      <c r="O5" s="26" t="n">
        <f aca="false">MAX(B5:M5)</f>
        <v>26.5566316565654</v>
      </c>
      <c r="P5" s="15" t="n">
        <f aca="false">O5/parametros_recargas!$B$6</f>
        <v>0.177044211043769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5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0.0751827280494588</v>
      </c>
      <c r="C6" s="25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0.0852056306027635</v>
      </c>
      <c r="D6" s="25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0.0965647253666908</v>
      </c>
      <c r="E6" s="25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0.109438145333578</v>
      </c>
      <c r="F6" s="25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0.124027771099369</v>
      </c>
      <c r="G6" s="25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0.140562396749223</v>
      </c>
      <c r="H6" s="25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0.159301317799675</v>
      </c>
      <c r="I6" s="25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0.180538397463356</v>
      </c>
      <c r="J6" s="25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0.204606675003306</v>
      </c>
      <c r="K6" s="25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0.231883588444978</v>
      </c>
      <c r="L6" s="25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0.262796893548322</v>
      </c>
      <c r="M6" s="25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0.297831371861123</v>
      </c>
      <c r="N6" s="7" t="n">
        <f aca="false">SUM(B6:M6)</f>
        <v>1.96793964132184</v>
      </c>
      <c r="O6" s="26" t="n">
        <f aca="false">MAX(B6:M6)</f>
        <v>0.297831371861123</v>
      </c>
      <c r="P6" s="15" t="n">
        <f aca="false">O6/parametros_recargas!$B$6</f>
        <v>0.00198554247907415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5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3.2829792349436</v>
      </c>
      <c r="C7" s="25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3.7206459944514</v>
      </c>
      <c r="D7" s="25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4.21665981578012</v>
      </c>
      <c r="E7" s="25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4.7787991731894</v>
      </c>
      <c r="F7" s="25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5.41587951966448</v>
      </c>
      <c r="G7" s="25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6.13789153059238</v>
      </c>
      <c r="H7" s="25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6.95615777724163</v>
      </c>
      <c r="I7" s="25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7.88351028699413</v>
      </c>
      <c r="J7" s="25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8.93449177482385</v>
      </c>
      <c r="K7" s="25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10.1255837017283</v>
      </c>
      <c r="L7" s="25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11.4754647365185</v>
      </c>
      <c r="M7" s="25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13.0053036741578</v>
      </c>
      <c r="N7" s="7" t="n">
        <f aca="false">SUM(B7:M7)</f>
        <v>85.9333672200855</v>
      </c>
      <c r="O7" s="26" t="n">
        <f aca="false">MAX(B7:M7)</f>
        <v>13.0053036741578</v>
      </c>
      <c r="P7" s="15" t="n">
        <f aca="false">O7/parametros_recargas!$B$6</f>
        <v>0.0867020244943853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5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1.58510257694057</v>
      </c>
      <c r="C8" s="25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1.7964187805135</v>
      </c>
      <c r="D8" s="25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2.03590637093677</v>
      </c>
      <c r="E8" s="25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2.30732098560901</v>
      </c>
      <c r="F8" s="25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2.61491894059064</v>
      </c>
      <c r="G8" s="25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2.96352397802809</v>
      </c>
      <c r="H8" s="25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3.35860291193718</v>
      </c>
      <c r="I8" s="25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3.80635135862093</v>
      </c>
      <c r="J8" s="25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4.31379089614342</v>
      </c>
      <c r="K8" s="25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4.88887917651196</v>
      </c>
      <c r="L8" s="25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5.54063471734342</v>
      </c>
      <c r="M8" s="25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6.27927832999416</v>
      </c>
      <c r="N8" s="7" t="n">
        <f aca="false">SUM(B8:M8)</f>
        <v>41.4907290231696</v>
      </c>
      <c r="O8" s="26" t="n">
        <f aca="false">MAX(B8:M8)</f>
        <v>6.27927832999416</v>
      </c>
      <c r="P8" s="15" t="n">
        <f aca="false">O8/parametros_recargas!$B$6</f>
        <v>0.0418618555332944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5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0.05012182145257</v>
      </c>
      <c r="C9" s="25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0.0568037568551104</v>
      </c>
      <c r="D9" s="25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0.0643764871136593</v>
      </c>
      <c r="E9" s="25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0.0729587675629643</v>
      </c>
      <c r="F9" s="25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0.0826851852743799</v>
      </c>
      <c r="G9" s="25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0.0937082696463897</v>
      </c>
      <c r="H9" s="25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0.106200884366179</v>
      </c>
      <c r="I9" s="25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0.120358938252927</v>
      </c>
      <c r="J9" s="25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0.136404457494191</v>
      </c>
      <c r="K9" s="25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0.154589067454092</v>
      </c>
      <c r="L9" s="25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0.175197938654925</v>
      </c>
      <c r="M9" s="25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0.198554258812968</v>
      </c>
      <c r="N9" s="7" t="n">
        <f aca="false">SUM(B9:M9)</f>
        <v>1.31195983294036</v>
      </c>
      <c r="O9" s="26" t="n">
        <f aca="false">MAX(B9:M9)</f>
        <v>0.198554258812968</v>
      </c>
      <c r="P9" s="15" t="n">
        <f aca="false">O9/parametros_recargas!$B$6</f>
        <v>0.00132369505875312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5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67.188300488551</v>
      </c>
      <c r="C10" s="25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76.1454347398632</v>
      </c>
      <c r="D10" s="25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86.2966794748854</v>
      </c>
      <c r="E10" s="25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97.8012262170779</v>
      </c>
      <c r="F10" s="25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110.839488932454</v>
      </c>
      <c r="G10" s="25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125.615933276123</v>
      </c>
      <c r="H10" s="25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142.362283016728</v>
      </c>
      <c r="I10" s="25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161.341153921811</v>
      </c>
      <c r="J10" s="25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182.850172090615</v>
      </c>
      <c r="K10" s="25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207.226641317877</v>
      </c>
      <c r="L10" s="25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234.852832682087</v>
      </c>
      <c r="M10" s="25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266.161979309376</v>
      </c>
      <c r="N10" s="7" t="n">
        <f aca="false">SUM(B10:M10)</f>
        <v>1758.68212546745</v>
      </c>
      <c r="O10" s="26" t="n">
        <f aca="false">MAX(B10:M10)</f>
        <v>266.161979309376</v>
      </c>
      <c r="P10" s="15" t="n">
        <f aca="false">O10/parametros_recargas!$B$6</f>
        <v>1.77441319539584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5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4.91820363333674</v>
      </c>
      <c r="C11" s="25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5.57386853182</v>
      </c>
      <c r="D11" s="25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6.31694267383054</v>
      </c>
      <c r="E11" s="25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7.15907892636137</v>
      </c>
      <c r="F11" s="25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8.1134836455295</v>
      </c>
      <c r="G11" s="25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9.19512377826686</v>
      </c>
      <c r="H11" s="25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10.420961573545</v>
      </c>
      <c r="I11" s="25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11.810220583868</v>
      </c>
      <c r="J11" s="25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13.3846871284615</v>
      </c>
      <c r="K11" s="25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15.1690519456943</v>
      </c>
      <c r="L11" s="25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17.1912973925168</v>
      </c>
      <c r="M11" s="25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19.4831362629649</v>
      </c>
      <c r="N11" s="7" t="n">
        <f aca="false">SUM(B11:M11)</f>
        <v>128.736056076196</v>
      </c>
      <c r="O11" s="26" t="n">
        <f aca="false">MAX(B11:M11)</f>
        <v>19.4831362629649</v>
      </c>
      <c r="P11" s="15" t="n">
        <f aca="false">O11/parametros_recargas!$B$6</f>
        <v>0.129887575086433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5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0.0671131177605015</v>
      </c>
      <c r="C12" s="25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0.0760602291092605</v>
      </c>
      <c r="D12" s="25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0.0862001147495187</v>
      </c>
      <c r="E12" s="25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0.0976917880717443</v>
      </c>
      <c r="F12" s="25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0.110715461161354</v>
      </c>
      <c r="G12" s="25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0.125475370879374</v>
      </c>
      <c r="H12" s="25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0.142202981698928</v>
      </c>
      <c r="I12" s="25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0.161160615524348</v>
      </c>
      <c r="J12" s="25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0.182645565415612</v>
      </c>
      <c r="K12" s="25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0.206994757729432</v>
      </c>
      <c r="L12" s="25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0.234590035788538</v>
      </c>
      <c r="M12" s="25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0.265864147937515</v>
      </c>
      <c r="N12" s="7" t="n">
        <f aca="false">SUM(B12:M12)</f>
        <v>1.75671418582613</v>
      </c>
      <c r="O12" s="26" t="n">
        <f aca="false">MAX(B12:M12)</f>
        <v>0.265864147937515</v>
      </c>
      <c r="P12" s="15" t="n">
        <f aca="false">O12/parametros_recargas!$B$6</f>
        <v>0.00177242765291677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5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16.3873292338965</v>
      </c>
      <c r="C13" s="25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18.5719879750932</v>
      </c>
      <c r="D13" s="25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21.0478920893075</v>
      </c>
      <c r="E13" s="25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23.8538686325479</v>
      </c>
      <c r="F13" s="25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27.033920847015</v>
      </c>
      <c r="G13" s="25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30.6379182186604</v>
      </c>
      <c r="H13" s="25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34.7223785290091</v>
      </c>
      <c r="I13" s="25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39.3513541653584</v>
      </c>
      <c r="J13" s="25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44.597436588445</v>
      </c>
      <c r="K13" s="25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50.5428947096123</v>
      </c>
      <c r="L13" s="25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57.2809650294753</v>
      </c>
      <c r="M13" s="25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64.9173137699998</v>
      </c>
      <c r="N13" s="7" t="n">
        <f aca="false">SUM(B13:M13)</f>
        <v>428.94525978842</v>
      </c>
      <c r="O13" s="26" t="n">
        <f aca="false">MAX(B13:M13)</f>
        <v>64.9173137699998</v>
      </c>
      <c r="P13" s="15" t="n">
        <f aca="false">O13/parametros_recargas!$B$6</f>
        <v>0.432782091799999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5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15.4177226213102</v>
      </c>
      <c r="C14" s="25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17.4731193252662</v>
      </c>
      <c r="D14" s="25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19.8025289761663</v>
      </c>
      <c r="E14" s="25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22.4424813081239</v>
      </c>
      <c r="F14" s="25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25.4343759765073</v>
      </c>
      <c r="G14" s="25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28.8251317861255</v>
      </c>
      <c r="H14" s="25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32.6679224705555</v>
      </c>
      <c r="I14" s="25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37.0230105610794</v>
      </c>
      <c r="J14" s="25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41.9586924219392</v>
      </c>
      <c r="K14" s="25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47.5523692719269</v>
      </c>
      <c r="L14" s="25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53.8917609880369</v>
      </c>
      <c r="M14" s="25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61.0762817260147</v>
      </c>
      <c r="N14" s="7" t="n">
        <f aca="false">SUM(B14:M14)</f>
        <v>403.565397433052</v>
      </c>
      <c r="O14" s="26" t="n">
        <f aca="false">MAX(B14:M14)</f>
        <v>61.0762817260147</v>
      </c>
      <c r="P14" s="15" t="n">
        <f aca="false">O14/parametros_recargas!$B$6</f>
        <v>0.407175211506765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5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15.4177226213102</v>
      </c>
      <c r="C15" s="25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17.4731193252662</v>
      </c>
      <c r="D15" s="25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19.8025289761663</v>
      </c>
      <c r="E15" s="25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22.4424813081239</v>
      </c>
      <c r="F15" s="25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25.4343759765073</v>
      </c>
      <c r="G15" s="25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28.8251317861255</v>
      </c>
      <c r="H15" s="25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32.6679224705555</v>
      </c>
      <c r="I15" s="25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37.0230105610794</v>
      </c>
      <c r="J15" s="25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41.9586924219392</v>
      </c>
      <c r="K15" s="25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47.5523692719269</v>
      </c>
      <c r="L15" s="25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53.8917609880369</v>
      </c>
      <c r="M15" s="25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61.0762817260147</v>
      </c>
      <c r="N15" s="7" t="n">
        <f aca="false">SUM(B15:M15)</f>
        <v>403.565397433052</v>
      </c>
      <c r="O15" s="26" t="n">
        <f aca="false">MAX(B15:M15)</f>
        <v>61.0762817260147</v>
      </c>
      <c r="P15" s="15" t="n">
        <f aca="false">O15/parametros_recargas!$B$6</f>
        <v>0.407175211506765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5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7.70121773170671</v>
      </c>
      <c r="C16" s="25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8.72789708837891</v>
      </c>
      <c r="D16" s="25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9.89144707228673</v>
      </c>
      <c r="E16" s="25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11.2101144402955</v>
      </c>
      <c r="F16" s="25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12.7045784955578</v>
      </c>
      <c r="G16" s="25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14.3982753797413</v>
      </c>
      <c r="H16" s="25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16.3177655979183</v>
      </c>
      <c r="I16" s="25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18.4931505396301</v>
      </c>
      <c r="J16" s="25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20.9585445279989</v>
      </c>
      <c r="K16" s="25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23.7526097995469</v>
      </c>
      <c r="L16" s="25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26.9191628042599</v>
      </c>
      <c r="M16" s="25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30.5078613338762</v>
      </c>
      <c r="N16" s="7" t="n">
        <f aca="false">SUM(B16:M16)</f>
        <v>201.582624811197</v>
      </c>
      <c r="O16" s="26" t="n">
        <f aca="false">MAX(B16:M16)</f>
        <v>30.5078613338762</v>
      </c>
      <c r="P16" s="15" t="n">
        <f aca="false">O16/parametros_recargas!$B$6</f>
        <v>0.203385742225842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5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67.0379350324521</v>
      </c>
      <c r="C17" s="25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75.9750234786577</v>
      </c>
      <c r="D17" s="25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86.103550024152</v>
      </c>
      <c r="E17" s="25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97.5823499264108</v>
      </c>
      <c r="F17" s="25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110.591433390255</v>
      </c>
      <c r="G17" s="25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125.334808482625</v>
      </c>
      <c r="H17" s="25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142.043680381129</v>
      </c>
      <c r="I17" s="25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160.980077126884</v>
      </c>
      <c r="J17" s="25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182.440958740608</v>
      </c>
      <c r="K17" s="25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206.762874140987</v>
      </c>
      <c r="L17" s="25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234.32723889499</v>
      </c>
      <c r="M17" s="25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265.566316565654</v>
      </c>
      <c r="N17" s="7" t="n">
        <f aca="false">SUM(B17:M17)</f>
        <v>1754.7462461848</v>
      </c>
      <c r="O17" s="26" t="n">
        <f aca="false">MAX(B17:M17)</f>
        <v>265.566316565654</v>
      </c>
      <c r="P17" s="15" t="n">
        <f aca="false">O17/parametros_recargas!$B$6</f>
        <v>1.77044211043769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5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0.0751827280494588</v>
      </c>
      <c r="C18" s="25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0.0852056306027635</v>
      </c>
      <c r="D18" s="25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0.0965647253666908</v>
      </c>
      <c r="E18" s="25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0.109438145333578</v>
      </c>
      <c r="F18" s="25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0.124027771099369</v>
      </c>
      <c r="G18" s="25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0.140562396749223</v>
      </c>
      <c r="H18" s="25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0.159301317799675</v>
      </c>
      <c r="I18" s="25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0.180538397463356</v>
      </c>
      <c r="J18" s="25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0.204606675003306</v>
      </c>
      <c r="K18" s="25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0.231883588444978</v>
      </c>
      <c r="L18" s="25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0.262796893548322</v>
      </c>
      <c r="M18" s="25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0.297831371861123</v>
      </c>
      <c r="N18" s="7" t="n">
        <f aca="false">SUM(B18:M18)</f>
        <v>1.96793964132184</v>
      </c>
      <c r="O18" s="26" t="n">
        <f aca="false">MAX(B18:M18)</f>
        <v>0.297831371861123</v>
      </c>
      <c r="P18" s="15" t="n">
        <f aca="false">O18/parametros_recargas!$B$6</f>
        <v>0.00198554247907415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5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0.0751827280494588</v>
      </c>
      <c r="C19" s="25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0.0852056306027635</v>
      </c>
      <c r="D19" s="25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0.0965647253666908</v>
      </c>
      <c r="E19" s="25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0.109438145333578</v>
      </c>
      <c r="F19" s="25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0.124027771099369</v>
      </c>
      <c r="G19" s="25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0.140562396749223</v>
      </c>
      <c r="H19" s="25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0.159301317799675</v>
      </c>
      <c r="I19" s="25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0.180538397463356</v>
      </c>
      <c r="J19" s="25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0.204606675003306</v>
      </c>
      <c r="K19" s="25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0.231883588444978</v>
      </c>
      <c r="L19" s="25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0.262796893548322</v>
      </c>
      <c r="M19" s="25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0.297831371861123</v>
      </c>
      <c r="N19" s="7" t="n">
        <f aca="false">SUM(B19:M19)</f>
        <v>1.96793964132184</v>
      </c>
      <c r="O19" s="26" t="n">
        <f aca="false">MAX(B19:M19)</f>
        <v>0.297831371861123</v>
      </c>
      <c r="P19" s="15" t="n">
        <f aca="false">O19/parametros_recargas!$B$6</f>
        <v>0.00198554247907415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5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3.2829792349436</v>
      </c>
      <c r="C20" s="25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3.7206459944514</v>
      </c>
      <c r="D20" s="25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4.21665981578012</v>
      </c>
      <c r="E20" s="25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4.7787991731894</v>
      </c>
      <c r="F20" s="25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5.41587951966448</v>
      </c>
      <c r="G20" s="25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6.13789153059238</v>
      </c>
      <c r="H20" s="25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6.95615777724163</v>
      </c>
      <c r="I20" s="25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7.88351028699413</v>
      </c>
      <c r="J20" s="25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8.93449177482385</v>
      </c>
      <c r="K20" s="25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10.1255837017283</v>
      </c>
      <c r="L20" s="25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11.4754647365185</v>
      </c>
      <c r="M20" s="25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13.0053036741578</v>
      </c>
      <c r="N20" s="7" t="n">
        <f aca="false">SUM(B20:M20)</f>
        <v>85.9333672200855</v>
      </c>
      <c r="O20" s="26" t="n">
        <f aca="false">MAX(B20:M20)</f>
        <v>13.0053036741578</v>
      </c>
      <c r="P20" s="15" t="n">
        <f aca="false">O20/parametros_recargas!$B$6</f>
        <v>0.0867020244943853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5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1.90212309232868</v>
      </c>
      <c r="C21" s="25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2.15570253661619</v>
      </c>
      <c r="D21" s="25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2.44308764512412</v>
      </c>
      <c r="E21" s="25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2.76878518273081</v>
      </c>
      <c r="F21" s="25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3.13790272870877</v>
      </c>
      <c r="G21" s="25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3.55622877363371</v>
      </c>
      <c r="H21" s="25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4.03032349432462</v>
      </c>
      <c r="I21" s="25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4.56762163034512</v>
      </c>
      <c r="J21" s="25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5.17654907537211</v>
      </c>
      <c r="K21" s="25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5.86665501181435</v>
      </c>
      <c r="L21" s="25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6.6487616608121</v>
      </c>
      <c r="M21" s="25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7.53513399599299</v>
      </c>
      <c r="N21" s="7" t="n">
        <f aca="false">SUM(B21:M21)</f>
        <v>49.7888748278036</v>
      </c>
      <c r="O21" s="26" t="n">
        <f aca="false">MAX(B21:M21)</f>
        <v>7.53513399599299</v>
      </c>
      <c r="P21" s="15" t="n">
        <f aca="false">O21/parametros_recargas!$B$6</f>
        <v>0.0502342266399533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5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67.188300488551</v>
      </c>
      <c r="C22" s="25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76.1454347398632</v>
      </c>
      <c r="D22" s="25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86.2966794748854</v>
      </c>
      <c r="E22" s="25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97.8012262170779</v>
      </c>
      <c r="F22" s="25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110.839488932454</v>
      </c>
      <c r="G22" s="25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125.615933276123</v>
      </c>
      <c r="H22" s="25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142.362283016728</v>
      </c>
      <c r="I22" s="25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161.341153921811</v>
      </c>
      <c r="J22" s="25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182.850172090615</v>
      </c>
      <c r="K22" s="25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207.226641317877</v>
      </c>
      <c r="L22" s="25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234.852832682087</v>
      </c>
      <c r="M22" s="25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266.161979309376</v>
      </c>
      <c r="N22" s="7" t="n">
        <f aca="false">SUM(B22:M22)</f>
        <v>1758.68212546745</v>
      </c>
      <c r="O22" s="26" t="n">
        <f aca="false">MAX(B22:M22)</f>
        <v>266.161979309376</v>
      </c>
      <c r="P22" s="15" t="n">
        <f aca="false">O22/parametros_recargas!$B$6</f>
        <v>1.77441319539584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5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67.188300488551</v>
      </c>
      <c r="C23" s="25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76.1454347398632</v>
      </c>
      <c r="D23" s="25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86.2966794748854</v>
      </c>
      <c r="E23" s="25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97.8012262170779</v>
      </c>
      <c r="F23" s="25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110.839488932454</v>
      </c>
      <c r="G23" s="25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125.615933276123</v>
      </c>
      <c r="H23" s="25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142.362283016728</v>
      </c>
      <c r="I23" s="25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161.341153921811</v>
      </c>
      <c r="J23" s="25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182.850172090615</v>
      </c>
      <c r="K23" s="25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207.226641317877</v>
      </c>
      <c r="L23" s="25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234.852832682087</v>
      </c>
      <c r="M23" s="25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266.161979309376</v>
      </c>
      <c r="N23" s="7" t="n">
        <f aca="false">SUM(B23:M23)</f>
        <v>1758.68212546745</v>
      </c>
      <c r="O23" s="26" t="n">
        <f aca="false">MAX(B23:M23)</f>
        <v>266.161979309376</v>
      </c>
      <c r="P23" s="15" t="n">
        <f aca="false">O23/parametros_recargas!$B$6</f>
        <v>1.77441319539584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5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4.91820363333674</v>
      </c>
      <c r="C24" s="25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5.57386853182</v>
      </c>
      <c r="D24" s="25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6.31694267383054</v>
      </c>
      <c r="E24" s="25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7.15907892636137</v>
      </c>
      <c r="F24" s="25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8.1134836455295</v>
      </c>
      <c r="G24" s="25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9.19512377826686</v>
      </c>
      <c r="H24" s="25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10.420961573545</v>
      </c>
      <c r="I24" s="25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11.810220583868</v>
      </c>
      <c r="J24" s="25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13.3846871284615</v>
      </c>
      <c r="K24" s="25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15.1690519456943</v>
      </c>
      <c r="L24" s="25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17.1912973925168</v>
      </c>
      <c r="M24" s="25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19.4831362629649</v>
      </c>
      <c r="N24" s="7" t="n">
        <f aca="false">SUM(B24:M24)</f>
        <v>128.736056076196</v>
      </c>
      <c r="O24" s="26" t="n">
        <f aca="false">MAX(B24:M24)</f>
        <v>19.4831362629649</v>
      </c>
      <c r="P24" s="15" t="n">
        <f aca="false">O24/parametros_recargas!$B$6</f>
        <v>0.129887575086433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5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0.05012182145257</v>
      </c>
      <c r="C25" s="25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0.0568037568551104</v>
      </c>
      <c r="D25" s="25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0.0643764871136593</v>
      </c>
      <c r="E25" s="25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0.0729587675629643</v>
      </c>
      <c r="F25" s="25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0.0826851852743799</v>
      </c>
      <c r="G25" s="25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0.0937082696463897</v>
      </c>
      <c r="H25" s="25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0.106200884366179</v>
      </c>
      <c r="I25" s="25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0.120358938252927</v>
      </c>
      <c r="J25" s="25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0.136404457494191</v>
      </c>
      <c r="K25" s="25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0.154589067454092</v>
      </c>
      <c r="L25" s="25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0.175197938654925</v>
      </c>
      <c r="M25" s="25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0.198554258812968</v>
      </c>
      <c r="N25" s="7" t="n">
        <f aca="false">SUM(B25:M25)</f>
        <v>1.31195983294036</v>
      </c>
      <c r="O25" s="26" t="n">
        <f aca="false">MAX(B25:M25)</f>
        <v>0.198554258812968</v>
      </c>
      <c r="P25" s="15" t="n">
        <f aca="false">O25/parametros_recargas!$B$6</f>
        <v>0.00132369505875312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5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4.5886526797913</v>
      </c>
      <c r="C26" s="25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5.20038385600312</v>
      </c>
      <c r="D26" s="25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5.89366729996393</v>
      </c>
      <c r="E26" s="25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6.67937506239411</v>
      </c>
      <c r="F26" s="25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7.56982858947694</v>
      </c>
      <c r="G26" s="25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8.57899194741782</v>
      </c>
      <c r="H26" s="25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9.72269080652265</v>
      </c>
      <c r="I26" s="25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11.0188606188974</v>
      </c>
      <c r="J26" s="25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12.4878278816842</v>
      </c>
      <c r="K26" s="25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14.1526288965958</v>
      </c>
      <c r="L26" s="25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16.0393710245264</v>
      </c>
      <c r="M26" s="25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18.1776421004225</v>
      </c>
      <c r="N26" s="7" t="n">
        <f aca="false">SUM(B26:M26)</f>
        <v>120.109920763696</v>
      </c>
      <c r="O26" s="26" t="n">
        <f aca="false">MAX(B26:M26)</f>
        <v>18.1776421004225</v>
      </c>
      <c r="P26" s="15" t="n">
        <f aca="false">O26/parametros_recargas!$B$6</f>
        <v>0.121184280669484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5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77.0121773170671</v>
      </c>
      <c r="C27" s="25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87.2789708837891</v>
      </c>
      <c r="D27" s="25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98.9144707228673</v>
      </c>
      <c r="E27" s="25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112.101144402955</v>
      </c>
      <c r="F27" s="25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127.045784955578</v>
      </c>
      <c r="G27" s="25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143.982753797414</v>
      </c>
      <c r="H27" s="25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163.177655979183</v>
      </c>
      <c r="I27" s="25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184.931505396301</v>
      </c>
      <c r="J27" s="25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209.585445279989</v>
      </c>
      <c r="K27" s="25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237.526097995469</v>
      </c>
      <c r="L27" s="25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269.191628042599</v>
      </c>
      <c r="M27" s="25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305.078613338762</v>
      </c>
      <c r="N27" s="7" t="n">
        <f aca="false">SUM(B27:M27)</f>
        <v>2015.82624811197</v>
      </c>
      <c r="O27" s="26" t="n">
        <f aca="false">MAX(B27:M27)</f>
        <v>305.078613338762</v>
      </c>
      <c r="P27" s="15" t="n">
        <f aca="false">O27/parametros_recargas!$B$6</f>
        <v>2.03385742225842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5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77.0121773170671</v>
      </c>
      <c r="C28" s="25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87.2789708837891</v>
      </c>
      <c r="D28" s="25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98.9144707228673</v>
      </c>
      <c r="E28" s="25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112.101144402955</v>
      </c>
      <c r="F28" s="25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127.045784955578</v>
      </c>
      <c r="G28" s="25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143.982753797414</v>
      </c>
      <c r="H28" s="25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163.177655979183</v>
      </c>
      <c r="I28" s="25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184.931505396301</v>
      </c>
      <c r="J28" s="25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209.585445279989</v>
      </c>
      <c r="K28" s="25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237.526097995469</v>
      </c>
      <c r="L28" s="25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269.191628042599</v>
      </c>
      <c r="M28" s="25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305.078613338762</v>
      </c>
      <c r="N28" s="7" t="n">
        <f aca="false">SUM(B28:M28)</f>
        <v>2015.82624811197</v>
      </c>
      <c r="O28" s="26" t="n">
        <f aca="false">MAX(B28:M28)</f>
        <v>305.078613338762</v>
      </c>
      <c r="P28" s="15" t="n">
        <f aca="false">O28/parametros_recargas!$B$6</f>
        <v>2.03385742225842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5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6.055300680236</v>
      </c>
      <c r="C29" s="25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6.86255641866889</v>
      </c>
      <c r="D29" s="25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7.7774305664336</v>
      </c>
      <c r="E29" s="25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8.81427015319582</v>
      </c>
      <c r="F29" s="25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9.98933486707354</v>
      </c>
      <c r="G29" s="25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11.3210520385912</v>
      </c>
      <c r="H29" s="25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12.8303056175388</v>
      </c>
      <c r="I29" s="25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14.5407636744626</v>
      </c>
      <c r="J29" s="25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16.4792495626562</v>
      </c>
      <c r="K29" s="25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18.6761625612034</v>
      </c>
      <c r="L29" s="25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21.165954595585</v>
      </c>
      <c r="M29" s="25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23.987670511768</v>
      </c>
      <c r="N29" s="7" t="n">
        <f aca="false">SUM(B29:M29)</f>
        <v>158.500051247413</v>
      </c>
      <c r="O29" s="26" t="n">
        <f aca="false">MAX(B29:M29)</f>
        <v>23.987670511768</v>
      </c>
      <c r="P29" s="15" t="n">
        <f aca="false">O29/parametros_recargas!$B$6</f>
        <v>0.159917803411787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5" t="n">
        <f aca="false">'Plan mensual'!D29</f>
        <v>2.28054282791565</v>
      </c>
      <c r="C30" s="25" t="n">
        <f aca="false">'Plan mensual'!E29</f>
        <v>2.58457088230867</v>
      </c>
      <c r="D30" s="25" t="n">
        <f aca="false">'Plan mensual'!F29</f>
        <v>2.92913010179385</v>
      </c>
      <c r="E30" s="25" t="n">
        <f aca="false">'Plan mensual'!G29</f>
        <v>3.31962385398808</v>
      </c>
      <c r="F30" s="25" t="n">
        <f aca="false">'Plan mensual'!H29</f>
        <v>3.76217585050861</v>
      </c>
      <c r="G30" s="25" t="n">
        <f aca="false">'Plan mensual'!I29</f>
        <v>4.26372617883985</v>
      </c>
      <c r="H30" s="25" t="n">
        <f aca="false">'Plan mensual'!J29</f>
        <v>4.83214013658255</v>
      </c>
      <c r="I30" s="25" t="n">
        <f aca="false">'Plan mensual'!K29</f>
        <v>5.47633157482111</v>
      </c>
      <c r="J30" s="25" t="n">
        <f aca="false">'Plan mensual'!L29</f>
        <v>6.20640268487593</v>
      </c>
      <c r="K30" s="25" t="n">
        <f aca="false">'Plan mensual'!M29</f>
        <v>7.03380242057264</v>
      </c>
      <c r="L30" s="25" t="n">
        <f aca="false">'Plan mensual'!N29</f>
        <v>7.97150604040166</v>
      </c>
      <c r="M30" s="25" t="n">
        <f aca="false">'Plan mensual'!O29</f>
        <v>9.03421858514286</v>
      </c>
      <c r="N30" s="7" t="n">
        <f aca="false">SUM(B30:M30)</f>
        <v>59.6941711377515</v>
      </c>
      <c r="O30" s="26" t="n">
        <f aca="false">MAX(B30:M30)</f>
        <v>9.03421858514286</v>
      </c>
      <c r="P30" s="15" t="n">
        <f aca="false">O30/parametros_recargas!$B$6</f>
        <v>0.0602281239009524</v>
      </c>
    </row>
    <row r="33" customFormat="false" ht="23.85" hidden="false" customHeight="false" outlineLevel="0" collapsed="false">
      <c r="A33" s="3" t="s">
        <v>279</v>
      </c>
      <c r="B33" s="3" t="s">
        <v>124</v>
      </c>
      <c r="C33" s="3" t="s">
        <v>125</v>
      </c>
      <c r="D33" s="3" t="s">
        <v>126</v>
      </c>
      <c r="E33" s="3" t="s">
        <v>127</v>
      </c>
      <c r="F33" s="3" t="s">
        <v>128</v>
      </c>
      <c r="G33" s="3" t="s">
        <v>129</v>
      </c>
      <c r="H33" s="3" t="s">
        <v>130</v>
      </c>
      <c r="I33" s="3" t="s">
        <v>131</v>
      </c>
      <c r="J33" s="3" t="s">
        <v>132</v>
      </c>
      <c r="K33" s="3" t="s">
        <v>133</v>
      </c>
      <c r="L33" s="3" t="s">
        <v>134</v>
      </c>
      <c r="M33" s="3" t="s">
        <v>135</v>
      </c>
      <c r="N33" s="3" t="s">
        <v>276</v>
      </c>
      <c r="O33" s="3" t="s">
        <v>277</v>
      </c>
      <c r="P33" s="3" t="s">
        <v>278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5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539.46963004847</v>
      </c>
      <c r="C34" s="25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571.670495908891</v>
      </c>
      <c r="D34" s="25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605.793426894771</v>
      </c>
      <c r="E34" s="25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641.953150801399</v>
      </c>
      <c r="F34" s="25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680.271243509922</v>
      </c>
      <c r="G34" s="25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720.87653774863</v>
      </c>
      <c r="H34" s="25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763.905556253124</v>
      </c>
      <c r="I34" s="25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809.502970781773</v>
      </c>
      <c r="J34" s="25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857.822088529725</v>
      </c>
      <c r="K34" s="25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909.025367576906</v>
      </c>
      <c r="L34" s="25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963.284963103041</v>
      </c>
      <c r="M34" s="25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1020.78330620616</v>
      </c>
      <c r="N34" s="7" t="n">
        <f aca="false">SUM(B34:M34)</f>
        <v>9084.35873736281</v>
      </c>
      <c r="O34" s="26" t="n">
        <f aca="false">MAX(B34:M34)</f>
        <v>1020.78330620616</v>
      </c>
      <c r="P34" s="15" t="n">
        <f aca="false">O34/parametros_recargas!$B$6</f>
        <v>6.80522204137442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5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539.46963004847</v>
      </c>
      <c r="C35" s="25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571.670495908891</v>
      </c>
      <c r="D35" s="25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605.793426894771</v>
      </c>
      <c r="E35" s="25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641.953150801399</v>
      </c>
      <c r="F35" s="25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680.271243509922</v>
      </c>
      <c r="G35" s="25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720.87653774863</v>
      </c>
      <c r="H35" s="25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763.905556253124</v>
      </c>
      <c r="I35" s="25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809.502970781773</v>
      </c>
      <c r="J35" s="25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857.822088529725</v>
      </c>
      <c r="K35" s="25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909.025367576906</v>
      </c>
      <c r="L35" s="25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963.284963103041</v>
      </c>
      <c r="M35" s="25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1020.78330620616</v>
      </c>
      <c r="N35" s="7" t="n">
        <f aca="false">SUM(B35:M35)</f>
        <v>9084.35873736281</v>
      </c>
      <c r="O35" s="26" t="n">
        <f aca="false">MAX(B35:M35)</f>
        <v>1020.78330620616</v>
      </c>
      <c r="P35" s="15" t="n">
        <f aca="false">O35/parametros_recargas!$B$6</f>
        <v>6.80522204137442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5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401.271084634152</v>
      </c>
      <c r="C36" s="25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425.222898879579</v>
      </c>
      <c r="D36" s="25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450.604393527146</v>
      </c>
      <c r="E36" s="25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477.500905997701</v>
      </c>
      <c r="F36" s="25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506.002867490658</v>
      </c>
      <c r="G36" s="25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536.206107030928</v>
      </c>
      <c r="H36" s="25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568.212173664355</v>
      </c>
      <c r="I36" s="25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602.128677884954</v>
      </c>
      <c r="J36" s="25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638.069653441898</v>
      </c>
      <c r="K36" s="25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676.155940742708</v>
      </c>
      <c r="L36" s="25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716.515593141726</v>
      </c>
      <c r="M36" s="25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759.284307479887</v>
      </c>
      <c r="N36" s="7" t="n">
        <f aca="false">SUM(B36:M36)</f>
        <v>6757.17460391569</v>
      </c>
      <c r="O36" s="26" t="n">
        <f aca="false">MAX(B36:M36)</f>
        <v>759.284307479887</v>
      </c>
      <c r="P36" s="15" t="n">
        <f aca="false">O36/parametros_recargas!$B$6</f>
        <v>5.06189538319925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5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47.2083628981356</v>
      </c>
      <c r="C37" s="25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50.0262233975975</v>
      </c>
      <c r="D37" s="25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53.012281591429</v>
      </c>
      <c r="E37" s="25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56.1765771762001</v>
      </c>
      <c r="F37" s="25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59.529749116548</v>
      </c>
      <c r="G37" s="25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63.0830714154033</v>
      </c>
      <c r="H37" s="25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66.8484910193359</v>
      </c>
      <c r="I37" s="25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70.8386679864652</v>
      </c>
      <c r="J37" s="25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75.067018051988</v>
      </c>
      <c r="K37" s="25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79.5477577344363</v>
      </c>
      <c r="L37" s="25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84.2959521343207</v>
      </c>
      <c r="M37" s="25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89.3275655858691</v>
      </c>
      <c r="N37" s="7" t="n">
        <f aca="false">SUM(B37:M37)</f>
        <v>794.961718107728</v>
      </c>
      <c r="O37" s="26" t="n">
        <f aca="false">MAX(B37:M37)</f>
        <v>89.3275655858691</v>
      </c>
      <c r="P37" s="15" t="n">
        <f aca="false">O37/parametros_recargas!$B$6</f>
        <v>0.595517103905794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5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0.805739433777692</v>
      </c>
      <c r="C38" s="25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0.853833906534566</v>
      </c>
      <c r="D38" s="25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0.904799131562949</v>
      </c>
      <c r="E38" s="25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0.958806463659597</v>
      </c>
      <c r="F38" s="25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1.01603748576483</v>
      </c>
      <c r="G38" s="25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1.07668461947898</v>
      </c>
      <c r="H38" s="25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1.14095177202046</v>
      </c>
      <c r="I38" s="25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1.2090550218007</v>
      </c>
      <c r="J38" s="25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1.28122334492089</v>
      </c>
      <c r="K38" s="25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1.35769938503335</v>
      </c>
      <c r="L38" s="25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1.4387402691556</v>
      </c>
      <c r="M38" s="25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1.5246184721805</v>
      </c>
      <c r="N38" s="7" t="n">
        <f aca="false">SUM(B38:M38)</f>
        <v>13.5681893058901</v>
      </c>
      <c r="O38" s="26" t="n">
        <f aca="false">MAX(B38:M38)</f>
        <v>1.5246184721805</v>
      </c>
      <c r="P38" s="15" t="n">
        <f aca="false">O38/parametros_recargas!$B$6</f>
        <v>0.01016412314787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5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23.7890301674388</v>
      </c>
      <c r="C39" s="25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25.2089940110057</v>
      </c>
      <c r="D39" s="25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26.7137152954116</v>
      </c>
      <c r="E39" s="25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28.3082531803037</v>
      </c>
      <c r="F39" s="25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29.9979688058523</v>
      </c>
      <c r="G39" s="25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31.7885433179255</v>
      </c>
      <c r="H39" s="25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33.6859969691842</v>
      </c>
      <c r="I39" s="25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35.6967093603188</v>
      </c>
      <c r="J39" s="25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37.8274408894816</v>
      </c>
      <c r="K39" s="25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40.0853554820338</v>
      </c>
      <c r="L39" s="25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42.4780446770276</v>
      </c>
      <c r="M39" s="25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45.0135531514064</v>
      </c>
      <c r="N39" s="7" t="n">
        <f aca="false">SUM(B39:M39)</f>
        <v>400.59360530739</v>
      </c>
      <c r="O39" s="26" t="n">
        <f aca="false">MAX(B39:M39)</f>
        <v>45.0135531514064</v>
      </c>
      <c r="P39" s="15" t="n">
        <f aca="false">O39/parametros_recargas!$B$6</f>
        <v>0.30009035434271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5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10.0167821040929</v>
      </c>
      <c r="C40" s="25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10.614682410099</v>
      </c>
      <c r="D40" s="25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11.248271300743</v>
      </c>
      <c r="E40" s="25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11.9196790225907</v>
      </c>
      <c r="F40" s="25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12.6311629763236</v>
      </c>
      <c r="G40" s="25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13.3851153065506</v>
      </c>
      <c r="H40" s="25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14.1840709446534</v>
      </c>
      <c r="I40" s="25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15.0307161317095</v>
      </c>
      <c r="J40" s="25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15.9278974501459</v>
      </c>
      <c r="K40" s="25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16.8786313944915</v>
      </c>
      <c r="L40" s="25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17.8861145134072</v>
      </c>
      <c r="M40" s="25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18.9537341570906</v>
      </c>
      <c r="N40" s="7" t="n">
        <f aca="false">SUM(B40:M40)</f>
        <v>168.676857711898</v>
      </c>
      <c r="O40" s="26" t="n">
        <f aca="false">MAX(B40:M40)</f>
        <v>18.9537341570906</v>
      </c>
      <c r="P40" s="15" t="n">
        <f aca="false">O40/parametros_recargas!$B$6</f>
        <v>0.126358227713937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5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0.479590903937081</v>
      </c>
      <c r="C41" s="25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0.508217617111219</v>
      </c>
      <c r="D41" s="25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0.538553054742862</v>
      </c>
      <c r="E41" s="25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0.570699210353025</v>
      </c>
      <c r="F41" s="25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0.604764165441552</v>
      </c>
      <c r="G41" s="25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0.64086245287772</v>
      </c>
      <c r="H41" s="25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0.679115441981558</v>
      </c>
      <c r="I41" s="25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0.719651746590631</v>
      </c>
      <c r="J41" s="25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0.762607657484263</v>
      </c>
      <c r="K41" s="25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0.808127600619104</v>
      </c>
      <c r="L41" s="25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0.856364622716718</v>
      </c>
      <c r="M41" s="25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0.907480905835813</v>
      </c>
      <c r="N41" s="7" t="n">
        <f aca="false">SUM(B41:M41)</f>
        <v>8.07603537969155</v>
      </c>
      <c r="O41" s="26" t="n">
        <f aca="false">MAX(B41:M41)</f>
        <v>0.907480905835813</v>
      </c>
      <c r="P41" s="15" t="n">
        <f aca="false">O41/parametros_recargas!$B$6</f>
        <v>0.00604987270557209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5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473.695107848911</v>
      </c>
      <c r="C42" s="25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501.969901789044</v>
      </c>
      <c r="D42" s="25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531.932414177416</v>
      </c>
      <c r="E42" s="25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563.68338468932</v>
      </c>
      <c r="F42" s="25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597.32956613701</v>
      </c>
      <c r="G42" s="25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632.984083392991</v>
      </c>
      <c r="H42" s="25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670.766813737399</v>
      </c>
      <c r="I42" s="25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710.804789908253</v>
      </c>
      <c r="J42" s="25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753.232627209722</v>
      </c>
      <c r="K42" s="25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798.19297611443</v>
      </c>
      <c r="L42" s="25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845.837001881518</v>
      </c>
      <c r="M42" s="25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896.324892803051</v>
      </c>
      <c r="N42" s="7" t="n">
        <f aca="false">SUM(B42:M42)</f>
        <v>7976.75355968907</v>
      </c>
      <c r="O42" s="26" t="n">
        <f aca="false">MAX(B42:M42)</f>
        <v>896.324892803051</v>
      </c>
      <c r="P42" s="15" t="n">
        <f aca="false">O42/parametros_recargas!$B$6</f>
        <v>5.97549928535368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5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34.2854031754688</v>
      </c>
      <c r="C43" s="25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36.3318940382159</v>
      </c>
      <c r="D43" s="25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38.5005396508975</v>
      </c>
      <c r="E43" s="25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40.7986314132475</v>
      </c>
      <c r="F43" s="25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43.2338959476174</v>
      </c>
      <c r="G43" s="25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45.8145210773537</v>
      </c>
      <c r="H43" s="25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48.5491833558192</v>
      </c>
      <c r="I43" s="25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51.447077238619</v>
      </c>
      <c r="J43" s="25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54.5179459971117</v>
      </c>
      <c r="K43" s="25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57.7721144771445</v>
      </c>
      <c r="L43" s="25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61.2205238131515</v>
      </c>
      <c r="M43" s="25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64.8747682143328</v>
      </c>
      <c r="N43" s="7" t="n">
        <f aca="false">SUM(B43:M43)</f>
        <v>577.34649839898</v>
      </c>
      <c r="O43" s="26" t="n">
        <f aca="false">MAX(B43:M43)</f>
        <v>64.8747682143328</v>
      </c>
      <c r="P43" s="15" t="n">
        <f aca="false">O43/parametros_recargas!$B$6</f>
        <v>0.432498454762219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5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0.472889368415133</v>
      </c>
      <c r="C44" s="25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0.50111606788251</v>
      </c>
      <c r="D44" s="25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0.531027615045853</v>
      </c>
      <c r="E44" s="25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0.562724578225661</v>
      </c>
      <c r="F44" s="25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0.596313528651245</v>
      </c>
      <c r="G44" s="25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0.631907398773512</v>
      </c>
      <c r="H44" s="25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0.669625861965379</v>
      </c>
      <c r="I44" s="25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0.709595734886452</v>
      </c>
      <c r="J44" s="25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0.751951403864801</v>
      </c>
      <c r="K44" s="25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0.796835276729396</v>
      </c>
      <c r="L44" s="25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0.844398261612362</v>
      </c>
      <c r="M44" s="25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0.894800274330871</v>
      </c>
      <c r="N44" s="7" t="n">
        <f aca="false">SUM(B44:M44)</f>
        <v>7.96318537038318</v>
      </c>
      <c r="O44" s="26" t="n">
        <f aca="false">MAX(B44:M44)</f>
        <v>0.894800274330871</v>
      </c>
      <c r="P44" s="15" t="n">
        <f aca="false">O44/parametros_recargas!$B$6</f>
        <v>0.00596533516220581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5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115.030635059926</v>
      </c>
      <c r="C45" s="25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121.89679738508</v>
      </c>
      <c r="D45" s="25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129.172799967578</v>
      </c>
      <c r="E45" s="25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136.883106114371</v>
      </c>
      <c r="F45" s="25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145.05363934374</v>
      </c>
      <c r="G45" s="25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153.711870545104</v>
      </c>
      <c r="H45" s="25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162.88691034138</v>
      </c>
      <c r="I45" s="25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172.60960696445</v>
      </c>
      <c r="J45" s="25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182.912649972789</v>
      </c>
      <c r="K45" s="25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193.830680159991</v>
      </c>
      <c r="L45" s="25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205.400406023716</v>
      </c>
      <c r="M45" s="25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217.660727186655</v>
      </c>
      <c r="N45" s="7" t="n">
        <f aca="false">SUM(B45:M45)</f>
        <v>1937.04982906478</v>
      </c>
      <c r="O45" s="26" t="n">
        <f aca="false">MAX(B45:M45)</f>
        <v>217.660727186655</v>
      </c>
      <c r="P45" s="15" t="n">
        <f aca="false">O45/parametros_recargas!$B$6</f>
        <v>1.4510715145777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5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107.873071054695</v>
      </c>
      <c r="C46" s="25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114.311999397467</v>
      </c>
      <c r="D46" s="25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121.135266461646</v>
      </c>
      <c r="E46" s="25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128.365813371112</v>
      </c>
      <c r="F46" s="25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136.027950602184</v>
      </c>
      <c r="G46" s="25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144.147439720071</v>
      </c>
      <c r="H46" s="25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152.751579994162</v>
      </c>
      <c r="I46" s="25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161.869300183373</v>
      </c>
      <c r="J46" s="25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171.531255800146</v>
      </c>
      <c r="K46" s="25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181.769932180119</v>
      </c>
      <c r="L46" s="25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192.619753704018</v>
      </c>
      <c r="M46" s="25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204.117199538982</v>
      </c>
      <c r="N46" s="7" t="n">
        <f aca="false">SUM(B46:M46)</f>
        <v>1816.52056200798</v>
      </c>
      <c r="O46" s="26" t="n">
        <f aca="false">MAX(B46:M46)</f>
        <v>204.117199538982</v>
      </c>
      <c r="P46" s="15" t="n">
        <f aca="false">O46/parametros_recargas!$B$6</f>
        <v>1.36078133025988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5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107.873071054695</v>
      </c>
      <c r="C47" s="25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114.311999397467</v>
      </c>
      <c r="D47" s="25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121.135266461646</v>
      </c>
      <c r="E47" s="25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128.365813371112</v>
      </c>
      <c r="F47" s="25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136.027950602184</v>
      </c>
      <c r="G47" s="25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144.147439720071</v>
      </c>
      <c r="H47" s="25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152.751579994162</v>
      </c>
      <c r="I47" s="25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161.869300183373</v>
      </c>
      <c r="J47" s="25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171.531255800146</v>
      </c>
      <c r="K47" s="25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181.769932180119</v>
      </c>
      <c r="L47" s="25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192.619753704018</v>
      </c>
      <c r="M47" s="25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204.117199538982</v>
      </c>
      <c r="N47" s="7" t="n">
        <f aca="false">SUM(B47:M47)</f>
        <v>1816.52056200798</v>
      </c>
      <c r="O47" s="26" t="n">
        <f aca="false">MAX(B47:M47)</f>
        <v>204.117199538982</v>
      </c>
      <c r="P47" s="15" t="n">
        <f aca="false">O47/parametros_recargas!$B$6</f>
        <v>1.36078133025988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5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53.946963004847</v>
      </c>
      <c r="C48" s="25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57.1670495908891</v>
      </c>
      <c r="D48" s="25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60.5793426894771</v>
      </c>
      <c r="E48" s="25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64.1953150801399</v>
      </c>
      <c r="F48" s="25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68.0271243509922</v>
      </c>
      <c r="G48" s="25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72.087653774863</v>
      </c>
      <c r="H48" s="25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76.3905556253124</v>
      </c>
      <c r="I48" s="25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80.9502970781772</v>
      </c>
      <c r="J48" s="25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85.7822088529724</v>
      </c>
      <c r="K48" s="25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90.9025367576906</v>
      </c>
      <c r="L48" s="25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96.3284963103041</v>
      </c>
      <c r="M48" s="25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102.078330620616</v>
      </c>
      <c r="N48" s="7" t="n">
        <f aca="false">SUM(B48:M48)</f>
        <v>908.435873736281</v>
      </c>
      <c r="O48" s="26" t="n">
        <f aca="false">MAX(B48:M48)</f>
        <v>102.078330620616</v>
      </c>
      <c r="P48" s="15" t="n">
        <f aca="false">O48/parametros_recargas!$B$6</f>
        <v>0.680522204137443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5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472.083628981356</v>
      </c>
      <c r="C49" s="25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500.262233975975</v>
      </c>
      <c r="D49" s="25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530.12281591429</v>
      </c>
      <c r="E49" s="25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561.765771762001</v>
      </c>
      <c r="F49" s="25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595.29749116548</v>
      </c>
      <c r="G49" s="25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630.830714154033</v>
      </c>
      <c r="H49" s="25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668.484910193359</v>
      </c>
      <c r="I49" s="25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708.386679864652</v>
      </c>
      <c r="J49" s="25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750.67018051988</v>
      </c>
      <c r="K49" s="25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795.477577344363</v>
      </c>
      <c r="L49" s="25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842.959521343207</v>
      </c>
      <c r="M49" s="25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893.275655858691</v>
      </c>
      <c r="N49" s="7" t="n">
        <f aca="false">SUM(B49:M49)</f>
        <v>7949.61718107729</v>
      </c>
      <c r="O49" s="26" t="n">
        <f aca="false">MAX(B49:M49)</f>
        <v>893.275655858691</v>
      </c>
      <c r="P49" s="15" t="n">
        <f aca="false">O49/parametros_recargas!$B$6</f>
        <v>5.95517103905794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5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0.805739433777692</v>
      </c>
      <c r="C50" s="25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0.853833906534566</v>
      </c>
      <c r="D50" s="25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0.904799131562949</v>
      </c>
      <c r="E50" s="25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0.958806463659597</v>
      </c>
      <c r="F50" s="25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1.01603748576483</v>
      </c>
      <c r="G50" s="25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1.07668461947898</v>
      </c>
      <c r="H50" s="25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1.14095177202046</v>
      </c>
      <c r="I50" s="25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1.2090550218007</v>
      </c>
      <c r="J50" s="25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1.28122334492089</v>
      </c>
      <c r="K50" s="25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1.35769938503335</v>
      </c>
      <c r="L50" s="25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1.4387402691556</v>
      </c>
      <c r="M50" s="25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1.5246184721805</v>
      </c>
      <c r="N50" s="7" t="n">
        <f aca="false">SUM(B50:M50)</f>
        <v>13.5681893058901</v>
      </c>
      <c r="O50" s="26" t="n">
        <f aca="false">MAX(B50:M50)</f>
        <v>1.5246184721805</v>
      </c>
      <c r="P50" s="15" t="n">
        <f aca="false">O50/parametros_recargas!$B$6</f>
        <v>0.01016412314787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5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0.805739433777692</v>
      </c>
      <c r="C51" s="25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0.853833906534566</v>
      </c>
      <c r="D51" s="25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0.904799131562949</v>
      </c>
      <c r="E51" s="25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0.958806463659597</v>
      </c>
      <c r="F51" s="25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1.01603748576483</v>
      </c>
      <c r="G51" s="25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1.07668461947898</v>
      </c>
      <c r="H51" s="25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1.14095177202046</v>
      </c>
      <c r="I51" s="25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1.2090550218007</v>
      </c>
      <c r="J51" s="25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1.28122334492089</v>
      </c>
      <c r="K51" s="25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1.35769938503335</v>
      </c>
      <c r="L51" s="25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1.4387402691556</v>
      </c>
      <c r="M51" s="25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1.5246184721805</v>
      </c>
      <c r="N51" s="7" t="n">
        <f aca="false">SUM(B51:M51)</f>
        <v>13.5681893058901</v>
      </c>
      <c r="O51" s="26" t="n">
        <f aca="false">MAX(B51:M51)</f>
        <v>1.5246184721805</v>
      </c>
      <c r="P51" s="15" t="n">
        <f aca="false">O51/parametros_recargas!$B$6</f>
        <v>0.01016412314787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5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23.7890301674388</v>
      </c>
      <c r="C52" s="25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25.2089940110057</v>
      </c>
      <c r="D52" s="25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26.7137152954116</v>
      </c>
      <c r="E52" s="25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28.3082531803037</v>
      </c>
      <c r="F52" s="25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29.9979688058523</v>
      </c>
      <c r="G52" s="25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31.7885433179255</v>
      </c>
      <c r="H52" s="25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33.6859969691842</v>
      </c>
      <c r="I52" s="25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35.6967093603188</v>
      </c>
      <c r="J52" s="25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37.8274408894816</v>
      </c>
      <c r="K52" s="25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40.0853554820338</v>
      </c>
      <c r="L52" s="25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42.4780446770276</v>
      </c>
      <c r="M52" s="25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45.0135531514064</v>
      </c>
      <c r="N52" s="7" t="n">
        <f aca="false">SUM(B52:M52)</f>
        <v>400.59360530739</v>
      </c>
      <c r="O52" s="26" t="n">
        <f aca="false">MAX(B52:M52)</f>
        <v>45.0135531514064</v>
      </c>
      <c r="P52" s="15" t="n">
        <f aca="false">O52/parametros_recargas!$B$6</f>
        <v>0.30009035434271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5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12.0201385249115</v>
      </c>
      <c r="C53" s="25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12.7376188921188</v>
      </c>
      <c r="D53" s="25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13.4979255608916</v>
      </c>
      <c r="E53" s="25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14.3036148271088</v>
      </c>
      <c r="F53" s="25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15.1573955715883</v>
      </c>
      <c r="G53" s="25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16.0621383678607</v>
      </c>
      <c r="H53" s="25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17.0208851335841</v>
      </c>
      <c r="I53" s="25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18.0368593580515</v>
      </c>
      <c r="J53" s="25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19.113476940175</v>
      </c>
      <c r="K53" s="25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20.2543576733899</v>
      </c>
      <c r="L53" s="25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21.4633374160886</v>
      </c>
      <c r="M53" s="25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22.7444809885087</v>
      </c>
      <c r="N53" s="7" t="n">
        <f aca="false">SUM(B53:M53)</f>
        <v>202.412229254278</v>
      </c>
      <c r="O53" s="26" t="n">
        <f aca="false">MAX(B53:M53)</f>
        <v>22.7444809885087</v>
      </c>
      <c r="P53" s="15" t="n">
        <f aca="false">O53/parametros_recargas!$B$6</f>
        <v>0.151629873256725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5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473.695107848911</v>
      </c>
      <c r="C54" s="25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501.969901789044</v>
      </c>
      <c r="D54" s="25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531.932414177416</v>
      </c>
      <c r="E54" s="25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563.68338468932</v>
      </c>
      <c r="F54" s="25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597.32956613701</v>
      </c>
      <c r="G54" s="25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632.984083392991</v>
      </c>
      <c r="H54" s="25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670.766813737399</v>
      </c>
      <c r="I54" s="25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710.804789908253</v>
      </c>
      <c r="J54" s="25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753.232627209722</v>
      </c>
      <c r="K54" s="25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798.19297611443</v>
      </c>
      <c r="L54" s="25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845.837001881518</v>
      </c>
      <c r="M54" s="25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896.324892803051</v>
      </c>
      <c r="N54" s="7" t="n">
        <f aca="false">SUM(B54:M54)</f>
        <v>7976.75355968907</v>
      </c>
      <c r="O54" s="26" t="n">
        <f aca="false">MAX(B54:M54)</f>
        <v>896.324892803051</v>
      </c>
      <c r="P54" s="15" t="n">
        <f aca="false">O54/parametros_recargas!$B$6</f>
        <v>5.97549928535368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5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473.695107848911</v>
      </c>
      <c r="C55" s="25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501.969901789044</v>
      </c>
      <c r="D55" s="25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531.932414177416</v>
      </c>
      <c r="E55" s="25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563.68338468932</v>
      </c>
      <c r="F55" s="25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597.32956613701</v>
      </c>
      <c r="G55" s="25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632.984083392991</v>
      </c>
      <c r="H55" s="25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670.766813737399</v>
      </c>
      <c r="I55" s="25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710.804789908253</v>
      </c>
      <c r="J55" s="25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753.232627209722</v>
      </c>
      <c r="K55" s="25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798.19297611443</v>
      </c>
      <c r="L55" s="25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845.837001881518</v>
      </c>
      <c r="M55" s="25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896.324892803051</v>
      </c>
      <c r="N55" s="7" t="n">
        <f aca="false">SUM(B55:M55)</f>
        <v>7976.75355968907</v>
      </c>
      <c r="O55" s="26" t="n">
        <f aca="false">MAX(B55:M55)</f>
        <v>896.324892803051</v>
      </c>
      <c r="P55" s="15" t="n">
        <f aca="false">O55/parametros_recargas!$B$6</f>
        <v>5.97549928535368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5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34.2854031754688</v>
      </c>
      <c r="C56" s="25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36.3318940382159</v>
      </c>
      <c r="D56" s="25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38.5005396508975</v>
      </c>
      <c r="E56" s="25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40.7986314132475</v>
      </c>
      <c r="F56" s="25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43.2338959476174</v>
      </c>
      <c r="G56" s="25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45.8145210773537</v>
      </c>
      <c r="H56" s="25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48.5491833558192</v>
      </c>
      <c r="I56" s="25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51.447077238619</v>
      </c>
      <c r="J56" s="25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54.5179459971117</v>
      </c>
      <c r="K56" s="25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57.7721144771445</v>
      </c>
      <c r="L56" s="25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61.2205238131515</v>
      </c>
      <c r="M56" s="25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64.8747682143328</v>
      </c>
      <c r="N56" s="7" t="n">
        <f aca="false">SUM(B56:M56)</f>
        <v>577.34649839898</v>
      </c>
      <c r="O56" s="26" t="n">
        <f aca="false">MAX(B56:M56)</f>
        <v>64.8747682143328</v>
      </c>
      <c r="P56" s="15" t="n">
        <f aca="false">O56/parametros_recargas!$B$6</f>
        <v>0.432498454762219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5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0.479590903937081</v>
      </c>
      <c r="C57" s="25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0.508217617111219</v>
      </c>
      <c r="D57" s="25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0.538553054742862</v>
      </c>
      <c r="E57" s="25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0.570699210353025</v>
      </c>
      <c r="F57" s="25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0.604764165441552</v>
      </c>
      <c r="G57" s="25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0.64086245287772</v>
      </c>
      <c r="H57" s="25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0.679115441981558</v>
      </c>
      <c r="I57" s="25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0.719651746590631</v>
      </c>
      <c r="J57" s="25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0.762607657484263</v>
      </c>
      <c r="K57" s="25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0.808127600619104</v>
      </c>
      <c r="L57" s="25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0.856364622716718</v>
      </c>
      <c r="M57" s="25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0.907480905835813</v>
      </c>
      <c r="N57" s="7" t="n">
        <f aca="false">SUM(B57:M57)</f>
        <v>8.07603537969155</v>
      </c>
      <c r="O57" s="26" t="n">
        <f aca="false">MAX(B57:M57)</f>
        <v>0.907480905835813</v>
      </c>
      <c r="P57" s="15" t="n">
        <f aca="false">O57/parametros_recargas!$B$6</f>
        <v>0.00604987270557209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5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29.4857626032714</v>
      </c>
      <c r="C58" s="25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31.2457635996108</v>
      </c>
      <c r="D58" s="25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33.1108188063091</v>
      </c>
      <c r="E58" s="25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35.0871988943131</v>
      </c>
      <c r="F58" s="25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37.1815488300308</v>
      </c>
      <c r="G58" s="25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39.4009102169747</v>
      </c>
      <c r="H58" s="25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41.7527449709743</v>
      </c>
      <c r="I58" s="25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44.2449604085586</v>
      </c>
      <c r="J58" s="25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46.8859358328612</v>
      </c>
      <c r="K58" s="25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49.6845507064336</v>
      </c>
      <c r="L58" s="25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52.6502145056903</v>
      </c>
      <c r="M58" s="25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55.7928983573611</v>
      </c>
      <c r="N58" s="7" t="n">
        <f aca="false">SUM(B58:M58)</f>
        <v>496.523307732389</v>
      </c>
      <c r="O58" s="26" t="n">
        <f aca="false">MAX(B58:M58)</f>
        <v>55.7928983573611</v>
      </c>
      <c r="P58" s="15" t="n">
        <f aca="false">O58/parametros_recargas!$B$6</f>
        <v>0.37195265571574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5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539.46963004847</v>
      </c>
      <c r="C59" s="25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571.670495908891</v>
      </c>
      <c r="D59" s="25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605.793426894771</v>
      </c>
      <c r="E59" s="25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641.953150801399</v>
      </c>
      <c r="F59" s="25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680.271243509922</v>
      </c>
      <c r="G59" s="25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720.87653774863</v>
      </c>
      <c r="H59" s="25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763.905556253124</v>
      </c>
      <c r="I59" s="25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809.502970781773</v>
      </c>
      <c r="J59" s="25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857.822088529725</v>
      </c>
      <c r="K59" s="25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909.025367576906</v>
      </c>
      <c r="L59" s="25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963.284963103041</v>
      </c>
      <c r="M59" s="25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1020.78330620616</v>
      </c>
      <c r="N59" s="7" t="n">
        <f aca="false">SUM(B59:M59)</f>
        <v>9084.35873736281</v>
      </c>
      <c r="O59" s="26" t="n">
        <f aca="false">MAX(B59:M59)</f>
        <v>1020.78330620616</v>
      </c>
      <c r="P59" s="15" t="n">
        <f aca="false">O59/parametros_recargas!$B$6</f>
        <v>6.80522204137442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5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539.46963004847</v>
      </c>
      <c r="C60" s="25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571.670495908891</v>
      </c>
      <c r="D60" s="25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605.793426894771</v>
      </c>
      <c r="E60" s="25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641.953150801399</v>
      </c>
      <c r="F60" s="25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680.271243509922</v>
      </c>
      <c r="G60" s="25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720.87653774863</v>
      </c>
      <c r="H60" s="25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763.905556253124</v>
      </c>
      <c r="I60" s="25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809.502970781773</v>
      </c>
      <c r="J60" s="25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857.822088529725</v>
      </c>
      <c r="K60" s="25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909.025367576906</v>
      </c>
      <c r="L60" s="25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963.284963103041</v>
      </c>
      <c r="M60" s="25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1020.78330620616</v>
      </c>
      <c r="N60" s="7" t="n">
        <f aca="false">SUM(B60:M60)</f>
        <v>9084.35873736281</v>
      </c>
      <c r="O60" s="26" t="n">
        <f aca="false">MAX(B60:M60)</f>
        <v>1020.78330620616</v>
      </c>
      <c r="P60" s="15" t="n">
        <f aca="false">O60/parametros_recargas!$B$6</f>
        <v>6.80522204137442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5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42.4897849302714</v>
      </c>
      <c r="C61" s="25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45.0259941787046</v>
      </c>
      <c r="D61" s="25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47.7135893981988</v>
      </c>
      <c r="E61" s="25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50.5616067959392</v>
      </c>
      <c r="F61" s="25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53.5796219490389</v>
      </c>
      <c r="G61" s="25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56.7777819994537</v>
      </c>
      <c r="H61" s="25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60.1668397706063</v>
      </c>
      <c r="I61" s="25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63.7581899204278</v>
      </c>
      <c r="J61" s="25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67.5639072523682</v>
      </c>
      <c r="K61" s="25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71.5967873131864</v>
      </c>
      <c r="L61" s="25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75.8703894140161</v>
      </c>
      <c r="M61" s="25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80.3990822193537</v>
      </c>
      <c r="N61" s="7" t="n">
        <f aca="false">SUM(B61:M61)</f>
        <v>715.503575141565</v>
      </c>
      <c r="O61" s="26" t="n">
        <f aca="false">MAX(B61:M61)</f>
        <v>80.3990822193537</v>
      </c>
      <c r="P61" s="15" t="n">
        <f aca="false">O61/parametros_recargas!$B$6</f>
        <v>0.535993881462358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5" t="n">
        <f aca="false">'Plan mensual'!D61</f>
        <v>18.3287212825561</v>
      </c>
      <c r="C62" s="25" t="n">
        <f aca="false">'Plan mensual'!E61</f>
        <v>19.4227600616429</v>
      </c>
      <c r="D62" s="25" t="n">
        <f aca="false">'Plan mensual'!F61</f>
        <v>20.5821018606018</v>
      </c>
      <c r="E62" s="25" t="n">
        <f aca="false">'Plan mensual'!G61</f>
        <v>21.810644607446</v>
      </c>
      <c r="F62" s="25" t="n">
        <f aca="false">'Plan mensual'!H61</f>
        <v>23.1125188969599</v>
      </c>
      <c r="G62" s="25" t="n">
        <f aca="false">'Plan mensual'!I61</f>
        <v>24.492101878546</v>
      </c>
      <c r="H62" s="25" t="n">
        <f aca="false">'Plan mensual'!J61</f>
        <v>25.9540319730353</v>
      </c>
      <c r="I62" s="25" t="n">
        <f aca="false">'Plan mensual'!K61</f>
        <v>27.5032244679412</v>
      </c>
      <c r="J62" s="25" t="n">
        <f aca="false">'Plan mensual'!L61</f>
        <v>29.1448880435936</v>
      </c>
      <c r="K62" s="25" t="n">
        <f aca="false">'Plan mensual'!M61</f>
        <v>30.8845422857136</v>
      </c>
      <c r="L62" s="25" t="n">
        <f aca="false">'Plan mensual'!N61</f>
        <v>32.728036243313</v>
      </c>
      <c r="M62" s="25" t="n">
        <f aca="false">'Plan mensual'!O61</f>
        <v>34.6815680943112</v>
      </c>
      <c r="N62" s="7" t="n">
        <f aca="false">SUM(B62:M62)</f>
        <v>308.645139695661</v>
      </c>
      <c r="O62" s="26" t="n">
        <f aca="false">MAX(B62:M62)</f>
        <v>34.6815680943112</v>
      </c>
      <c r="P62" s="15" t="n">
        <f aca="false">O62/parametros_recargas!$B$6</f>
        <v>0.231210453962075</v>
      </c>
    </row>
    <row r="65" customFormat="false" ht="23.85" hidden="false" customHeight="false" outlineLevel="0" collapsed="false">
      <c r="A65" s="3" t="s">
        <v>280</v>
      </c>
      <c r="B65" s="3" t="s">
        <v>124</v>
      </c>
      <c r="C65" s="3" t="s">
        <v>125</v>
      </c>
      <c r="D65" s="3" t="s">
        <v>126</v>
      </c>
      <c r="E65" s="3" t="s">
        <v>127</v>
      </c>
      <c r="F65" s="3" t="s">
        <v>128</v>
      </c>
      <c r="G65" s="3" t="s">
        <v>129</v>
      </c>
      <c r="H65" s="3" t="s">
        <v>130</v>
      </c>
      <c r="I65" s="3" t="s">
        <v>131</v>
      </c>
      <c r="J65" s="3" t="s">
        <v>132</v>
      </c>
      <c r="K65" s="3" t="s">
        <v>133</v>
      </c>
      <c r="L65" s="3" t="s">
        <v>134</v>
      </c>
      <c r="M65" s="3" t="s">
        <v>135</v>
      </c>
      <c r="N65" s="3" t="s">
        <v>276</v>
      </c>
      <c r="O65" s="3" t="s">
        <v>277</v>
      </c>
      <c r="P65" s="3" t="s">
        <v>278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5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1127.69046332248</v>
      </c>
      <c r="C66" s="25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1187.27633807218</v>
      </c>
      <c r="D66" s="25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1250.0106623168</v>
      </c>
      <c r="E66" s="25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1316.05979652792</v>
      </c>
      <c r="F66" s="25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1385.59889147422</v>
      </c>
      <c r="G66" s="25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1458.81235269074</v>
      </c>
      <c r="H66" s="25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1535.89432949014</v>
      </c>
      <c r="I66" s="25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1617.04922981281</v>
      </c>
      <c r="J66" s="25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1702.49226228099</v>
      </c>
      <c r="K66" s="25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1792.45000689445</v>
      </c>
      <c r="L66" s="25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1887.1610158811</v>
      </c>
      <c r="M66" s="25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1986.87644629584</v>
      </c>
      <c r="N66" s="7" t="n">
        <f aca="false">SUM(B66:M66)</f>
        <v>18247.3717950597</v>
      </c>
      <c r="O66" s="26" t="n">
        <f aca="false">MAX(B66:M66)</f>
        <v>1986.87644629584</v>
      </c>
      <c r="P66" s="15" t="n">
        <f aca="false">O66/parametros_recargas!$B$6</f>
        <v>13.2458429753056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5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1127.69046332248</v>
      </c>
      <c r="C67" s="25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1187.27633807218</v>
      </c>
      <c r="D67" s="25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1250.0106623168</v>
      </c>
      <c r="E67" s="25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1316.05979652792</v>
      </c>
      <c r="F67" s="25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1385.59889147422</v>
      </c>
      <c r="G67" s="25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1458.81235269074</v>
      </c>
      <c r="H67" s="25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1535.89432949014</v>
      </c>
      <c r="I67" s="25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1617.04922981281</v>
      </c>
      <c r="J67" s="25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1702.49226228099</v>
      </c>
      <c r="K67" s="25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1792.45000689445</v>
      </c>
      <c r="L67" s="25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1887.1610158811</v>
      </c>
      <c r="M67" s="25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1986.87644629584</v>
      </c>
      <c r="N67" s="7" t="n">
        <f aca="false">SUM(B67:M67)</f>
        <v>18247.3717950597</v>
      </c>
      <c r="O67" s="26" t="n">
        <f aca="false">MAX(B67:M67)</f>
        <v>1986.87644629584</v>
      </c>
      <c r="P67" s="15" t="n">
        <f aca="false">O67/parametros_recargas!$B$6</f>
        <v>13.2458429753056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5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825.743114445348</v>
      </c>
      <c r="C68" s="25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869.374436508494</v>
      </c>
      <c r="D68" s="25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915.311187744073</v>
      </c>
      <c r="E68" s="25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963.67518439367</v>
      </c>
      <c r="F68" s="25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1014.5946793298</v>
      </c>
      <c r="G68" s="25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1068.20470216012</v>
      </c>
      <c r="H68" s="25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1124.64741730237</v>
      </c>
      <c r="I68" s="25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1184.07250097959</v>
      </c>
      <c r="J68" s="25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1246.63753813531</v>
      </c>
      <c r="K68" s="25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1312.50844032131</v>
      </c>
      <c r="L68" s="25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1381.85988566606</v>
      </c>
      <c r="M68" s="25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1454.87578209062</v>
      </c>
      <c r="N68" s="7" t="n">
        <f aca="false">SUM(B68:M68)</f>
        <v>13361.5048690768</v>
      </c>
      <c r="O68" s="26" t="n">
        <f aca="false">MAX(B68:M68)</f>
        <v>1454.87578209062</v>
      </c>
      <c r="P68" s="15" t="n">
        <f aca="false">O68/parametros_recargas!$B$6</f>
        <v>9.69917188060412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5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97.1462487582763</v>
      </c>
      <c r="C69" s="25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102.279345471588</v>
      </c>
      <c r="D69" s="25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107.683669146362</v>
      </c>
      <c r="E69" s="25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113.373551105138</v>
      </c>
      <c r="F69" s="25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119.364079921153</v>
      </c>
      <c r="G69" s="25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125.671141430602</v>
      </c>
      <c r="H69" s="25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132.311460859102</v>
      </c>
      <c r="I69" s="25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139.302647174069</v>
      </c>
      <c r="J69" s="25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146.663239780625</v>
      </c>
      <c r="K69" s="25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154.41275768486</v>
      </c>
      <c r="L69" s="25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162.57175125483</v>
      </c>
      <c r="M69" s="25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171.161856716543</v>
      </c>
      <c r="N69" s="7" t="n">
        <f aca="false">SUM(B69:M69)</f>
        <v>1571.94174930315</v>
      </c>
      <c r="O69" s="26" t="n">
        <f aca="false">MAX(B69:M69)</f>
        <v>171.161856716543</v>
      </c>
      <c r="P69" s="15" t="n">
        <f aca="false">O69/parametros_recargas!$B$6</f>
        <v>1.14107904477696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5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1.58339727716478</v>
      </c>
      <c r="C70" s="25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1.66706217893062</v>
      </c>
      <c r="D70" s="25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1.75514783844843</v>
      </c>
      <c r="E70" s="25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1.84788784350342</v>
      </c>
      <c r="F70" s="25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1.94552812439226</v>
      </c>
      <c r="G70" s="25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2.04832760608734</v>
      </c>
      <c r="H70" s="25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2.15655889486056</v>
      </c>
      <c r="I70" s="25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2.27050900118752</v>
      </c>
      <c r="J70" s="25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2.39048010084922</v>
      </c>
      <c r="K70" s="25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2.51679033624943</v>
      </c>
      <c r="L70" s="25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2.64977466007279</v>
      </c>
      <c r="M70" s="25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2.78978572352084</v>
      </c>
      <c r="N70" s="7" t="n">
        <f aca="false">SUM(B70:M70)</f>
        <v>25.6212495852672</v>
      </c>
      <c r="O70" s="26" t="n">
        <f aca="false">MAX(B70:M70)</f>
        <v>2.78978572352084</v>
      </c>
      <c r="P70" s="15" t="n">
        <f aca="false">O70/parametros_recargas!$B$6</f>
        <v>0.018598571490139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5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53.9906749906156</v>
      </c>
      <c r="C71" s="25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56.8434805274859</v>
      </c>
      <c r="D71" s="25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59.8470250472011</v>
      </c>
      <c r="E71" s="25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63.0092734252691</v>
      </c>
      <c r="F71" s="25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66.3386113921129</v>
      </c>
      <c r="G71" s="25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69.8438677705635</v>
      </c>
      <c r="H71" s="25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73.5343378883557</v>
      </c>
      <c r="I71" s="25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77.4198082277144</v>
      </c>
      <c r="J71" s="25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81.5105823773958</v>
      </c>
      <c r="K71" s="25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85.8175083560055</v>
      </c>
      <c r="L71" s="25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90.3520073790493</v>
      </c>
      <c r="M71" s="25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95.1261041460021</v>
      </c>
      <c r="N71" s="7" t="n">
        <f aca="false">SUM(B71:M71)</f>
        <v>873.633281527771</v>
      </c>
      <c r="O71" s="26" t="n">
        <f aca="false">MAX(B71:M71)</f>
        <v>95.1261041460021</v>
      </c>
      <c r="P71" s="15" t="n">
        <f aca="false">O71/parametros_recargas!$B$6</f>
        <v>0.634174027640014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5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23.7395722335281</v>
      </c>
      <c r="C72" s="25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24.9939440879736</v>
      </c>
      <c r="D72" s="25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26.3145955170359</v>
      </c>
      <c r="E72" s="25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27.7050286576579</v>
      </c>
      <c r="F72" s="25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29.1689306956942</v>
      </c>
      <c r="G72" s="25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30.7101836436843</v>
      </c>
      <c r="H72" s="25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32.3328746352719</v>
      </c>
      <c r="I72" s="25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34.0413067635694</v>
      </c>
      <c r="J72" s="25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35.8400104922093</v>
      </c>
      <c r="K72" s="25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37.7337556693429</v>
      </c>
      <c r="L72" s="25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39.7275641764439</v>
      </c>
      <c r="M72" s="25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41.8267232454614</v>
      </c>
      <c r="N72" s="7" t="n">
        <f aca="false">SUM(B72:M72)</f>
        <v>384.134489817873</v>
      </c>
      <c r="O72" s="26" t="n">
        <f aca="false">MAX(B72:M72)</f>
        <v>41.8267232454614</v>
      </c>
      <c r="P72" s="15" t="n">
        <f aca="false">O72/parametros_recargas!$B$6</f>
        <v>0.278844821636409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5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1.0280543151656</v>
      </c>
      <c r="C73" s="25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1.08237552976456</v>
      </c>
      <c r="D73" s="25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1.13956701523537</v>
      </c>
      <c r="E73" s="25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1.19978043340922</v>
      </c>
      <c r="F73" s="25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1.26317545975503</v>
      </c>
      <c r="G73" s="25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1.32992020681097</v>
      </c>
      <c r="H73" s="25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1.40019166998948</v>
      </c>
      <c r="I73" s="25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1.47417619693825</v>
      </c>
      <c r="J73" s="25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1.55206998170162</v>
      </c>
      <c r="K73" s="25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1.63407958499289</v>
      </c>
      <c r="L73" s="25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1.72042248195731</v>
      </c>
      <c r="M73" s="25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1.81132763887815</v>
      </c>
      <c r="N73" s="7" t="n">
        <f aca="false">SUM(B73:M73)</f>
        <v>16.6351405145984</v>
      </c>
      <c r="O73" s="26" t="n">
        <f aca="false">MAX(B73:M73)</f>
        <v>1.81132763887815</v>
      </c>
      <c r="P73" s="15" t="n">
        <f aca="false">O73/parametros_recargas!$B$6</f>
        <v>0.012075517592521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5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974.629282137092</v>
      </c>
      <c r="C74" s="25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1026.12757907374</v>
      </c>
      <c r="D74" s="25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1080.34698714051</v>
      </c>
      <c r="E74" s="25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1137.43128673838</v>
      </c>
      <c r="F74" s="25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1197.53185546031</v>
      </c>
      <c r="G74" s="25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1260.80806951819</v>
      </c>
      <c r="H74" s="25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1327.42772638074</v>
      </c>
      <c r="I74" s="25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1397.56748974307</v>
      </c>
      <c r="J74" s="25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1471.41335800795</v>
      </c>
      <c r="K74" s="25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1549.1611575211</v>
      </c>
      <c r="L74" s="25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1631.01706186845</v>
      </c>
      <c r="M74" s="25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1717.19813861248</v>
      </c>
      <c r="N74" s="7" t="n">
        <f aca="false">SUM(B74:M74)</f>
        <v>15770.659992202</v>
      </c>
      <c r="O74" s="26" t="n">
        <f aca="false">MAX(B74:M74)</f>
        <v>1717.19813861248</v>
      </c>
      <c r="P74" s="15" t="n">
        <f aca="false">O74/parametros_recargas!$B$6</f>
        <v>11.4479875907498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5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78.7583015393093</v>
      </c>
      <c r="C75" s="25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82.919800145224</v>
      </c>
      <c r="D75" s="25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87.3011875794724</v>
      </c>
      <c r="E75" s="25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91.9140825163362</v>
      </c>
      <c r="F75" s="25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96.7707175475621</v>
      </c>
      <c r="G75" s="25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101.883971621059</v>
      </c>
      <c r="H75" s="25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107.267404193617</v>
      </c>
      <c r="I75" s="25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112.935291188222</v>
      </c>
      <c r="J75" s="25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118.902662851307</v>
      </c>
      <c r="K75" s="25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125.185343610341</v>
      </c>
      <c r="L75" s="25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131.79999403745</v>
      </c>
      <c r="M75" s="25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138.764155030342</v>
      </c>
      <c r="N75" s="7" t="n">
        <f aca="false">SUM(B75:M75)</f>
        <v>1274.40291186024</v>
      </c>
      <c r="O75" s="26" t="n">
        <f aca="false">MAX(B75:M75)</f>
        <v>138.764155030342</v>
      </c>
      <c r="P75" s="15" t="n">
        <f aca="false">O75/parametros_recargas!$B$6</f>
        <v>0.925094366868944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5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0.973045884859927</v>
      </c>
      <c r="C76" s="25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1.02446051689481</v>
      </c>
      <c r="D76" s="25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1.07859183930206</v>
      </c>
      <c r="E76" s="25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1.13558339889488</v>
      </c>
      <c r="F76" s="25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1.19558632733592</v>
      </c>
      <c r="G76" s="25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1.25875974191211</v>
      </c>
      <c r="H76" s="25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1.32527116748588</v>
      </c>
      <c r="I76" s="25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1.39529698074188</v>
      </c>
      <c r="J76" s="25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1.4690228779071</v>
      </c>
      <c r="K76" s="25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1.54664436718485</v>
      </c>
      <c r="L76" s="25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1.62836728720837</v>
      </c>
      <c r="M76" s="25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1.71440835288895</v>
      </c>
      <c r="N76" s="7" t="n">
        <f aca="false">SUM(B76:M76)</f>
        <v>15.7450387426167</v>
      </c>
      <c r="O76" s="26" t="n">
        <f aca="false">MAX(B76:M76)</f>
        <v>1.71440835288895</v>
      </c>
      <c r="P76" s="15" t="n">
        <f aca="false">O76/parametros_recargas!$B$6</f>
        <v>0.0114293890192597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5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241.735295161681</v>
      </c>
      <c r="C77" s="25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254.508311772681</v>
      </c>
      <c r="D77" s="25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267.95623997752</v>
      </c>
      <c r="E77" s="25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282.114741333165</v>
      </c>
      <c r="F77" s="25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297.021361712478</v>
      </c>
      <c r="G77" s="25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312.715630869317</v>
      </c>
      <c r="H77" s="25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329.239167264535</v>
      </c>
      <c r="I77" s="25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346.635788430877</v>
      </c>
      <c r="J77" s="25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364.951627169417</v>
      </c>
      <c r="K77" s="25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384.235253885691</v>
      </c>
      <c r="L77" s="25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404.537805389935</v>
      </c>
      <c r="M77" s="25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425.913120502968</v>
      </c>
      <c r="N77" s="7" t="n">
        <f aca="false">SUM(B77:M77)</f>
        <v>3911.56434347026</v>
      </c>
      <c r="O77" s="26" t="n">
        <f aca="false">MAX(B77:M77)</f>
        <v>425.913120502968</v>
      </c>
      <c r="P77" s="15" t="n">
        <f aca="false">O77/parametros_recargas!$B$6</f>
        <v>2.83942080335312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5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224.486250487744</v>
      </c>
      <c r="C78" s="25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236.347847299675</v>
      </c>
      <c r="D78" s="25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248.836197325325</v>
      </c>
      <c r="E78" s="25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261.984417487914</v>
      </c>
      <c r="F78" s="25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275.827374571025</v>
      </c>
      <c r="G78" s="25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290.401777679217</v>
      </c>
      <c r="H78" s="25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305.746275584165</v>
      </c>
      <c r="I78" s="25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321.901559214451</v>
      </c>
      <c r="J78" s="25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338.910469560798</v>
      </c>
      <c r="K78" s="25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356.818111282899</v>
      </c>
      <c r="L78" s="25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375.671972319095</v>
      </c>
      <c r="M78" s="25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395.522049816092</v>
      </c>
      <c r="N78" s="7" t="n">
        <f aca="false">SUM(B78:M78)</f>
        <v>3632.4543026284</v>
      </c>
      <c r="O78" s="26" t="n">
        <f aca="false">MAX(B78:M78)</f>
        <v>395.522049816092</v>
      </c>
      <c r="P78" s="15" t="n">
        <f aca="false">O78/parametros_recargas!$B$6</f>
        <v>2.63681366544061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5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224.486250487744</v>
      </c>
      <c r="C79" s="25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236.347847299675</v>
      </c>
      <c r="D79" s="25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248.836197325325</v>
      </c>
      <c r="E79" s="25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261.984417487914</v>
      </c>
      <c r="F79" s="25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275.827374571025</v>
      </c>
      <c r="G79" s="25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290.401777679217</v>
      </c>
      <c r="H79" s="25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305.746275584165</v>
      </c>
      <c r="I79" s="25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321.901559214451</v>
      </c>
      <c r="J79" s="25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338.910469560798</v>
      </c>
      <c r="K79" s="25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356.818111282899</v>
      </c>
      <c r="L79" s="25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375.671972319095</v>
      </c>
      <c r="M79" s="25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395.522049816092</v>
      </c>
      <c r="N79" s="7" t="n">
        <f aca="false">SUM(B79:M79)</f>
        <v>3632.4543026284</v>
      </c>
      <c r="O79" s="26" t="n">
        <f aca="false">MAX(B79:M79)</f>
        <v>395.522049816092</v>
      </c>
      <c r="P79" s="15" t="n">
        <f aca="false">O79/parametros_recargas!$B$6</f>
        <v>2.63681366544061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5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112.769046332248</v>
      </c>
      <c r="C80" s="25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118.727633807218</v>
      </c>
      <c r="D80" s="25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125.00106623168</v>
      </c>
      <c r="E80" s="25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131.605979652792</v>
      </c>
      <c r="F80" s="25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138.559889147422</v>
      </c>
      <c r="G80" s="25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145.881235269074</v>
      </c>
      <c r="H80" s="25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153.589432949014</v>
      </c>
      <c r="I80" s="25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161.704922981281</v>
      </c>
      <c r="J80" s="25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170.249226228099</v>
      </c>
      <c r="K80" s="25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179.245000689445</v>
      </c>
      <c r="L80" s="25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188.71610158811</v>
      </c>
      <c r="M80" s="25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198.687644629584</v>
      </c>
      <c r="N80" s="7" t="n">
        <f aca="false">SUM(B80:M80)</f>
        <v>1824.73717950597</v>
      </c>
      <c r="O80" s="26" t="n">
        <f aca="false">MAX(B80:M80)</f>
        <v>198.687644629584</v>
      </c>
      <c r="P80" s="15" t="n">
        <f aca="false">O80/parametros_recargas!$B$6</f>
        <v>1.32458429753056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5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971.462487582763</v>
      </c>
      <c r="C81" s="25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1022.79345471588</v>
      </c>
      <c r="D81" s="25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1076.83669146362</v>
      </c>
      <c r="E81" s="25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1133.73551105138</v>
      </c>
      <c r="F81" s="25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1193.64079921153</v>
      </c>
      <c r="G81" s="25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1256.71141430602</v>
      </c>
      <c r="H81" s="25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1323.11460859102</v>
      </c>
      <c r="I81" s="25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1393.02647174069</v>
      </c>
      <c r="J81" s="25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1466.63239780625</v>
      </c>
      <c r="K81" s="25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1544.1275768486</v>
      </c>
      <c r="L81" s="25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1625.7175125483</v>
      </c>
      <c r="M81" s="25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1711.61856716543</v>
      </c>
      <c r="N81" s="7" t="n">
        <f aca="false">SUM(B81:M81)</f>
        <v>15719.4174930315</v>
      </c>
      <c r="O81" s="26" t="n">
        <f aca="false">MAX(B81:M81)</f>
        <v>1711.61856716543</v>
      </c>
      <c r="P81" s="15" t="n">
        <f aca="false">O81/parametros_recargas!$B$6</f>
        <v>11.4107904477696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5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1.58339727716478</v>
      </c>
      <c r="C82" s="25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1.66706217893062</v>
      </c>
      <c r="D82" s="25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1.75514783844843</v>
      </c>
      <c r="E82" s="25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1.84788784350342</v>
      </c>
      <c r="F82" s="25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1.94552812439226</v>
      </c>
      <c r="G82" s="25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2.04832760608734</v>
      </c>
      <c r="H82" s="25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2.15655889486056</v>
      </c>
      <c r="I82" s="25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2.27050900118752</v>
      </c>
      <c r="J82" s="25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2.39048010084922</v>
      </c>
      <c r="K82" s="25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2.51679033624943</v>
      </c>
      <c r="L82" s="25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2.64977466007279</v>
      </c>
      <c r="M82" s="25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2.78978572352084</v>
      </c>
      <c r="N82" s="7" t="n">
        <f aca="false">SUM(B82:M82)</f>
        <v>25.6212495852672</v>
      </c>
      <c r="O82" s="26" t="n">
        <f aca="false">MAX(B82:M82)</f>
        <v>2.78978572352084</v>
      </c>
      <c r="P82" s="15" t="n">
        <f aca="false">O82/parametros_recargas!$B$6</f>
        <v>0.018598571490139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5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1.58339727716478</v>
      </c>
      <c r="C83" s="25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1.66706217893062</v>
      </c>
      <c r="D83" s="25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1.75514783844843</v>
      </c>
      <c r="E83" s="25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1.84788784350342</v>
      </c>
      <c r="F83" s="25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1.94552812439226</v>
      </c>
      <c r="G83" s="25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2.04832760608734</v>
      </c>
      <c r="H83" s="25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2.15655889486056</v>
      </c>
      <c r="I83" s="25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2.27050900118752</v>
      </c>
      <c r="J83" s="25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2.39048010084922</v>
      </c>
      <c r="K83" s="25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2.51679033624943</v>
      </c>
      <c r="L83" s="25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2.64977466007279</v>
      </c>
      <c r="M83" s="25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2.78978572352084</v>
      </c>
      <c r="N83" s="7" t="n">
        <f aca="false">SUM(B83:M83)</f>
        <v>25.6212495852672</v>
      </c>
      <c r="O83" s="26" t="n">
        <f aca="false">MAX(B83:M83)</f>
        <v>2.78978572352084</v>
      </c>
      <c r="P83" s="15" t="n">
        <f aca="false">O83/parametros_recargas!$B$6</f>
        <v>0.018598571490139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5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53.9906749906156</v>
      </c>
      <c r="C84" s="25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56.8434805274859</v>
      </c>
      <c r="D84" s="25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59.8470250472011</v>
      </c>
      <c r="E84" s="25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63.0092734252691</v>
      </c>
      <c r="F84" s="25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66.3386113921129</v>
      </c>
      <c r="G84" s="25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69.8438677705635</v>
      </c>
      <c r="H84" s="25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73.5343378883557</v>
      </c>
      <c r="I84" s="25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77.4198082277144</v>
      </c>
      <c r="J84" s="25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81.5105823773958</v>
      </c>
      <c r="K84" s="25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85.8175083560055</v>
      </c>
      <c r="L84" s="25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90.3520073790493</v>
      </c>
      <c r="M84" s="25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95.1261041460021</v>
      </c>
      <c r="N84" s="7" t="n">
        <f aca="false">SUM(B84:M84)</f>
        <v>873.633281527771</v>
      </c>
      <c r="O84" s="26" t="n">
        <f aca="false">MAX(B84:M84)</f>
        <v>95.1261041460021</v>
      </c>
      <c r="P84" s="15" t="n">
        <f aca="false">O84/parametros_recargas!$B$6</f>
        <v>0.634174027640014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5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28.4874866802337</v>
      </c>
      <c r="C85" s="25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29.9927329055683</v>
      </c>
      <c r="D85" s="25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31.5775146204431</v>
      </c>
      <c r="E85" s="25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33.2460343891895</v>
      </c>
      <c r="F85" s="25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35.002716834833</v>
      </c>
      <c r="G85" s="25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36.8522203724211</v>
      </c>
      <c r="H85" s="25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38.7994495623262</v>
      </c>
      <c r="I85" s="25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40.8495681162832</v>
      </c>
      <c r="J85" s="25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43.0080125906512</v>
      </c>
      <c r="K85" s="25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45.2805068032115</v>
      </c>
      <c r="L85" s="25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47.6730770117326</v>
      </c>
      <c r="M85" s="25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50.1920678945537</v>
      </c>
      <c r="N85" s="7" t="n">
        <f aca="false">SUM(B85:M85)</f>
        <v>460.961387781447</v>
      </c>
      <c r="O85" s="26" t="n">
        <f aca="false">MAX(B85:M85)</f>
        <v>50.1920678945537</v>
      </c>
      <c r="P85" s="15" t="n">
        <f aca="false">O85/parametros_recargas!$B$6</f>
        <v>0.334613785963691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5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974.629282137092</v>
      </c>
      <c r="C86" s="25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1026.12757907374</v>
      </c>
      <c r="D86" s="25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1080.34698714051</v>
      </c>
      <c r="E86" s="25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1137.43128673838</v>
      </c>
      <c r="F86" s="25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1197.53185546031</v>
      </c>
      <c r="G86" s="25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1260.80806951819</v>
      </c>
      <c r="H86" s="25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1327.42772638074</v>
      </c>
      <c r="I86" s="25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1397.56748974307</v>
      </c>
      <c r="J86" s="25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1471.41335800795</v>
      </c>
      <c r="K86" s="25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1549.1611575211</v>
      </c>
      <c r="L86" s="25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1631.01706186845</v>
      </c>
      <c r="M86" s="25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1717.19813861248</v>
      </c>
      <c r="N86" s="7" t="n">
        <f aca="false">SUM(B86:M86)</f>
        <v>15770.659992202</v>
      </c>
      <c r="O86" s="26" t="n">
        <f aca="false">MAX(B86:M86)</f>
        <v>1717.19813861248</v>
      </c>
      <c r="P86" s="15" t="n">
        <f aca="false">O86/parametros_recargas!$B$6</f>
        <v>11.4479875907498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5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974.629282137092</v>
      </c>
      <c r="C87" s="25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1026.12757907374</v>
      </c>
      <c r="D87" s="25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1080.34698714051</v>
      </c>
      <c r="E87" s="25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1137.43128673838</v>
      </c>
      <c r="F87" s="25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1197.53185546031</v>
      </c>
      <c r="G87" s="25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1260.80806951819</v>
      </c>
      <c r="H87" s="25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1327.42772638074</v>
      </c>
      <c r="I87" s="25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1397.56748974307</v>
      </c>
      <c r="J87" s="25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1471.41335800795</v>
      </c>
      <c r="K87" s="25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1549.1611575211</v>
      </c>
      <c r="L87" s="25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1631.01706186845</v>
      </c>
      <c r="M87" s="25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1717.19813861248</v>
      </c>
      <c r="N87" s="7" t="n">
        <f aca="false">SUM(B87:M87)</f>
        <v>15770.659992202</v>
      </c>
      <c r="O87" s="26" t="n">
        <f aca="false">MAX(B87:M87)</f>
        <v>1717.19813861248</v>
      </c>
      <c r="P87" s="15" t="n">
        <f aca="false">O87/parametros_recargas!$B$6</f>
        <v>11.4479875907498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5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78.7583015393093</v>
      </c>
      <c r="C88" s="25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82.919800145224</v>
      </c>
      <c r="D88" s="25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87.3011875794724</v>
      </c>
      <c r="E88" s="25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91.9140825163362</v>
      </c>
      <c r="F88" s="25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96.7707175475621</v>
      </c>
      <c r="G88" s="25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101.883971621059</v>
      </c>
      <c r="H88" s="25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107.267404193617</v>
      </c>
      <c r="I88" s="25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112.935291188222</v>
      </c>
      <c r="J88" s="25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118.902662851307</v>
      </c>
      <c r="K88" s="25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125.185343610341</v>
      </c>
      <c r="L88" s="25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131.79999403745</v>
      </c>
      <c r="M88" s="25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138.764155030342</v>
      </c>
      <c r="N88" s="7" t="n">
        <f aca="false">SUM(B88:M88)</f>
        <v>1274.40291186024</v>
      </c>
      <c r="O88" s="26" t="n">
        <f aca="false">MAX(B88:M88)</f>
        <v>138.764155030342</v>
      </c>
      <c r="P88" s="15" t="n">
        <f aca="false">O88/parametros_recargas!$B$6</f>
        <v>0.925094366868944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5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1.0280543151656</v>
      </c>
      <c r="C89" s="25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1.08237552976456</v>
      </c>
      <c r="D89" s="25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1.13956701523537</v>
      </c>
      <c r="E89" s="25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1.19978043340922</v>
      </c>
      <c r="F89" s="25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1.26317545975503</v>
      </c>
      <c r="G89" s="25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1.32992020681097</v>
      </c>
      <c r="H89" s="25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1.40019166998948</v>
      </c>
      <c r="I89" s="25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1.47417619693825</v>
      </c>
      <c r="J89" s="25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1.55206998170162</v>
      </c>
      <c r="K89" s="25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1.63407958499289</v>
      </c>
      <c r="L89" s="25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1.72042248195731</v>
      </c>
      <c r="M89" s="25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1.81132763887815</v>
      </c>
      <c r="N89" s="7" t="n">
        <f aca="false">SUM(B89:M89)</f>
        <v>16.6351405145984</v>
      </c>
      <c r="O89" s="26" t="n">
        <f aca="false">MAX(B89:M89)</f>
        <v>1.81132763887815</v>
      </c>
      <c r="P89" s="15" t="n">
        <f aca="false">O89/parametros_recargas!$B$6</f>
        <v>0.012075517592521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5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69.5549651993755</v>
      </c>
      <c r="C90" s="25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73.2301700356196</v>
      </c>
      <c r="D90" s="25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77.0995684934066</v>
      </c>
      <c r="E90" s="25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81.1734215416697</v>
      </c>
      <c r="F90" s="25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85.4625323272087</v>
      </c>
      <c r="G90" s="25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89.9782748227488</v>
      </c>
      <c r="H90" s="25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94.7326239887296</v>
      </c>
      <c r="I90" s="25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99.7381875288089</v>
      </c>
      <c r="J90" s="25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105.008239323291</v>
      </c>
      <c r="K90" s="25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110.556754629139</v>
      </c>
      <c r="L90" s="25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116.398447139915</v>
      </c>
      <c r="M90" s="25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122.548808003926</v>
      </c>
      <c r="N90" s="7" t="n">
        <f aca="false">SUM(B90:M90)</f>
        <v>1125.48199303384</v>
      </c>
      <c r="O90" s="26" t="n">
        <f aca="false">MAX(B90:M90)</f>
        <v>122.548808003926</v>
      </c>
      <c r="P90" s="15" t="n">
        <f aca="false">O90/parametros_recargas!$B$6</f>
        <v>0.816992053359509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5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1127.69046332248</v>
      </c>
      <c r="C91" s="25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1187.27633807218</v>
      </c>
      <c r="D91" s="25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1250.0106623168</v>
      </c>
      <c r="E91" s="25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1316.05979652792</v>
      </c>
      <c r="F91" s="25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1385.59889147422</v>
      </c>
      <c r="G91" s="25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1458.81235269074</v>
      </c>
      <c r="H91" s="25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1535.89432949014</v>
      </c>
      <c r="I91" s="25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1617.04922981281</v>
      </c>
      <c r="J91" s="25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1702.49226228099</v>
      </c>
      <c r="K91" s="25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1792.45000689445</v>
      </c>
      <c r="L91" s="25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1887.1610158811</v>
      </c>
      <c r="M91" s="25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1986.87644629584</v>
      </c>
      <c r="N91" s="7" t="n">
        <f aca="false">SUM(B91:M91)</f>
        <v>18247.3717950597</v>
      </c>
      <c r="O91" s="26" t="n">
        <f aca="false">MAX(B91:M91)</f>
        <v>1986.87644629584</v>
      </c>
      <c r="P91" s="15" t="n">
        <f aca="false">O91/parametros_recargas!$B$6</f>
        <v>13.2458429753056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5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1127.69046332248</v>
      </c>
      <c r="C92" s="25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1187.27633807218</v>
      </c>
      <c r="D92" s="25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1250.0106623168</v>
      </c>
      <c r="E92" s="25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1316.05979652792</v>
      </c>
      <c r="F92" s="25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1385.59889147422</v>
      </c>
      <c r="G92" s="25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1458.81235269074</v>
      </c>
      <c r="H92" s="25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1535.89432949014</v>
      </c>
      <c r="I92" s="25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1617.04922981281</v>
      </c>
      <c r="J92" s="25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1702.49226228099</v>
      </c>
      <c r="K92" s="25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1792.45000689445</v>
      </c>
      <c r="L92" s="25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1887.1610158811</v>
      </c>
      <c r="M92" s="25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1986.87644629584</v>
      </c>
      <c r="N92" s="7" t="n">
        <f aca="false">SUM(B92:M92)</f>
        <v>18247.3717950597</v>
      </c>
      <c r="O92" s="26" t="n">
        <f aca="false">MAX(B92:M92)</f>
        <v>1986.87644629584</v>
      </c>
      <c r="P92" s="15" t="n">
        <f aca="false">O92/parametros_recargas!$B$6</f>
        <v>13.2458429753056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5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88.6325989168967</v>
      </c>
      <c r="C93" s="25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93.3158441065758</v>
      </c>
      <c r="D93" s="25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98.2465466175416</v>
      </c>
      <c r="E93" s="25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103.437781811723</v>
      </c>
      <c r="F93" s="25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108.903315938225</v>
      </c>
      <c r="G93" s="25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114.657642639013</v>
      </c>
      <c r="H93" s="25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120.716021383527</v>
      </c>
      <c r="I93" s="25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127.094517934121</v>
      </c>
      <c r="J93" s="25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133.810046949665</v>
      </c>
      <c r="K93" s="25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140.880416840266</v>
      </c>
      <c r="L93" s="25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148.324376992058</v>
      </c>
      <c r="M93" s="25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156.161667487303</v>
      </c>
      <c r="N93" s="7" t="n">
        <f aca="false">SUM(B93:M93)</f>
        <v>1434.18077761692</v>
      </c>
      <c r="O93" s="26" t="n">
        <f aca="false">MAX(B93:M93)</f>
        <v>156.161667487303</v>
      </c>
      <c r="P93" s="15" t="n">
        <f aca="false">O93/parametros_recargas!$B$6</f>
        <v>1.04107778324869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5" t="n">
        <f aca="false">'Plan mensual'!D93</f>
        <v>40.7486044170287</v>
      </c>
      <c r="C94" s="25" t="n">
        <f aca="false">'Plan mensual'!E93</f>
        <v>42.9017140849638</v>
      </c>
      <c r="D94" s="25" t="n">
        <f aca="false">'Plan mensual'!F93</f>
        <v>45.1685916060188</v>
      </c>
      <c r="E94" s="25" t="n">
        <f aca="false">'Plan mensual'!G93</f>
        <v>47.5552483434773</v>
      </c>
      <c r="F94" s="25" t="n">
        <f aca="false">'Plan mensual'!H93</f>
        <v>50.0680132941858</v>
      </c>
      <c r="G94" s="25" t="n">
        <f aca="false">'Plan mensual'!I93</f>
        <v>52.713549871948</v>
      </c>
      <c r="H94" s="25" t="n">
        <f aca="false">'Plan mensual'!J93</f>
        <v>55.4988735777346</v>
      </c>
      <c r="I94" s="25" t="n">
        <f aca="false">'Plan mensual'!K93</f>
        <v>58.4313706035663</v>
      </c>
      <c r="J94" s="25" t="n">
        <f aca="false">'Plan mensual'!L93</f>
        <v>61.5188174194053</v>
      </c>
      <c r="K94" s="25" t="n">
        <f aca="false">'Plan mensual'!M93</f>
        <v>64.7694013949954</v>
      </c>
      <c r="L94" s="25" t="n">
        <f aca="false">'Plan mensual'!N93</f>
        <v>68.191742511337</v>
      </c>
      <c r="M94" s="25" t="n">
        <f aca="false">'Plan mensual'!O93</f>
        <v>71.7949162193706</v>
      </c>
      <c r="N94" s="7" t="n">
        <f aca="false">SUM(B94:M94)</f>
        <v>659.360843344032</v>
      </c>
      <c r="O94" s="26" t="n">
        <f aca="false">MAX(B94:M94)</f>
        <v>71.7949162193706</v>
      </c>
      <c r="P94" s="15" t="n">
        <f aca="false">O94/parametros_recargas!$B$6</f>
        <v>0.478632774795804</v>
      </c>
    </row>
    <row r="97" customFormat="false" ht="23.85" hidden="false" customHeight="false" outlineLevel="0" collapsed="false">
      <c r="A97" s="3" t="s">
        <v>281</v>
      </c>
      <c r="B97" s="3" t="s">
        <v>124</v>
      </c>
      <c r="C97" s="3" t="s">
        <v>125</v>
      </c>
      <c r="D97" s="3" t="s">
        <v>126</v>
      </c>
      <c r="E97" s="3" t="s">
        <v>127</v>
      </c>
      <c r="F97" s="3" t="s">
        <v>128</v>
      </c>
      <c r="G97" s="3" t="s">
        <v>129</v>
      </c>
      <c r="H97" s="3" t="s">
        <v>130</v>
      </c>
      <c r="I97" s="3" t="s">
        <v>131</v>
      </c>
      <c r="J97" s="3" t="s">
        <v>132</v>
      </c>
      <c r="K97" s="3" t="s">
        <v>133</v>
      </c>
      <c r="L97" s="3" t="s">
        <v>134</v>
      </c>
      <c r="M97" s="3" t="s">
        <v>135</v>
      </c>
      <c r="N97" s="3" t="s">
        <v>276</v>
      </c>
      <c r="O97" s="3" t="s">
        <v>277</v>
      </c>
      <c r="P97" s="3" t="s">
        <v>278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2345.65281389965</v>
      </c>
      <c r="C98" s="25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2422.4419638409</v>
      </c>
      <c r="D98" s="25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2501.74494426624</v>
      </c>
      <c r="E98" s="25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2583.64404992316</v>
      </c>
      <c r="F98" s="25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2668.2242696252</v>
      </c>
      <c r="G98" s="25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2755.5733744471</v>
      </c>
      <c r="H98" s="25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2845.78200880708</v>
      </c>
      <c r="I98" s="25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2938.94378453086</v>
      </c>
      <c r="J98" s="25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3035.15537799513</v>
      </c>
      <c r="K98" s="25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3134.51663045105</v>
      </c>
      <c r="L98" s="25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3237.13065163216</v>
      </c>
      <c r="M98" s="25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3343.10392675395</v>
      </c>
      <c r="N98" s="7" t="n">
        <f aca="false">SUM(B98:M98)</f>
        <v>33811.9137961725</v>
      </c>
      <c r="O98" s="26" t="n">
        <f aca="false">MAX(B98:M98)</f>
        <v>3343.10392675395</v>
      </c>
      <c r="P98" s="15" t="n">
        <f aca="false">O98/parametros_recargas!$B$6</f>
        <v>22.287359511693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2345.65281389965</v>
      </c>
      <c r="C99" s="25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2422.4419638409</v>
      </c>
      <c r="D99" s="25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2501.74494426624</v>
      </c>
      <c r="E99" s="25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2583.64404992316</v>
      </c>
      <c r="F99" s="25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2668.2242696252</v>
      </c>
      <c r="G99" s="25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2755.5733744471</v>
      </c>
      <c r="H99" s="25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2845.78200880708</v>
      </c>
      <c r="I99" s="25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2938.94378453086</v>
      </c>
      <c r="J99" s="25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3035.15537799513</v>
      </c>
      <c r="K99" s="25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3134.51663045105</v>
      </c>
      <c r="L99" s="25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3237.13065163216</v>
      </c>
      <c r="M99" s="25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3343.10392675395</v>
      </c>
      <c r="N99" s="7" t="n">
        <f aca="false">SUM(B99:M99)</f>
        <v>33811.9137961725</v>
      </c>
      <c r="O99" s="26" t="n">
        <f aca="false">MAX(B99:M99)</f>
        <v>3343.10392675395</v>
      </c>
      <c r="P99" s="15" t="n">
        <f aca="false">O99/parametros_recargas!$B$6</f>
        <v>22.287359511693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1718.00438636324</v>
      </c>
      <c r="C100" s="25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1774.24633983667</v>
      </c>
      <c r="D100" s="25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1832.32947448263</v>
      </c>
      <c r="E100" s="25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1892.31406466752</v>
      </c>
      <c r="F100" s="25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1954.26235794717</v>
      </c>
      <c r="G100" s="25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2018.23863966272</v>
      </c>
      <c r="H100" s="25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2084.30929965124</v>
      </c>
      <c r="I100" s="25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2152.5429011401</v>
      </c>
      <c r="J100" s="25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2223.01025189684</v>
      </c>
      <c r="K100" s="25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2295.78447770822</v>
      </c>
      <c r="L100" s="25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2370.94109826471</v>
      </c>
      <c r="M100" s="25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2448.55810552923</v>
      </c>
      <c r="N100" s="7" t="n">
        <f aca="false">SUM(B100:M100)</f>
        <v>24764.5413971503</v>
      </c>
      <c r="O100" s="26" t="n">
        <f aca="false">MAX(B100:M100)</f>
        <v>2448.55810552923</v>
      </c>
      <c r="P100" s="15" t="n">
        <f aca="false">O100/parametros_recargas!$B$6</f>
        <v>16.3237207035282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202.118163101558</v>
      </c>
      <c r="C101" s="25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208.734863510196</v>
      </c>
      <c r="D101" s="25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215.568173468545</v>
      </c>
      <c r="E101" s="25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222.625184078532</v>
      </c>
      <c r="F101" s="25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229.91321858202</v>
      </c>
      <c r="G101" s="25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237.439839960321</v>
      </c>
      <c r="H101" s="25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245.212858782499</v>
      </c>
      <c r="I101" s="25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253.2403413106</v>
      </c>
      <c r="J101" s="25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261.530617870217</v>
      </c>
      <c r="K101" s="25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270.092291495085</v>
      </c>
      <c r="L101" s="25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278.934246854671</v>
      </c>
      <c r="M101" s="25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288.065659474027</v>
      </c>
      <c r="N101" s="7" t="n">
        <f aca="false">SUM(B101:M101)</f>
        <v>2913.47545848827</v>
      </c>
      <c r="O101" s="26" t="n">
        <f aca="false">MAX(B101:M101)</f>
        <v>288.065659474027</v>
      </c>
      <c r="P101" s="15" t="n">
        <f aca="false">O101/parametros_recargas!$B$6</f>
        <v>1.92043772982685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3.18941059261364</v>
      </c>
      <c r="C102" s="25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3.29382166605516</v>
      </c>
      <c r="D102" s="25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3.40165082316471</v>
      </c>
      <c r="E102" s="25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3.51300996103877</v>
      </c>
      <c r="F102" s="25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3.62801463992593</v>
      </c>
      <c r="G102" s="25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3.74678420314665</v>
      </c>
      <c r="H102" s="25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3.86944190093892</v>
      </c>
      <c r="I102" s="25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3.99611501835827</v>
      </c>
      <c r="J102" s="25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4.12693500736466</v>
      </c>
      <c r="K102" s="25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4.26203762323365</v>
      </c>
      <c r="L102" s="25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4.40156306543309</v>
      </c>
      <c r="M102" s="25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4.54565612311176</v>
      </c>
      <c r="N102" s="7" t="n">
        <f aca="false">SUM(B102:M102)</f>
        <v>45.9744406243852</v>
      </c>
      <c r="O102" s="26" t="n">
        <f aca="false">MAX(B102:M102)</f>
        <v>4.54565612311176</v>
      </c>
      <c r="P102" s="15" t="n">
        <f aca="false">O102/parametros_recargas!$B$6</f>
        <v>0.0303043741540784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109.913352908846</v>
      </c>
      <c r="C103" s="25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113.511563559224</v>
      </c>
      <c r="D103" s="25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117.227568085795</v>
      </c>
      <c r="E103" s="25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121.065222682266</v>
      </c>
      <c r="F103" s="25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125.028509781759</v>
      </c>
      <c r="G103" s="25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129.121542189484</v>
      </c>
      <c r="H103" s="25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133.348567350701</v>
      </c>
      <c r="I103" s="25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137.713971758405</v>
      </c>
      <c r="J103" s="25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142.222285505306</v>
      </c>
      <c r="K103" s="25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146.878186984817</v>
      </c>
      <c r="L103" s="25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151.686507745946</v>
      </c>
      <c r="M103" s="25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156.652237507122</v>
      </c>
      <c r="N103" s="7" t="n">
        <f aca="false">SUM(B103:M103)</f>
        <v>1584.36951605967</v>
      </c>
      <c r="O103" s="26" t="n">
        <f aca="false">MAX(B103:M103)</f>
        <v>156.652237507122</v>
      </c>
      <c r="P103" s="15" t="n">
        <f aca="false">O103/parametros_recargas!$B$6</f>
        <v>1.04434825004748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50.0976823077374</v>
      </c>
      <c r="C104" s="25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51.7377197487609</v>
      </c>
      <c r="D104" s="25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53.4314467555299</v>
      </c>
      <c r="E104" s="25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55.180620952229</v>
      </c>
      <c r="F104" s="25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56.9870575020214</v>
      </c>
      <c r="G104" s="25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58.8526309906904</v>
      </c>
      <c r="H104" s="25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60.7792773719455</v>
      </c>
      <c r="I104" s="25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62.7689959764118</v>
      </c>
      <c r="J104" s="25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64.8238515863862</v>
      </c>
      <c r="K104" s="25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66.945976578516</v>
      </c>
      <c r="L104" s="25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69.1375731366205</v>
      </c>
      <c r="M104" s="25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71.4009155369544</v>
      </c>
      <c r="N104" s="7" t="n">
        <f aca="false">SUM(B104:M104)</f>
        <v>722.143748443803</v>
      </c>
      <c r="O104" s="26" t="n">
        <f aca="false">MAX(B104:M104)</f>
        <v>71.4009155369544</v>
      </c>
      <c r="P104" s="15" t="n">
        <f aca="false">O104/parametros_recargas!$B$6</f>
        <v>0.476006103579696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2.00317519003874</v>
      </c>
      <c r="C105" s="25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2.0687527209994</v>
      </c>
      <c r="D105" s="25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2.13647704999764</v>
      </c>
      <c r="E105" s="25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2.2064184563158</v>
      </c>
      <c r="F105" s="25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2.27864951995453</v>
      </c>
      <c r="G105" s="25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2.35324519695092</v>
      </c>
      <c r="H105" s="25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2.4302828971623</v>
      </c>
      <c r="I105" s="25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2.50984256459645</v>
      </c>
      <c r="J105" s="25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2.59200676037157</v>
      </c>
      <c r="K105" s="25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2.67686074839207</v>
      </c>
      <c r="L105" s="25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2.76449258382912</v>
      </c>
      <c r="M105" s="25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2.85499320449778</v>
      </c>
      <c r="N105" s="7" t="n">
        <f aca="false">SUM(B105:M105)</f>
        <v>28.8751968931063</v>
      </c>
      <c r="O105" s="26" t="n">
        <f aca="false">MAX(B105:M105)</f>
        <v>2.85499320449778</v>
      </c>
      <c r="P105" s="15" t="n">
        <f aca="false">O105/parametros_recargas!$B$6</f>
        <v>0.0190332880299852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2027.3360309997</v>
      </c>
      <c r="C106" s="25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2093.70451040263</v>
      </c>
      <c r="D106" s="25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2162.24568095834</v>
      </c>
      <c r="E106" s="25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2233.03066960671</v>
      </c>
      <c r="F106" s="25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2306.13293175554</v>
      </c>
      <c r="G106" s="25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2381.62832750706</v>
      </c>
      <c r="H106" s="25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2459.59520037995</v>
      </c>
      <c r="I106" s="25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2540.11445860842</v>
      </c>
      <c r="J106" s="25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2623.26965910279</v>
      </c>
      <c r="K106" s="25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2709.1470941586</v>
      </c>
      <c r="L106" s="25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2797.83588100442</v>
      </c>
      <c r="M106" s="25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2889.42805428102</v>
      </c>
      <c r="N106" s="7" t="n">
        <f aca="false">SUM(B106:M106)</f>
        <v>29223.4684987652</v>
      </c>
      <c r="O106" s="26" t="n">
        <f aca="false">MAX(B106:M106)</f>
        <v>2889.42805428102</v>
      </c>
      <c r="P106" s="15" t="n">
        <f aca="false">O106/parametros_recargas!$B$6</f>
        <v>19.2628536952068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162.014210406623</v>
      </c>
      <c r="C107" s="25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167.318036028984</v>
      </c>
      <c r="D107" s="25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172.795491891322</v>
      </c>
      <c r="E107" s="25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178.452262090811</v>
      </c>
      <c r="F107" s="25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184.294216803735</v>
      </c>
      <c r="G107" s="25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190.327418377125</v>
      </c>
      <c r="H107" s="25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196.558127619808</v>
      </c>
      <c r="I107" s="25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202.992810299414</v>
      </c>
      <c r="J107" s="25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209.638143852064</v>
      </c>
      <c r="K107" s="25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216.501024311725</v>
      </c>
      <c r="L107" s="25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223.588573466396</v>
      </c>
      <c r="M107" s="25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230.908146248574</v>
      </c>
      <c r="N107" s="7" t="n">
        <f aca="false">SUM(B107:M107)</f>
        <v>2335.38846139658</v>
      </c>
      <c r="O107" s="26" t="n">
        <f aca="false">MAX(B107:M107)</f>
        <v>230.908146248574</v>
      </c>
      <c r="P107" s="15" t="n">
        <f aca="false">O107/parametros_recargas!$B$6</f>
        <v>1.53938764165716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2.02437104160819</v>
      </c>
      <c r="C108" s="25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2.09064245676802</v>
      </c>
      <c r="D108" s="25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2.15908338550862</v>
      </c>
      <c r="E108" s="25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2.22976485074636</v>
      </c>
      <c r="F108" s="25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2.30276020046012</v>
      </c>
      <c r="G108" s="25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2.37814518380635</v>
      </c>
      <c r="H108" s="25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2.45599802972593</v>
      </c>
      <c r="I108" s="25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2.53639952812436</v>
      </c>
      <c r="J108" s="25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2.61943311370953</v>
      </c>
      <c r="K108" s="25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2.70518495257408</v>
      </c>
      <c r="L108" s="25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2.79374403161215</v>
      </c>
      <c r="M108" s="25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2.88520225086339</v>
      </c>
      <c r="N108" s="7" t="n">
        <f aca="false">SUM(B108:M108)</f>
        <v>29.1807290255071</v>
      </c>
      <c r="O108" s="26" t="n">
        <f aca="false">MAX(B108:M108)</f>
        <v>2.88520225086339</v>
      </c>
      <c r="P108" s="15" t="n">
        <f aca="false">O108/parametros_recargas!$B$6</f>
        <v>0.0192346816724226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502.104568652585</v>
      </c>
      <c r="C109" s="25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518.541861835946</v>
      </c>
      <c r="D109" s="25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535.517259278987</v>
      </c>
      <c r="E109" s="25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553.048376789311</v>
      </c>
      <c r="F109" s="25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571.153406859568</v>
      </c>
      <c r="G109" s="25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589.851137546266</v>
      </c>
      <c r="H109" s="25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609.160971966626</v>
      </c>
      <c r="I109" s="25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629.102948433694</v>
      </c>
      <c r="J109" s="25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649.697761250617</v>
      </c>
      <c r="K109" s="25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670.966782185656</v>
      </c>
      <c r="L109" s="25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692.932082650216</v>
      </c>
      <c r="M109" s="25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715.616456602926</v>
      </c>
      <c r="N109" s="7" t="n">
        <f aca="false">SUM(B109:M109)</f>
        <v>7237.6936140524</v>
      </c>
      <c r="O109" s="26" t="n">
        <f aca="false">MAX(B109:M109)</f>
        <v>715.616456602926</v>
      </c>
      <c r="P109" s="15" t="n">
        <f aca="false">O109/parametros_recargas!$B$6</f>
        <v>4.77077637735284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467.421252508158</v>
      </c>
      <c r="C110" s="25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482.723125160361</v>
      </c>
      <c r="D110" s="25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498.525932045673</v>
      </c>
      <c r="E110" s="25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514.846072144245</v>
      </c>
      <c r="F110" s="25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531.700481286244</v>
      </c>
      <c r="G110" s="25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549.106649726595</v>
      </c>
      <c r="H110" s="25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567.082640295075</v>
      </c>
      <c r="I110" s="25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585.647107140575</v>
      </c>
      <c r="J110" s="25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604.819315088992</v>
      </c>
      <c r="K110" s="25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624.619159634833</v>
      </c>
      <c r="L110" s="25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645.067187587287</v>
      </c>
      <c r="M110" s="25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666.184618392175</v>
      </c>
      <c r="N110" s="7" t="n">
        <f aca="false">SUM(B110:M110)</f>
        <v>6737.74354101021</v>
      </c>
      <c r="O110" s="26" t="n">
        <f aca="false">MAX(B110:M110)</f>
        <v>666.184618392175</v>
      </c>
      <c r="P110" s="15" t="n">
        <f aca="false">O110/parametros_recargas!$B$6</f>
        <v>4.44123078928117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467.421252508158</v>
      </c>
      <c r="C111" s="25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482.723125160361</v>
      </c>
      <c r="D111" s="25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498.525932045673</v>
      </c>
      <c r="E111" s="25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514.846072144245</v>
      </c>
      <c r="F111" s="25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531.700481286244</v>
      </c>
      <c r="G111" s="25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549.106649726595</v>
      </c>
      <c r="H111" s="25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567.082640295075</v>
      </c>
      <c r="I111" s="25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585.647107140575</v>
      </c>
      <c r="J111" s="25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604.819315088992</v>
      </c>
      <c r="K111" s="25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624.619159634833</v>
      </c>
      <c r="L111" s="25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645.067187587287</v>
      </c>
      <c r="M111" s="25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666.184618392175</v>
      </c>
      <c r="N111" s="7" t="n">
        <f aca="false">SUM(B111:M111)</f>
        <v>6737.74354101021</v>
      </c>
      <c r="O111" s="26" t="n">
        <f aca="false">MAX(B111:M111)</f>
        <v>666.184618392175</v>
      </c>
      <c r="P111" s="15" t="n">
        <f aca="false">O111/parametros_recargas!$B$6</f>
        <v>4.44123078928117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234.565281389965</v>
      </c>
      <c r="C112" s="25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242.24419638409</v>
      </c>
      <c r="D112" s="25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250.174494426624</v>
      </c>
      <c r="E112" s="25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258.364404992316</v>
      </c>
      <c r="F112" s="25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266.82242696252</v>
      </c>
      <c r="G112" s="25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275.55733744471</v>
      </c>
      <c r="H112" s="25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284.578200880708</v>
      </c>
      <c r="I112" s="25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293.894378453086</v>
      </c>
      <c r="J112" s="25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303.515537799513</v>
      </c>
      <c r="K112" s="25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313.451663045105</v>
      </c>
      <c r="L112" s="25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323.713065163216</v>
      </c>
      <c r="M112" s="25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334.310392675395</v>
      </c>
      <c r="N112" s="7" t="n">
        <f aca="false">SUM(B112:M112)</f>
        <v>3381.19137961725</v>
      </c>
      <c r="O112" s="26" t="n">
        <f aca="false">MAX(B112:M112)</f>
        <v>334.310392675395</v>
      </c>
      <c r="P112" s="15" t="n">
        <f aca="false">O112/parametros_recargas!$B$6</f>
        <v>2.2287359511693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2021.18163101558</v>
      </c>
      <c r="C113" s="25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2087.34863510196</v>
      </c>
      <c r="D113" s="25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2155.68173468545</v>
      </c>
      <c r="E113" s="25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2226.25184078532</v>
      </c>
      <c r="F113" s="25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2299.1321858202</v>
      </c>
      <c r="G113" s="25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2374.39839960321</v>
      </c>
      <c r="H113" s="25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2452.12858782499</v>
      </c>
      <c r="I113" s="25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2532.403413106</v>
      </c>
      <c r="J113" s="25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2615.30617870217</v>
      </c>
      <c r="K113" s="25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2700.92291495085</v>
      </c>
      <c r="L113" s="25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2789.34246854671</v>
      </c>
      <c r="M113" s="25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2880.65659474027</v>
      </c>
      <c r="N113" s="7" t="n">
        <f aca="false">SUM(B113:M113)</f>
        <v>29134.7545848827</v>
      </c>
      <c r="O113" s="26" t="n">
        <f aca="false">MAX(B113:M113)</f>
        <v>2880.65659474027</v>
      </c>
      <c r="P113" s="15" t="n">
        <f aca="false">O113/parametros_recargas!$B$6</f>
        <v>19.2043772982685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3.18941059261364</v>
      </c>
      <c r="C114" s="25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3.29382166605516</v>
      </c>
      <c r="D114" s="25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3.40165082316471</v>
      </c>
      <c r="E114" s="25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3.51300996103877</v>
      </c>
      <c r="F114" s="25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3.62801463992593</v>
      </c>
      <c r="G114" s="25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3.74678420314665</v>
      </c>
      <c r="H114" s="25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3.86944190093892</v>
      </c>
      <c r="I114" s="25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3.99611501835827</v>
      </c>
      <c r="J114" s="25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4.12693500736466</v>
      </c>
      <c r="K114" s="25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4.26203762323365</v>
      </c>
      <c r="L114" s="25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4.40156306543309</v>
      </c>
      <c r="M114" s="25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4.54565612311176</v>
      </c>
      <c r="N114" s="7" t="n">
        <f aca="false">SUM(B114:M114)</f>
        <v>45.9744406243852</v>
      </c>
      <c r="O114" s="26" t="n">
        <f aca="false">MAX(B114:M114)</f>
        <v>4.54565612311176</v>
      </c>
      <c r="P114" s="15" t="n">
        <f aca="false">O114/parametros_recargas!$B$6</f>
        <v>0.0303043741540784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2.96498939151292</v>
      </c>
      <c r="C115" s="25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3.062053634614</v>
      </c>
      <c r="D115" s="25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3.16229544972115</v>
      </c>
      <c r="E115" s="25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3.26581886035047</v>
      </c>
      <c r="F115" s="25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3.37273129541433</v>
      </c>
      <c r="G115" s="25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3.48314370070312</v>
      </c>
      <c r="H115" s="25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3.59717065401661</v>
      </c>
      <c r="I115" s="25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3.71493048406422</v>
      </c>
      <c r="J115" s="25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3.83654539325782</v>
      </c>
      <c r="K115" s="25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3.96214158452428</v>
      </c>
      <c r="L115" s="25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4.09184939226956</v>
      </c>
      <c r="M115" s="25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4.22580341763003</v>
      </c>
      <c r="N115" s="7" t="n">
        <f aca="false">SUM(B115:M115)</f>
        <v>42.7394732580785</v>
      </c>
      <c r="O115" s="26" t="n">
        <f aca="false">MAX(B115:M115)</f>
        <v>4.22580341763003</v>
      </c>
      <c r="P115" s="15" t="n">
        <f aca="false">O115/parametros_recargas!$B$6</f>
        <v>0.0281720227842002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109.913352908846</v>
      </c>
      <c r="C116" s="25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113.511563559224</v>
      </c>
      <c r="D116" s="25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117.227568085795</v>
      </c>
      <c r="E116" s="25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121.065222682266</v>
      </c>
      <c r="F116" s="25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125.028509781759</v>
      </c>
      <c r="G116" s="25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129.121542189484</v>
      </c>
      <c r="H116" s="25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133.348567350701</v>
      </c>
      <c r="I116" s="25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137.713971758405</v>
      </c>
      <c r="J116" s="25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142.222285505306</v>
      </c>
      <c r="K116" s="25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146.878186984817</v>
      </c>
      <c r="L116" s="25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151.686507745946</v>
      </c>
      <c r="M116" s="25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156.652237507122</v>
      </c>
      <c r="N116" s="7" t="n">
        <f aca="false">SUM(B116:M116)</f>
        <v>1584.36951605967</v>
      </c>
      <c r="O116" s="26" t="n">
        <f aca="false">MAX(B116:M116)</f>
        <v>156.652237507122</v>
      </c>
      <c r="P116" s="15" t="n">
        <f aca="false">O116/parametros_recargas!$B$6</f>
        <v>1.04434825004748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60.1172187692848</v>
      </c>
      <c r="C117" s="25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62.085263698513</v>
      </c>
      <c r="D117" s="25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64.1177361066359</v>
      </c>
      <c r="E117" s="25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66.2167451426748</v>
      </c>
      <c r="F117" s="25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68.3844690024257</v>
      </c>
      <c r="G117" s="25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70.6231571888285</v>
      </c>
      <c r="H117" s="25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72.9351328463346</v>
      </c>
      <c r="I117" s="25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75.3227951716942</v>
      </c>
      <c r="J117" s="25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77.7886219036635</v>
      </c>
      <c r="K117" s="25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80.3351718942192</v>
      </c>
      <c r="L117" s="25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82.9650877639446</v>
      </c>
      <c r="M117" s="25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85.6810986443452</v>
      </c>
      <c r="N117" s="7" t="n">
        <f aca="false">SUM(B117:M117)</f>
        <v>866.572498132564</v>
      </c>
      <c r="O117" s="26" t="n">
        <f aca="false">MAX(B117:M117)</f>
        <v>85.6810986443452</v>
      </c>
      <c r="P117" s="15" t="n">
        <f aca="false">O117/parametros_recargas!$B$6</f>
        <v>0.571207324295635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2027.3360309997</v>
      </c>
      <c r="C118" s="25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2093.70451040263</v>
      </c>
      <c r="D118" s="25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2162.24568095834</v>
      </c>
      <c r="E118" s="25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2233.03066960671</v>
      </c>
      <c r="F118" s="25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2306.13293175554</v>
      </c>
      <c r="G118" s="25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2381.62832750706</v>
      </c>
      <c r="H118" s="25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2459.59520037995</v>
      </c>
      <c r="I118" s="25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2540.11445860842</v>
      </c>
      <c r="J118" s="25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2623.26965910279</v>
      </c>
      <c r="K118" s="25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2709.1470941586</v>
      </c>
      <c r="L118" s="25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2797.83588100442</v>
      </c>
      <c r="M118" s="25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2889.42805428102</v>
      </c>
      <c r="N118" s="7" t="n">
        <f aca="false">SUM(B118:M118)</f>
        <v>29223.4684987652</v>
      </c>
      <c r="O118" s="26" t="n">
        <f aca="false">MAX(B118:M118)</f>
        <v>2889.42805428102</v>
      </c>
      <c r="P118" s="15" t="n">
        <f aca="false">O118/parametros_recargas!$B$6</f>
        <v>19.2628536952068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2027.3360309997</v>
      </c>
      <c r="C119" s="25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2093.70451040263</v>
      </c>
      <c r="D119" s="25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2162.24568095834</v>
      </c>
      <c r="E119" s="25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2233.03066960671</v>
      </c>
      <c r="F119" s="25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2306.13293175554</v>
      </c>
      <c r="G119" s="25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2381.62832750706</v>
      </c>
      <c r="H119" s="25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2459.59520037995</v>
      </c>
      <c r="I119" s="25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2540.11445860842</v>
      </c>
      <c r="J119" s="25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2623.26965910279</v>
      </c>
      <c r="K119" s="25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2709.1470941586</v>
      </c>
      <c r="L119" s="25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2797.83588100442</v>
      </c>
      <c r="M119" s="25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2889.42805428102</v>
      </c>
      <c r="N119" s="7" t="n">
        <f aca="false">SUM(B119:M119)</f>
        <v>29223.4684987652</v>
      </c>
      <c r="O119" s="26" t="n">
        <f aca="false">MAX(B119:M119)</f>
        <v>2889.42805428102</v>
      </c>
      <c r="P119" s="15" t="n">
        <f aca="false">O119/parametros_recargas!$B$6</f>
        <v>19.2628536952068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162.014210406623</v>
      </c>
      <c r="C120" s="25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167.318036028984</v>
      </c>
      <c r="D120" s="25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172.795491891322</v>
      </c>
      <c r="E120" s="25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178.452262090811</v>
      </c>
      <c r="F120" s="25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184.294216803735</v>
      </c>
      <c r="G120" s="25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190.327418377125</v>
      </c>
      <c r="H120" s="25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196.558127619808</v>
      </c>
      <c r="I120" s="25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202.992810299414</v>
      </c>
      <c r="J120" s="25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209.638143852064</v>
      </c>
      <c r="K120" s="25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216.501024311725</v>
      </c>
      <c r="L120" s="25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223.588573466396</v>
      </c>
      <c r="M120" s="25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230.908146248574</v>
      </c>
      <c r="N120" s="7" t="n">
        <f aca="false">SUM(B120:M120)</f>
        <v>2335.38846139658</v>
      </c>
      <c r="O120" s="26" t="n">
        <f aca="false">MAX(B120:M120)</f>
        <v>230.908146248574</v>
      </c>
      <c r="P120" s="15" t="n">
        <f aca="false">O120/parametros_recargas!$B$6</f>
        <v>1.53938764165716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2.00317519003874</v>
      </c>
      <c r="C121" s="25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2.0687527209994</v>
      </c>
      <c r="D121" s="25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2.13647704999764</v>
      </c>
      <c r="E121" s="25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2.2064184563158</v>
      </c>
      <c r="F121" s="25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2.27864951995453</v>
      </c>
      <c r="G121" s="25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2.35324519695092</v>
      </c>
      <c r="H121" s="25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2.4302828971623</v>
      </c>
      <c r="I121" s="25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2.50984256459645</v>
      </c>
      <c r="J121" s="25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2.59200676037157</v>
      </c>
      <c r="K121" s="25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2.67686074839207</v>
      </c>
      <c r="L121" s="25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2.76449258382912</v>
      </c>
      <c r="M121" s="25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2.85499320449778</v>
      </c>
      <c r="N121" s="7" t="n">
        <f aca="false">SUM(B121:M121)</f>
        <v>28.8751968931063</v>
      </c>
      <c r="O121" s="26" t="n">
        <f aca="false">MAX(B121:M121)</f>
        <v>2.85499320449778</v>
      </c>
      <c r="P121" s="15" t="n">
        <f aca="false">O121/parametros_recargas!$B$6</f>
        <v>0.0190332880299852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146.283036031781</v>
      </c>
      <c r="C122" s="25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151.071873459529</v>
      </c>
      <c r="D122" s="25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156.017482065477</v>
      </c>
      <c r="E122" s="25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161.124994035189</v>
      </c>
      <c r="F122" s="25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166.399709565523</v>
      </c>
      <c r="G122" s="25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171.847102364786</v>
      </c>
      <c r="H122" s="25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177.472825332934</v>
      </c>
      <c r="I122" s="25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183.282716427742</v>
      </c>
      <c r="J122" s="25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189.282804722996</v>
      </c>
      <c r="K122" s="25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195.479316665021</v>
      </c>
      <c r="L122" s="25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201.878682534025</v>
      </c>
      <c r="M122" s="25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208.487543116966</v>
      </c>
      <c r="N122" s="7" t="n">
        <f aca="false">SUM(B122:M122)</f>
        <v>2108.62808632197</v>
      </c>
      <c r="O122" s="26" t="n">
        <f aca="false">MAX(B122:M122)</f>
        <v>208.487543116966</v>
      </c>
      <c r="P122" s="15" t="n">
        <f aca="false">O122/parametros_recargas!$B$6</f>
        <v>1.3899169541131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2345.65281389965</v>
      </c>
      <c r="C123" s="25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2422.4419638409</v>
      </c>
      <c r="D123" s="25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2501.74494426624</v>
      </c>
      <c r="E123" s="25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2583.64404992316</v>
      </c>
      <c r="F123" s="25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2668.2242696252</v>
      </c>
      <c r="G123" s="25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2755.5733744471</v>
      </c>
      <c r="H123" s="25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2845.78200880708</v>
      </c>
      <c r="I123" s="25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2938.94378453086</v>
      </c>
      <c r="J123" s="25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3035.15537799513</v>
      </c>
      <c r="K123" s="25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3134.51663045105</v>
      </c>
      <c r="L123" s="25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3237.13065163216</v>
      </c>
      <c r="M123" s="25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3343.10392675395</v>
      </c>
      <c r="N123" s="7" t="n">
        <f aca="false">SUM(B123:M123)</f>
        <v>33811.9137961725</v>
      </c>
      <c r="O123" s="26" t="n">
        <f aca="false">MAX(B123:M123)</f>
        <v>3343.10392675395</v>
      </c>
      <c r="P123" s="15" t="n">
        <f aca="false">O123/parametros_recargas!$B$6</f>
        <v>22.287359511693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2345.65281389965</v>
      </c>
      <c r="C124" s="25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2422.4419638409</v>
      </c>
      <c r="D124" s="25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2501.74494426624</v>
      </c>
      <c r="E124" s="25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2583.64404992316</v>
      </c>
      <c r="F124" s="25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2668.2242696252</v>
      </c>
      <c r="G124" s="25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2755.5733744471</v>
      </c>
      <c r="H124" s="25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2845.78200880708</v>
      </c>
      <c r="I124" s="25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2938.94378453086</v>
      </c>
      <c r="J124" s="25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3035.15537799513</v>
      </c>
      <c r="K124" s="25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3134.51663045105</v>
      </c>
      <c r="L124" s="25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3237.13065163216</v>
      </c>
      <c r="M124" s="25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3343.10392675395</v>
      </c>
      <c r="N124" s="7" t="n">
        <f aca="false">SUM(B124:M124)</f>
        <v>33811.9137961725</v>
      </c>
      <c r="O124" s="26" t="n">
        <f aca="false">MAX(B124:M124)</f>
        <v>3343.10392675395</v>
      </c>
      <c r="P124" s="15" t="n">
        <f aca="false">O124/parametros_recargas!$B$6</f>
        <v>22.287359511693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184.31237962479</v>
      </c>
      <c r="C125" s="25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190.346175790688</v>
      </c>
      <c r="D125" s="25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196.577499090931</v>
      </c>
      <c r="E125" s="25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203.012815930371</v>
      </c>
      <c r="F125" s="25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209.658804403215</v>
      </c>
      <c r="G125" s="25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216.522361223056</v>
      </c>
      <c r="H125" s="25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223.61060887977</v>
      </c>
      <c r="I125" s="25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230.930903030708</v>
      </c>
      <c r="J125" s="25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238.490840133851</v>
      </c>
      <c r="K125" s="25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246.29826533085</v>
      </c>
      <c r="L125" s="25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254.361280588132</v>
      </c>
      <c r="M125" s="25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262.688253104519</v>
      </c>
      <c r="N125" s="7" t="n">
        <f aca="false">SUM(B125:M125)</f>
        <v>2656.81018713088</v>
      </c>
      <c r="O125" s="26" t="n">
        <f aca="false">MAX(B125:M125)</f>
        <v>262.688253104519</v>
      </c>
      <c r="P125" s="15" t="n">
        <f aca="false">O125/parametros_recargas!$B$6</f>
        <v>1.75125502069679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'Plan mensual'!D125</f>
        <v>81.7428148385678</v>
      </c>
      <c r="C126" s="25" t="n">
        <f aca="false">'Plan mensual'!E125</f>
        <v>84.4188124235738</v>
      </c>
      <c r="D126" s="25" t="n">
        <f aca="false">'Plan mensual'!F125</f>
        <v>87.1824135868161</v>
      </c>
      <c r="E126" s="25" t="n">
        <f aca="false">'Plan mensual'!G125</f>
        <v>90.036486188476</v>
      </c>
      <c r="F126" s="25" t="n">
        <f aca="false">'Plan mensual'!H125</f>
        <v>92.9839919732793</v>
      </c>
      <c r="G126" s="25" t="n">
        <f aca="false">'Plan mensual'!I125</f>
        <v>96.0279896439752</v>
      </c>
      <c r="H126" s="25" t="n">
        <f aca="false">'Plan mensual'!J125</f>
        <v>99.1716380354301</v>
      </c>
      <c r="I126" s="25" t="n">
        <f aca="false">'Plan mensual'!K125</f>
        <v>102.418199392633</v>
      </c>
      <c r="J126" s="25" t="n">
        <f aca="false">'Plan mensual'!L125</f>
        <v>105.771042756011</v>
      </c>
      <c r="K126" s="25" t="n">
        <f aca="false">'Plan mensual'!M125</f>
        <v>109.23364745757</v>
      </c>
      <c r="L126" s="25" t="n">
        <f aca="false">'Plan mensual'!N125</f>
        <v>112.809606731485</v>
      </c>
      <c r="M126" s="25" t="n">
        <f aca="false">'Plan mensual'!O125</f>
        <v>116.502631442893</v>
      </c>
      <c r="N126" s="7" t="n">
        <f aca="false">SUM(B126:M126)</f>
        <v>1178.29927447071</v>
      </c>
      <c r="O126" s="26" t="n">
        <f aca="false">MAX(B126:M126)</f>
        <v>116.502631442893</v>
      </c>
      <c r="P126" s="15" t="n">
        <f aca="false">O126/parametros_recargas!$B$6</f>
        <v>0.776684209619288</v>
      </c>
    </row>
    <row r="129" customFormat="false" ht="23.85" hidden="false" customHeight="false" outlineLevel="0" collapsed="false">
      <c r="A129" s="3" t="s">
        <v>282</v>
      </c>
      <c r="B129" s="3" t="s">
        <v>124</v>
      </c>
      <c r="C129" s="3" t="s">
        <v>125</v>
      </c>
      <c r="D129" s="3" t="s">
        <v>126</v>
      </c>
      <c r="E129" s="3" t="s">
        <v>127</v>
      </c>
      <c r="F129" s="3" t="s">
        <v>128</v>
      </c>
      <c r="G129" s="3" t="s">
        <v>129</v>
      </c>
      <c r="H129" s="3" t="s">
        <v>130</v>
      </c>
      <c r="I129" s="3" t="s">
        <v>131</v>
      </c>
      <c r="J129" s="3" t="s">
        <v>132</v>
      </c>
      <c r="K129" s="3" t="s">
        <v>133</v>
      </c>
      <c r="L129" s="3" t="s">
        <v>134</v>
      </c>
      <c r="M129" s="3" t="s">
        <v>135</v>
      </c>
      <c r="N129" s="3" t="s">
        <v>276</v>
      </c>
      <c r="O129" s="3" t="s">
        <v>277</v>
      </c>
      <c r="P129" s="3" t="s">
        <v>278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5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3584.15084576101</v>
      </c>
      <c r="C130" s="25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3677.4269421266</v>
      </c>
      <c r="D130" s="25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3773.13051170066</v>
      </c>
      <c r="E130" s="25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3871.32472850534</v>
      </c>
      <c r="F130" s="25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3972.07441064152</v>
      </c>
      <c r="G130" s="25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4075.44606307531</v>
      </c>
      <c r="H130" s="25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4181.50792153804</v>
      </c>
      <c r="I130" s="25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4290.32999756872</v>
      </c>
      <c r="J130" s="25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4401.98412472877</v>
      </c>
      <c r="K130" s="25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4516.54400601937</v>
      </c>
      <c r="L130" s="25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4634.08526253293</v>
      </c>
      <c r="M130" s="25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4754.68548337062</v>
      </c>
      <c r="N130" s="7" t="n">
        <f aca="false">SUM(B130:M130)</f>
        <v>49732.6902975689</v>
      </c>
      <c r="O130" s="26" t="n">
        <f aca="false">MAX(B130:M130)</f>
        <v>4754.68548337062</v>
      </c>
      <c r="P130" s="15" t="n">
        <f aca="false">O130/parametros_recargas!$B$6</f>
        <v>31.6979032224708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5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3584.15084576101</v>
      </c>
      <c r="C131" s="25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3677.4269421266</v>
      </c>
      <c r="D131" s="25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3773.13051170066</v>
      </c>
      <c r="E131" s="25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3871.32472850534</v>
      </c>
      <c r="F131" s="25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3972.07441064152</v>
      </c>
      <c r="G131" s="25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4075.44606307531</v>
      </c>
      <c r="H131" s="25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4181.50792153804</v>
      </c>
      <c r="I131" s="25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4290.32999756872</v>
      </c>
      <c r="J131" s="25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4401.98412472877</v>
      </c>
      <c r="K131" s="25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4516.54400601937</v>
      </c>
      <c r="L131" s="25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4634.08526253293</v>
      </c>
      <c r="M131" s="25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4754.68548337062</v>
      </c>
      <c r="N131" s="7" t="n">
        <f aca="false">SUM(B131:M131)</f>
        <v>49732.6902975689</v>
      </c>
      <c r="O131" s="26" t="n">
        <f aca="false">MAX(B131:M131)</f>
        <v>4754.68548337062</v>
      </c>
      <c r="P131" s="15" t="n">
        <f aca="false">O131/parametros_recargas!$B$6</f>
        <v>31.6979032224708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5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2634.10010949274</v>
      </c>
      <c r="C132" s="25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2702.65151433672</v>
      </c>
      <c r="D132" s="25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2772.98694215277</v>
      </c>
      <c r="E132" s="25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2845.15282142727</v>
      </c>
      <c r="F132" s="25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2919.1967889294</v>
      </c>
      <c r="G132" s="25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2995.1677211563</v>
      </c>
      <c r="H132" s="25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3073.11576659643</v>
      </c>
      <c r="I132" s="25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3153.09237883268</v>
      </c>
      <c r="J132" s="25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3235.1503505069</v>
      </c>
      <c r="K132" s="25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3319.34384816841</v>
      </c>
      <c r="L132" s="25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3405.72844802933</v>
      </c>
      <c r="M132" s="25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3494.3611726506</v>
      </c>
      <c r="N132" s="7" t="n">
        <f aca="false">SUM(B132:M132)</f>
        <v>36550.0478622796</v>
      </c>
      <c r="O132" s="26" t="n">
        <f aca="false">MAX(B132:M132)</f>
        <v>3494.3611726506</v>
      </c>
      <c r="P132" s="15" t="n">
        <f aca="false">O132/parametros_recargas!$B$6</f>
        <v>23.295741151004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5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309.894130528558</v>
      </c>
      <c r="C133" s="25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317.959001686673</v>
      </c>
      <c r="D133" s="25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326.233757900326</v>
      </c>
      <c r="E133" s="25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334.723861344384</v>
      </c>
      <c r="F133" s="25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343.434916344635</v>
      </c>
      <c r="G133" s="25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352.372673077212</v>
      </c>
      <c r="H133" s="25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361.543031364286</v>
      </c>
      <c r="I133" s="25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370.952044568551</v>
      </c>
      <c r="J133" s="25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380.605923589048</v>
      </c>
      <c r="K133" s="25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390.511040960989</v>
      </c>
      <c r="L133" s="25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400.673935062275</v>
      </c>
      <c r="M133" s="25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411.101314429482</v>
      </c>
      <c r="N133" s="7" t="n">
        <f aca="false">SUM(B133:M133)</f>
        <v>4300.00563085642</v>
      </c>
      <c r="O133" s="26" t="n">
        <f aca="false">MAX(B133:M133)</f>
        <v>411.101314429482</v>
      </c>
      <c r="P133" s="15" t="n">
        <f aca="false">O133/parametros_recargas!$B$6</f>
        <v>2.74067542952988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5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4.56576436266471</v>
      </c>
      <c r="C134" s="25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4.6845865593304</v>
      </c>
      <c r="D134" s="25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4.80650105627682</v>
      </c>
      <c r="E134" s="25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4.93158832938554</v>
      </c>
      <c r="F134" s="25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5.05993094889086</v>
      </c>
      <c r="G134" s="25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5.19161363388448</v>
      </c>
      <c r="H134" s="25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5.32672330823868</v>
      </c>
      <c r="I134" s="25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5.46534915798486</v>
      </c>
      <c r="J134" s="25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5.60758269018529</v>
      </c>
      <c r="K134" s="25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5.75351779333709</v>
      </c>
      <c r="L134" s="25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5.90325079934802</v>
      </c>
      <c r="M134" s="25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6.05688054712537</v>
      </c>
      <c r="N134" s="7" t="n">
        <f aca="false">SUM(B134:M134)</f>
        <v>63.3532891866521</v>
      </c>
      <c r="O134" s="26" t="n">
        <f aca="false">MAX(B134:M134)</f>
        <v>6.05688054712537</v>
      </c>
      <c r="P134" s="15" t="n">
        <f aca="false">O134/parametros_recargas!$B$6</f>
        <v>0.0403792036475025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5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163.960869179247</v>
      </c>
      <c r="C135" s="25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168.227885410396</v>
      </c>
      <c r="D135" s="25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172.605949037231</v>
      </c>
      <c r="E135" s="25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177.09795002394</v>
      </c>
      <c r="F135" s="25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181.706853544872</v>
      </c>
      <c r="G135" s="25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186.43570194186</v>
      </c>
      <c r="H135" s="25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191.287616732467</v>
      </c>
      <c r="I135" s="25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196.265800670508</v>
      </c>
      <c r="J135" s="25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201.373539860186</v>
      </c>
      <c r="K135" s="25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206.614205925258</v>
      </c>
      <c r="L135" s="25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211.991258234643</v>
      </c>
      <c r="M135" s="25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217.508246185957</v>
      </c>
      <c r="N135" s="7" t="n">
        <f aca="false">SUM(B135:M135)</f>
        <v>2275.07587674656</v>
      </c>
      <c r="O135" s="26" t="n">
        <f aca="false">MAX(B135:M135)</f>
        <v>217.508246185957</v>
      </c>
      <c r="P135" s="15" t="n">
        <f aca="false">O135/parametros_recargas!$B$6</f>
        <v>1.45005497457305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5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75.1214290706223</v>
      </c>
      <c r="C136" s="25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77.0764343030051</v>
      </c>
      <c r="D136" s="25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79.082317766885</v>
      </c>
      <c r="E136" s="25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81.1404035479459</v>
      </c>
      <c r="F136" s="25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83.2520501906735</v>
      </c>
      <c r="G136" s="25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85.4186515951324</v>
      </c>
      <c r="H136" s="25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87.6416379370798</v>
      </c>
      <c r="I136" s="25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89.9224766120272</v>
      </c>
      <c r="J136" s="25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92.2626732038686</v>
      </c>
      <c r="K136" s="25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94.663772478719</v>
      </c>
      <c r="L136" s="25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97.1273594046147</v>
      </c>
      <c r="M136" s="25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99.6550601977537</v>
      </c>
      <c r="N136" s="7" t="n">
        <f aca="false">SUM(B136:M136)</f>
        <v>1042.36426630833</v>
      </c>
      <c r="O136" s="26" t="n">
        <f aca="false">MAX(B136:M136)</f>
        <v>99.6550601977537</v>
      </c>
      <c r="P136" s="15" t="n">
        <f aca="false">O136/parametros_recargas!$B$6</f>
        <v>0.664367067985024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5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2.98352196855692</v>
      </c>
      <c r="C137" s="25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3.0611669379301</v>
      </c>
      <c r="D137" s="25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3.14083258666562</v>
      </c>
      <c r="E137" s="25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3.22257150213802</v>
      </c>
      <c r="F137" s="25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3.3064376402873</v>
      </c>
      <c r="G137" s="25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3.39248636123525</v>
      </c>
      <c r="H137" s="25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3.48077446582877</v>
      </c>
      <c r="I137" s="25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3.57136023313416</v>
      </c>
      <c r="J137" s="25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3.66430345890716</v>
      </c>
      <c r="K137" s="25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3.75966549506421</v>
      </c>
      <c r="L137" s="25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3.85750929018091</v>
      </c>
      <c r="M137" s="25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3.95789943104443</v>
      </c>
      <c r="N137" s="7" t="n">
        <f aca="false">SUM(B137:M137)</f>
        <v>41.3985293709728</v>
      </c>
      <c r="O137" s="26" t="n">
        <f aca="false">MAX(B137:M137)</f>
        <v>3.95789943104443</v>
      </c>
      <c r="P137" s="15" t="n">
        <f aca="false">O137/parametros_recargas!$B$6</f>
        <v>0.0263859962069629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5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3107.77017242505</v>
      </c>
      <c r="C138" s="25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3188.64865175246</v>
      </c>
      <c r="D138" s="25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3271.63196124922</v>
      </c>
      <c r="E138" s="25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3356.77487828106</v>
      </c>
      <c r="F138" s="25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3444.1336057728</v>
      </c>
      <c r="G138" s="25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3533.76580930798</v>
      </c>
      <c r="H138" s="25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3625.73065519393</v>
      </c>
      <c r="I138" s="25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3720.08884951757</v>
      </c>
      <c r="J138" s="25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3816.90267821748</v>
      </c>
      <c r="K138" s="25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3916.23604819898</v>
      </c>
      <c r="L138" s="25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4018.1545295191</v>
      </c>
      <c r="M138" s="25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4122.72539866947</v>
      </c>
      <c r="N138" s="7" t="n">
        <f aca="false">SUM(B138:M138)</f>
        <v>43122.5632381051</v>
      </c>
      <c r="O138" s="26" t="n">
        <f aca="false">MAX(B138:M138)</f>
        <v>4122.72539866947</v>
      </c>
      <c r="P138" s="15" t="n">
        <f aca="false">O138/parametros_recargas!$B$6</f>
        <v>27.4848359911298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5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242.065820218426</v>
      </c>
      <c r="C139" s="25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248.365486651331</v>
      </c>
      <c r="D139" s="25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254.829099390782</v>
      </c>
      <c r="E139" s="25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261.460925074024</v>
      </c>
      <c r="F139" s="25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268.265341375833</v>
      </c>
      <c r="G139" s="25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275.246839898228</v>
      </c>
      <c r="H139" s="25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282.410029135376</v>
      </c>
      <c r="I139" s="25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289.759637515669</v>
      </c>
      <c r="J139" s="25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297.300516522962</v>
      </c>
      <c r="K139" s="25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305.037643899041</v>
      </c>
      <c r="L139" s="25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312.976126929438</v>
      </c>
      <c r="M139" s="25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321.121205814755</v>
      </c>
      <c r="N139" s="7" t="n">
        <f aca="false">SUM(B139:M139)</f>
        <v>3358.83867242586</v>
      </c>
      <c r="O139" s="26" t="n">
        <f aca="false">MAX(B139:M139)</f>
        <v>321.121205814755</v>
      </c>
      <c r="P139" s="15" t="n">
        <f aca="false">O139/parametros_recargas!$B$6</f>
        <v>2.14080803876503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5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3.10350706964824</v>
      </c>
      <c r="C140" s="25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3.18427460342606</v>
      </c>
      <c r="D140" s="25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3.26714408005954</v>
      </c>
      <c r="E140" s="25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3.35217020177323</v>
      </c>
      <c r="F140" s="25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3.43940909439524</v>
      </c>
      <c r="G140" s="25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3.528918344406</v>
      </c>
      <c r="H140" s="25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3.6207570369511</v>
      </c>
      <c r="I140" s="25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3.71498579484349</v>
      </c>
      <c r="J140" s="25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3.81166681858066</v>
      </c>
      <c r="K140" s="25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3.91086392740323</v>
      </c>
      <c r="L140" s="25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4.01264260142209</v>
      </c>
      <c r="M140" s="25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4.11707002484195</v>
      </c>
      <c r="N140" s="7" t="n">
        <f aca="false">SUM(B140:M140)</f>
        <v>43.0634095977508</v>
      </c>
      <c r="O140" s="26" t="n">
        <f aca="false">MAX(B140:M140)</f>
        <v>4.11707002484195</v>
      </c>
      <c r="P140" s="15" t="n">
        <f aca="false">O140/parametros_recargas!$B$6</f>
        <v>0.0274471334989463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5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766.018429905976</v>
      </c>
      <c r="C141" s="25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785.953754048439</v>
      </c>
      <c r="D141" s="25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806.407887051301</v>
      </c>
      <c r="E141" s="25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827.39433070825</v>
      </c>
      <c r="F141" s="25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848.926938191765</v>
      </c>
      <c r="G141" s="25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871.01992319762</v>
      </c>
      <c r="H141" s="25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893.687869327347</v>
      </c>
      <c r="I141" s="25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916.945739714896</v>
      </c>
      <c r="J141" s="25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940.808886903809</v>
      </c>
      <c r="K141" s="25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965.293062981451</v>
      </c>
      <c r="L141" s="25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990.414429976978</v>
      </c>
      <c r="M141" s="25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1016.18957052991</v>
      </c>
      <c r="N141" s="7" t="n">
        <f aca="false">SUM(B141:M141)</f>
        <v>10629.0608225377</v>
      </c>
      <c r="O141" s="26" t="n">
        <f aca="false">MAX(B141:M141)</f>
        <v>1016.18957052991</v>
      </c>
      <c r="P141" s="15" t="n">
        <f aca="false">O141/parametros_recargas!$B$6</f>
        <v>6.77459713686607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5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715.115697040604</v>
      </c>
      <c r="C142" s="25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733.726297860766</v>
      </c>
      <c r="D142" s="25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752.821232145178</v>
      </c>
      <c r="E142" s="25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772.41310447909</v>
      </c>
      <c r="F142" s="25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792.514847477057</v>
      </c>
      <c r="G142" s="25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813.13973031977</v>
      </c>
      <c r="H142" s="25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834.301367513053</v>
      </c>
      <c r="I142" s="25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856.013727874818</v>
      </c>
      <c r="J142" s="25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878.291143755891</v>
      </c>
      <c r="K142" s="25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901.148320500812</v>
      </c>
      <c r="L142" s="25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924.600346154848</v>
      </c>
      <c r="M142" s="25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948.662701423627</v>
      </c>
      <c r="N142" s="7" t="n">
        <f aca="false">SUM(B142:M142)</f>
        <v>9922.74851654551</v>
      </c>
      <c r="O142" s="26" t="n">
        <f aca="false">MAX(B142:M142)</f>
        <v>948.662701423627</v>
      </c>
      <c r="P142" s="15" t="n">
        <f aca="false">O142/parametros_recargas!$B$6</f>
        <v>6.32441800949084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5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715.115697040604</v>
      </c>
      <c r="C143" s="25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733.726297860766</v>
      </c>
      <c r="D143" s="25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752.821232145178</v>
      </c>
      <c r="E143" s="25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772.41310447909</v>
      </c>
      <c r="F143" s="25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792.514847477057</v>
      </c>
      <c r="G143" s="25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813.13973031977</v>
      </c>
      <c r="H143" s="25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834.301367513053</v>
      </c>
      <c r="I143" s="25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856.013727874818</v>
      </c>
      <c r="J143" s="25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878.291143755891</v>
      </c>
      <c r="K143" s="25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901.148320500812</v>
      </c>
      <c r="L143" s="25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924.600346154848</v>
      </c>
      <c r="M143" s="25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948.662701423627</v>
      </c>
      <c r="N143" s="7" t="n">
        <f aca="false">SUM(B143:M143)</f>
        <v>9922.74851654551</v>
      </c>
      <c r="O143" s="26" t="n">
        <f aca="false">MAX(B143:M143)</f>
        <v>948.662701423627</v>
      </c>
      <c r="P143" s="15" t="n">
        <f aca="false">O143/parametros_recargas!$B$6</f>
        <v>6.32441800949084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5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358.415084576101</v>
      </c>
      <c r="C144" s="25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367.74269421266</v>
      </c>
      <c r="D144" s="25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377.313051170066</v>
      </c>
      <c r="E144" s="25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387.132472850534</v>
      </c>
      <c r="F144" s="25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397.207441064152</v>
      </c>
      <c r="G144" s="25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407.544606307531</v>
      </c>
      <c r="H144" s="25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418.150792153804</v>
      </c>
      <c r="I144" s="25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429.032999756872</v>
      </c>
      <c r="J144" s="25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440.198412472877</v>
      </c>
      <c r="K144" s="25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451.654400601937</v>
      </c>
      <c r="L144" s="25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463.408526253293</v>
      </c>
      <c r="M144" s="25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475.468548337062</v>
      </c>
      <c r="N144" s="7" t="n">
        <f aca="false">SUM(B144:M144)</f>
        <v>4973.26902975689</v>
      </c>
      <c r="O144" s="26" t="n">
        <f aca="false">MAX(B144:M144)</f>
        <v>475.468548337062</v>
      </c>
      <c r="P144" s="15" t="n">
        <f aca="false">O144/parametros_recargas!$B$6</f>
        <v>3.16979032224708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5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3098.94130528558</v>
      </c>
      <c r="C145" s="25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3179.59001686673</v>
      </c>
      <c r="D145" s="25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3262.33757900326</v>
      </c>
      <c r="E145" s="25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3347.23861344384</v>
      </c>
      <c r="F145" s="25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3434.34916344635</v>
      </c>
      <c r="G145" s="25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3523.72673077212</v>
      </c>
      <c r="H145" s="25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3615.43031364286</v>
      </c>
      <c r="I145" s="25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3709.52044568551</v>
      </c>
      <c r="J145" s="25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3806.05923589047</v>
      </c>
      <c r="K145" s="25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3905.11040960989</v>
      </c>
      <c r="L145" s="25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4006.73935062275</v>
      </c>
      <c r="M145" s="25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4111.01314429482</v>
      </c>
      <c r="N145" s="7" t="n">
        <f aca="false">SUM(B145:M145)</f>
        <v>43000.0563085642</v>
      </c>
      <c r="O145" s="26" t="n">
        <f aca="false">MAX(B145:M145)</f>
        <v>4111.01314429482</v>
      </c>
      <c r="P145" s="15" t="n">
        <f aca="false">O145/parametros_recargas!$B$6</f>
        <v>27.4067542952988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5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4.56576436266471</v>
      </c>
      <c r="C146" s="25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4.6845865593304</v>
      </c>
      <c r="D146" s="25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4.80650105627682</v>
      </c>
      <c r="E146" s="25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4.93158832938554</v>
      </c>
      <c r="F146" s="25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5.05993094889086</v>
      </c>
      <c r="G146" s="25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5.19161363388448</v>
      </c>
      <c r="H146" s="25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5.32672330823868</v>
      </c>
      <c r="I146" s="25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5.46534915798486</v>
      </c>
      <c r="J146" s="25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5.60758269018529</v>
      </c>
      <c r="K146" s="25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5.75351779333709</v>
      </c>
      <c r="L146" s="25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5.90325079934802</v>
      </c>
      <c r="M146" s="25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6.05688054712537</v>
      </c>
      <c r="N146" s="7" t="n">
        <f aca="false">SUM(B146:M146)</f>
        <v>63.3532891866521</v>
      </c>
      <c r="O146" s="26" t="n">
        <f aca="false">MAX(B146:M146)</f>
        <v>6.05688054712537</v>
      </c>
      <c r="P146" s="15" t="n">
        <f aca="false">O146/parametros_recargas!$B$6</f>
        <v>0.0403792036475025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5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4.26310277680658</v>
      </c>
      <c r="C147" s="25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4.37404832640478</v>
      </c>
      <c r="D147" s="25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4.48788118968508</v>
      </c>
      <c r="E147" s="25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4.60467650783455</v>
      </c>
      <c r="F147" s="25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4.72451137755973</v>
      </c>
      <c r="G147" s="25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4.84746490197815</v>
      </c>
      <c r="H147" s="25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4.97361824283446</v>
      </c>
      <c r="I147" s="25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5.10305467407533</v>
      </c>
      <c r="J147" s="25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5.2358596368187</v>
      </c>
      <c r="K147" s="25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5.37212079575352</v>
      </c>
      <c r="L147" s="25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5.51192809700729</v>
      </c>
      <c r="M147" s="25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5.65537382751964</v>
      </c>
      <c r="N147" s="7" t="n">
        <f aca="false">SUM(B147:M147)</f>
        <v>59.1536403542778</v>
      </c>
      <c r="O147" s="26" t="n">
        <f aca="false">MAX(B147:M147)</f>
        <v>5.65537382751964</v>
      </c>
      <c r="P147" s="15" t="n">
        <f aca="false">O147/parametros_recargas!$B$6</f>
        <v>0.0377024921834643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5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163.960869179247</v>
      </c>
      <c r="C148" s="25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168.227885410396</v>
      </c>
      <c r="D148" s="25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172.605949037231</v>
      </c>
      <c r="E148" s="25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177.09795002394</v>
      </c>
      <c r="F148" s="25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181.706853544872</v>
      </c>
      <c r="G148" s="25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186.43570194186</v>
      </c>
      <c r="H148" s="25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191.287616732467</v>
      </c>
      <c r="I148" s="25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196.265800670508</v>
      </c>
      <c r="J148" s="25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201.373539860186</v>
      </c>
      <c r="K148" s="25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206.614205925258</v>
      </c>
      <c r="L148" s="25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211.991258234643</v>
      </c>
      <c r="M148" s="25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217.508246185957</v>
      </c>
      <c r="N148" s="7" t="n">
        <f aca="false">SUM(B148:M148)</f>
        <v>2275.07587674656</v>
      </c>
      <c r="O148" s="26" t="n">
        <f aca="false">MAX(B148:M148)</f>
        <v>217.508246185957</v>
      </c>
      <c r="P148" s="15" t="n">
        <f aca="false">O148/parametros_recargas!$B$6</f>
        <v>1.45005497457305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5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90.1457148847468</v>
      </c>
      <c r="C149" s="25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92.4917211636062</v>
      </c>
      <c r="D149" s="25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94.898781320262</v>
      </c>
      <c r="E149" s="25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97.368484257535</v>
      </c>
      <c r="F149" s="25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99.9024602288082</v>
      </c>
      <c r="G149" s="25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102.502381914159</v>
      </c>
      <c r="H149" s="25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105.169965524496</v>
      </c>
      <c r="I149" s="25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107.906971934433</v>
      </c>
      <c r="J149" s="25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110.715207844642</v>
      </c>
      <c r="K149" s="25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113.596526974463</v>
      </c>
      <c r="L149" s="25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116.552831285538</v>
      </c>
      <c r="M149" s="25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119.586072237304</v>
      </c>
      <c r="N149" s="7" t="n">
        <f aca="false">SUM(B149:M149)</f>
        <v>1250.83711956999</v>
      </c>
      <c r="O149" s="26" t="n">
        <f aca="false">MAX(B149:M149)</f>
        <v>119.586072237304</v>
      </c>
      <c r="P149" s="15" t="n">
        <f aca="false">O149/parametros_recargas!$B$6</f>
        <v>0.797240481582029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5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3107.77017242505</v>
      </c>
      <c r="C150" s="25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3188.64865175246</v>
      </c>
      <c r="D150" s="25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3271.63196124922</v>
      </c>
      <c r="E150" s="25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3356.77487828106</v>
      </c>
      <c r="F150" s="25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3444.1336057728</v>
      </c>
      <c r="G150" s="25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3533.76580930798</v>
      </c>
      <c r="H150" s="25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3625.73065519393</v>
      </c>
      <c r="I150" s="25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3720.08884951757</v>
      </c>
      <c r="J150" s="25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3816.90267821748</v>
      </c>
      <c r="K150" s="25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3916.23604819898</v>
      </c>
      <c r="L150" s="25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4018.1545295191</v>
      </c>
      <c r="M150" s="25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4122.72539866947</v>
      </c>
      <c r="N150" s="7" t="n">
        <f aca="false">SUM(B150:M150)</f>
        <v>43122.5632381051</v>
      </c>
      <c r="O150" s="26" t="n">
        <f aca="false">MAX(B150:M150)</f>
        <v>4122.72539866947</v>
      </c>
      <c r="P150" s="15" t="n">
        <f aca="false">O150/parametros_recargas!$B$6</f>
        <v>27.4848359911298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5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3107.77017242505</v>
      </c>
      <c r="C151" s="25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3188.64865175246</v>
      </c>
      <c r="D151" s="25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3271.63196124922</v>
      </c>
      <c r="E151" s="25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3356.77487828106</v>
      </c>
      <c r="F151" s="25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3444.1336057728</v>
      </c>
      <c r="G151" s="25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3533.76580930798</v>
      </c>
      <c r="H151" s="25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3625.73065519393</v>
      </c>
      <c r="I151" s="25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3720.08884951757</v>
      </c>
      <c r="J151" s="25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3816.90267821748</v>
      </c>
      <c r="K151" s="25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3916.23604819898</v>
      </c>
      <c r="L151" s="25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4018.1545295191</v>
      </c>
      <c r="M151" s="25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4122.72539866947</v>
      </c>
      <c r="N151" s="7" t="n">
        <f aca="false">SUM(B151:M151)</f>
        <v>43122.5632381051</v>
      </c>
      <c r="O151" s="26" t="n">
        <f aca="false">MAX(B151:M151)</f>
        <v>4122.72539866947</v>
      </c>
      <c r="P151" s="15" t="n">
        <f aca="false">O151/parametros_recargas!$B$6</f>
        <v>27.4848359911298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5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242.065820218426</v>
      </c>
      <c r="C152" s="25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248.365486651331</v>
      </c>
      <c r="D152" s="25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254.829099390782</v>
      </c>
      <c r="E152" s="25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261.460925074024</v>
      </c>
      <c r="F152" s="25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268.265341375833</v>
      </c>
      <c r="G152" s="25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275.246839898228</v>
      </c>
      <c r="H152" s="25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282.410029135376</v>
      </c>
      <c r="I152" s="25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289.759637515669</v>
      </c>
      <c r="J152" s="25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297.300516522962</v>
      </c>
      <c r="K152" s="25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305.037643899041</v>
      </c>
      <c r="L152" s="25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312.976126929438</v>
      </c>
      <c r="M152" s="25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321.121205814755</v>
      </c>
      <c r="N152" s="7" t="n">
        <f aca="false">SUM(B152:M152)</f>
        <v>3358.83867242586</v>
      </c>
      <c r="O152" s="26" t="n">
        <f aca="false">MAX(B152:M152)</f>
        <v>321.121205814755</v>
      </c>
      <c r="P152" s="15" t="n">
        <f aca="false">O152/parametros_recargas!$B$6</f>
        <v>2.14080803876503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5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2.98352196855692</v>
      </c>
      <c r="C153" s="25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3.0611669379301</v>
      </c>
      <c r="D153" s="25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3.14083258666562</v>
      </c>
      <c r="E153" s="25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3.22257150213802</v>
      </c>
      <c r="F153" s="25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3.3064376402873</v>
      </c>
      <c r="G153" s="25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3.39248636123525</v>
      </c>
      <c r="H153" s="25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3.48077446582877</v>
      </c>
      <c r="I153" s="25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3.57136023313416</v>
      </c>
      <c r="J153" s="25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3.66430345890716</v>
      </c>
      <c r="K153" s="25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3.75966549506421</v>
      </c>
      <c r="L153" s="25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3.85750929018091</v>
      </c>
      <c r="M153" s="25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3.95789943104443</v>
      </c>
      <c r="N153" s="7" t="n">
        <f aca="false">SUM(B153:M153)</f>
        <v>41.3985293709728</v>
      </c>
      <c r="O153" s="26" t="n">
        <f aca="false">MAX(B153:M153)</f>
        <v>3.95789943104443</v>
      </c>
      <c r="P153" s="15" t="n">
        <f aca="false">O153/parametros_recargas!$B$6</f>
        <v>0.0263859962069629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5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219.290567303413</v>
      </c>
      <c r="C154" s="25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224.997516862205</v>
      </c>
      <c r="D154" s="25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230.852987507275</v>
      </c>
      <c r="E154" s="25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236.860844440662</v>
      </c>
      <c r="F154" s="25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243.025053454748</v>
      </c>
      <c r="G154" s="25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249.349683550076</v>
      </c>
      <c r="H154" s="25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255.83890962131</v>
      </c>
      <c r="I154" s="25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262.497015213079</v>
      </c>
      <c r="J154" s="25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269.328395347554</v>
      </c>
      <c r="K154" s="25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276.337559425606</v>
      </c>
      <c r="L154" s="25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283.529134203464</v>
      </c>
      <c r="M154" s="25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290.907866846844</v>
      </c>
      <c r="N154" s="7" t="n">
        <f aca="false">SUM(B154:M154)</f>
        <v>3042.81553377623</v>
      </c>
      <c r="O154" s="26" t="n">
        <f aca="false">MAX(B154:M154)</f>
        <v>290.907866846844</v>
      </c>
      <c r="P154" s="15" t="n">
        <f aca="false">O154/parametros_recargas!$B$6</f>
        <v>1.93938577897896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5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3584.15084576101</v>
      </c>
      <c r="C155" s="25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3677.4269421266</v>
      </c>
      <c r="D155" s="25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3773.13051170066</v>
      </c>
      <c r="E155" s="25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3871.32472850534</v>
      </c>
      <c r="F155" s="25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3972.07441064152</v>
      </c>
      <c r="G155" s="25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4075.44606307531</v>
      </c>
      <c r="H155" s="25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4181.50792153804</v>
      </c>
      <c r="I155" s="25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4290.32999756872</v>
      </c>
      <c r="J155" s="25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4401.98412472877</v>
      </c>
      <c r="K155" s="25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4516.54400601937</v>
      </c>
      <c r="L155" s="25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4634.08526253293</v>
      </c>
      <c r="M155" s="25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4754.68548337062</v>
      </c>
      <c r="N155" s="7" t="n">
        <f aca="false">SUM(B155:M155)</f>
        <v>49732.6902975689</v>
      </c>
      <c r="O155" s="26" t="n">
        <f aca="false">MAX(B155:M155)</f>
        <v>4754.68548337062</v>
      </c>
      <c r="P155" s="15" t="n">
        <f aca="false">O155/parametros_recargas!$B$6</f>
        <v>31.6979032224708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5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3584.15084576101</v>
      </c>
      <c r="C156" s="25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3677.4269421266</v>
      </c>
      <c r="D156" s="25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3773.13051170066</v>
      </c>
      <c r="E156" s="25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3871.32472850534</v>
      </c>
      <c r="F156" s="25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3972.07441064152</v>
      </c>
      <c r="G156" s="25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4075.44606307531</v>
      </c>
      <c r="H156" s="25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4181.50792153804</v>
      </c>
      <c r="I156" s="25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4290.32999756872</v>
      </c>
      <c r="J156" s="25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4401.98412472877</v>
      </c>
      <c r="K156" s="25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4516.54400601937</v>
      </c>
      <c r="L156" s="25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4634.08526253293</v>
      </c>
      <c r="M156" s="25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4754.68548337062</v>
      </c>
      <c r="N156" s="7" t="n">
        <f aca="false">SUM(B156:M156)</f>
        <v>49732.6902975689</v>
      </c>
      <c r="O156" s="26" t="n">
        <f aca="false">MAX(B156:M156)</f>
        <v>4754.68548337062</v>
      </c>
      <c r="P156" s="15" t="n">
        <f aca="false">O156/parametros_recargas!$B$6</f>
        <v>31.6979032224708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5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281.723972389506</v>
      </c>
      <c r="C157" s="25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289.055726416594</v>
      </c>
      <c r="D157" s="25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296.57828641826</v>
      </c>
      <c r="E157" s="25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304.296618043897</v>
      </c>
      <c r="F157" s="25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312.215816171943</v>
      </c>
      <c r="G157" s="25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320.341108273016</v>
      </c>
      <c r="H157" s="25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328.677857860571</v>
      </c>
      <c r="I157" s="25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337.231568031363</v>
      </c>
      <c r="J157" s="25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346.007885098044</v>
      </c>
      <c r="K157" s="25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355.012602316302</v>
      </c>
      <c r="L157" s="25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364.251663708993</v>
      </c>
      <c r="M157" s="25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373.731167989799</v>
      </c>
      <c r="N157" s="7" t="n">
        <f aca="false">SUM(B157:M157)</f>
        <v>3909.12427271829</v>
      </c>
      <c r="O157" s="26" t="n">
        <f aca="false">MAX(B157:M157)</f>
        <v>373.731167989799</v>
      </c>
      <c r="P157" s="15" t="n">
        <f aca="false">O157/parametros_recargas!$B$6</f>
        <v>2.49154111993199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5" t="n">
        <f aca="false">'Plan mensual'!D157</f>
        <v>122.157922873114</v>
      </c>
      <c r="C158" s="25" t="n">
        <f aca="false">'Plan mensual'!E157</f>
        <v>125.337034098081</v>
      </c>
      <c r="D158" s="25" t="n">
        <f aca="false">'Plan mensual'!F157</f>
        <v>128.598880424816</v>
      </c>
      <c r="E158" s="25" t="n">
        <f aca="false">'Plan mensual'!G157</f>
        <v>131.945615001347</v>
      </c>
      <c r="F158" s="25" t="n">
        <f aca="false">'Plan mensual'!H157</f>
        <v>135.379447010521</v>
      </c>
      <c r="G158" s="25" t="n">
        <f aca="false">'Plan mensual'!I157</f>
        <v>138.902643128287</v>
      </c>
      <c r="H158" s="25" t="n">
        <f aca="false">'Plan mensual'!J157</f>
        <v>142.517529019932</v>
      </c>
      <c r="I158" s="25" t="n">
        <f aca="false">'Plan mensual'!K157</f>
        <v>146.226490875254</v>
      </c>
      <c r="J158" s="25" t="n">
        <f aca="false">'Plan mensual'!L157</f>
        <v>150.03197698369</v>
      </c>
      <c r="K158" s="25" t="n">
        <f aca="false">'Plan mensual'!M157</f>
        <v>153.936499350432</v>
      </c>
      <c r="L158" s="25" t="n">
        <f aca="false">'Plan mensual'!N157</f>
        <v>157.942635354605</v>
      </c>
      <c r="M158" s="25" t="n">
        <f aca="false">'Plan mensual'!O157</f>
        <v>162.0530294506</v>
      </c>
      <c r="N158" s="7" t="n">
        <f aca="false">SUM(B158:M158)</f>
        <v>1695.02970357068</v>
      </c>
      <c r="O158" s="26" t="n">
        <f aca="false">MAX(B158:M158)</f>
        <v>162.0530294506</v>
      </c>
      <c r="P158" s="15" t="n">
        <f aca="false">O158/parametros_recargas!$B$6</f>
        <v>1.08035352967067</v>
      </c>
    </row>
    <row r="161" customFormat="false" ht="23.85" hidden="false" customHeight="false" outlineLevel="0" collapsed="false">
      <c r="A161" s="3" t="s">
        <v>283</v>
      </c>
      <c r="B161" s="3" t="s">
        <v>124</v>
      </c>
      <c r="C161" s="3" t="s">
        <v>125</v>
      </c>
      <c r="D161" s="3" t="s">
        <v>126</v>
      </c>
      <c r="E161" s="3" t="s">
        <v>127</v>
      </c>
      <c r="F161" s="3" t="s">
        <v>128</v>
      </c>
      <c r="G161" s="3" t="s">
        <v>129</v>
      </c>
      <c r="H161" s="3" t="s">
        <v>130</v>
      </c>
      <c r="I161" s="3" t="s">
        <v>131</v>
      </c>
      <c r="J161" s="3" t="s">
        <v>132</v>
      </c>
      <c r="K161" s="3" t="s">
        <v>133</v>
      </c>
      <c r="L161" s="3" t="s">
        <v>134</v>
      </c>
      <c r="M161" s="3" t="s">
        <v>135</v>
      </c>
      <c r="N161" s="3" t="s">
        <v>276</v>
      </c>
      <c r="O161" s="3" t="s">
        <v>277</v>
      </c>
      <c r="P161" s="3" t="s">
        <v>278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5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5093.75688443841</v>
      </c>
      <c r="C162" s="25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5186.57658781864</v>
      </c>
      <c r="D162" s="25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5281.08767489288</v>
      </c>
      <c r="E162" s="25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5377.32096647499</v>
      </c>
      <c r="F162" s="25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5475.30784500336</v>
      </c>
      <c r="G162" s="25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5575.08026477495</v>
      </c>
      <c r="H162" s="25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5676.67076236589</v>
      </c>
      <c r="I162" s="25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5780.11246724186</v>
      </c>
      <c r="J162" s="25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5885.4391125619</v>
      </c>
      <c r="K162" s="25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5992.68504617906</v>
      </c>
      <c r="L162" s="25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6101.88524184147</v>
      </c>
      <c r="M162" s="25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6213.07531059765</v>
      </c>
      <c r="N162" s="7" t="n">
        <f aca="false">SUM(B162:M162)</f>
        <v>67638.9981641911</v>
      </c>
      <c r="O162" s="26" t="n">
        <f aca="false">MAX(B162:M162)</f>
        <v>6213.07531059765</v>
      </c>
      <c r="P162" s="15" t="n">
        <f aca="false">O162/parametros_recargas!$B$6</f>
        <v>41.420502070651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5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5093.75688443841</v>
      </c>
      <c r="C163" s="25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5186.57658781864</v>
      </c>
      <c r="D163" s="25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5281.08767489288</v>
      </c>
      <c r="E163" s="25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5377.32096647499</v>
      </c>
      <c r="F163" s="25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5475.30784500336</v>
      </c>
      <c r="G163" s="25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5575.08026477495</v>
      </c>
      <c r="H163" s="25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5676.67076236589</v>
      </c>
      <c r="I163" s="25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5780.11246724186</v>
      </c>
      <c r="J163" s="25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5885.4391125619</v>
      </c>
      <c r="K163" s="25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5992.68504617906</v>
      </c>
      <c r="L163" s="25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6101.88524184147</v>
      </c>
      <c r="M163" s="25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6213.07531059765</v>
      </c>
      <c r="N163" s="7" t="n">
        <f aca="false">SUM(B163:M163)</f>
        <v>67638.9981641911</v>
      </c>
      <c r="O163" s="26" t="n">
        <f aca="false">MAX(B163:M163)</f>
        <v>6213.07531059765</v>
      </c>
      <c r="P163" s="15" t="n">
        <f aca="false">O163/parametros_recargas!$B$6</f>
        <v>41.420502070651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5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3758.07584216873</v>
      </c>
      <c r="C164" s="25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3826.55643377611</v>
      </c>
      <c r="D164" s="25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3896.28489573626</v>
      </c>
      <c r="E164" s="25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3967.28396705275</v>
      </c>
      <c r="F164" s="25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4039.57680108493</v>
      </c>
      <c r="G164" s="25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4113.1869730984</v>
      </c>
      <c r="H164" s="25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4188.13848795314</v>
      </c>
      <c r="I164" s="25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4264.45578793162</v>
      </c>
      <c r="J164" s="25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4342.16376070967</v>
      </c>
      <c r="K164" s="25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4421.28774747251</v>
      </c>
      <c r="L164" s="25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4501.85355117876</v>
      </c>
      <c r="M164" s="25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4583.88744497496</v>
      </c>
      <c r="N164" s="7" t="n">
        <f aca="false">SUM(B164:M164)</f>
        <v>49902.7516931378</v>
      </c>
      <c r="O164" s="26" t="n">
        <f aca="false">MAX(B164:M164)</f>
        <v>4583.88744497496</v>
      </c>
      <c r="P164" s="15" t="n">
        <f aca="false">O164/parametros_recargas!$B$6</f>
        <v>30.5592496331664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5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442.126569666909</v>
      </c>
      <c r="C165" s="25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450.183109856013</v>
      </c>
      <c r="D165" s="25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458.386458321913</v>
      </c>
      <c r="E165" s="25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466.7392902415</v>
      </c>
      <c r="F165" s="25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475.244329539403</v>
      </c>
      <c r="G165" s="25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483.904349776283</v>
      </c>
      <c r="H165" s="25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492.722175053311</v>
      </c>
      <c r="I165" s="25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501.700680933132</v>
      </c>
      <c r="J165" s="25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510.842795377608</v>
      </c>
      <c r="K165" s="25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520.151499702648</v>
      </c>
      <c r="L165" s="25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529.629829550443</v>
      </c>
      <c r="M165" s="25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539.280875879407</v>
      </c>
      <c r="N165" s="7" t="n">
        <f aca="false">SUM(B165:M165)</f>
        <v>5870.91196389857</v>
      </c>
      <c r="O165" s="26" t="n">
        <f aca="false">MAX(B165:M165)</f>
        <v>539.280875879407</v>
      </c>
      <c r="P165" s="15" t="n">
        <f aca="false">O165/parametros_recargas!$B$6</f>
        <v>3.59520583919604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5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6.33547628930975</v>
      </c>
      <c r="C166" s="25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6.45092291216345</v>
      </c>
      <c r="D166" s="25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6.56847323205897</v>
      </c>
      <c r="E166" s="25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6.68816558308642</v>
      </c>
      <c r="F166" s="25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6.81003899786922</v>
      </c>
      <c r="G166" s="25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6.93413322029298</v>
      </c>
      <c r="H166" s="25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7.06048871846621</v>
      </c>
      <c r="I166" s="25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7.18914669791741</v>
      </c>
      <c r="J166" s="25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7.32014911503242</v>
      </c>
      <c r="K166" s="25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7.45353869073677</v>
      </c>
      <c r="L166" s="25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7.58935892442732</v>
      </c>
      <c r="M166" s="25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7.72765410815773</v>
      </c>
      <c r="N166" s="7" t="n">
        <f aca="false">SUM(B166:M166)</f>
        <v>84.1275464895187</v>
      </c>
      <c r="O166" s="26" t="n">
        <f aca="false">MAX(B166:M166)</f>
        <v>7.72765410815773</v>
      </c>
      <c r="P166" s="15" t="n">
        <f aca="false">O166/parametros_recargas!$B$6</f>
        <v>0.0515176940543848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5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226.632332168904</v>
      </c>
      <c r="C167" s="25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230.76208282751</v>
      </c>
      <c r="D167" s="25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234.967086828562</v>
      </c>
      <c r="E167" s="25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239.248715457163</v>
      </c>
      <c r="F167" s="25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243.608364986311</v>
      </c>
      <c r="G167" s="25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248.047457132238</v>
      </c>
      <c r="H167" s="25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252.567439518043</v>
      </c>
      <c r="I167" s="25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257.169786145772</v>
      </c>
      <c r="J167" s="25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261.855997877104</v>
      </c>
      <c r="K167" s="25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266.62760292279</v>
      </c>
      <c r="L167" s="25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271.48615734102</v>
      </c>
      <c r="M167" s="25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276.433245544859</v>
      </c>
      <c r="N167" s="7" t="n">
        <f aca="false">SUM(B167:M167)</f>
        <v>3009.40626875028</v>
      </c>
      <c r="O167" s="26" t="n">
        <f aca="false">MAX(B167:M167)</f>
        <v>276.433245544859</v>
      </c>
      <c r="P167" s="15" t="n">
        <f aca="false">O167/parametros_recargas!$B$6</f>
        <v>1.8428883036324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5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104.399349604424</v>
      </c>
      <c r="C168" s="25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106.301740488641</v>
      </c>
      <c r="D168" s="25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108.238797212157</v>
      </c>
      <c r="E168" s="25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110.211151464508</v>
      </c>
      <c r="F168" s="25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112.219446446033</v>
      </c>
      <c r="G168" s="25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114.264337077629</v>
      </c>
      <c r="H168" s="25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116.346490214322</v>
      </c>
      <c r="I168" s="25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118.466584862737</v>
      </c>
      <c r="J168" s="25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120.625312402526</v>
      </c>
      <c r="K168" s="25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122.823376811834</v>
      </c>
      <c r="L168" s="25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125.061494896868</v>
      </c>
      <c r="M168" s="25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127.34039652566</v>
      </c>
      <c r="N168" s="7" t="n">
        <f aca="false">SUM(B168:M168)</f>
        <v>1386.29847800734</v>
      </c>
      <c r="O168" s="26" t="n">
        <f aca="false">MAX(B168:M168)</f>
        <v>127.34039652566</v>
      </c>
      <c r="P168" s="15" t="n">
        <f aca="false">O168/parametros_recargas!$B$6</f>
        <v>0.848935976837734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5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4.09355296490752</v>
      </c>
      <c r="C169" s="25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4.16814670398737</v>
      </c>
      <c r="D169" s="25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4.24409970871191</v>
      </c>
      <c r="E169" s="25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4.32143674795739</v>
      </c>
      <c r="F169" s="25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4.40018304194469</v>
      </c>
      <c r="G169" s="25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4.48036427046381</v>
      </c>
      <c r="H169" s="25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4.56200658124828</v>
      </c>
      <c r="I169" s="25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4.64513659850209</v>
      </c>
      <c r="J169" s="25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4.72978143158214</v>
      </c>
      <c r="K169" s="25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4.81596868383871</v>
      </c>
      <c r="L169" s="25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4.90372646161724</v>
      </c>
      <c r="M169" s="25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4.99308338342394</v>
      </c>
      <c r="N169" s="7" t="n">
        <f aca="false">SUM(B169:M169)</f>
        <v>54.3574865781851</v>
      </c>
      <c r="O169" s="26" t="n">
        <f aca="false">MAX(B169:M169)</f>
        <v>4.99308338342394</v>
      </c>
      <c r="P169" s="15" t="n">
        <f aca="false">O169/parametros_recargas!$B$6</f>
        <v>0.0332872225561596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5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4433.15294199218</v>
      </c>
      <c r="C170" s="25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4513.93495622062</v>
      </c>
      <c r="D170" s="25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4596.18900038084</v>
      </c>
      <c r="E170" s="25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4679.94189816797</v>
      </c>
      <c r="F170" s="25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4765.22096206513</v>
      </c>
      <c r="G170" s="25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4852.05400225034</v>
      </c>
      <c r="H170" s="25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4940.46933566557</v>
      </c>
      <c r="I170" s="25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5030.49579525114</v>
      </c>
      <c r="J170" s="25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5122.16273934837</v>
      </c>
      <c r="K170" s="25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5215.50006127358</v>
      </c>
      <c r="L170" s="25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5310.53819906651</v>
      </c>
      <c r="M170" s="25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5407.30814541645</v>
      </c>
      <c r="N170" s="7" t="n">
        <f aca="false">SUM(B170:M170)</f>
        <v>58866.9680370987</v>
      </c>
      <c r="O170" s="26" t="n">
        <f aca="false">MAX(B170:M170)</f>
        <v>5407.30814541645</v>
      </c>
      <c r="P170" s="15" t="n">
        <f aca="false">O170/parametros_recargas!$B$6</f>
        <v>36.048720969443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5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335.125234738235</v>
      </c>
      <c r="C171" s="25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341.231970020138</v>
      </c>
      <c r="D171" s="25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347.449983749431</v>
      </c>
      <c r="E171" s="25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353.781303669628</v>
      </c>
      <c r="F171" s="25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360.227994474289</v>
      </c>
      <c r="G171" s="25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366.792158480331</v>
      </c>
      <c r="H171" s="25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373.475936313613</v>
      </c>
      <c r="I171" s="25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380.281507607011</v>
      </c>
      <c r="J171" s="25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387.211091711212</v>
      </c>
      <c r="K171" s="25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394.266948418463</v>
      </c>
      <c r="L171" s="25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401.451378699506</v>
      </c>
      <c r="M171" s="25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408.766725453943</v>
      </c>
      <c r="N171" s="7" t="n">
        <f aca="false">SUM(B171:M171)</f>
        <v>4450.0622333358</v>
      </c>
      <c r="O171" s="26" t="n">
        <f aca="false">MAX(B171:M171)</f>
        <v>408.766725453943</v>
      </c>
      <c r="P171" s="15" t="n">
        <f aca="false">O171/parametros_recargas!$B$6</f>
        <v>2.72511150302629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5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4.4276011729584</v>
      </c>
      <c r="C172" s="25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4.50828202147229</v>
      </c>
      <c r="D172" s="25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4.59043305645118</v>
      </c>
      <c r="E172" s="25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4.67408106799808</v>
      </c>
      <c r="F172" s="25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4.7592533343919</v>
      </c>
      <c r="G172" s="25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4.84597763098312</v>
      </c>
      <c r="H172" s="25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4.93428223925158</v>
      </c>
      <c r="I172" s="25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5.02419595602924</v>
      </c>
      <c r="J172" s="25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5.11574810289111</v>
      </c>
      <c r="K172" s="25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5.20896853571722</v>
      </c>
      <c r="L172" s="25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5.30388765442885</v>
      </c>
      <c r="M172" s="25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5.40053641290222</v>
      </c>
      <c r="N172" s="7" t="n">
        <f aca="false">SUM(B172:M172)</f>
        <v>58.7932471854752</v>
      </c>
      <c r="O172" s="26" t="n">
        <f aca="false">MAX(B172:M172)</f>
        <v>5.40053641290222</v>
      </c>
      <c r="P172" s="15" t="n">
        <f aca="false">O172/parametros_recargas!$B$6</f>
        <v>0.0360035760860148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5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1086.74107653835</v>
      </c>
      <c r="C173" s="25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1106.54394241198</v>
      </c>
      <c r="D173" s="25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1126.70766102715</v>
      </c>
      <c r="E173" s="25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1147.23880793215</v>
      </c>
      <c r="F173" s="25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1168.14407849656</v>
      </c>
      <c r="G173" s="25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1189.43029009466</v>
      </c>
      <c r="H173" s="25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1211.10438432859</v>
      </c>
      <c r="I173" s="25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1233.1734292921</v>
      </c>
      <c r="J173" s="25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1255.64462187551</v>
      </c>
      <c r="K173" s="25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1278.52529011265</v>
      </c>
      <c r="L173" s="25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1301.8228955706</v>
      </c>
      <c r="M173" s="25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1325.54503578299</v>
      </c>
      <c r="N173" s="7" t="n">
        <f aca="false">SUM(B173:M173)</f>
        <v>14430.6215134633</v>
      </c>
      <c r="O173" s="26" t="n">
        <f aca="false">MAX(B173:M173)</f>
        <v>1325.54503578299</v>
      </c>
      <c r="P173" s="15" t="n">
        <f aca="false">O173/parametros_recargas!$B$6</f>
        <v>8.83696690521991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5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1017.75643987382</v>
      </c>
      <c r="C174" s="25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1036.30225056043</v>
      </c>
      <c r="D174" s="25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1055.18600761667</v>
      </c>
      <c r="E174" s="25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1074.41386918525</v>
      </c>
      <c r="F174" s="25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1093.99210562406</v>
      </c>
      <c r="G174" s="25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1113.92710155105</v>
      </c>
      <c r="H174" s="25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1134.22535792623</v>
      </c>
      <c r="I174" s="25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1154.89349417173</v>
      </c>
      <c r="J174" s="25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1175.93825033044</v>
      </c>
      <c r="K174" s="25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1197.36648926399</v>
      </c>
      <c r="L174" s="25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1219.18519889076</v>
      </c>
      <c r="M174" s="25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1241.40149446472</v>
      </c>
      <c r="N174" s="7" t="n">
        <f aca="false">SUM(B174:M174)</f>
        <v>13514.5880594591</v>
      </c>
      <c r="O174" s="26" t="n">
        <f aca="false">MAX(B174:M174)</f>
        <v>1241.40149446472</v>
      </c>
      <c r="P174" s="15" t="n">
        <f aca="false">O174/parametros_recargas!$B$6</f>
        <v>8.27600996309815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5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1017.75643987382</v>
      </c>
      <c r="C175" s="25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1036.30225056043</v>
      </c>
      <c r="D175" s="25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1055.18600761667</v>
      </c>
      <c r="E175" s="25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1074.41386918525</v>
      </c>
      <c r="F175" s="25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1093.99210562406</v>
      </c>
      <c r="G175" s="25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1113.92710155105</v>
      </c>
      <c r="H175" s="25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1134.22535792623</v>
      </c>
      <c r="I175" s="25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1154.89349417173</v>
      </c>
      <c r="J175" s="25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1175.93825033044</v>
      </c>
      <c r="K175" s="25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1197.36648926399</v>
      </c>
      <c r="L175" s="25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1219.18519889076</v>
      </c>
      <c r="M175" s="25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1241.40149446472</v>
      </c>
      <c r="N175" s="7" t="n">
        <f aca="false">SUM(B175:M175)</f>
        <v>13514.5880594591</v>
      </c>
      <c r="O175" s="26" t="n">
        <f aca="false">MAX(B175:M175)</f>
        <v>1241.40149446472</v>
      </c>
      <c r="P175" s="15" t="n">
        <f aca="false">O175/parametros_recargas!$B$6</f>
        <v>8.27600996309815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5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509.375688443841</v>
      </c>
      <c r="C176" s="25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518.657658781864</v>
      </c>
      <c r="D176" s="25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528.108767489288</v>
      </c>
      <c r="E176" s="25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537.732096647499</v>
      </c>
      <c r="F176" s="25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547.530784500336</v>
      </c>
      <c r="G176" s="25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557.508026477495</v>
      </c>
      <c r="H176" s="25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567.667076236589</v>
      </c>
      <c r="I176" s="25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578.011246724186</v>
      </c>
      <c r="J176" s="25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588.54391125619</v>
      </c>
      <c r="K176" s="25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599.268504617906</v>
      </c>
      <c r="L176" s="25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610.188524184148</v>
      </c>
      <c r="M176" s="25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621.307531059765</v>
      </c>
      <c r="N176" s="7" t="n">
        <f aca="false">SUM(B176:M176)</f>
        <v>6763.89981641911</v>
      </c>
      <c r="O176" s="26" t="n">
        <f aca="false">MAX(B176:M176)</f>
        <v>621.307531059765</v>
      </c>
      <c r="P176" s="15" t="n">
        <f aca="false">O176/parametros_recargas!$B$6</f>
        <v>4.1420502070651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5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4421.26569666909</v>
      </c>
      <c r="C177" s="25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4501.83109856013</v>
      </c>
      <c r="D177" s="25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4583.86458321913</v>
      </c>
      <c r="E177" s="25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4667.392902415</v>
      </c>
      <c r="F177" s="25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4752.44329539403</v>
      </c>
      <c r="G177" s="25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4839.04349776283</v>
      </c>
      <c r="H177" s="25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4927.22175053311</v>
      </c>
      <c r="I177" s="25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5017.00680933132</v>
      </c>
      <c r="J177" s="25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5108.42795377608</v>
      </c>
      <c r="K177" s="25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5201.51499702648</v>
      </c>
      <c r="L177" s="25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5296.29829550443</v>
      </c>
      <c r="M177" s="25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5392.80875879407</v>
      </c>
      <c r="N177" s="7" t="n">
        <f aca="false">SUM(B177:M177)</f>
        <v>58709.1196389857</v>
      </c>
      <c r="O177" s="26" t="n">
        <f aca="false">MAX(B177:M177)</f>
        <v>5392.80875879407</v>
      </c>
      <c r="P177" s="15" t="n">
        <f aca="false">O177/parametros_recargas!$B$6</f>
        <v>35.9520583919604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5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6.33547628930975</v>
      </c>
      <c r="C178" s="25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6.45092291216345</v>
      </c>
      <c r="D178" s="25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6.56847323205897</v>
      </c>
      <c r="E178" s="25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6.68816558308642</v>
      </c>
      <c r="F178" s="25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6.81003899786922</v>
      </c>
      <c r="G178" s="25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6.93413322029298</v>
      </c>
      <c r="H178" s="25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7.06048871846621</v>
      </c>
      <c r="I178" s="25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7.18914669791741</v>
      </c>
      <c r="J178" s="25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7.32014911503242</v>
      </c>
      <c r="K178" s="25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7.45353869073677</v>
      </c>
      <c r="L178" s="25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7.58935892442732</v>
      </c>
      <c r="M178" s="25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7.72765410815773</v>
      </c>
      <c r="N178" s="7" t="n">
        <f aca="false">SUM(B178:M178)</f>
        <v>84.1275464895187</v>
      </c>
      <c r="O178" s="26" t="n">
        <f aca="false">MAX(B178:M178)</f>
        <v>7.72765410815773</v>
      </c>
      <c r="P178" s="15" t="n">
        <f aca="false">O178/parametros_recargas!$B$6</f>
        <v>0.0515176940543848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5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5.55176903378017</v>
      </c>
      <c r="C179" s="25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5.65293474832876</v>
      </c>
      <c r="D179" s="25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5.75594392966026</v>
      </c>
      <c r="E179" s="25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5.86083016988434</v>
      </c>
      <c r="F179" s="25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5.96762767323447</v>
      </c>
      <c r="G179" s="25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6.07637126722214</v>
      </c>
      <c r="H179" s="25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6.18709641399441</v>
      </c>
      <c r="I179" s="25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6.29983922189839</v>
      </c>
      <c r="J179" s="25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6.41463645725648</v>
      </c>
      <c r="K179" s="25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6.53152555635611</v>
      </c>
      <c r="L179" s="25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6.65054463765806</v>
      </c>
      <c r="M179" s="25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6.77173251422718</v>
      </c>
      <c r="N179" s="7" t="n">
        <f aca="false">SUM(B179:M179)</f>
        <v>73.7208516235008</v>
      </c>
      <c r="O179" s="26" t="n">
        <f aca="false">MAX(B179:M179)</f>
        <v>6.77173251422718</v>
      </c>
      <c r="P179" s="15" t="n">
        <f aca="false">O179/parametros_recargas!$B$6</f>
        <v>0.0451448834281812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5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226.632332168904</v>
      </c>
      <c r="C180" s="25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230.76208282751</v>
      </c>
      <c r="D180" s="25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234.967086828562</v>
      </c>
      <c r="E180" s="25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239.248715457163</v>
      </c>
      <c r="F180" s="25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243.608364986311</v>
      </c>
      <c r="G180" s="25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248.047457132238</v>
      </c>
      <c r="H180" s="25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252.567439518043</v>
      </c>
      <c r="I180" s="25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257.169786145772</v>
      </c>
      <c r="J180" s="25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261.855997877104</v>
      </c>
      <c r="K180" s="25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266.62760292279</v>
      </c>
      <c r="L180" s="25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271.48615734102</v>
      </c>
      <c r="M180" s="25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276.433245544859</v>
      </c>
      <c r="N180" s="7" t="n">
        <f aca="false">SUM(B180:M180)</f>
        <v>3009.40626875028</v>
      </c>
      <c r="O180" s="26" t="n">
        <f aca="false">MAX(B180:M180)</f>
        <v>276.433245544859</v>
      </c>
      <c r="P180" s="15" t="n">
        <f aca="false">O180/parametros_recargas!$B$6</f>
        <v>1.8428883036324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5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125.279219525309</v>
      </c>
      <c r="C181" s="25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127.562088586369</v>
      </c>
      <c r="D181" s="25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129.886556654588</v>
      </c>
      <c r="E181" s="25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132.253381757409</v>
      </c>
      <c r="F181" s="25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134.66333573524</v>
      </c>
      <c r="G181" s="25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137.117204493155</v>
      </c>
      <c r="H181" s="25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139.615788257186</v>
      </c>
      <c r="I181" s="25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142.159901835284</v>
      </c>
      <c r="J181" s="25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144.750374883031</v>
      </c>
      <c r="K181" s="25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147.3880521742</v>
      </c>
      <c r="L181" s="25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150.073793876242</v>
      </c>
      <c r="M181" s="25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152.808475830792</v>
      </c>
      <c r="N181" s="7" t="n">
        <f aca="false">SUM(B181:M181)</f>
        <v>1663.55817360881</v>
      </c>
      <c r="O181" s="26" t="n">
        <f aca="false">MAX(B181:M181)</f>
        <v>152.808475830792</v>
      </c>
      <c r="P181" s="15" t="n">
        <f aca="false">O181/parametros_recargas!$B$6</f>
        <v>1.01872317220528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5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4433.15294199218</v>
      </c>
      <c r="C182" s="25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4513.93495622062</v>
      </c>
      <c r="D182" s="25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4596.18900038084</v>
      </c>
      <c r="E182" s="25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4679.94189816797</v>
      </c>
      <c r="F182" s="25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4765.22096206513</v>
      </c>
      <c r="G182" s="25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4852.05400225034</v>
      </c>
      <c r="H182" s="25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4940.46933566557</v>
      </c>
      <c r="I182" s="25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5030.49579525114</v>
      </c>
      <c r="J182" s="25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5122.16273934837</v>
      </c>
      <c r="K182" s="25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5215.50006127358</v>
      </c>
      <c r="L182" s="25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5310.53819906651</v>
      </c>
      <c r="M182" s="25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5407.30814541645</v>
      </c>
      <c r="N182" s="7" t="n">
        <f aca="false">SUM(B182:M182)</f>
        <v>58866.9680370987</v>
      </c>
      <c r="O182" s="26" t="n">
        <f aca="false">MAX(B182:M182)</f>
        <v>5407.30814541645</v>
      </c>
      <c r="P182" s="15" t="n">
        <f aca="false">O182/parametros_recargas!$B$6</f>
        <v>36.048720969443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5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4433.15294199218</v>
      </c>
      <c r="C183" s="25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4513.93495622062</v>
      </c>
      <c r="D183" s="25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4596.18900038084</v>
      </c>
      <c r="E183" s="25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4679.94189816797</v>
      </c>
      <c r="F183" s="25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4765.22096206513</v>
      </c>
      <c r="G183" s="25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4852.05400225034</v>
      </c>
      <c r="H183" s="25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4940.46933566557</v>
      </c>
      <c r="I183" s="25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5030.49579525114</v>
      </c>
      <c r="J183" s="25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5122.16273934837</v>
      </c>
      <c r="K183" s="25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5215.50006127358</v>
      </c>
      <c r="L183" s="25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5310.53819906651</v>
      </c>
      <c r="M183" s="25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5407.30814541645</v>
      </c>
      <c r="N183" s="7" t="n">
        <f aca="false">SUM(B183:M183)</f>
        <v>58866.9680370987</v>
      </c>
      <c r="O183" s="26" t="n">
        <f aca="false">MAX(B183:M183)</f>
        <v>5407.30814541645</v>
      </c>
      <c r="P183" s="15" t="n">
        <f aca="false">O183/parametros_recargas!$B$6</f>
        <v>36.048720969443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5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335.125234738235</v>
      </c>
      <c r="C184" s="25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341.231970020138</v>
      </c>
      <c r="D184" s="25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347.449983749431</v>
      </c>
      <c r="E184" s="25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353.781303669628</v>
      </c>
      <c r="F184" s="25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360.227994474289</v>
      </c>
      <c r="G184" s="25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366.792158480331</v>
      </c>
      <c r="H184" s="25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373.475936313613</v>
      </c>
      <c r="I184" s="25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380.281507607011</v>
      </c>
      <c r="J184" s="25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387.211091711212</v>
      </c>
      <c r="K184" s="25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394.266948418463</v>
      </c>
      <c r="L184" s="25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401.451378699506</v>
      </c>
      <c r="M184" s="25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408.766725453943</v>
      </c>
      <c r="N184" s="7" t="n">
        <f aca="false">SUM(B184:M184)</f>
        <v>4450.0622333358</v>
      </c>
      <c r="O184" s="26" t="n">
        <f aca="false">MAX(B184:M184)</f>
        <v>408.766725453943</v>
      </c>
      <c r="P184" s="15" t="n">
        <f aca="false">O184/parametros_recargas!$B$6</f>
        <v>2.72511150302629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5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4.09355296490752</v>
      </c>
      <c r="C185" s="25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4.16814670398737</v>
      </c>
      <c r="D185" s="25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4.24409970871191</v>
      </c>
      <c r="E185" s="25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4.32143674795739</v>
      </c>
      <c r="F185" s="25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4.40018304194469</v>
      </c>
      <c r="G185" s="25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4.48036427046381</v>
      </c>
      <c r="H185" s="25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4.56200658124828</v>
      </c>
      <c r="I185" s="25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4.64513659850209</v>
      </c>
      <c r="J185" s="25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4.72978143158214</v>
      </c>
      <c r="K185" s="25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4.81596868383871</v>
      </c>
      <c r="L185" s="25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4.90372646161724</v>
      </c>
      <c r="M185" s="25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4.99308338342394</v>
      </c>
      <c r="N185" s="7" t="n">
        <f aca="false">SUM(B185:M185)</f>
        <v>54.3574865781851</v>
      </c>
      <c r="O185" s="26" t="n">
        <f aca="false">MAX(B185:M185)</f>
        <v>4.99308338342394</v>
      </c>
      <c r="P185" s="15" t="n">
        <f aca="false">O185/parametros_recargas!$B$6</f>
        <v>0.0332872225561596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5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304.59883778711</v>
      </c>
      <c r="C186" s="25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310.149313480156</v>
      </c>
      <c r="D186" s="25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315.800931320174</v>
      </c>
      <c r="E186" s="25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321.555534344494</v>
      </c>
      <c r="F186" s="25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327.414999174728</v>
      </c>
      <c r="G186" s="25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333.381236628753</v>
      </c>
      <c r="H186" s="25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339.456192343846</v>
      </c>
      <c r="I186" s="25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345.641847411169</v>
      </c>
      <c r="J186" s="25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351.940219021819</v>
      </c>
      <c r="K186" s="25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358.35336112465</v>
      </c>
      <c r="L186" s="25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364.883365096083</v>
      </c>
      <c r="M186" s="25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371.53236042212</v>
      </c>
      <c r="N186" s="7" t="n">
        <f aca="false">SUM(B186:M186)</f>
        <v>4044.7081981551</v>
      </c>
      <c r="O186" s="26" t="n">
        <f aca="false">MAX(B186:M186)</f>
        <v>371.53236042212</v>
      </c>
      <c r="P186" s="15" t="n">
        <f aca="false">O186/parametros_recargas!$B$6</f>
        <v>2.47688240281413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5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5093.75688443841</v>
      </c>
      <c r="C187" s="25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5186.57658781864</v>
      </c>
      <c r="D187" s="25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5281.08767489288</v>
      </c>
      <c r="E187" s="25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5377.32096647499</v>
      </c>
      <c r="F187" s="25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5475.30784500336</v>
      </c>
      <c r="G187" s="25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5575.08026477495</v>
      </c>
      <c r="H187" s="25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5676.67076236589</v>
      </c>
      <c r="I187" s="25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5780.11246724186</v>
      </c>
      <c r="J187" s="25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5885.4391125619</v>
      </c>
      <c r="K187" s="25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5992.68504617906</v>
      </c>
      <c r="L187" s="25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6101.88524184147</v>
      </c>
      <c r="M187" s="25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6213.07531059765</v>
      </c>
      <c r="N187" s="7" t="n">
        <f aca="false">SUM(B187:M187)</f>
        <v>67638.9981641911</v>
      </c>
      <c r="O187" s="26" t="n">
        <f aca="false">MAX(B187:M187)</f>
        <v>6213.07531059765</v>
      </c>
      <c r="P187" s="15" t="n">
        <f aca="false">O187/parametros_recargas!$B$6</f>
        <v>41.420502070651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5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5093.75688443841</v>
      </c>
      <c r="C188" s="25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5186.57658781864</v>
      </c>
      <c r="D188" s="25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5281.08767489288</v>
      </c>
      <c r="E188" s="25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5377.32096647499</v>
      </c>
      <c r="F188" s="25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5475.30784500336</v>
      </c>
      <c r="G188" s="25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5575.08026477495</v>
      </c>
      <c r="H188" s="25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5676.67076236589</v>
      </c>
      <c r="I188" s="25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5780.11246724186</v>
      </c>
      <c r="J188" s="25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5885.4391125619</v>
      </c>
      <c r="K188" s="25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5992.68504617906</v>
      </c>
      <c r="L188" s="25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6101.88524184147</v>
      </c>
      <c r="M188" s="25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6213.07531059765</v>
      </c>
      <c r="N188" s="7" t="n">
        <f aca="false">SUM(B188:M188)</f>
        <v>67638.9981641911</v>
      </c>
      <c r="O188" s="26" t="n">
        <f aca="false">MAX(B188:M188)</f>
        <v>6213.07531059765</v>
      </c>
      <c r="P188" s="15" t="n">
        <f aca="false">O188/parametros_recargas!$B$6</f>
        <v>41.420502070651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5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400.540594114778</v>
      </c>
      <c r="C189" s="25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407.839344326249</v>
      </c>
      <c r="D189" s="25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415.271094177287</v>
      </c>
      <c r="E189" s="25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422.838267220366</v>
      </c>
      <c r="F189" s="25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430.543331170533</v>
      </c>
      <c r="G189" s="25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438.388798710154</v>
      </c>
      <c r="H189" s="25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446.377228308317</v>
      </c>
      <c r="I189" s="25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454.511225055167</v>
      </c>
      <c r="J189" s="25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462.79344151145</v>
      </c>
      <c r="K189" s="25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471.226578573536</v>
      </c>
      <c r="L189" s="25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479.813386354193</v>
      </c>
      <c r="M189" s="25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488.556665079434</v>
      </c>
      <c r="N189" s="7" t="n">
        <f aca="false">SUM(B189:M189)</f>
        <v>5318.69995460146</v>
      </c>
      <c r="O189" s="26" t="n">
        <f aca="false">MAX(B189:M189)</f>
        <v>488.556665079434</v>
      </c>
      <c r="P189" s="15" t="n">
        <f aca="false">O189/parametros_recargas!$B$6</f>
        <v>3.2570444338629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5" t="n">
        <f aca="false">'Plan mensual'!D189</f>
        <v>169.546751860618</v>
      </c>
      <c r="C190" s="25" t="n">
        <f aca="false">'Plan mensual'!E189</f>
        <v>172.636274893187</v>
      </c>
      <c r="D190" s="25" t="n">
        <f aca="false">'Plan mensual'!F189</f>
        <v>175.782095981981</v>
      </c>
      <c r="E190" s="25" t="n">
        <f aca="false">'Plan mensual'!G189</f>
        <v>178.985241004165</v>
      </c>
      <c r="F190" s="25" t="n">
        <f aca="false">'Plan mensual'!H189</f>
        <v>182.246754530693</v>
      </c>
      <c r="G190" s="25" t="n">
        <f aca="false">'Plan mensual'!I189</f>
        <v>185.567700166954</v>
      </c>
      <c r="H190" s="25" t="n">
        <f aca="false">'Plan mensual'!J189</f>
        <v>188.949160899614</v>
      </c>
      <c r="I190" s="25" t="n">
        <f aca="false">'Plan mensual'!K189</f>
        <v>192.392239449795</v>
      </c>
      <c r="J190" s="25" t="n">
        <f aca="false">'Plan mensual'!L189</f>
        <v>195.898058632675</v>
      </c>
      <c r="K190" s="25" t="n">
        <f aca="false">'Plan mensual'!M189</f>
        <v>199.467761723648</v>
      </c>
      <c r="L190" s="25" t="n">
        <f aca="false">'Plan mensual'!N189</f>
        <v>203.10251283116</v>
      </c>
      <c r="M190" s="25" t="n">
        <f aca="false">'Plan mensual'!O189</f>
        <v>206.803497276326</v>
      </c>
      <c r="N190" s="7" t="n">
        <f aca="false">SUM(B190:M190)</f>
        <v>2251.37804925082</v>
      </c>
      <c r="O190" s="26" t="n">
        <f aca="false">MAX(B190:M190)</f>
        <v>206.803497276326</v>
      </c>
      <c r="P190" s="15" t="n">
        <f aca="false">O190/parametros_recargas!$B$6</f>
        <v>1.37868998184218</v>
      </c>
    </row>
    <row r="193" customFormat="false" ht="23.85" hidden="false" customHeight="false" outlineLevel="0" collapsed="false">
      <c r="A193" s="3" t="s">
        <v>284</v>
      </c>
      <c r="B193" s="3" t="s">
        <v>124</v>
      </c>
      <c r="C193" s="3" t="s">
        <v>125</v>
      </c>
      <c r="D193" s="3" t="s">
        <v>126</v>
      </c>
      <c r="E193" s="3" t="s">
        <v>127</v>
      </c>
      <c r="F193" s="3" t="s">
        <v>128</v>
      </c>
      <c r="G193" s="3" t="s">
        <v>129</v>
      </c>
      <c r="H193" s="3" t="s">
        <v>130</v>
      </c>
      <c r="I193" s="3" t="s">
        <v>131</v>
      </c>
      <c r="J193" s="3" t="s">
        <v>132</v>
      </c>
      <c r="K193" s="3" t="s">
        <v>133</v>
      </c>
      <c r="L193" s="3" t="s">
        <v>134</v>
      </c>
      <c r="M193" s="3" t="s">
        <v>135</v>
      </c>
      <c r="N193" s="3" t="s">
        <v>276</v>
      </c>
      <c r="O193" s="3" t="s">
        <v>277</v>
      </c>
      <c r="P193" s="3" t="s">
        <v>278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5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6594.69491016924</v>
      </c>
      <c r="C194" s="25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6665.55903628419</v>
      </c>
      <c r="D194" s="25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6737.18464180621</v>
      </c>
      <c r="E194" s="25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6809.57990930835</v>
      </c>
      <c r="F194" s="25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6882.7531092905</v>
      </c>
      <c r="G194" s="25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6956.71260112426</v>
      </c>
      <c r="H194" s="25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7031.46683400793</v>
      </c>
      <c r="I194" s="25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7107.02434793171</v>
      </c>
      <c r="J194" s="25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7183.39377465337</v>
      </c>
      <c r="K194" s="25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7260.5838386843</v>
      </c>
      <c r="L194" s="25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7338.60335828623</v>
      </c>
      <c r="M194" s="25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7417.46124647864</v>
      </c>
      <c r="N194" s="7" t="n">
        <f aca="false">SUM(B194:M194)</f>
        <v>83985.0176080249</v>
      </c>
      <c r="O194" s="26" t="n">
        <f aca="false">MAX(B194:M194)</f>
        <v>7417.46124647864</v>
      </c>
      <c r="P194" s="15" t="n">
        <f aca="false">O194/parametros_recargas!$B$6</f>
        <v>49.4497416431909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5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6594.69491016924</v>
      </c>
      <c r="C195" s="25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6665.55903628419</v>
      </c>
      <c r="D195" s="25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6737.18464180621</v>
      </c>
      <c r="E195" s="25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6809.57990930835</v>
      </c>
      <c r="F195" s="25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6882.7531092905</v>
      </c>
      <c r="G195" s="25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6956.71260112426</v>
      </c>
      <c r="H195" s="25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7031.46683400793</v>
      </c>
      <c r="I195" s="25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7107.02434793171</v>
      </c>
      <c r="J195" s="25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7183.39377465337</v>
      </c>
      <c r="K195" s="25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7260.5838386843</v>
      </c>
      <c r="L195" s="25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7338.60335828623</v>
      </c>
      <c r="M195" s="25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7417.46124647864</v>
      </c>
      <c r="N195" s="7" t="n">
        <f aca="false">SUM(B195:M195)</f>
        <v>83985.0176080249</v>
      </c>
      <c r="O195" s="26" t="n">
        <f aca="false">MAX(B195:M195)</f>
        <v>7417.46124647864</v>
      </c>
      <c r="P195" s="15" t="n">
        <f aca="false">O195/parametros_recargas!$B$6</f>
        <v>49.4497416431909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5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4873.27404857195</v>
      </c>
      <c r="C196" s="25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4925.64042965171</v>
      </c>
      <c r="D196" s="25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4978.56952028568</v>
      </c>
      <c r="E196" s="25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5032.06736714036</v>
      </c>
      <c r="F196" s="25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5086.14008185747</v>
      </c>
      <c r="G196" s="25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5140.79384175215</v>
      </c>
      <c r="H196" s="25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5196.03489051866</v>
      </c>
      <c r="I196" s="25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5251.86953894365</v>
      </c>
      <c r="J196" s="25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5308.30416562715</v>
      </c>
      <c r="K196" s="25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5365.34521771122</v>
      </c>
      <c r="L196" s="25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5422.99921161651</v>
      </c>
      <c r="M196" s="25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5481.27273378669</v>
      </c>
      <c r="N196" s="7" t="n">
        <f aca="false">SUM(B196:M196)</f>
        <v>62062.3110474632</v>
      </c>
      <c r="O196" s="26" t="n">
        <f aca="false">MAX(B196:M196)</f>
        <v>5481.27273378669</v>
      </c>
      <c r="P196" s="15" t="n">
        <f aca="false">O196/parametros_recargas!$B$6</f>
        <v>36.5418182252446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5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573.326358655523</v>
      </c>
      <c r="C197" s="25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579.48710937079</v>
      </c>
      <c r="D197" s="25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585.71406121008</v>
      </c>
      <c r="E197" s="25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592.007925545925</v>
      </c>
      <c r="F197" s="25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598.369421394997</v>
      </c>
      <c r="G197" s="25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604.799275500253</v>
      </c>
      <c r="H197" s="25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611.29822241396</v>
      </c>
      <c r="I197" s="25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617.867004581606</v>
      </c>
      <c r="J197" s="25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624.506372426724</v>
      </c>
      <c r="K197" s="25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631.217084436615</v>
      </c>
      <c r="L197" s="25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637.999907249001</v>
      </c>
      <c r="M197" s="25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644.85561573961</v>
      </c>
      <c r="N197" s="7" t="n">
        <f aca="false">SUM(B197:M197)</f>
        <v>7301.44835852509</v>
      </c>
      <c r="O197" s="26" t="n">
        <f aca="false">MAX(B197:M197)</f>
        <v>644.85561573961</v>
      </c>
      <c r="P197" s="15" t="n">
        <f aca="false">O197/parametros_recargas!$B$6</f>
        <v>4.29903743826407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5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8.34804529969563</v>
      </c>
      <c r="C198" s="25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8.43775027361622</v>
      </c>
      <c r="D198" s="25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8.52841918365085</v>
      </c>
      <c r="E198" s="25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8.62006238789666</v>
      </c>
      <c r="F198" s="25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8.71269035575499</v>
      </c>
      <c r="G198" s="25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8.80631366912748</v>
      </c>
      <c r="H198" s="25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8.90094302362492</v>
      </c>
      <c r="I198" s="25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8.99658922978913</v>
      </c>
      <c r="J198" s="25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9.09326321432799</v>
      </c>
      <c r="K198" s="25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9.19097602136367</v>
      </c>
      <c r="L198" s="25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9.28973881369438</v>
      </c>
      <c r="M198" s="25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9.38956287406956</v>
      </c>
      <c r="N198" s="7" t="n">
        <f aca="false">SUM(B198:M198)</f>
        <v>106.314354346611</v>
      </c>
      <c r="O198" s="26" t="n">
        <f aca="false">MAX(B198:M198)</f>
        <v>9.38956287406956</v>
      </c>
      <c r="P198" s="15" t="n">
        <f aca="false">O198/parametros_recargas!$B$6</f>
        <v>0.0625970858271304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5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290.117800435619</v>
      </c>
      <c r="C199" s="25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293.235297860187</v>
      </c>
      <c r="D199" s="25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296.38629474662</v>
      </c>
      <c r="E199" s="25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299.571151067612</v>
      </c>
      <c r="F199" s="25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302.790230663989</v>
      </c>
      <c r="G199" s="25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306.043901286273</v>
      </c>
      <c r="H199" s="25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309.332534636699</v>
      </c>
      <c r="I199" s="25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312.65650641167</v>
      </c>
      <c r="J199" s="25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316.016196344688</v>
      </c>
      <c r="K199" s="25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319.411988249724</v>
      </c>
      <c r="L199" s="25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322.844270065074</v>
      </c>
      <c r="M199" s="25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326.313433897673</v>
      </c>
      <c r="N199" s="7" t="n">
        <f aca="false">SUM(B199:M199)</f>
        <v>3694.71960566583</v>
      </c>
      <c r="O199" s="26" t="n">
        <f aca="false">MAX(B199:M199)</f>
        <v>326.313433897673</v>
      </c>
      <c r="P199" s="15" t="n">
        <f aca="false">O199/parametros_recargas!$B$6</f>
        <v>2.17542289265115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5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133.536912049599</v>
      </c>
      <c r="C200" s="25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134.971849784458</v>
      </c>
      <c r="D200" s="25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136.422206823773</v>
      </c>
      <c r="E200" s="25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137.888148857624</v>
      </c>
      <c r="F200" s="25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139.369843356536</v>
      </c>
      <c r="G200" s="25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140.867459590611</v>
      </c>
      <c r="H200" s="25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142.381168648861</v>
      </c>
      <c r="I200" s="25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143.91114345876</v>
      </c>
      <c r="J200" s="25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145.457558805993</v>
      </c>
      <c r="K200" s="25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147.02059135443</v>
      </c>
      <c r="L200" s="25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148.6004196663</v>
      </c>
      <c r="M200" s="25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150.1972242226</v>
      </c>
      <c r="N200" s="7" t="n">
        <f aca="false">SUM(B200:M200)</f>
        <v>1700.62452661955</v>
      </c>
      <c r="O200" s="26" t="n">
        <f aca="false">MAX(B200:M200)</f>
        <v>150.1972242226</v>
      </c>
      <c r="P200" s="15" t="n">
        <f aca="false">O200/parametros_recargas!$B$6</f>
        <v>1.00131482815067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5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5.34618788950197</v>
      </c>
      <c r="C201" s="25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5.40363602592018</v>
      </c>
      <c r="D201" s="25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5.46170147853568</v>
      </c>
      <c r="E201" s="25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5.52039088079754</v>
      </c>
      <c r="F201" s="25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5.5797109374354</v>
      </c>
      <c r="G201" s="25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5.63966842522543</v>
      </c>
      <c r="H201" s="25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5.70027019376447</v>
      </c>
      <c r="I201" s="25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5.7615231662526</v>
      </c>
      <c r="J201" s="25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5.82343434028401</v>
      </c>
      <c r="K201" s="25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5.88601078864641</v>
      </c>
      <c r="L201" s="25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5.94925966012907</v>
      </c>
      <c r="M201" s="25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6.01318818033944</v>
      </c>
      <c r="N201" s="7" t="n">
        <f aca="false">SUM(B201:M201)</f>
        <v>68.0849819668322</v>
      </c>
      <c r="O201" s="26" t="n">
        <f aca="false">MAX(B201:M201)</f>
        <v>6.01318818033944</v>
      </c>
      <c r="P201" s="15" t="n">
        <f aca="false">O201/parametros_recargas!$B$6</f>
        <v>0.0400879212022629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5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5749.04470997721</v>
      </c>
      <c r="C202" s="25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5810.82179518249</v>
      </c>
      <c r="D202" s="25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5873.26271385036</v>
      </c>
      <c r="E202" s="25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5936.37459928705</v>
      </c>
      <c r="F202" s="25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6000.16466145062</v>
      </c>
      <c r="G202" s="25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6064.64018777464</v>
      </c>
      <c r="H202" s="25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6129.80854400073</v>
      </c>
      <c r="I202" s="25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6195.67717501999</v>
      </c>
      <c r="J202" s="25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6262.25360572357</v>
      </c>
      <c r="K202" s="25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6329.54544186227</v>
      </c>
      <c r="L202" s="25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6397.56037091544</v>
      </c>
      <c r="M202" s="25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6466.30616296921</v>
      </c>
      <c r="N202" s="7" t="n">
        <f aca="false">SUM(B202:M202)</f>
        <v>73215.4599680136</v>
      </c>
      <c r="O202" s="26" t="n">
        <f aca="false">MAX(B202:M202)</f>
        <v>6466.30616296921</v>
      </c>
      <c r="P202" s="15" t="n">
        <f aca="false">O202/parametros_recargas!$B$6</f>
        <v>43.1087077531281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5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429.00090037472</v>
      </c>
      <c r="C203" s="25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433.610783670565</v>
      </c>
      <c r="D203" s="25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438.270203048928</v>
      </c>
      <c r="E203" s="25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442.979690806033</v>
      </c>
      <c r="F203" s="25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447.73978495796</v>
      </c>
      <c r="G203" s="25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452.551029302109</v>
      </c>
      <c r="H203" s="25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457.413973479324</v>
      </c>
      <c r="I203" s="25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462.329173036683</v>
      </c>
      <c r="J203" s="25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467.297189490965</v>
      </c>
      <c r="K203" s="25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472.3185903928</v>
      </c>
      <c r="L203" s="25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477.393949391503</v>
      </c>
      <c r="M203" s="25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482.523846300613</v>
      </c>
      <c r="N203" s="7" t="n">
        <f aca="false">SUM(B203:M203)</f>
        <v>5463.4291142522</v>
      </c>
      <c r="O203" s="26" t="n">
        <f aca="false">MAX(B203:M203)</f>
        <v>482.523846300613</v>
      </c>
      <c r="P203" s="15" t="n">
        <f aca="false">O203/parametros_recargas!$B$6</f>
        <v>3.21682564200408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5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5.74161163185493</v>
      </c>
      <c r="C204" s="25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5.80330884398151</v>
      </c>
      <c r="D204" s="25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5.86566903128445</v>
      </c>
      <c r="E204" s="25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5.92869931784715</v>
      </c>
      <c r="F204" s="25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5.99240690430572</v>
      </c>
      <c r="G204" s="25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6.05679906867166</v>
      </c>
      <c r="H204" s="25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6.12188316716323</v>
      </c>
      <c r="I204" s="25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6.18766663504585</v>
      </c>
      <c r="J204" s="25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6.25415698748157</v>
      </c>
      <c r="K204" s="25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6.32136182038751</v>
      </c>
      <c r="L204" s="25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6.38928881130371</v>
      </c>
      <c r="M204" s="25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6.45794572027017</v>
      </c>
      <c r="N204" s="7" t="n">
        <f aca="false">SUM(B204:M204)</f>
        <v>73.1207979395975</v>
      </c>
      <c r="O204" s="26" t="n">
        <f aca="false">MAX(B204:M204)</f>
        <v>6.45794572027017</v>
      </c>
      <c r="P204" s="15" t="n">
        <f aca="false">O204/parametros_recargas!$B$6</f>
        <v>0.0430529714684678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5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1405.97432216453</v>
      </c>
      <c r="C205" s="25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1421.08239661489</v>
      </c>
      <c r="D205" s="25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1436.35281678523</v>
      </c>
      <c r="E205" s="25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1451.78732718195</v>
      </c>
      <c r="F205" s="25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1467.3876910573</v>
      </c>
      <c r="G205" s="25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1483.15569061073</v>
      </c>
      <c r="H205" s="25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1499.0931271926</v>
      </c>
      <c r="I205" s="25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1515.20182150984</v>
      </c>
      <c r="J205" s="25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1531.48361383408</v>
      </c>
      <c r="K205" s="25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1547.94036421178</v>
      </c>
      <c r="L205" s="25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1564.57395267677</v>
      </c>
      <c r="M205" s="25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1581.38627946503</v>
      </c>
      <c r="N205" s="7" t="n">
        <f aca="false">SUM(B205:M205)</f>
        <v>17905.4194033047</v>
      </c>
      <c r="O205" s="26" t="n">
        <f aca="false">MAX(B205:M205)</f>
        <v>1581.38627946503</v>
      </c>
      <c r="P205" s="15" t="n">
        <f aca="false">O205/parametros_recargas!$B$6</f>
        <v>10.5425751964335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5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1318.4058690465</v>
      </c>
      <c r="C206" s="25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1332.57296563663</v>
      </c>
      <c r="D206" s="25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1346.89229655042</v>
      </c>
      <c r="E206" s="25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1361.36549764102</v>
      </c>
      <c r="F206" s="25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1375.99422233981</v>
      </c>
      <c r="G206" s="25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1390.78014184534</v>
      </c>
      <c r="H206" s="25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1405.72494531425</v>
      </c>
      <c r="I206" s="25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1420.83034005421</v>
      </c>
      <c r="J206" s="25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1436.09805171897</v>
      </c>
      <c r="K206" s="25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1451.52982450554</v>
      </c>
      <c r="L206" s="25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1467.12742135339</v>
      </c>
      <c r="M206" s="25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1482.89262414589</v>
      </c>
      <c r="N206" s="7" t="n">
        <f aca="false">SUM(B206:M206)</f>
        <v>16790.214200152</v>
      </c>
      <c r="O206" s="26" t="n">
        <f aca="false">MAX(B206:M206)</f>
        <v>1482.89262414589</v>
      </c>
      <c r="P206" s="15" t="n">
        <f aca="false">O206/parametros_recargas!$B$6</f>
        <v>9.88595082763924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5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1318.4058690465</v>
      </c>
      <c r="C207" s="25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1332.57296563663</v>
      </c>
      <c r="D207" s="25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1346.89229655042</v>
      </c>
      <c r="E207" s="25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1361.36549764102</v>
      </c>
      <c r="F207" s="25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1375.99422233981</v>
      </c>
      <c r="G207" s="25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1390.78014184534</v>
      </c>
      <c r="H207" s="25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1405.72494531425</v>
      </c>
      <c r="I207" s="25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1420.83034005421</v>
      </c>
      <c r="J207" s="25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1436.09805171897</v>
      </c>
      <c r="K207" s="25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1451.52982450554</v>
      </c>
      <c r="L207" s="25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1467.12742135339</v>
      </c>
      <c r="M207" s="25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1482.89262414589</v>
      </c>
      <c r="N207" s="7" t="n">
        <f aca="false">SUM(B207:M207)</f>
        <v>16790.214200152</v>
      </c>
      <c r="O207" s="26" t="n">
        <f aca="false">MAX(B207:M207)</f>
        <v>1482.89262414589</v>
      </c>
      <c r="P207" s="15" t="n">
        <f aca="false">O207/parametros_recargas!$B$6</f>
        <v>9.88595082763924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5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659.469491016924</v>
      </c>
      <c r="C208" s="25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666.555903628419</v>
      </c>
      <c r="D208" s="25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673.718464180621</v>
      </c>
      <c r="E208" s="25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680.957990930835</v>
      </c>
      <c r="F208" s="25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688.27531092905</v>
      </c>
      <c r="G208" s="25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695.671260112426</v>
      </c>
      <c r="H208" s="25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703.146683400793</v>
      </c>
      <c r="I208" s="25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710.702434793171</v>
      </c>
      <c r="J208" s="25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718.339377465337</v>
      </c>
      <c r="K208" s="25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726.05838386843</v>
      </c>
      <c r="L208" s="25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733.860335828623</v>
      </c>
      <c r="M208" s="25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741.746124647864</v>
      </c>
      <c r="N208" s="7" t="n">
        <f aca="false">SUM(B208:M208)</f>
        <v>8398.50176080249</v>
      </c>
      <c r="O208" s="26" t="n">
        <f aca="false">MAX(B208:M208)</f>
        <v>741.746124647864</v>
      </c>
      <c r="P208" s="15" t="n">
        <f aca="false">O208/parametros_recargas!$B$6</f>
        <v>4.94497416431909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5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5733.26358655523</v>
      </c>
      <c r="C209" s="25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5794.8710937079</v>
      </c>
      <c r="D209" s="25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5857.1406121008</v>
      </c>
      <c r="E209" s="25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5920.07925545925</v>
      </c>
      <c r="F209" s="25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5983.69421394997</v>
      </c>
      <c r="G209" s="25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6047.99275500253</v>
      </c>
      <c r="H209" s="25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6112.9822241396</v>
      </c>
      <c r="I209" s="25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6178.67004581606</v>
      </c>
      <c r="J209" s="25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6245.06372426724</v>
      </c>
      <c r="K209" s="25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6312.17084436615</v>
      </c>
      <c r="L209" s="25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6379.99907249001</v>
      </c>
      <c r="M209" s="25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6448.5561573961</v>
      </c>
      <c r="N209" s="7" t="n">
        <f aca="false">SUM(B209:M209)</f>
        <v>73014.4835852508</v>
      </c>
      <c r="O209" s="26" t="n">
        <f aca="false">MAX(B209:M209)</f>
        <v>6448.5561573961</v>
      </c>
      <c r="P209" s="15" t="n">
        <f aca="false">O209/parametros_recargas!$B$6</f>
        <v>42.9903743826407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5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8.34804529969563</v>
      </c>
      <c r="C210" s="25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8.43775027361622</v>
      </c>
      <c r="D210" s="25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8.52841918365085</v>
      </c>
      <c r="E210" s="25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8.62006238789666</v>
      </c>
      <c r="F210" s="25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8.71269035575499</v>
      </c>
      <c r="G210" s="25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8.80631366912748</v>
      </c>
      <c r="H210" s="25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8.90094302362492</v>
      </c>
      <c r="I210" s="25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8.99658922978913</v>
      </c>
      <c r="J210" s="25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9.09326321432799</v>
      </c>
      <c r="K210" s="25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9.19097602136367</v>
      </c>
      <c r="L210" s="25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9.28973881369438</v>
      </c>
      <c r="M210" s="25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9.38956287406956</v>
      </c>
      <c r="N210" s="7" t="n">
        <f aca="false">SUM(B210:M210)</f>
        <v>106.314354346611</v>
      </c>
      <c r="O210" s="26" t="n">
        <f aca="false">MAX(B210:M210)</f>
        <v>9.38956287406956</v>
      </c>
      <c r="P210" s="15" t="n">
        <f aca="false">O210/parametros_recargas!$B$6</f>
        <v>0.0625970858271304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5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7.43307812228693</v>
      </c>
      <c r="C211" s="25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7.51295120097443</v>
      </c>
      <c r="D211" s="25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7.5936825659054</v>
      </c>
      <c r="E211" s="25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7.67528143990296</v>
      </c>
      <c r="F211" s="25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7.75775714489521</v>
      </c>
      <c r="G211" s="25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7.84111910298023</v>
      </c>
      <c r="H211" s="25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7.92537683750243</v>
      </c>
      <c r="I211" s="25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8.01053997414052</v>
      </c>
      <c r="J211" s="25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8.09661824200717</v>
      </c>
      <c r="K211" s="25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8.18362147476043</v>
      </c>
      <c r="L211" s="25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8.27155961172719</v>
      </c>
      <c r="M211" s="25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8.36044269903861</v>
      </c>
      <c r="N211" s="7" t="n">
        <f aca="false">SUM(B211:M211)</f>
        <v>94.6620284161215</v>
      </c>
      <c r="O211" s="26" t="n">
        <f aca="false">MAX(B211:M211)</f>
        <v>8.36044269903861</v>
      </c>
      <c r="P211" s="15" t="n">
        <f aca="false">O211/parametros_recargas!$B$6</f>
        <v>0.0557362846602574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5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290.117800435619</v>
      </c>
      <c r="C212" s="25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293.235297860187</v>
      </c>
      <c r="D212" s="25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296.38629474662</v>
      </c>
      <c r="E212" s="25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299.571151067612</v>
      </c>
      <c r="F212" s="25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302.790230663989</v>
      </c>
      <c r="G212" s="25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306.043901286273</v>
      </c>
      <c r="H212" s="25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309.332534636699</v>
      </c>
      <c r="I212" s="25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312.65650641167</v>
      </c>
      <c r="J212" s="25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316.016196344688</v>
      </c>
      <c r="K212" s="25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319.411988249724</v>
      </c>
      <c r="L212" s="25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322.844270065074</v>
      </c>
      <c r="M212" s="25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326.313433897673</v>
      </c>
      <c r="N212" s="7" t="n">
        <f aca="false">SUM(B212:M212)</f>
        <v>3694.71960566583</v>
      </c>
      <c r="O212" s="26" t="n">
        <f aca="false">MAX(B212:M212)</f>
        <v>326.313433897673</v>
      </c>
      <c r="P212" s="15" t="n">
        <f aca="false">O212/parametros_recargas!$B$6</f>
        <v>2.17542289265115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5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160.244294459519</v>
      </c>
      <c r="C213" s="25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161.96621974135</v>
      </c>
      <c r="D213" s="25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163.706648188527</v>
      </c>
      <c r="E213" s="25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165.465778629148</v>
      </c>
      <c r="F213" s="25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167.243812027843</v>
      </c>
      <c r="G213" s="25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169.040951508733</v>
      </c>
      <c r="H213" s="25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170.857402378633</v>
      </c>
      <c r="I213" s="25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172.693372150512</v>
      </c>
      <c r="J213" s="25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174.549070567192</v>
      </c>
      <c r="K213" s="25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176.424709625315</v>
      </c>
      <c r="L213" s="25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178.32050359956</v>
      </c>
      <c r="M213" s="25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180.23666906712</v>
      </c>
      <c r="N213" s="7" t="n">
        <f aca="false">SUM(B213:M213)</f>
        <v>2040.74943194345</v>
      </c>
      <c r="O213" s="26" t="n">
        <f aca="false">MAX(B213:M213)</f>
        <v>180.23666906712</v>
      </c>
      <c r="P213" s="15" t="n">
        <f aca="false">O213/parametros_recargas!$B$6</f>
        <v>1.2015777937808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5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5749.04470997721</v>
      </c>
      <c r="C214" s="25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5810.82179518249</v>
      </c>
      <c r="D214" s="25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5873.26271385036</v>
      </c>
      <c r="E214" s="25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5936.37459928705</v>
      </c>
      <c r="F214" s="25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6000.16466145062</v>
      </c>
      <c r="G214" s="25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6064.64018777464</v>
      </c>
      <c r="H214" s="25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6129.80854400073</v>
      </c>
      <c r="I214" s="25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6195.67717501999</v>
      </c>
      <c r="J214" s="25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6262.25360572357</v>
      </c>
      <c r="K214" s="25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6329.54544186227</v>
      </c>
      <c r="L214" s="25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6397.56037091544</v>
      </c>
      <c r="M214" s="25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6466.30616296921</v>
      </c>
      <c r="N214" s="7" t="n">
        <f aca="false">SUM(B214:M214)</f>
        <v>73215.4599680136</v>
      </c>
      <c r="O214" s="26" t="n">
        <f aca="false">MAX(B214:M214)</f>
        <v>6466.30616296921</v>
      </c>
      <c r="P214" s="15" t="n">
        <f aca="false">O214/parametros_recargas!$B$6</f>
        <v>43.1087077531281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5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5749.04470997721</v>
      </c>
      <c r="C215" s="25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5810.82179518249</v>
      </c>
      <c r="D215" s="25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5873.26271385036</v>
      </c>
      <c r="E215" s="25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5936.37459928705</v>
      </c>
      <c r="F215" s="25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6000.16466145062</v>
      </c>
      <c r="G215" s="25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6064.64018777464</v>
      </c>
      <c r="H215" s="25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6129.80854400073</v>
      </c>
      <c r="I215" s="25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6195.67717501999</v>
      </c>
      <c r="J215" s="25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6262.25360572357</v>
      </c>
      <c r="K215" s="25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6329.54544186227</v>
      </c>
      <c r="L215" s="25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6397.56037091544</v>
      </c>
      <c r="M215" s="25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6466.30616296921</v>
      </c>
      <c r="N215" s="7" t="n">
        <f aca="false">SUM(B215:M215)</f>
        <v>73215.4599680136</v>
      </c>
      <c r="O215" s="26" t="n">
        <f aca="false">MAX(B215:M215)</f>
        <v>6466.30616296921</v>
      </c>
      <c r="P215" s="15" t="n">
        <f aca="false">O215/parametros_recargas!$B$6</f>
        <v>43.1087077531281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5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429.00090037472</v>
      </c>
      <c r="C216" s="25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433.610783670565</v>
      </c>
      <c r="D216" s="25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438.270203048928</v>
      </c>
      <c r="E216" s="25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442.979690806033</v>
      </c>
      <c r="F216" s="25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447.73978495796</v>
      </c>
      <c r="G216" s="25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452.551029302109</v>
      </c>
      <c r="H216" s="25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457.413973479324</v>
      </c>
      <c r="I216" s="25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462.329173036683</v>
      </c>
      <c r="J216" s="25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467.297189490965</v>
      </c>
      <c r="K216" s="25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472.3185903928</v>
      </c>
      <c r="L216" s="25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477.393949391503</v>
      </c>
      <c r="M216" s="25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482.523846300613</v>
      </c>
      <c r="N216" s="7" t="n">
        <f aca="false">SUM(B216:M216)</f>
        <v>5463.4291142522</v>
      </c>
      <c r="O216" s="26" t="n">
        <f aca="false">MAX(B216:M216)</f>
        <v>482.523846300613</v>
      </c>
      <c r="P216" s="15" t="n">
        <f aca="false">O216/parametros_recargas!$B$6</f>
        <v>3.21682564200408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5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5.34618788950197</v>
      </c>
      <c r="C217" s="25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5.40363602592018</v>
      </c>
      <c r="D217" s="25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5.46170147853568</v>
      </c>
      <c r="E217" s="25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5.52039088079754</v>
      </c>
      <c r="F217" s="25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5.5797109374354</v>
      </c>
      <c r="G217" s="25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5.63966842522543</v>
      </c>
      <c r="H217" s="25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5.70027019376447</v>
      </c>
      <c r="I217" s="25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5.7615231662526</v>
      </c>
      <c r="J217" s="25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5.82343434028401</v>
      </c>
      <c r="K217" s="25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5.88601078864641</v>
      </c>
      <c r="L217" s="25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5.94925966012907</v>
      </c>
      <c r="M217" s="25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6.01318818033944</v>
      </c>
      <c r="N217" s="7" t="n">
        <f aca="false">SUM(B217:M217)</f>
        <v>68.0849819668322</v>
      </c>
      <c r="O217" s="26" t="n">
        <f aca="false">MAX(B217:M217)</f>
        <v>6.01318818033944</v>
      </c>
      <c r="P217" s="15" t="n">
        <f aca="false">O217/parametros_recargas!$B$6</f>
        <v>0.0400879212022629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5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389.941917407384</v>
      </c>
      <c r="C218" s="25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394.132087474244</v>
      </c>
      <c r="D218" s="25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398.36728354217</v>
      </c>
      <c r="E218" s="25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402.647989443738</v>
      </c>
      <c r="F218" s="25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406.974694210607</v>
      </c>
      <c r="G218" s="25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411.347892129386</v>
      </c>
      <c r="H218" s="25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415.768082798104</v>
      </c>
      <c r="I218" s="25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420.235771183285</v>
      </c>
      <c r="J218" s="25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424.751467677634</v>
      </c>
      <c r="K218" s="25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429.315688158342</v>
      </c>
      <c r="L218" s="25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433.928954046028</v>
      </c>
      <c r="M218" s="25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438.591792364299</v>
      </c>
      <c r="N218" s="7" t="n">
        <f aca="false">SUM(B218:M218)</f>
        <v>4966.00362043522</v>
      </c>
      <c r="O218" s="26" t="n">
        <f aca="false">MAX(B218:M218)</f>
        <v>438.591792364299</v>
      </c>
      <c r="P218" s="15" t="n">
        <f aca="false">O218/parametros_recargas!$B$6</f>
        <v>2.92394528242866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5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6594.69491016924</v>
      </c>
      <c r="C219" s="25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6665.55903628419</v>
      </c>
      <c r="D219" s="25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6737.18464180621</v>
      </c>
      <c r="E219" s="25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6809.57990930835</v>
      </c>
      <c r="F219" s="25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6882.7531092905</v>
      </c>
      <c r="G219" s="25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6956.71260112426</v>
      </c>
      <c r="H219" s="25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7031.46683400793</v>
      </c>
      <c r="I219" s="25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7107.02434793171</v>
      </c>
      <c r="J219" s="25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7183.39377465337</v>
      </c>
      <c r="K219" s="25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7260.5838386843</v>
      </c>
      <c r="L219" s="25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7338.60335828623</v>
      </c>
      <c r="M219" s="25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7417.46124647864</v>
      </c>
      <c r="N219" s="7" t="n">
        <f aca="false">SUM(B219:M219)</f>
        <v>83985.0176080249</v>
      </c>
      <c r="O219" s="26" t="n">
        <f aca="false">MAX(B219:M219)</f>
        <v>7417.46124647864</v>
      </c>
      <c r="P219" s="15" t="n">
        <f aca="false">O219/parametros_recargas!$B$6</f>
        <v>49.4497416431909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5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6594.69491016924</v>
      </c>
      <c r="C220" s="25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6665.55903628419</v>
      </c>
      <c r="D220" s="25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6737.18464180621</v>
      </c>
      <c r="E220" s="25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6809.57990930835</v>
      </c>
      <c r="F220" s="25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6882.7531092905</v>
      </c>
      <c r="G220" s="25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6956.71260112426</v>
      </c>
      <c r="H220" s="25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7031.46683400793</v>
      </c>
      <c r="I220" s="25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7107.02434793171</v>
      </c>
      <c r="J220" s="25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7183.39377465337</v>
      </c>
      <c r="K220" s="25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7260.5838386843</v>
      </c>
      <c r="L220" s="25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7338.60335828623</v>
      </c>
      <c r="M220" s="25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7417.46124647864</v>
      </c>
      <c r="N220" s="7" t="n">
        <f aca="false">SUM(B220:M220)</f>
        <v>83985.0176080249</v>
      </c>
      <c r="O220" s="26" t="n">
        <f aca="false">MAX(B220:M220)</f>
        <v>7417.46124647864</v>
      </c>
      <c r="P220" s="15" t="n">
        <f aca="false">O220/parametros_recargas!$B$6</f>
        <v>49.4497416431909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5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518.673132010232</v>
      </c>
      <c r="C221" s="25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524.246599583771</v>
      </c>
      <c r="D221" s="25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529.879957556246</v>
      </c>
      <c r="E221" s="25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535.573849487493</v>
      </c>
      <c r="F221" s="25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541.328925852804</v>
      </c>
      <c r="G221" s="25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547.145844117233</v>
      </c>
      <c r="H221" s="25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553.02526881071</v>
      </c>
      <c r="I221" s="25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558.967871603953</v>
      </c>
      <c r="J221" s="25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564.974331385203</v>
      </c>
      <c r="K221" s="25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571.045334337782</v>
      </c>
      <c r="L221" s="25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577.181574018478</v>
      </c>
      <c r="M221" s="25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583.383751436785</v>
      </c>
      <c r="N221" s="7" t="n">
        <f aca="false">SUM(B221:M221)</f>
        <v>6605.42644020069</v>
      </c>
      <c r="O221" s="26" t="n">
        <f aca="false">MAX(B221:M221)</f>
        <v>583.383751436785</v>
      </c>
      <c r="P221" s="15" t="n">
        <f aca="false">O221/parametros_recargas!$B$6</f>
        <v>3.88922500957856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5" t="n">
        <f aca="false">'Plan mensual'!D221</f>
        <v>218.46938093567</v>
      </c>
      <c r="C222" s="25" t="n">
        <f aca="false">'Plan mensual'!E221</f>
        <v>220.816971229651</v>
      </c>
      <c r="D222" s="25" t="n">
        <f aca="false">'Plan mensual'!F221</f>
        <v>223.189787851298</v>
      </c>
      <c r="E222" s="25" t="n">
        <f aca="false">'Plan mensual'!G221</f>
        <v>225.588101873297</v>
      </c>
      <c r="F222" s="25" t="n">
        <f aca="false">'Plan mensual'!H221</f>
        <v>228.01218728118</v>
      </c>
      <c r="G222" s="25" t="n">
        <f aca="false">'Plan mensual'!I221</f>
        <v>230.462321004625</v>
      </c>
      <c r="H222" s="25" t="n">
        <f aca="false">'Plan mensual'!J221</f>
        <v>232.938782949094</v>
      </c>
      <c r="I222" s="25" t="n">
        <f aca="false">'Plan mensual'!K221</f>
        <v>235.441856027807</v>
      </c>
      <c r="J222" s="25" t="n">
        <f aca="false">'Plan mensual'!L221</f>
        <v>237.971826194063</v>
      </c>
      <c r="K222" s="25" t="n">
        <f aca="false">'Plan mensual'!M221</f>
        <v>240.528982473911</v>
      </c>
      <c r="L222" s="25" t="n">
        <f aca="false">'Plan mensual'!N221</f>
        <v>243.113616999164</v>
      </c>
      <c r="M222" s="25" t="n">
        <f aca="false">'Plan mensual'!O221</f>
        <v>245.726025040774</v>
      </c>
      <c r="N222" s="7" t="n">
        <f aca="false">SUM(B222:M222)</f>
        <v>2782.25983986054</v>
      </c>
      <c r="O222" s="26" t="n">
        <f aca="false">MAX(B222:M222)</f>
        <v>245.726025040774</v>
      </c>
      <c r="P222" s="15" t="n">
        <f aca="false">O222/parametros_recargas!$B$6</f>
        <v>1.63817350027183</v>
      </c>
    </row>
    <row r="225" customFormat="false" ht="23.85" hidden="false" customHeight="false" outlineLevel="0" collapsed="false">
      <c r="A225" s="3" t="s">
        <v>285</v>
      </c>
      <c r="B225" s="3" t="s">
        <v>124</v>
      </c>
      <c r="C225" s="3" t="s">
        <v>125</v>
      </c>
      <c r="D225" s="3" t="s">
        <v>126</v>
      </c>
      <c r="E225" s="3" t="s">
        <v>127</v>
      </c>
      <c r="F225" s="3" t="s">
        <v>128</v>
      </c>
      <c r="G225" s="3" t="s">
        <v>129</v>
      </c>
      <c r="H225" s="3" t="s">
        <v>130</v>
      </c>
      <c r="I225" s="3" t="s">
        <v>131</v>
      </c>
      <c r="J225" s="3" t="s">
        <v>132</v>
      </c>
      <c r="K225" s="3" t="s">
        <v>133</v>
      </c>
      <c r="L225" s="3" t="s">
        <v>134</v>
      </c>
      <c r="M225" s="3" t="s">
        <v>135</v>
      </c>
      <c r="N225" s="3" t="s">
        <v>276</v>
      </c>
      <c r="O225" s="3" t="s">
        <v>277</v>
      </c>
      <c r="P225" s="3" t="s">
        <v>278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5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7691.16148829634</v>
      </c>
      <c r="C226" s="25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7738.0174373682</v>
      </c>
      <c r="D226" s="25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7785.15884136995</v>
      </c>
      <c r="E226" s="25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7832.58743934474</v>
      </c>
      <c r="F226" s="25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7880.30498093028</v>
      </c>
      <c r="G226" s="25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7928.31322642338</v>
      </c>
      <c r="H226" s="25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7976.61394684491</v>
      </c>
      <c r="I226" s="25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8025.20892400512</v>
      </c>
      <c r="J226" s="25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8074.09995056937</v>
      </c>
      <c r="K226" s="25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8123.28883012426</v>
      </c>
      <c r="L226" s="25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8172.77737724416</v>
      </c>
      <c r="M226" s="25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8222.56741755817</v>
      </c>
      <c r="N226" s="7" t="n">
        <f aca="false">SUM(B226:M226)</f>
        <v>95450.0998600789</v>
      </c>
      <c r="O226" s="26" t="n">
        <f aca="false">MAX(B226:M226)</f>
        <v>8222.56741755817</v>
      </c>
      <c r="P226" s="15" t="n">
        <f aca="false">O226/parametros_recargas!$B$6</f>
        <v>54.8171161170545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5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7691.16148829634</v>
      </c>
      <c r="C227" s="25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7738.0174373682</v>
      </c>
      <c r="D227" s="25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7785.15884136995</v>
      </c>
      <c r="E227" s="25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7832.58743934474</v>
      </c>
      <c r="F227" s="25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7880.30498093028</v>
      </c>
      <c r="G227" s="25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7928.31322642338</v>
      </c>
      <c r="H227" s="25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7976.61394684491</v>
      </c>
      <c r="I227" s="25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8025.20892400512</v>
      </c>
      <c r="J227" s="25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8074.09995056937</v>
      </c>
      <c r="K227" s="25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8123.28883012426</v>
      </c>
      <c r="L227" s="25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8172.77737724416</v>
      </c>
      <c r="M227" s="25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8222.56741755817</v>
      </c>
      <c r="N227" s="7" t="n">
        <f aca="false">SUM(B227:M227)</f>
        <v>95450.0998600789</v>
      </c>
      <c r="O227" s="26" t="n">
        <f aca="false">MAX(B227:M227)</f>
        <v>8222.56741755817</v>
      </c>
      <c r="P227" s="15" t="n">
        <f aca="false">O227/parametros_recargas!$B$6</f>
        <v>54.8171161170545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5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5700.30848510724</v>
      </c>
      <c r="C228" s="25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5735.03579703256</v>
      </c>
      <c r="D228" s="25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5769.97467403313</v>
      </c>
      <c r="E228" s="25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5805.1264050017</v>
      </c>
      <c r="F228" s="25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5840.49228668321</v>
      </c>
      <c r="G228" s="25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5876.0736237226</v>
      </c>
      <c r="H228" s="25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5911.87172871293</v>
      </c>
      <c r="I228" s="25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5947.88792224384</v>
      </c>
      <c r="J228" s="25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5984.12353295022</v>
      </c>
      <c r="K228" s="25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6020.57989756125</v>
      </c>
      <c r="L228" s="25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6057.2583609497</v>
      </c>
      <c r="M228" s="25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6094.16027618158</v>
      </c>
      <c r="N228" s="7" t="n">
        <f aca="false">SUM(B228:M228)</f>
        <v>70742.8929901799</v>
      </c>
      <c r="O228" s="26" t="n">
        <f aca="false">MAX(B228:M228)</f>
        <v>6094.16027618158</v>
      </c>
      <c r="P228" s="15" t="n">
        <f aca="false">O228/parametros_recargas!$B$6</f>
        <v>40.6277351745439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5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670.624527659676</v>
      </c>
      <c r="C229" s="25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674.710093768537</v>
      </c>
      <c r="D229" s="25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678.82054988625</v>
      </c>
      <c r="E229" s="25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682.956047647259</v>
      </c>
      <c r="F229" s="25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687.116739609789</v>
      </c>
      <c r="G229" s="25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691.302779261482</v>
      </c>
      <c r="H229" s="25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695.514321025051</v>
      </c>
      <c r="I229" s="25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699.751520263981</v>
      </c>
      <c r="J229" s="25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704.014533288261</v>
      </c>
      <c r="K229" s="25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708.303517360147</v>
      </c>
      <c r="L229" s="25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712.618630699965</v>
      </c>
      <c r="M229" s="25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716.960032491951</v>
      </c>
      <c r="N229" s="7" t="n">
        <f aca="false">SUM(B229:M229)</f>
        <v>8322.69329296235</v>
      </c>
      <c r="O229" s="26" t="n">
        <f aca="false">MAX(B229:M229)</f>
        <v>716.960032491951</v>
      </c>
      <c r="P229" s="15" t="n">
        <f aca="false">O229/parametros_recargas!$B$6</f>
        <v>4.77973354994634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5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9.4854902271876</v>
      </c>
      <c r="C230" s="25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9.54327755198673</v>
      </c>
      <c r="D230" s="25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9.60141692763694</v>
      </c>
      <c r="E230" s="25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9.6599104988958</v>
      </c>
      <c r="F230" s="25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9.71876042358712</v>
      </c>
      <c r="G230" s="25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9.77796887268056</v>
      </c>
      <c r="H230" s="25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9.83753803037173</v>
      </c>
      <c r="I230" s="25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9.89747009416275</v>
      </c>
      <c r="J230" s="25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9.95776727494332</v>
      </c>
      <c r="K230" s="25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10.0184317970723</v>
      </c>
      <c r="L230" s="25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10.0794658984597</v>
      </c>
      <c r="M230" s="25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10.1408718306493</v>
      </c>
      <c r="N230" s="7" t="n">
        <f aca="false">SUM(B230:M230)</f>
        <v>117.718369427634</v>
      </c>
      <c r="O230" s="26" t="n">
        <f aca="false">MAX(B230:M230)</f>
        <v>10.1408718306493</v>
      </c>
      <c r="P230" s="15" t="n">
        <f aca="false">O230/parametros_recargas!$B$6</f>
        <v>0.0676058122043287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5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332.902527498377</v>
      </c>
      <c r="C231" s="25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334.930630002543</v>
      </c>
      <c r="D231" s="25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336.971088074563</v>
      </c>
      <c r="E231" s="25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339.023976986795</v>
      </c>
      <c r="F231" s="25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341.08937247017</v>
      </c>
      <c r="G231" s="25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343.167350716985</v>
      </c>
      <c r="H231" s="25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345.257988383713</v>
      </c>
      <c r="I231" s="25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347.361362593834</v>
      </c>
      <c r="J231" s="25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349.477550940678</v>
      </c>
      <c r="K231" s="25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351.606631490287</v>
      </c>
      <c r="L231" s="25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353.748682784296</v>
      </c>
      <c r="M231" s="25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355.90378384283</v>
      </c>
      <c r="N231" s="7" t="n">
        <f aca="false">SUM(B231:M231)</f>
        <v>4131.44094578507</v>
      </c>
      <c r="O231" s="26" t="n">
        <f aca="false">MAX(B231:M231)</f>
        <v>355.90378384283</v>
      </c>
      <c r="P231" s="15" t="n">
        <f aca="false">O231/parametros_recargas!$B$6</f>
        <v>2.37269189228553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5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152.275856547605</v>
      </c>
      <c r="C232" s="25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153.203548651083</v>
      </c>
      <c r="D232" s="25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154.136892422911</v>
      </c>
      <c r="E232" s="25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155.075922294076</v>
      </c>
      <c r="F232" s="25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156.020672905325</v>
      </c>
      <c r="G232" s="25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156.971179108443</v>
      </c>
      <c r="H232" s="25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157.927475967539</v>
      </c>
      <c r="I232" s="25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158.889598760337</v>
      </c>
      <c r="J232" s="25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159.857582979481</v>
      </c>
      <c r="K232" s="25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160.831464333843</v>
      </c>
      <c r="L232" s="25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161.811278749838</v>
      </c>
      <c r="M232" s="25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162.797062372753</v>
      </c>
      <c r="N232" s="7" t="n">
        <f aca="false">SUM(B232:M232)</f>
        <v>1889.79853509323</v>
      </c>
      <c r="O232" s="26" t="n">
        <f aca="false">MAX(B232:M232)</f>
        <v>162.797062372753</v>
      </c>
      <c r="P232" s="15" t="n">
        <f aca="false">O232/parametros_recargas!$B$6</f>
        <v>1.08531374915169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5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6.22578877024655</v>
      </c>
      <c r="C233" s="25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6.26371740326183</v>
      </c>
      <c r="D233" s="25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6.30187710438037</v>
      </c>
      <c r="E233" s="25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6.3402692813109</v>
      </c>
      <c r="F233" s="25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6.37889535033819</v>
      </c>
      <c r="G233" s="25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6.41775673637527</v>
      </c>
      <c r="H233" s="25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6.45685487301598</v>
      </c>
      <c r="I233" s="25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6.49619120258789</v>
      </c>
      <c r="J233" s="25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6.5357671762055</v>
      </c>
      <c r="K233" s="25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6.57558425382372</v>
      </c>
      <c r="L233" s="25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6.61564390429183</v>
      </c>
      <c r="M233" s="25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6.65594760540756</v>
      </c>
      <c r="N233" s="7" t="n">
        <f aca="false">SUM(B233:M233)</f>
        <v>77.2642936612456</v>
      </c>
      <c r="O233" s="26" t="n">
        <f aca="false">MAX(B233:M233)</f>
        <v>6.65594760540756</v>
      </c>
      <c r="P233" s="15" t="n">
        <f aca="false">O233/parametros_recargas!$B$6</f>
        <v>0.0443729840360504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5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6724.25237952656</v>
      </c>
      <c r="C234" s="25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6765.21774314828</v>
      </c>
      <c r="D234" s="25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6806.43267518623</v>
      </c>
      <c r="E234" s="25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6847.8986960564</v>
      </c>
      <c r="F234" s="25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6889.61733543745</v>
      </c>
      <c r="G234" s="25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6931.59013232712</v>
      </c>
      <c r="H234" s="25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6973.81863509898</v>
      </c>
      <c r="I234" s="25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7016.30440155959</v>
      </c>
      <c r="J234" s="25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7059.04899900595</v>
      </c>
      <c r="K234" s="25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7102.0540042833</v>
      </c>
      <c r="L234" s="25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7145.32100384334</v>
      </c>
      <c r="M234" s="25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7188.8515938027</v>
      </c>
      <c r="N234" s="7" t="n">
        <f aca="false">SUM(B234:M234)</f>
        <v>83450.4075992759</v>
      </c>
      <c r="O234" s="26" t="n">
        <f aca="false">MAX(B234:M234)</f>
        <v>7188.8515938027</v>
      </c>
      <c r="P234" s="15" t="n">
        <f aca="false">O234/parametros_recargas!$B$6</f>
        <v>47.925677292018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5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491.404172816228</v>
      </c>
      <c r="C235" s="25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494.397896056888</v>
      </c>
      <c r="D235" s="25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497.409857601854</v>
      </c>
      <c r="E235" s="25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500.440168562182</v>
      </c>
      <c r="F235" s="25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503.488940725833</v>
      </c>
      <c r="G235" s="25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506.556286561803</v>
      </c>
      <c r="H235" s="25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509.642319224267</v>
      </c>
      <c r="I235" s="25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512.747152556759</v>
      </c>
      <c r="J235" s="25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515.870901096365</v>
      </c>
      <c r="K235" s="25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519.013680077954</v>
      </c>
      <c r="L235" s="25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522.175605438426</v>
      </c>
      <c r="M235" s="25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525.35679382099</v>
      </c>
      <c r="N235" s="7" t="n">
        <f aca="false">SUM(B235:M235)</f>
        <v>6098.50377453955</v>
      </c>
      <c r="O235" s="26" t="n">
        <f aca="false">MAX(B235:M235)</f>
        <v>525.35679382099</v>
      </c>
      <c r="P235" s="15" t="n">
        <f aca="false">O235/parametros_recargas!$B$6</f>
        <v>3.50237862547327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5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6.71573076682394</v>
      </c>
      <c r="C236" s="25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6.75664421523735</v>
      </c>
      <c r="D236" s="25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6.79780691579014</v>
      </c>
      <c r="E236" s="25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6.83922038697148</v>
      </c>
      <c r="F236" s="25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6.88088615652148</v>
      </c>
      <c r="G236" s="25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6.9228057614875</v>
      </c>
      <c r="H236" s="25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6.96498074828088</v>
      </c>
      <c r="I236" s="25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7.00741267273397</v>
      </c>
      <c r="J236" s="25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7.05010310015755</v>
      </c>
      <c r="K236" s="25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7.09305360539854</v>
      </c>
      <c r="L236" s="25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7.13626577289811</v>
      </c>
      <c r="M236" s="25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7.17974119675016</v>
      </c>
      <c r="N236" s="7" t="n">
        <f aca="false">SUM(B236:M236)</f>
        <v>83.3446512990511</v>
      </c>
      <c r="O236" s="26" t="n">
        <f aca="false">MAX(B236:M236)</f>
        <v>7.17974119675016</v>
      </c>
      <c r="P236" s="15" t="n">
        <f aca="false">O236/parametros_recargas!$B$6</f>
        <v>0.0478649413116677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5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1638.10305590878</v>
      </c>
      <c r="C237" s="25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1648.0826764744</v>
      </c>
      <c r="D237" s="25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1658.12309469636</v>
      </c>
      <c r="E237" s="25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1668.22468096499</v>
      </c>
      <c r="F237" s="25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1678.38780792711</v>
      </c>
      <c r="G237" s="25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1688.61285049977</v>
      </c>
      <c r="H237" s="25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1698.9001858841</v>
      </c>
      <c r="I237" s="25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1709.25019357917</v>
      </c>
      <c r="J237" s="25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1719.66325539608</v>
      </c>
      <c r="K237" s="25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1730.13975547194</v>
      </c>
      <c r="L237" s="25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1740.68008028412</v>
      </c>
      <c r="M237" s="25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1751.28461866448</v>
      </c>
      <c r="N237" s="7" t="n">
        <f aca="false">SUM(B237:M237)</f>
        <v>20329.4522557513</v>
      </c>
      <c r="O237" s="26" t="n">
        <f aca="false">MAX(B237:M237)</f>
        <v>1751.28461866448</v>
      </c>
      <c r="P237" s="15" t="n">
        <f aca="false">O237/parametros_recargas!$B$6</f>
        <v>11.6752307910966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5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1538.89431595486</v>
      </c>
      <c r="C238" s="25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1548.26953890461</v>
      </c>
      <c r="D238" s="25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1557.70187741094</v>
      </c>
      <c r="E238" s="25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1567.19167943215</v>
      </c>
      <c r="F238" s="25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1576.7392950464</v>
      </c>
      <c r="G238" s="25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1586.34507646455</v>
      </c>
      <c r="H238" s="25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1596.00937804323</v>
      </c>
      <c r="I238" s="25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1605.73255629785</v>
      </c>
      <c r="J238" s="25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1615.5149699158</v>
      </c>
      <c r="K238" s="25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1625.35697976963</v>
      </c>
      <c r="L238" s="25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1635.25894893041</v>
      </c>
      <c r="M238" s="25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1645.22124268109</v>
      </c>
      <c r="N238" s="7" t="n">
        <f aca="false">SUM(B238:M238)</f>
        <v>19098.2358588515</v>
      </c>
      <c r="O238" s="26" t="n">
        <f aca="false">MAX(B238:M238)</f>
        <v>1645.22124268109</v>
      </c>
      <c r="P238" s="15" t="n">
        <f aca="false">O238/parametros_recargas!$B$6</f>
        <v>10.968141617874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5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1538.89431595486</v>
      </c>
      <c r="C239" s="25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1548.26953890461</v>
      </c>
      <c r="D239" s="25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1557.70187741094</v>
      </c>
      <c r="E239" s="25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1567.19167943215</v>
      </c>
      <c r="F239" s="25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1576.7392950464</v>
      </c>
      <c r="G239" s="25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1586.34507646455</v>
      </c>
      <c r="H239" s="25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1596.00937804323</v>
      </c>
      <c r="I239" s="25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1605.73255629785</v>
      </c>
      <c r="J239" s="25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1615.5149699158</v>
      </c>
      <c r="K239" s="25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1625.35697976963</v>
      </c>
      <c r="L239" s="25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1635.25894893041</v>
      </c>
      <c r="M239" s="25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1645.22124268109</v>
      </c>
      <c r="N239" s="7" t="n">
        <f aca="false">SUM(B239:M239)</f>
        <v>19098.2358588515</v>
      </c>
      <c r="O239" s="26" t="n">
        <f aca="false">MAX(B239:M239)</f>
        <v>1645.22124268109</v>
      </c>
      <c r="P239" s="15" t="n">
        <f aca="false">O239/parametros_recargas!$B$6</f>
        <v>10.968141617874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5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769.116148829634</v>
      </c>
      <c r="C240" s="25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773.80174373682</v>
      </c>
      <c r="D240" s="25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778.515884136996</v>
      </c>
      <c r="E240" s="25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783.258743934474</v>
      </c>
      <c r="F240" s="25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788.030498093028</v>
      </c>
      <c r="G240" s="25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792.831322642338</v>
      </c>
      <c r="H240" s="25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797.661394684491</v>
      </c>
      <c r="I240" s="25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802.520892400512</v>
      </c>
      <c r="J240" s="25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807.409995056937</v>
      </c>
      <c r="K240" s="25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812.328883012426</v>
      </c>
      <c r="L240" s="25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817.277737724416</v>
      </c>
      <c r="M240" s="25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822.256741755817</v>
      </c>
      <c r="N240" s="7" t="n">
        <f aca="false">SUM(B240:M240)</f>
        <v>9545.00998600789</v>
      </c>
      <c r="O240" s="26" t="n">
        <f aca="false">MAX(B240:M240)</f>
        <v>822.256741755817</v>
      </c>
      <c r="P240" s="15" t="n">
        <f aca="false">O240/parametros_recargas!$B$6</f>
        <v>5.48171161170545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5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6706.24527659676</v>
      </c>
      <c r="C241" s="25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6747.10093768537</v>
      </c>
      <c r="D241" s="25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6788.2054988625</v>
      </c>
      <c r="E241" s="25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6829.56047647259</v>
      </c>
      <c r="F241" s="25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6871.16739609789</v>
      </c>
      <c r="G241" s="25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6913.02779261482</v>
      </c>
      <c r="H241" s="25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6955.14321025051</v>
      </c>
      <c r="I241" s="25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6997.51520263981</v>
      </c>
      <c r="J241" s="25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7040.14533288261</v>
      </c>
      <c r="K241" s="25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7083.03517360147</v>
      </c>
      <c r="L241" s="25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7126.18630699965</v>
      </c>
      <c r="M241" s="25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7169.60032491951</v>
      </c>
      <c r="N241" s="7" t="n">
        <f aca="false">SUM(B241:M241)</f>
        <v>83226.9329296235</v>
      </c>
      <c r="O241" s="26" t="n">
        <f aca="false">MAX(B241:M241)</f>
        <v>7169.60032491951</v>
      </c>
      <c r="P241" s="15" t="n">
        <f aca="false">O241/parametros_recargas!$B$6</f>
        <v>47.7973354994634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5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9.4854902271876</v>
      </c>
      <c r="C242" s="25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9.54327755198673</v>
      </c>
      <c r="D242" s="25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9.60141692763694</v>
      </c>
      <c r="E242" s="25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9.6599104988958</v>
      </c>
      <c r="F242" s="25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9.71876042358712</v>
      </c>
      <c r="G242" s="25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9.77796887268056</v>
      </c>
      <c r="H242" s="25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9.83753803037173</v>
      </c>
      <c r="I242" s="25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9.89747009416275</v>
      </c>
      <c r="J242" s="25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9.95776727494332</v>
      </c>
      <c r="K242" s="25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10.0184317970723</v>
      </c>
      <c r="L242" s="25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10.0794658984597</v>
      </c>
      <c r="M242" s="25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10.1408718306493</v>
      </c>
      <c r="N242" s="7" t="n">
        <f aca="false">SUM(B242:M242)</f>
        <v>117.718369427634</v>
      </c>
      <c r="O242" s="26" t="n">
        <f aca="false">MAX(B242:M242)</f>
        <v>10.1408718306493</v>
      </c>
      <c r="P242" s="15" t="n">
        <f aca="false">O242/parametros_recargas!$B$6</f>
        <v>0.0676058122043287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5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8.52161270261564</v>
      </c>
      <c r="C243" s="25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8.57352791092474</v>
      </c>
      <c r="D243" s="25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8.62575939608752</v>
      </c>
      <c r="E243" s="25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8.67830908491986</v>
      </c>
      <c r="F243" s="25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8.73117891597615</v>
      </c>
      <c r="G243" s="25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8.78437083962082</v>
      </c>
      <c r="H243" s="25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8.83788681810026</v>
      </c>
      <c r="I243" s="25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8.89172882561525</v>
      </c>
      <c r="J243" s="25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8.94589884839371</v>
      </c>
      <c r="K243" s="25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9.00039888476405</v>
      </c>
      <c r="L243" s="25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9.05523094522887</v>
      </c>
      <c r="M243" s="25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9.11039705253909</v>
      </c>
      <c r="N243" s="7" t="n">
        <f aca="false">SUM(B243:M243)</f>
        <v>105.756300224786</v>
      </c>
      <c r="O243" s="26" t="n">
        <f aca="false">MAX(B243:M243)</f>
        <v>9.11039705253909</v>
      </c>
      <c r="P243" s="15" t="n">
        <f aca="false">O243/parametros_recargas!$B$6</f>
        <v>0.0607359803502606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5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332.902527498377</v>
      </c>
      <c r="C244" s="25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334.930630002543</v>
      </c>
      <c r="D244" s="25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336.971088074563</v>
      </c>
      <c r="E244" s="25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339.023976986795</v>
      </c>
      <c r="F244" s="25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341.08937247017</v>
      </c>
      <c r="G244" s="25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343.167350716985</v>
      </c>
      <c r="H244" s="25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345.257988383713</v>
      </c>
      <c r="I244" s="25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347.361362593834</v>
      </c>
      <c r="J244" s="25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349.477550940678</v>
      </c>
      <c r="K244" s="25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351.606631490287</v>
      </c>
      <c r="L244" s="25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353.748682784296</v>
      </c>
      <c r="M244" s="25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355.90378384283</v>
      </c>
      <c r="N244" s="7" t="n">
        <f aca="false">SUM(B244:M244)</f>
        <v>4131.44094578507</v>
      </c>
      <c r="O244" s="26" t="n">
        <f aca="false">MAX(B244:M244)</f>
        <v>355.90378384283</v>
      </c>
      <c r="P244" s="15" t="n">
        <f aca="false">O244/parametros_recargas!$B$6</f>
        <v>2.37269189228553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5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182.731027857126</v>
      </c>
      <c r="C245" s="25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183.8442583813</v>
      </c>
      <c r="D245" s="25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184.964270907493</v>
      </c>
      <c r="E245" s="25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186.091106752891</v>
      </c>
      <c r="F245" s="25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187.22480748639</v>
      </c>
      <c r="G245" s="25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188.365414930131</v>
      </c>
      <c r="H245" s="25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189.512971161046</v>
      </c>
      <c r="I245" s="25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190.667518512404</v>
      </c>
      <c r="J245" s="25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191.829099575378</v>
      </c>
      <c r="K245" s="25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192.997757200612</v>
      </c>
      <c r="L245" s="25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194.173534499806</v>
      </c>
      <c r="M245" s="25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195.356474847304</v>
      </c>
      <c r="N245" s="7" t="n">
        <f aca="false">SUM(B245:M245)</f>
        <v>2267.75824211188</v>
      </c>
      <c r="O245" s="26" t="n">
        <f aca="false">MAX(B245:M245)</f>
        <v>195.356474847304</v>
      </c>
      <c r="P245" s="15" t="n">
        <f aca="false">O245/parametros_recargas!$B$6</f>
        <v>1.30237649898202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5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6724.25237952656</v>
      </c>
      <c r="C246" s="25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6765.21774314828</v>
      </c>
      <c r="D246" s="25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6806.43267518623</v>
      </c>
      <c r="E246" s="25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6847.8986960564</v>
      </c>
      <c r="F246" s="25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6889.61733543745</v>
      </c>
      <c r="G246" s="25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6931.59013232712</v>
      </c>
      <c r="H246" s="25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6973.81863509898</v>
      </c>
      <c r="I246" s="25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7016.30440155959</v>
      </c>
      <c r="J246" s="25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7059.04899900595</v>
      </c>
      <c r="K246" s="25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7102.0540042833</v>
      </c>
      <c r="L246" s="25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7145.32100384334</v>
      </c>
      <c r="M246" s="25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7188.8515938027</v>
      </c>
      <c r="N246" s="7" t="n">
        <f aca="false">SUM(B246:M246)</f>
        <v>83450.4075992759</v>
      </c>
      <c r="O246" s="26" t="n">
        <f aca="false">MAX(B246:M246)</f>
        <v>7188.8515938027</v>
      </c>
      <c r="P246" s="15" t="n">
        <f aca="false">O246/parametros_recargas!$B$6</f>
        <v>47.925677292018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5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6724.25237952656</v>
      </c>
      <c r="C247" s="25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6765.21774314828</v>
      </c>
      <c r="D247" s="25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6806.43267518623</v>
      </c>
      <c r="E247" s="25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6847.8986960564</v>
      </c>
      <c r="F247" s="25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6889.61733543745</v>
      </c>
      <c r="G247" s="25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6931.59013232712</v>
      </c>
      <c r="H247" s="25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6973.81863509898</v>
      </c>
      <c r="I247" s="25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7016.30440155959</v>
      </c>
      <c r="J247" s="25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7059.04899900595</v>
      </c>
      <c r="K247" s="25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7102.0540042833</v>
      </c>
      <c r="L247" s="25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7145.32100384334</v>
      </c>
      <c r="M247" s="25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7188.8515938027</v>
      </c>
      <c r="N247" s="7" t="n">
        <f aca="false">SUM(B247:M247)</f>
        <v>83450.4075992759</v>
      </c>
      <c r="O247" s="26" t="n">
        <f aca="false">MAX(B247:M247)</f>
        <v>7188.8515938027</v>
      </c>
      <c r="P247" s="15" t="n">
        <f aca="false">O247/parametros_recargas!$B$6</f>
        <v>47.925677292018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5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491.404172816228</v>
      </c>
      <c r="C248" s="25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494.397896056888</v>
      </c>
      <c r="D248" s="25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497.409857601854</v>
      </c>
      <c r="E248" s="25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500.440168562182</v>
      </c>
      <c r="F248" s="25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503.488940725833</v>
      </c>
      <c r="G248" s="25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506.556286561803</v>
      </c>
      <c r="H248" s="25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509.642319224267</v>
      </c>
      <c r="I248" s="25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512.747152556759</v>
      </c>
      <c r="J248" s="25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515.870901096365</v>
      </c>
      <c r="K248" s="25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519.013680077954</v>
      </c>
      <c r="L248" s="25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522.175605438426</v>
      </c>
      <c r="M248" s="25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525.35679382099</v>
      </c>
      <c r="N248" s="7" t="n">
        <f aca="false">SUM(B248:M248)</f>
        <v>6098.50377453955</v>
      </c>
      <c r="O248" s="26" t="n">
        <f aca="false">MAX(B248:M248)</f>
        <v>525.35679382099</v>
      </c>
      <c r="P248" s="15" t="n">
        <f aca="false">O248/parametros_recargas!$B$6</f>
        <v>3.50237862547327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5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6.22578877024655</v>
      </c>
      <c r="C249" s="25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6.26371740326183</v>
      </c>
      <c r="D249" s="25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6.30187710438037</v>
      </c>
      <c r="E249" s="25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6.3402692813109</v>
      </c>
      <c r="F249" s="25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6.37889535033819</v>
      </c>
      <c r="G249" s="25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6.41775673637527</v>
      </c>
      <c r="H249" s="25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6.45685487301598</v>
      </c>
      <c r="I249" s="25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6.49619120258789</v>
      </c>
      <c r="J249" s="25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6.5357671762055</v>
      </c>
      <c r="K249" s="25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6.57558425382372</v>
      </c>
      <c r="L249" s="25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6.61564390429183</v>
      </c>
      <c r="M249" s="25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6.65594760540756</v>
      </c>
      <c r="N249" s="7" t="n">
        <f aca="false">SUM(B249:M249)</f>
        <v>77.2642936612456</v>
      </c>
      <c r="O249" s="26" t="n">
        <f aca="false">MAX(B249:M249)</f>
        <v>6.65594760540756</v>
      </c>
      <c r="P249" s="15" t="n">
        <f aca="false">O249/parametros_recargas!$B$6</f>
        <v>0.0443729840360504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5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445.049764644033</v>
      </c>
      <c r="C250" s="25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447.761088432818</v>
      </c>
      <c r="D250" s="25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450.488930097291</v>
      </c>
      <c r="E250" s="25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453.233390267344</v>
      </c>
      <c r="F250" s="25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455.994570185924</v>
      </c>
      <c r="G250" s="25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458.772571712766</v>
      </c>
      <c r="H250" s="25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461.567497328156</v>
      </c>
      <c r="I250" s="25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464.379450136707</v>
      </c>
      <c r="J250" s="25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467.208533871164</v>
      </c>
      <c r="K250" s="25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470.054852896232</v>
      </c>
      <c r="L250" s="25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472.918512212423</v>
      </c>
      <c r="M250" s="25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475.799617459931</v>
      </c>
      <c r="N250" s="7" t="n">
        <f aca="false">SUM(B250:M250)</f>
        <v>5523.22877924479</v>
      </c>
      <c r="O250" s="26" t="n">
        <f aca="false">MAX(B250:M250)</f>
        <v>475.799617459931</v>
      </c>
      <c r="P250" s="15" t="n">
        <f aca="false">O250/parametros_recargas!$B$6</f>
        <v>3.17199744973288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5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7691.16148829634</v>
      </c>
      <c r="C251" s="25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7738.0174373682</v>
      </c>
      <c r="D251" s="25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7785.15884136995</v>
      </c>
      <c r="E251" s="25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7832.58743934474</v>
      </c>
      <c r="F251" s="25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7880.30498093028</v>
      </c>
      <c r="G251" s="25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7928.31322642338</v>
      </c>
      <c r="H251" s="25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7976.61394684491</v>
      </c>
      <c r="I251" s="25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8025.20892400512</v>
      </c>
      <c r="J251" s="25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8074.09995056937</v>
      </c>
      <c r="K251" s="25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8123.28883012426</v>
      </c>
      <c r="L251" s="25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8172.77737724416</v>
      </c>
      <c r="M251" s="25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8222.56741755817</v>
      </c>
      <c r="N251" s="7" t="n">
        <f aca="false">SUM(B251:M251)</f>
        <v>95450.0998600789</v>
      </c>
      <c r="O251" s="26" t="n">
        <f aca="false">MAX(B251:M251)</f>
        <v>8222.56741755817</v>
      </c>
      <c r="P251" s="15" t="n">
        <f aca="false">O251/parametros_recargas!$B$6</f>
        <v>54.8171161170545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5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7691.16148829634</v>
      </c>
      <c r="C252" s="25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7738.0174373682</v>
      </c>
      <c r="D252" s="25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7785.15884136995</v>
      </c>
      <c r="E252" s="25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7832.58743934474</v>
      </c>
      <c r="F252" s="25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7880.30498093028</v>
      </c>
      <c r="G252" s="25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7928.31322642338</v>
      </c>
      <c r="H252" s="25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7976.61394684491</v>
      </c>
      <c r="I252" s="25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8025.20892400512</v>
      </c>
      <c r="J252" s="25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8074.09995056937</v>
      </c>
      <c r="K252" s="25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8123.28883012426</v>
      </c>
      <c r="L252" s="25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8172.77737724416</v>
      </c>
      <c r="M252" s="25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8222.56741755817</v>
      </c>
      <c r="N252" s="7" t="n">
        <f aca="false">SUM(B252:M252)</f>
        <v>95450.0998600789</v>
      </c>
      <c r="O252" s="26" t="n">
        <f aca="false">MAX(B252:M252)</f>
        <v>8222.56741755817</v>
      </c>
      <c r="P252" s="15" t="n">
        <f aca="false">O252/parametros_recargas!$B$6</f>
        <v>54.8171161170545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5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605.141195293867</v>
      </c>
      <c r="C253" s="25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608.827825079384</v>
      </c>
      <c r="D253" s="25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612.536914481402</v>
      </c>
      <c r="E253" s="25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616.268600327974</v>
      </c>
      <c r="F253" s="25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620.023020280734</v>
      </c>
      <c r="G253" s="25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623.800312839974</v>
      </c>
      <c r="H253" s="25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627.600617349757</v>
      </c>
      <c r="I253" s="25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631.424074003054</v>
      </c>
      <c r="J253" s="25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635.270823846917</v>
      </c>
      <c r="K253" s="25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639.141008787684</v>
      </c>
      <c r="L253" s="25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643.03477159621</v>
      </c>
      <c r="M253" s="25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646.952255913137</v>
      </c>
      <c r="N253" s="7" t="n">
        <f aca="false">SUM(B253:M253)</f>
        <v>7510.02141980009</v>
      </c>
      <c r="O253" s="26" t="n">
        <f aca="false">MAX(B253:M253)</f>
        <v>646.952255913137</v>
      </c>
      <c r="P253" s="15" t="n">
        <f aca="false">O253/parametros_recargas!$B$6</f>
        <v>4.31301503942091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5" t="n">
        <f aca="false">'Plan mensual'!D253</f>
        <v>252.654771872541</v>
      </c>
      <c r="C254" s="25" t="n">
        <f aca="false">'Plan mensual'!E253</f>
        <v>254.193990512227</v>
      </c>
      <c r="D254" s="25" t="n">
        <f aca="false">'Plan mensual'!F253</f>
        <v>255.742586350702</v>
      </c>
      <c r="E254" s="25" t="n">
        <f aca="false">'Plan mensual'!G253</f>
        <v>257.300616515559</v>
      </c>
      <c r="F254" s="25" t="n">
        <f aca="false">'Plan mensual'!H253</f>
        <v>258.868138482425</v>
      </c>
      <c r="G254" s="25" t="n">
        <f aca="false">'Plan mensual'!I253</f>
        <v>260.445210077075</v>
      </c>
      <c r="H254" s="25" t="n">
        <f aca="false">'Plan mensual'!J253</f>
        <v>262.031889477573</v>
      </c>
      <c r="I254" s="25" t="n">
        <f aca="false">'Plan mensual'!K253</f>
        <v>263.628235216412</v>
      </c>
      <c r="J254" s="25" t="n">
        <f aca="false">'Plan mensual'!L253</f>
        <v>265.234306182676</v>
      </c>
      <c r="K254" s="25" t="n">
        <f aca="false">'Plan mensual'!M253</f>
        <v>266.850161624213</v>
      </c>
      <c r="L254" s="25" t="n">
        <f aca="false">'Plan mensual'!N253</f>
        <v>268.475861149819</v>
      </c>
      <c r="M254" s="25" t="n">
        <f aca="false">'Plan mensual'!O253</f>
        <v>270.111464731438</v>
      </c>
      <c r="N254" s="7" t="n">
        <f aca="false">SUM(B254:M254)</f>
        <v>3135.53723219266</v>
      </c>
      <c r="O254" s="26" t="n">
        <f aca="false">MAX(B254:M254)</f>
        <v>270.111464731438</v>
      </c>
      <c r="P254" s="15" t="n">
        <f aca="false">O254/parametros_recargas!$B$6</f>
        <v>1.80074309820958</v>
      </c>
    </row>
    <row r="257" customFormat="false" ht="23.85" hidden="false" customHeight="false" outlineLevel="0" collapsed="false">
      <c r="A257" s="3" t="s">
        <v>286</v>
      </c>
      <c r="B257" s="3" t="s">
        <v>124</v>
      </c>
      <c r="C257" s="3" t="s">
        <v>125</v>
      </c>
      <c r="D257" s="3" t="s">
        <v>126</v>
      </c>
      <c r="E257" s="3" t="s">
        <v>127</v>
      </c>
      <c r="F257" s="3" t="s">
        <v>128</v>
      </c>
      <c r="G257" s="3" t="s">
        <v>129</v>
      </c>
      <c r="H257" s="3" t="s">
        <v>130</v>
      </c>
      <c r="I257" s="3" t="s">
        <v>131</v>
      </c>
      <c r="J257" s="3" t="s">
        <v>132</v>
      </c>
      <c r="K257" s="3" t="s">
        <v>133</v>
      </c>
      <c r="L257" s="3" t="s">
        <v>134</v>
      </c>
      <c r="M257" s="3" t="s">
        <v>135</v>
      </c>
      <c r="N257" s="3" t="s">
        <v>276</v>
      </c>
      <c r="O257" s="3" t="s">
        <v>277</v>
      </c>
      <c r="P257" s="3" t="s">
        <v>278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5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8288.34941591127</v>
      </c>
      <c r="C258" s="25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8336.36018990112</v>
      </c>
      <c r="D258" s="25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8384.6490692535</v>
      </c>
      <c r="E258" s="25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8433.21766491083</v>
      </c>
      <c r="F258" s="25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8482.06759714703</v>
      </c>
      <c r="G258" s="25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8531.20049562154</v>
      </c>
      <c r="H258" s="25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8580.6179994337</v>
      </c>
      <c r="I258" s="25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8630.32175717745</v>
      </c>
      <c r="J258" s="25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8680.3134269963</v>
      </c>
      <c r="K258" s="25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8730.59467663866</v>
      </c>
      <c r="L258" s="25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8781.16718351348</v>
      </c>
      <c r="M258" s="25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8832.03263474619</v>
      </c>
      <c r="N258" s="7" t="n">
        <f aca="false">SUM(B258:M258)</f>
        <v>102690.892111251</v>
      </c>
      <c r="O258" s="26" t="n">
        <f aca="false">MAX(B258:M258)</f>
        <v>8832.03263474619</v>
      </c>
      <c r="P258" s="15" t="n">
        <f aca="false">O258/parametros_recargas!$B$6</f>
        <v>58.8802175649746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5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8288.34941591127</v>
      </c>
      <c r="C259" s="25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8336.36018990112</v>
      </c>
      <c r="D259" s="25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8384.6490692535</v>
      </c>
      <c r="E259" s="25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8433.21766491083</v>
      </c>
      <c r="F259" s="25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8482.06759714703</v>
      </c>
      <c r="G259" s="25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8531.20049562154</v>
      </c>
      <c r="H259" s="25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8580.6179994337</v>
      </c>
      <c r="I259" s="25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8630.32175717745</v>
      </c>
      <c r="J259" s="25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8680.3134269963</v>
      </c>
      <c r="K259" s="25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8730.59467663866</v>
      </c>
      <c r="L259" s="25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8781.16718351348</v>
      </c>
      <c r="M259" s="25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8832.03263474619</v>
      </c>
      <c r="N259" s="7" t="n">
        <f aca="false">SUM(B259:M259)</f>
        <v>102690.892111251</v>
      </c>
      <c r="O259" s="26" t="n">
        <f aca="false">MAX(B259:M259)</f>
        <v>8832.03263474619</v>
      </c>
      <c r="P259" s="15" t="n">
        <f aca="false">O259/parametros_recargas!$B$6</f>
        <v>58.8802175649746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5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6137.63552491426</v>
      </c>
      <c r="C260" s="25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6173.18815635292</v>
      </c>
      <c r="D260" s="25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6208.94672859681</v>
      </c>
      <c r="E260" s="25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6244.91243457071</v>
      </c>
      <c r="F260" s="25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6281.08647410951</v>
      </c>
      <c r="G260" s="25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6317.47005399819</v>
      </c>
      <c r="H260" s="25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6354.06438801214</v>
      </c>
      <c r="I260" s="25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6390.87069695757</v>
      </c>
      <c r="J260" s="25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6427.89020871234</v>
      </c>
      <c r="K260" s="25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6465.12415826683</v>
      </c>
      <c r="L260" s="25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6502.5737877652</v>
      </c>
      <c r="M260" s="25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6540.24034654677</v>
      </c>
      <c r="N260" s="7" t="n">
        <f aca="false">SUM(B260:M260)</f>
        <v>76044.0029588032</v>
      </c>
      <c r="O260" s="26" t="n">
        <f aca="false">MAX(B260:M260)</f>
        <v>6540.24034654677</v>
      </c>
      <c r="P260" s="15" t="n">
        <f aca="false">O260/parametros_recargas!$B$6</f>
        <v>43.6016023103118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5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722.074767636972</v>
      </c>
      <c r="C261" s="25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726.257430159167</v>
      </c>
      <c r="D261" s="25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730.464321011389</v>
      </c>
      <c r="E261" s="25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734.695580537731</v>
      </c>
      <c r="F261" s="25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738.951349895236</v>
      </c>
      <c r="G261" s="25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743.231771058611</v>
      </c>
      <c r="H261" s="25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747.536986824957</v>
      </c>
      <c r="I261" s="25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751.867140818538</v>
      </c>
      <c r="J261" s="25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756.22237749557</v>
      </c>
      <c r="K261" s="25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760.602842149039</v>
      </c>
      <c r="L261" s="25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765.008680913552</v>
      </c>
      <c r="M261" s="25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769.440040770209</v>
      </c>
      <c r="N261" s="7" t="n">
        <f aca="false">SUM(B261:M261)</f>
        <v>8946.35328927097</v>
      </c>
      <c r="O261" s="26" t="n">
        <f aca="false">MAX(B261:M261)</f>
        <v>769.440040770209</v>
      </c>
      <c r="P261" s="15" t="n">
        <f aca="false">O261/parametros_recargas!$B$6</f>
        <v>5.12960027180139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5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10.3706883266163</v>
      </c>
      <c r="C262" s="25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10.4307611768767</v>
      </c>
      <c r="D262" s="25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10.4911820028187</v>
      </c>
      <c r="E262" s="25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10.5519528201128</v>
      </c>
      <c r="F262" s="25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10.6130756561053</v>
      </c>
      <c r="G262" s="25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10.6745525498864</v>
      </c>
      <c r="H262" s="25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10.7363855523575</v>
      </c>
      <c r="I262" s="25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10.7985767263001</v>
      </c>
      <c r="J262" s="25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10.8611281464445</v>
      </c>
      <c r="K262" s="25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10.9240418995391</v>
      </c>
      <c r="L262" s="25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10.9873200844196</v>
      </c>
      <c r="M262" s="25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11.0509648120796</v>
      </c>
      <c r="N262" s="7" t="n">
        <f aca="false">SUM(B262:M262)</f>
        <v>128.490629753557</v>
      </c>
      <c r="O262" s="26" t="n">
        <f aca="false">MAX(B262:M262)</f>
        <v>11.0509648120796</v>
      </c>
      <c r="P262" s="15" t="n">
        <f aca="false">O262/parametros_recargas!$B$6</f>
        <v>0.0736730987471976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5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361.150264021794</v>
      </c>
      <c r="C263" s="25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363.242249148415</v>
      </c>
      <c r="D263" s="25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365.346352227605</v>
      </c>
      <c r="E263" s="25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367.462643453352</v>
      </c>
      <c r="F263" s="25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369.591193426243</v>
      </c>
      <c r="G263" s="25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371.732073155826</v>
      </c>
      <c r="H263" s="25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373.885354062975</v>
      </c>
      <c r="I263" s="25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376.051107982274</v>
      </c>
      <c r="J263" s="25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378.229407164414</v>
      </c>
      <c r="K263" s="25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380.420324278601</v>
      </c>
      <c r="L263" s="25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382.623932414983</v>
      </c>
      <c r="M263" s="25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384.840305087088</v>
      </c>
      <c r="N263" s="7" t="n">
        <f aca="false">SUM(B263:M263)</f>
        <v>4474.57520642357</v>
      </c>
      <c r="O263" s="26" t="n">
        <f aca="false">MAX(B263:M263)</f>
        <v>384.840305087088</v>
      </c>
      <c r="P263" s="15" t="n">
        <f aca="false">O263/parametros_recargas!$B$6</f>
        <v>2.56560203391392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5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164.869418330584</v>
      </c>
      <c r="C264" s="25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165.824434580998</v>
      </c>
      <c r="D264" s="25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166.784982821807</v>
      </c>
      <c r="E264" s="25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167.751095097405</v>
      </c>
      <c r="F264" s="25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168.722803637806</v>
      </c>
      <c r="G264" s="25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169.700140859719</v>
      </c>
      <c r="H264" s="25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170.683139367626</v>
      </c>
      <c r="I264" s="25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171.671831954877</v>
      </c>
      <c r="J264" s="25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172.666251604776</v>
      </c>
      <c r="K264" s="25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173.666431491685</v>
      </c>
      <c r="L264" s="25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174.672404982133</v>
      </c>
      <c r="M264" s="25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175.684205635923</v>
      </c>
      <c r="N264" s="7" t="n">
        <f aca="false">SUM(B264:M264)</f>
        <v>2042.69714036534</v>
      </c>
      <c r="O264" s="26" t="n">
        <f aca="false">MAX(B264:M264)</f>
        <v>175.684205635923</v>
      </c>
      <c r="P264" s="15" t="n">
        <f aca="false">O264/parametros_recargas!$B$6</f>
        <v>1.17122803757282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5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6.81459378937013</v>
      </c>
      <c r="C265" s="25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6.8540677432102</v>
      </c>
      <c r="D265" s="25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6.8937703523568</v>
      </c>
      <c r="E265" s="25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6.93370294130986</v>
      </c>
      <c r="F265" s="25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6.97386684224155</v>
      </c>
      <c r="G265" s="25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7.01426339504076</v>
      </c>
      <c r="H265" s="25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7.05489394735774</v>
      </c>
      <c r="I265" s="25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7.09575985464908</v>
      </c>
      <c r="J265" s="25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7.13686248022297</v>
      </c>
      <c r="K265" s="25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7.17820319528462</v>
      </c>
      <c r="L265" s="25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7.21978337898204</v>
      </c>
      <c r="M265" s="25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7.26160441845204</v>
      </c>
      <c r="N265" s="7" t="n">
        <f aca="false">SUM(B265:M265)</f>
        <v>84.4313723384778</v>
      </c>
      <c r="O265" s="26" t="n">
        <f aca="false">MAX(B265:M265)</f>
        <v>7.26160441845204</v>
      </c>
      <c r="P265" s="15" t="n">
        <f aca="false">O265/parametros_recargas!$B$6</f>
        <v>0.0484106961230136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5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7240.46310340967</v>
      </c>
      <c r="C266" s="25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7282.40393145587</v>
      </c>
      <c r="D266" s="25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7324.58770432924</v>
      </c>
      <c r="E266" s="25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7367.01582930262</v>
      </c>
      <c r="F266" s="25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7409.68972180059</v>
      </c>
      <c r="G266" s="25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7452.61080544667</v>
      </c>
      <c r="H266" s="25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7495.78051211079</v>
      </c>
      <c r="I266" s="25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7539.20028195707</v>
      </c>
      <c r="J266" s="25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7582.87156349189</v>
      </c>
      <c r="K266" s="25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7626.79581361218</v>
      </c>
      <c r="L266" s="25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7670.97449765403</v>
      </c>
      <c r="M266" s="25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7715.4090894416</v>
      </c>
      <c r="N266" s="7" t="n">
        <f aca="false">SUM(B266:M266)</f>
        <v>89707.8028540122</v>
      </c>
      <c r="O266" s="26" t="n">
        <f aca="false">MAX(B266:M266)</f>
        <v>7715.4090894416</v>
      </c>
      <c r="P266" s="15" t="n">
        <f aca="false">O266/parametros_recargas!$B$6</f>
        <v>51.4360605962773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5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532.834276141747</v>
      </c>
      <c r="C267" s="25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535.920751472622</v>
      </c>
      <c r="D267" s="25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539.025105401769</v>
      </c>
      <c r="E267" s="25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542.147441492066</v>
      </c>
      <c r="F267" s="25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545.28786390629</v>
      </c>
      <c r="G267" s="25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548.446477410585</v>
      </c>
      <c r="H267" s="25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551.623387377959</v>
      </c>
      <c r="I267" s="25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554.8186997918</v>
      </c>
      <c r="J267" s="25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558.032521249412</v>
      </c>
      <c r="K267" s="25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561.264958965571</v>
      </c>
      <c r="L267" s="25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564.516120776098</v>
      </c>
      <c r="M267" s="25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567.786115141463</v>
      </c>
      <c r="N267" s="7" t="n">
        <f aca="false">SUM(B267:M267)</f>
        <v>6601.70371912738</v>
      </c>
      <c r="O267" s="26" t="n">
        <f aca="false">MAX(B267:M267)</f>
        <v>567.786115141463</v>
      </c>
      <c r="P267" s="15" t="n">
        <f aca="false">O267/parametros_recargas!$B$6</f>
        <v>3.78524076760975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5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7.23111836469634</v>
      </c>
      <c r="C268" s="25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7.27300506276854</v>
      </c>
      <c r="D268" s="25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7.31513439211671</v>
      </c>
      <c r="E268" s="25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7.35750775819742</v>
      </c>
      <c r="F268" s="25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7.40012657460847</v>
      </c>
      <c r="G268" s="25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7.442992263136</v>
      </c>
      <c r="H268" s="25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7.48610625380193</v>
      </c>
      <c r="I268" s="25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7.52946998491168</v>
      </c>
      <c r="J268" s="25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7.57308490310214</v>
      </c>
      <c r="K268" s="25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7.61695246338993</v>
      </c>
      <c r="L268" s="25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7.66107412921994</v>
      </c>
      <c r="M268" s="25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7.70545137251417</v>
      </c>
      <c r="N268" s="7" t="n">
        <f aca="false">SUM(B268:M268)</f>
        <v>89.5920235224633</v>
      </c>
      <c r="O268" s="26" t="n">
        <f aca="false">MAX(B268:M268)</f>
        <v>7.70545137251417</v>
      </c>
      <c r="P268" s="15" t="n">
        <f aca="false">O268/parametros_recargas!$B$6</f>
        <v>0.0513696758167611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5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1766.01496238879</v>
      </c>
      <c r="C269" s="25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1776.24471272475</v>
      </c>
      <c r="D269" s="25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1786.53371951898</v>
      </c>
      <c r="E269" s="25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1796.88232601817</v>
      </c>
      <c r="F269" s="25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1807.29087745728</v>
      </c>
      <c r="G269" s="25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1817.75972107106</v>
      </c>
      <c r="H269" s="25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1828.28920610563</v>
      </c>
      <c r="I269" s="25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1838.87968383017</v>
      </c>
      <c r="J269" s="25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1849.53150754858</v>
      </c>
      <c r="K269" s="25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1860.24503261131</v>
      </c>
      <c r="L269" s="25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1871.02061642719</v>
      </c>
      <c r="M269" s="25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1881.85861847536</v>
      </c>
      <c r="N269" s="7" t="n">
        <f aca="false">SUM(B269:M269)</f>
        <v>21880.5509841773</v>
      </c>
      <c r="O269" s="26" t="n">
        <f aca="false">MAX(B269:M269)</f>
        <v>1881.85861847536</v>
      </c>
      <c r="P269" s="15" t="n">
        <f aca="false">O269/parametros_recargas!$B$6</f>
        <v>12.5457241231691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5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1657.84446141199</v>
      </c>
      <c r="C270" s="25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1667.4476274651</v>
      </c>
      <c r="D270" s="25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1677.10642044847</v>
      </c>
      <c r="E270" s="25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1686.82116258452</v>
      </c>
      <c r="F270" s="25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1696.59217796216</v>
      </c>
      <c r="G270" s="25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1706.41979254761</v>
      </c>
      <c r="H270" s="25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1716.30433419525</v>
      </c>
      <c r="I270" s="25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1726.24613265861</v>
      </c>
      <c r="J270" s="25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1736.2455196013</v>
      </c>
      <c r="K270" s="25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1746.30282860813</v>
      </c>
      <c r="L270" s="25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1756.41839519624</v>
      </c>
      <c r="M270" s="25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1766.59255682624</v>
      </c>
      <c r="N270" s="7" t="n">
        <f aca="false">SUM(B270:M270)</f>
        <v>20540.3414095056</v>
      </c>
      <c r="O270" s="26" t="n">
        <f aca="false">MAX(B270:M270)</f>
        <v>1766.59255682624</v>
      </c>
      <c r="P270" s="15" t="n">
        <f aca="false">O270/parametros_recargas!$B$6</f>
        <v>11.7772837121749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5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1657.84446141199</v>
      </c>
      <c r="C271" s="25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1667.4476274651</v>
      </c>
      <c r="D271" s="25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1677.10642044847</v>
      </c>
      <c r="E271" s="25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1686.82116258452</v>
      </c>
      <c r="F271" s="25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1696.59217796216</v>
      </c>
      <c r="G271" s="25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1706.41979254761</v>
      </c>
      <c r="H271" s="25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1716.30433419525</v>
      </c>
      <c r="I271" s="25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1726.24613265861</v>
      </c>
      <c r="J271" s="25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1736.2455196013</v>
      </c>
      <c r="K271" s="25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1746.30282860813</v>
      </c>
      <c r="L271" s="25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1756.41839519624</v>
      </c>
      <c r="M271" s="25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1766.59255682624</v>
      </c>
      <c r="N271" s="7" t="n">
        <f aca="false">SUM(B271:M271)</f>
        <v>20540.3414095056</v>
      </c>
      <c r="O271" s="26" t="n">
        <f aca="false">MAX(B271:M271)</f>
        <v>1766.59255682624</v>
      </c>
      <c r="P271" s="15" t="n">
        <f aca="false">O271/parametros_recargas!$B$6</f>
        <v>11.7772837121749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5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828.834941591127</v>
      </c>
      <c r="C272" s="25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833.636018990112</v>
      </c>
      <c r="D272" s="25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838.46490692535</v>
      </c>
      <c r="E272" s="25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843.321766491083</v>
      </c>
      <c r="F272" s="25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848.206759714703</v>
      </c>
      <c r="G272" s="25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853.120049562154</v>
      </c>
      <c r="H272" s="25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858.06179994337</v>
      </c>
      <c r="I272" s="25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863.032175717745</v>
      </c>
      <c r="J272" s="25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868.03134269963</v>
      </c>
      <c r="K272" s="25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873.059467663866</v>
      </c>
      <c r="L272" s="25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878.116718351348</v>
      </c>
      <c r="M272" s="25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883.203263474619</v>
      </c>
      <c r="N272" s="7" t="n">
        <f aca="false">SUM(B272:M272)</f>
        <v>10269.0892111251</v>
      </c>
      <c r="O272" s="26" t="n">
        <f aca="false">MAX(B272:M272)</f>
        <v>883.203263474619</v>
      </c>
      <c r="P272" s="15" t="n">
        <f aca="false">O272/parametros_recargas!$B$6</f>
        <v>5.88802175649746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5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7220.74767636972</v>
      </c>
      <c r="C273" s="25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7262.57430159167</v>
      </c>
      <c r="D273" s="25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7304.64321011389</v>
      </c>
      <c r="E273" s="25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7346.95580537731</v>
      </c>
      <c r="F273" s="25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7389.51349895236</v>
      </c>
      <c r="G273" s="25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7432.31771058611</v>
      </c>
      <c r="H273" s="25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7475.36986824957</v>
      </c>
      <c r="I273" s="25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7518.67140818538</v>
      </c>
      <c r="J273" s="25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7562.2237749557</v>
      </c>
      <c r="K273" s="25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7606.02842149039</v>
      </c>
      <c r="L273" s="25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7650.08680913552</v>
      </c>
      <c r="M273" s="25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7694.40040770209</v>
      </c>
      <c r="N273" s="7" t="n">
        <f aca="false">SUM(B273:M273)</f>
        <v>89463.5328927097</v>
      </c>
      <c r="O273" s="26" t="n">
        <f aca="false">MAX(B273:M273)</f>
        <v>7694.40040770209</v>
      </c>
      <c r="P273" s="15" t="n">
        <f aca="false">O273/parametros_recargas!$B$6</f>
        <v>51.2960027180139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5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10.3706883266163</v>
      </c>
      <c r="C274" s="25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10.4307611768767</v>
      </c>
      <c r="D274" s="25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10.4911820028187</v>
      </c>
      <c r="E274" s="25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10.5519528201128</v>
      </c>
      <c r="F274" s="25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10.6130756561053</v>
      </c>
      <c r="G274" s="25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10.6745525498864</v>
      </c>
      <c r="H274" s="25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10.7363855523575</v>
      </c>
      <c r="I274" s="25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10.7985767263001</v>
      </c>
      <c r="J274" s="25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10.8611281464445</v>
      </c>
      <c r="K274" s="25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10.9240418995391</v>
      </c>
      <c r="L274" s="25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10.9873200844196</v>
      </c>
      <c r="M274" s="25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11.0509648120796</v>
      </c>
      <c r="N274" s="7" t="n">
        <f aca="false">SUM(B274:M274)</f>
        <v>128.490629753557</v>
      </c>
      <c r="O274" s="26" t="n">
        <f aca="false">MAX(B274:M274)</f>
        <v>11.0509648120796</v>
      </c>
      <c r="P274" s="15" t="n">
        <f aca="false">O274/parametros_recargas!$B$6</f>
        <v>0.0736730987471976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5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9.34473871332977</v>
      </c>
      <c r="C275" s="25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9.39886868732659</v>
      </c>
      <c r="D275" s="25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9.45331221252851</v>
      </c>
      <c r="E275" s="25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9.50807110520017</v>
      </c>
      <c r="F275" s="25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9.56314719212706</v>
      </c>
      <c r="G275" s="25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9.61854231067641</v>
      </c>
      <c r="H275" s="25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9.67425830885852</v>
      </c>
      <c r="I275" s="25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9.73029704538842</v>
      </c>
      <c r="J275" s="25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9.78666038974784</v>
      </c>
      <c r="K275" s="25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9.84335022224761</v>
      </c>
      <c r="L275" s="25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9.90036843409037</v>
      </c>
      <c r="M275" s="25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9.95771692743366</v>
      </c>
      <c r="N275" s="7" t="n">
        <f aca="false">SUM(B275:M275)</f>
        <v>115.779331548955</v>
      </c>
      <c r="O275" s="26" t="n">
        <f aca="false">MAX(B275:M275)</f>
        <v>9.95771692743366</v>
      </c>
      <c r="P275" s="15" t="n">
        <f aca="false">O275/parametros_recargas!$B$6</f>
        <v>0.0663847795162244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5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361.150264021794</v>
      </c>
      <c r="C276" s="25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363.242249148415</v>
      </c>
      <c r="D276" s="25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365.346352227605</v>
      </c>
      <c r="E276" s="25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367.462643453352</v>
      </c>
      <c r="F276" s="25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369.591193426243</v>
      </c>
      <c r="G276" s="25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371.732073155826</v>
      </c>
      <c r="H276" s="25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373.885354062975</v>
      </c>
      <c r="I276" s="25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376.051107982274</v>
      </c>
      <c r="J276" s="25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378.229407164414</v>
      </c>
      <c r="K276" s="25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380.420324278601</v>
      </c>
      <c r="L276" s="25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382.623932414983</v>
      </c>
      <c r="M276" s="25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384.840305087088</v>
      </c>
      <c r="N276" s="7" t="n">
        <f aca="false">SUM(B276:M276)</f>
        <v>4474.57520642357</v>
      </c>
      <c r="O276" s="26" t="n">
        <f aca="false">MAX(B276:M276)</f>
        <v>384.840305087088</v>
      </c>
      <c r="P276" s="15" t="n">
        <f aca="false">O276/parametros_recargas!$B$6</f>
        <v>2.56560203391392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5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197.8433019967</v>
      </c>
      <c r="C277" s="25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198.989321497197</v>
      </c>
      <c r="D277" s="25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200.141979386168</v>
      </c>
      <c r="E277" s="25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201.301314116886</v>
      </c>
      <c r="F277" s="25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202.467364365367</v>
      </c>
      <c r="G277" s="25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203.640169031662</v>
      </c>
      <c r="H277" s="25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204.819767241152</v>
      </c>
      <c r="I277" s="25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206.006198345853</v>
      </c>
      <c r="J277" s="25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207.199501925731</v>
      </c>
      <c r="K277" s="25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208.399717790022</v>
      </c>
      <c r="L277" s="25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209.606885978559</v>
      </c>
      <c r="M277" s="25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210.821046763107</v>
      </c>
      <c r="N277" s="7" t="n">
        <f aca="false">SUM(B277:M277)</f>
        <v>2451.2365684384</v>
      </c>
      <c r="O277" s="26" t="n">
        <f aca="false">MAX(B277:M277)</f>
        <v>210.821046763107</v>
      </c>
      <c r="P277" s="15" t="n">
        <f aca="false">O277/parametros_recargas!$B$6</f>
        <v>1.40547364508738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5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7240.46310340967</v>
      </c>
      <c r="C278" s="25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7282.40393145587</v>
      </c>
      <c r="D278" s="25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7324.58770432924</v>
      </c>
      <c r="E278" s="25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7367.01582930262</v>
      </c>
      <c r="F278" s="25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7409.68972180059</v>
      </c>
      <c r="G278" s="25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7452.61080544667</v>
      </c>
      <c r="H278" s="25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7495.78051211079</v>
      </c>
      <c r="I278" s="25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7539.20028195707</v>
      </c>
      <c r="J278" s="25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7582.87156349189</v>
      </c>
      <c r="K278" s="25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7626.79581361218</v>
      </c>
      <c r="L278" s="25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7670.97449765403</v>
      </c>
      <c r="M278" s="25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7715.4090894416</v>
      </c>
      <c r="N278" s="7" t="n">
        <f aca="false">SUM(B278:M278)</f>
        <v>89707.8028540122</v>
      </c>
      <c r="O278" s="26" t="n">
        <f aca="false">MAX(B278:M278)</f>
        <v>7715.4090894416</v>
      </c>
      <c r="P278" s="15" t="n">
        <f aca="false">O278/parametros_recargas!$B$6</f>
        <v>51.4360605962773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5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7240.46310340967</v>
      </c>
      <c r="C279" s="25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7282.40393145587</v>
      </c>
      <c r="D279" s="25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7324.58770432924</v>
      </c>
      <c r="E279" s="25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7367.01582930262</v>
      </c>
      <c r="F279" s="25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7409.68972180059</v>
      </c>
      <c r="G279" s="25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7452.61080544667</v>
      </c>
      <c r="H279" s="25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7495.78051211079</v>
      </c>
      <c r="I279" s="25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7539.20028195707</v>
      </c>
      <c r="J279" s="25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7582.87156349189</v>
      </c>
      <c r="K279" s="25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7626.79581361218</v>
      </c>
      <c r="L279" s="25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7670.97449765403</v>
      </c>
      <c r="M279" s="25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7715.4090894416</v>
      </c>
      <c r="N279" s="7" t="n">
        <f aca="false">SUM(B279:M279)</f>
        <v>89707.8028540122</v>
      </c>
      <c r="O279" s="26" t="n">
        <f aca="false">MAX(B279:M279)</f>
        <v>7715.4090894416</v>
      </c>
      <c r="P279" s="15" t="n">
        <f aca="false">O279/parametros_recargas!$B$6</f>
        <v>51.4360605962773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5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532.834276141747</v>
      </c>
      <c r="C280" s="25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535.920751472622</v>
      </c>
      <c r="D280" s="25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539.025105401769</v>
      </c>
      <c r="E280" s="25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542.147441492066</v>
      </c>
      <c r="F280" s="25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545.28786390629</v>
      </c>
      <c r="G280" s="25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548.446477410585</v>
      </c>
      <c r="H280" s="25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551.623387377959</v>
      </c>
      <c r="I280" s="25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554.8186997918</v>
      </c>
      <c r="J280" s="25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558.032521249412</v>
      </c>
      <c r="K280" s="25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561.264958965571</v>
      </c>
      <c r="L280" s="25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564.516120776098</v>
      </c>
      <c r="M280" s="25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567.786115141463</v>
      </c>
      <c r="N280" s="7" t="n">
        <f aca="false">SUM(B280:M280)</f>
        <v>6601.70371912738</v>
      </c>
      <c r="O280" s="26" t="n">
        <f aca="false">MAX(B280:M280)</f>
        <v>567.786115141463</v>
      </c>
      <c r="P280" s="15" t="n">
        <f aca="false">O280/parametros_recargas!$B$6</f>
        <v>3.78524076760975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5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6.81459378937013</v>
      </c>
      <c r="C281" s="25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6.8540677432102</v>
      </c>
      <c r="D281" s="25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6.8937703523568</v>
      </c>
      <c r="E281" s="25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6.93370294130986</v>
      </c>
      <c r="F281" s="25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6.97386684224155</v>
      </c>
      <c r="G281" s="25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7.01426339504076</v>
      </c>
      <c r="H281" s="25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7.05489394735774</v>
      </c>
      <c r="I281" s="25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7.09575985464908</v>
      </c>
      <c r="J281" s="25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7.13686248022297</v>
      </c>
      <c r="K281" s="25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7.17820319528462</v>
      </c>
      <c r="L281" s="25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7.21978337898204</v>
      </c>
      <c r="M281" s="25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7.26160441845204</v>
      </c>
      <c r="N281" s="7" t="n">
        <f aca="false">SUM(B281:M281)</f>
        <v>84.4313723384778</v>
      </c>
      <c r="O281" s="26" t="n">
        <f aca="false">MAX(B281:M281)</f>
        <v>7.26160441845204</v>
      </c>
      <c r="P281" s="15" t="n">
        <f aca="false">O281/parametros_recargas!$B$6</f>
        <v>0.0484106961230136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5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482.078152693744</v>
      </c>
      <c r="C282" s="25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484.870620056424</v>
      </c>
      <c r="D282" s="25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487.679262958129</v>
      </c>
      <c r="E282" s="25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490.504175096663</v>
      </c>
      <c r="F282" s="25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493.345450712581</v>
      </c>
      <c r="G282" s="25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496.203184592334</v>
      </c>
      <c r="H282" s="25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499.077472071427</v>
      </c>
      <c r="I282" s="25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501.968409037604</v>
      </c>
      <c r="J282" s="25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504.876091934042</v>
      </c>
      <c r="K282" s="25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507.800617762573</v>
      </c>
      <c r="L282" s="25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510.742084086917</v>
      </c>
      <c r="M282" s="25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513.700589035939</v>
      </c>
      <c r="N282" s="7" t="n">
        <f aca="false">SUM(B282:M282)</f>
        <v>5972.84611003838</v>
      </c>
      <c r="O282" s="26" t="n">
        <f aca="false">MAX(B282:M282)</f>
        <v>513.700589035939</v>
      </c>
      <c r="P282" s="15" t="n">
        <f aca="false">O282/parametros_recargas!$B$6</f>
        <v>3.42467059357293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5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8288.34941591127</v>
      </c>
      <c r="C283" s="25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8336.36018990112</v>
      </c>
      <c r="D283" s="25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8384.6490692535</v>
      </c>
      <c r="E283" s="25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8433.21766491083</v>
      </c>
      <c r="F283" s="25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8482.06759714703</v>
      </c>
      <c r="G283" s="25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8531.20049562154</v>
      </c>
      <c r="H283" s="25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8580.6179994337</v>
      </c>
      <c r="I283" s="25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8630.32175717745</v>
      </c>
      <c r="J283" s="25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8680.3134269963</v>
      </c>
      <c r="K283" s="25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8730.59467663866</v>
      </c>
      <c r="L283" s="25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8781.16718351348</v>
      </c>
      <c r="M283" s="25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8832.03263474619</v>
      </c>
      <c r="N283" s="7" t="n">
        <f aca="false">SUM(B283:M283)</f>
        <v>102690.892111251</v>
      </c>
      <c r="O283" s="26" t="n">
        <f aca="false">MAX(B283:M283)</f>
        <v>8832.03263474619</v>
      </c>
      <c r="P283" s="15" t="n">
        <f aca="false">O283/parametros_recargas!$B$6</f>
        <v>58.8802175649746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5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8288.34941591127</v>
      </c>
      <c r="C284" s="25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8336.36018990112</v>
      </c>
      <c r="D284" s="25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8384.6490692535</v>
      </c>
      <c r="E284" s="25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8433.21766491083</v>
      </c>
      <c r="F284" s="25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8482.06759714703</v>
      </c>
      <c r="G284" s="25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8531.20049562154</v>
      </c>
      <c r="H284" s="25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8580.6179994337</v>
      </c>
      <c r="I284" s="25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8630.32175717745</v>
      </c>
      <c r="J284" s="25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8680.3134269963</v>
      </c>
      <c r="K284" s="25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8730.59467663866</v>
      </c>
      <c r="L284" s="25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8781.16718351348</v>
      </c>
      <c r="M284" s="25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8832.03263474619</v>
      </c>
      <c r="N284" s="7" t="n">
        <f aca="false">SUM(B284:M284)</f>
        <v>102690.892111251</v>
      </c>
      <c r="O284" s="26" t="n">
        <f aca="false">MAX(B284:M284)</f>
        <v>8832.03263474619</v>
      </c>
      <c r="P284" s="15" t="n">
        <f aca="false">O284/parametros_recargas!$B$6</f>
        <v>58.8802175649746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5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652.076658717529</v>
      </c>
      <c r="C285" s="25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655.853852886689</v>
      </c>
      <c r="D285" s="25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659.652926685493</v>
      </c>
      <c r="E285" s="25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663.474006853039</v>
      </c>
      <c r="F285" s="25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667.317220862575</v>
      </c>
      <c r="G285" s="25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671.182696925742</v>
      </c>
      <c r="H285" s="25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675.070563996854</v>
      </c>
      <c r="I285" s="25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678.980951777204</v>
      </c>
      <c r="J285" s="25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682.913990719385</v>
      </c>
      <c r="K285" s="25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686.869812031647</v>
      </c>
      <c r="L285" s="25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690.848547682269</v>
      </c>
      <c r="M285" s="25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694.850330403967</v>
      </c>
      <c r="N285" s="7" t="n">
        <f aca="false">SUM(B285:M285)</f>
        <v>8079.09155954239</v>
      </c>
      <c r="O285" s="26" t="n">
        <f aca="false">MAX(B285:M285)</f>
        <v>694.850330403967</v>
      </c>
      <c r="P285" s="15" t="n">
        <f aca="false">O285/parametros_recargas!$B$6</f>
        <v>4.63233553602645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5" t="n">
        <f aca="false">'Plan mensual'!D285</f>
        <v>274.989399397811</v>
      </c>
      <c r="C286" s="25" t="n">
        <f aca="false">'Plan mensual'!E285</f>
        <v>276.582292414453</v>
      </c>
      <c r="D286" s="25" t="n">
        <f aca="false">'Plan mensual'!F285</f>
        <v>278.184412361907</v>
      </c>
      <c r="E286" s="25" t="n">
        <f aca="false">'Plan mensual'!G285</f>
        <v>279.795812687739</v>
      </c>
      <c r="F286" s="25" t="n">
        <f aca="false">'Plan mensual'!H285</f>
        <v>281.41654714911</v>
      </c>
      <c r="G286" s="25" t="n">
        <f aca="false">'Plan mensual'!I285</f>
        <v>283.046669814576</v>
      </c>
      <c r="H286" s="25" t="n">
        <f aca="false">'Plan mensual'!J285</f>
        <v>284.686235065887</v>
      </c>
      <c r="I286" s="25" t="n">
        <f aca="false">'Plan mensual'!K285</f>
        <v>286.335297599801</v>
      </c>
      <c r="J286" s="25" t="n">
        <f aca="false">'Plan mensual'!L285</f>
        <v>287.993912429913</v>
      </c>
      <c r="K286" s="25" t="n">
        <f aca="false">'Plan mensual'!M285</f>
        <v>289.662134888486</v>
      </c>
      <c r="L286" s="25" t="n">
        <f aca="false">'Plan mensual'!N285</f>
        <v>291.340020628299</v>
      </c>
      <c r="M286" s="25" t="n">
        <f aca="false">'Plan mensual'!O285</f>
        <v>293.027625624504</v>
      </c>
      <c r="N286" s="7" t="n">
        <f aca="false">SUM(B286:M286)</f>
        <v>3407.06036006249</v>
      </c>
      <c r="O286" s="26" t="n">
        <f aca="false">MAX(B286:M286)</f>
        <v>293.027625624504</v>
      </c>
      <c r="P286" s="15" t="n">
        <f aca="false">O286/parametros_recargas!$B$6</f>
        <v>1.95351750416336</v>
      </c>
    </row>
    <row r="289" customFormat="false" ht="23.85" hidden="false" customHeight="false" outlineLevel="0" collapsed="false">
      <c r="A289" s="3" t="s">
        <v>287</v>
      </c>
      <c r="B289" s="3" t="s">
        <v>124</v>
      </c>
      <c r="C289" s="3" t="s">
        <v>125</v>
      </c>
      <c r="D289" s="3" t="s">
        <v>126</v>
      </c>
      <c r="E289" s="3" t="s">
        <v>127</v>
      </c>
      <c r="F289" s="3" t="s">
        <v>128</v>
      </c>
      <c r="G289" s="3" t="s">
        <v>129</v>
      </c>
      <c r="H289" s="3" t="s">
        <v>130</v>
      </c>
      <c r="I289" s="3" t="s">
        <v>131</v>
      </c>
      <c r="J289" s="3" t="s">
        <v>132</v>
      </c>
      <c r="K289" s="3" t="s">
        <v>133</v>
      </c>
      <c r="L289" s="3" t="s">
        <v>134</v>
      </c>
      <c r="M289" s="3" t="s">
        <v>135</v>
      </c>
      <c r="N289" s="3" t="s">
        <v>276</v>
      </c>
      <c r="O289" s="3" t="s">
        <v>277</v>
      </c>
      <c r="P289" s="3" t="s">
        <v>278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5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8884.90642228141</v>
      </c>
      <c r="C290" s="25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8936.37278943796</v>
      </c>
      <c r="D290" s="25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8988.13727869309</v>
      </c>
      <c r="E290" s="25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9040.2016169374</v>
      </c>
      <c r="F290" s="25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9092.56754106461</v>
      </c>
      <c r="G290" s="25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9145.23679802951</v>
      </c>
      <c r="H290" s="25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9198.21114490621</v>
      </c>
      <c r="I290" s="25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9251.49234894681</v>
      </c>
      <c r="J290" s="25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9305.08218764031</v>
      </c>
      <c r="K290" s="25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9358.98244877193</v>
      </c>
      <c r="L290" s="25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9413.19493048275</v>
      </c>
      <c r="M290" s="25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9467.72144132967</v>
      </c>
      <c r="N290" s="7" t="n">
        <f aca="false">SUM(B290:M290)</f>
        <v>110082.106948522</v>
      </c>
      <c r="O290" s="26" t="n">
        <f aca="false">MAX(B290:M290)</f>
        <v>9467.72144132967</v>
      </c>
      <c r="P290" s="15" t="n">
        <f aca="false">O290/parametros_recargas!$B$6</f>
        <v>63.1181429421978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5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8884.90642228141</v>
      </c>
      <c r="C291" s="25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8936.37278943796</v>
      </c>
      <c r="D291" s="25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8988.13727869309</v>
      </c>
      <c r="E291" s="25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9040.2016169374</v>
      </c>
      <c r="F291" s="25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9092.56754106461</v>
      </c>
      <c r="G291" s="25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9145.23679802951</v>
      </c>
      <c r="H291" s="25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9198.21114490621</v>
      </c>
      <c r="I291" s="25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9251.49234894681</v>
      </c>
      <c r="J291" s="25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9305.08218764031</v>
      </c>
      <c r="K291" s="25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9358.98244877193</v>
      </c>
      <c r="L291" s="25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9413.19493048275</v>
      </c>
      <c r="M291" s="25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9467.72144132967</v>
      </c>
      <c r="N291" s="7" t="n">
        <f aca="false">SUM(B291:M291)</f>
        <v>110082.106948522</v>
      </c>
      <c r="O291" s="26" t="n">
        <f aca="false">MAX(B291:M291)</f>
        <v>9467.72144132967</v>
      </c>
      <c r="P291" s="15" t="n">
        <f aca="false">O291/parametros_recargas!$B$6</f>
        <v>63.1181429421978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5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6574.75873927553</v>
      </c>
      <c r="C292" s="25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6612.84343383041</v>
      </c>
      <c r="D292" s="25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6651.14873632193</v>
      </c>
      <c r="E292" s="25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6689.67592463512</v>
      </c>
      <c r="F292" s="25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6728.42628405728</v>
      </c>
      <c r="G292" s="25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6767.40110732077</v>
      </c>
      <c r="H292" s="25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6806.60169464621</v>
      </c>
      <c r="I292" s="25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6846.02935378582</v>
      </c>
      <c r="J292" s="25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6885.68540006706</v>
      </c>
      <c r="K292" s="25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6925.5711564365</v>
      </c>
      <c r="L292" s="25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6965.68795350395</v>
      </c>
      <c r="M292" s="25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7006.03712958688</v>
      </c>
      <c r="N292" s="7" t="n">
        <f aca="false">SUM(B292:M292)</f>
        <v>81459.8669134675</v>
      </c>
      <c r="O292" s="26" t="n">
        <f aca="false">MAX(B292:M292)</f>
        <v>7006.03712958688</v>
      </c>
      <c r="P292" s="15" t="n">
        <f aca="false">O292/parametros_recargas!$B$6</f>
        <v>46.7069141972459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5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773.501028150062</v>
      </c>
      <c r="C293" s="25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777.981580450636</v>
      </c>
      <c r="D293" s="25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782.488086626109</v>
      </c>
      <c r="E293" s="25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787.020697015897</v>
      </c>
      <c r="F293" s="25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791.579562830268</v>
      </c>
      <c r="G293" s="25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796.164836155385</v>
      </c>
      <c r="H293" s="25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800.776669958378</v>
      </c>
      <c r="I293" s="25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805.41521809245</v>
      </c>
      <c r="J293" s="25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810.080635302007</v>
      </c>
      <c r="K293" s="25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814.773077227823</v>
      </c>
      <c r="L293" s="25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819.49270041223</v>
      </c>
      <c r="M293" s="25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824.239662304339</v>
      </c>
      <c r="N293" s="7" t="n">
        <f aca="false">SUM(B293:M293)</f>
        <v>9583.51375452558</v>
      </c>
      <c r="O293" s="26" t="n">
        <f aca="false">MAX(B293:M293)</f>
        <v>824.239662304339</v>
      </c>
      <c r="P293" s="15" t="n">
        <f aca="false">O293/parametros_recargas!$B$6</f>
        <v>5.49493108202893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5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11.2476788129262</v>
      </c>
      <c r="C294" s="25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11.3128316845415</v>
      </c>
      <c r="D294" s="25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11.3783619581746</v>
      </c>
      <c r="E294" s="25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11.44427181995</v>
      </c>
      <c r="F294" s="25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11.5105634686552</v>
      </c>
      <c r="G294" s="25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11.5772391158147</v>
      </c>
      <c r="H294" s="25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11.644300985763</v>
      </c>
      <c r="I294" s="25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11.7117513157194</v>
      </c>
      <c r="J294" s="25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11.7795923558624</v>
      </c>
      <c r="K294" s="25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11.8478263694048</v>
      </c>
      <c r="L294" s="25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11.9164556326693</v>
      </c>
      <c r="M294" s="25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11.9854824351641</v>
      </c>
      <c r="N294" s="7" t="n">
        <f aca="false">SUM(B294:M294)</f>
        <v>139.356355954645</v>
      </c>
      <c r="O294" s="26" t="n">
        <f aca="false">MAX(B294:M294)</f>
        <v>11.9854824351641</v>
      </c>
      <c r="P294" s="15" t="n">
        <f aca="false">O294/parametros_recargas!$B$6</f>
        <v>0.0799032162344274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5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389.250811332924</v>
      </c>
      <c r="C295" s="25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391.505570608925</v>
      </c>
      <c r="D295" s="25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393.773390716773</v>
      </c>
      <c r="E295" s="25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396.054347312139</v>
      </c>
      <c r="F295" s="25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398.348516488934</v>
      </c>
      <c r="G295" s="25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400.655974781852</v>
      </c>
      <c r="H295" s="25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402.976799168913</v>
      </c>
      <c r="I295" s="25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405.311067074041</v>
      </c>
      <c r="J295" s="25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407.658856369642</v>
      </c>
      <c r="K295" s="25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410.020245379201</v>
      </c>
      <c r="L295" s="25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412.3953128799</v>
      </c>
      <c r="M295" s="25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414.784138105238</v>
      </c>
      <c r="N295" s="7" t="n">
        <f aca="false">SUM(B295:M295)</f>
        <v>4822.73503021848</v>
      </c>
      <c r="O295" s="26" t="n">
        <f aca="false">MAX(B295:M295)</f>
        <v>414.784138105238</v>
      </c>
      <c r="P295" s="15" t="n">
        <f aca="false">O295/parametros_recargas!$B$6</f>
        <v>2.76522758736825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5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177.412016439286</v>
      </c>
      <c r="C296" s="25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178.439686461015</v>
      </c>
      <c r="D296" s="25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179.473309324579</v>
      </c>
      <c r="E296" s="25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180.512919512182</v>
      </c>
      <c r="F296" s="25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181.558551705766</v>
      </c>
      <c r="G296" s="25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182.61024078817</v>
      </c>
      <c r="H296" s="25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183.668021844297</v>
      </c>
      <c r="I296" s="25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184.731930162279</v>
      </c>
      <c r="J296" s="25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185.802001234657</v>
      </c>
      <c r="K296" s="25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186.878270759566</v>
      </c>
      <c r="L296" s="25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187.960774641922</v>
      </c>
      <c r="M296" s="25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189.049548994626</v>
      </c>
      <c r="N296" s="7" t="n">
        <f aca="false">SUM(B296:M296)</f>
        <v>2198.09727186835</v>
      </c>
      <c r="O296" s="26" t="n">
        <f aca="false">MAX(B296:M296)</f>
        <v>189.049548994626</v>
      </c>
      <c r="P296" s="15" t="n">
        <f aca="false">O296/parametros_recargas!$B$6</f>
        <v>1.26033032663084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5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7.39762168762425</v>
      </c>
      <c r="C297" s="25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7.44047286643979</v>
      </c>
      <c r="D297" s="25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7.48357226334533</v>
      </c>
      <c r="E297" s="25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7.52692131615944</v>
      </c>
      <c r="F297" s="25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7.57052147102933</v>
      </c>
      <c r="G297" s="25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7.61437418247911</v>
      </c>
      <c r="H297" s="25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7.6584809134583</v>
      </c>
      <c r="I297" s="25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7.70284313539065</v>
      </c>
      <c r="J297" s="25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7.74746232822325</v>
      </c>
      <c r="K297" s="25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7.79233998047583</v>
      </c>
      <c r="L297" s="25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7.8374775892905</v>
      </c>
      <c r="M297" s="25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7.88287666048162</v>
      </c>
      <c r="N297" s="7" t="n">
        <f aca="false">SUM(B297:M297)</f>
        <v>91.6549643943974</v>
      </c>
      <c r="O297" s="26" t="n">
        <f aca="false">MAX(B297:M297)</f>
        <v>7.88287666048162</v>
      </c>
      <c r="P297" s="15" t="n">
        <f aca="false">O297/parametros_recargas!$B$6</f>
        <v>0.0525525110698775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5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7756.41705844085</v>
      </c>
      <c r="C298" s="25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7801.34658151922</v>
      </c>
      <c r="D298" s="25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7846.53636162462</v>
      </c>
      <c r="E298" s="25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7891.9879063119</v>
      </c>
      <c r="F298" s="25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7937.7027318685</v>
      </c>
      <c r="G298" s="25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7983.68236336506</v>
      </c>
      <c r="H298" s="25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8029.92833470627</v>
      </c>
      <c r="I298" s="25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8076.44218868209</v>
      </c>
      <c r="J298" s="25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8123.22547701915</v>
      </c>
      <c r="K298" s="25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8170.27976043256</v>
      </c>
      <c r="L298" s="25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8217.606608678</v>
      </c>
      <c r="M298" s="25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8265.207600604</v>
      </c>
      <c r="N298" s="7" t="n">
        <f aca="false">SUM(B298:M298)</f>
        <v>96100.3629732522</v>
      </c>
      <c r="O298" s="26" t="n">
        <f aca="false">MAX(B298:M298)</f>
        <v>8265.207600604</v>
      </c>
      <c r="P298" s="15" t="n">
        <f aca="false">O298/parametros_recargas!$B$6</f>
        <v>55.1013840040267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5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574.060449459833</v>
      </c>
      <c r="C299" s="25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577.38572993638</v>
      </c>
      <c r="D299" s="25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580.730272304698</v>
      </c>
      <c r="E299" s="25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584.09418814048</v>
      </c>
      <c r="F299" s="25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587.477589665729</v>
      </c>
      <c r="G299" s="25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590.880589752501</v>
      </c>
      <c r="H299" s="25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594.303301926669</v>
      </c>
      <c r="I299" s="25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597.745840371711</v>
      </c>
      <c r="J299" s="25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601.208319932523</v>
      </c>
      <c r="K299" s="25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604.690856119243</v>
      </c>
      <c r="L299" s="25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608.193565111113</v>
      </c>
      <c r="M299" s="25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611.716563760346</v>
      </c>
      <c r="N299" s="7" t="n">
        <f aca="false">SUM(B299:M299)</f>
        <v>7112.48726648123</v>
      </c>
      <c r="O299" s="26" t="n">
        <f aca="false">MAX(B299:M299)</f>
        <v>611.716563760346</v>
      </c>
      <c r="P299" s="15" t="n">
        <f aca="false">O299/parametros_recargas!$B$6</f>
        <v>4.07811042506897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5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7.74625796031355</v>
      </c>
      <c r="C300" s="25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7.79112863619091</v>
      </c>
      <c r="D300" s="25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7.83625922821926</v>
      </c>
      <c r="E300" s="25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7.88165124197892</v>
      </c>
      <c r="F300" s="25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7.92730619177133</v>
      </c>
      <c r="G300" s="25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7.97322560066966</v>
      </c>
      <c r="H300" s="25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8.01941100056954</v>
      </c>
      <c r="I300" s="25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8.06586393224022</v>
      </c>
      <c r="J300" s="25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8.11258594537594</v>
      </c>
      <c r="K300" s="25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8.15957859864764</v>
      </c>
      <c r="L300" s="25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8.20684345975497</v>
      </c>
      <c r="M300" s="25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8.25438210547856</v>
      </c>
      <c r="N300" s="7" t="n">
        <f aca="false">SUM(B300:M300)</f>
        <v>95.9744939012105</v>
      </c>
      <c r="O300" s="26" t="n">
        <f aca="false">MAX(B300:M300)</f>
        <v>8.25438210547856</v>
      </c>
      <c r="P300" s="15" t="n">
        <f aca="false">O300/parametros_recargas!$B$6</f>
        <v>0.0550292140365237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5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1893.75652785616</v>
      </c>
      <c r="C301" s="25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1904.72622907027</v>
      </c>
      <c r="D301" s="25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1915.75947295365</v>
      </c>
      <c r="E301" s="25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1926.85662758112</v>
      </c>
      <c r="F301" s="25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1938.0180631596</v>
      </c>
      <c r="G301" s="25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1949.24415204046</v>
      </c>
      <c r="H301" s="25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1960.53526873192</v>
      </c>
      <c r="I301" s="25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1971.89178991157</v>
      </c>
      <c r="J301" s="25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1983.31409443896</v>
      </c>
      <c r="K301" s="25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1994.80256336815</v>
      </c>
      <c r="L301" s="25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2006.35757996052</v>
      </c>
      <c r="M301" s="25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2017.9795296975</v>
      </c>
      <c r="N301" s="7" t="n">
        <f aca="false">SUM(B301:M301)</f>
        <v>23463.2418987699</v>
      </c>
      <c r="O301" s="26" t="n">
        <f aca="false">MAX(B301:M301)</f>
        <v>2017.9795296975</v>
      </c>
      <c r="P301" s="15" t="n">
        <f aca="false">O301/parametros_recargas!$B$6</f>
        <v>13.45319686465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5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1776.69529277411</v>
      </c>
      <c r="C302" s="25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1786.986909581</v>
      </c>
      <c r="D302" s="25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1797.33814121151</v>
      </c>
      <c r="E302" s="25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1807.74933298817</v>
      </c>
      <c r="F302" s="25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1818.22083223382</v>
      </c>
      <c r="G302" s="25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1828.75298828318</v>
      </c>
      <c r="H302" s="25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1839.34615249452</v>
      </c>
      <c r="I302" s="25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1850.00067826137</v>
      </c>
      <c r="J302" s="25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1860.71692102433</v>
      </c>
      <c r="K302" s="25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1871.49523828287</v>
      </c>
      <c r="L302" s="25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1882.33598960735</v>
      </c>
      <c r="M302" s="25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1893.23953665093</v>
      </c>
      <c r="N302" s="7" t="n">
        <f aca="false">SUM(B302:M302)</f>
        <v>22012.8780133932</v>
      </c>
      <c r="O302" s="26" t="n">
        <f aca="false">MAX(B302:M302)</f>
        <v>1893.23953665093</v>
      </c>
      <c r="P302" s="15" t="n">
        <f aca="false">O302/parametros_recargas!$B$6</f>
        <v>12.6215969110062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5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1776.69529277411</v>
      </c>
      <c r="C303" s="25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1786.986909581</v>
      </c>
      <c r="D303" s="25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1797.33814121151</v>
      </c>
      <c r="E303" s="25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1807.74933298817</v>
      </c>
      <c r="F303" s="25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1818.22083223382</v>
      </c>
      <c r="G303" s="25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1828.75298828318</v>
      </c>
      <c r="H303" s="25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1839.34615249452</v>
      </c>
      <c r="I303" s="25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1850.00067826137</v>
      </c>
      <c r="J303" s="25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1860.71692102433</v>
      </c>
      <c r="K303" s="25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1871.49523828287</v>
      </c>
      <c r="L303" s="25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1882.33598960735</v>
      </c>
      <c r="M303" s="25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1893.23953665093</v>
      </c>
      <c r="N303" s="7" t="n">
        <f aca="false">SUM(B303:M303)</f>
        <v>22012.8780133932</v>
      </c>
      <c r="O303" s="26" t="n">
        <f aca="false">MAX(B303:M303)</f>
        <v>1893.23953665093</v>
      </c>
      <c r="P303" s="15" t="n">
        <f aca="false">O303/parametros_recargas!$B$6</f>
        <v>12.6215969110062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5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888.490642228141</v>
      </c>
      <c r="C304" s="25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893.637278943796</v>
      </c>
      <c r="D304" s="25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898.813727869309</v>
      </c>
      <c r="E304" s="25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904.02016169374</v>
      </c>
      <c r="F304" s="25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909.256754106461</v>
      </c>
      <c r="G304" s="25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914.523679802951</v>
      </c>
      <c r="H304" s="25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919.821114490621</v>
      </c>
      <c r="I304" s="25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925.149234894681</v>
      </c>
      <c r="J304" s="25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930.508218764031</v>
      </c>
      <c r="K304" s="25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935.898244877193</v>
      </c>
      <c r="L304" s="25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941.319493048275</v>
      </c>
      <c r="M304" s="25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946.772144132967</v>
      </c>
      <c r="N304" s="7" t="n">
        <f aca="false">SUM(B304:M304)</f>
        <v>11008.2106948522</v>
      </c>
      <c r="O304" s="26" t="n">
        <f aca="false">MAX(B304:M304)</f>
        <v>946.772144132967</v>
      </c>
      <c r="P304" s="15" t="n">
        <f aca="false">O304/parametros_recargas!$B$6</f>
        <v>6.31181429421978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5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7735.01028150062</v>
      </c>
      <c r="C305" s="25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7779.81580450636</v>
      </c>
      <c r="D305" s="25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7824.88086626109</v>
      </c>
      <c r="E305" s="25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7870.20697015897</v>
      </c>
      <c r="F305" s="25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7915.79562830268</v>
      </c>
      <c r="G305" s="25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7961.64836155385</v>
      </c>
      <c r="H305" s="25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8007.76669958378</v>
      </c>
      <c r="I305" s="25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8054.1521809245</v>
      </c>
      <c r="J305" s="25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8100.80635302007</v>
      </c>
      <c r="K305" s="25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8147.73077227823</v>
      </c>
      <c r="L305" s="25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8194.9270041223</v>
      </c>
      <c r="M305" s="25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8242.39662304339</v>
      </c>
      <c r="N305" s="7" t="n">
        <f aca="false">SUM(B305:M305)</f>
        <v>95835.1375452558</v>
      </c>
      <c r="O305" s="26" t="n">
        <f aca="false">MAX(B305:M305)</f>
        <v>8242.39662304339</v>
      </c>
      <c r="P305" s="15" t="n">
        <f aca="false">O305/parametros_recargas!$B$6</f>
        <v>54.9493108202893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5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11.2476788129262</v>
      </c>
      <c r="C306" s="25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11.3128316845415</v>
      </c>
      <c r="D306" s="25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11.3783619581746</v>
      </c>
      <c r="E306" s="25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11.44427181995</v>
      </c>
      <c r="F306" s="25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11.5105634686552</v>
      </c>
      <c r="G306" s="25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11.5772391158147</v>
      </c>
      <c r="H306" s="25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11.644300985763</v>
      </c>
      <c r="I306" s="25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11.7117513157194</v>
      </c>
      <c r="J306" s="25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11.7795923558624</v>
      </c>
      <c r="K306" s="25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11.8478263694048</v>
      </c>
      <c r="L306" s="25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11.9164556326693</v>
      </c>
      <c r="M306" s="25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11.9854824351641</v>
      </c>
      <c r="N306" s="7" t="n">
        <f aca="false">SUM(B306:M306)</f>
        <v>139.356355954645</v>
      </c>
      <c r="O306" s="26" t="n">
        <f aca="false">MAX(B306:M306)</f>
        <v>11.9854824351641</v>
      </c>
      <c r="P306" s="15" t="n">
        <f aca="false">O306/parametros_recargas!$B$6</f>
        <v>0.0799032162344274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5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10.1590981273011</v>
      </c>
      <c r="C307" s="25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10.2179453283124</v>
      </c>
      <c r="D307" s="25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10.2771334053566</v>
      </c>
      <c r="E307" s="25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10.3366643329791</v>
      </c>
      <c r="F307" s="25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10.3965400971628</v>
      </c>
      <c r="G307" s="25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10.4567626953948</v>
      </c>
      <c r="H307" s="25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10.5173341367328</v>
      </c>
      <c r="I307" s="25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10.5782564418717</v>
      </c>
      <c r="J307" s="25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10.6395316432118</v>
      </c>
      <c r="K307" s="25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10.7011617849261</v>
      </c>
      <c r="L307" s="25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10.7631489230285</v>
      </c>
      <c r="M307" s="25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10.8254951254425</v>
      </c>
      <c r="N307" s="7" t="n">
        <f aca="false">SUM(B307:M307)</f>
        <v>125.86907204172</v>
      </c>
      <c r="O307" s="26" t="n">
        <f aca="false">MAX(B307:M307)</f>
        <v>10.8254951254425</v>
      </c>
      <c r="P307" s="15" t="n">
        <f aca="false">O307/parametros_recargas!$B$6</f>
        <v>0.0721699675029502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5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389.250811332924</v>
      </c>
      <c r="C308" s="25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391.505570608925</v>
      </c>
      <c r="D308" s="25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393.773390716773</v>
      </c>
      <c r="E308" s="25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396.054347312139</v>
      </c>
      <c r="F308" s="25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398.348516488934</v>
      </c>
      <c r="G308" s="25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400.655974781852</v>
      </c>
      <c r="H308" s="25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402.976799168913</v>
      </c>
      <c r="I308" s="25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405.311067074041</v>
      </c>
      <c r="J308" s="25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407.658856369642</v>
      </c>
      <c r="K308" s="25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410.020245379201</v>
      </c>
      <c r="L308" s="25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412.3953128799</v>
      </c>
      <c r="M308" s="25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414.784138105238</v>
      </c>
      <c r="N308" s="7" t="n">
        <f aca="false">SUM(B308:M308)</f>
        <v>4822.73503021848</v>
      </c>
      <c r="O308" s="26" t="n">
        <f aca="false">MAX(B308:M308)</f>
        <v>414.784138105238</v>
      </c>
      <c r="P308" s="15" t="n">
        <f aca="false">O308/parametros_recargas!$B$6</f>
        <v>2.76522758736825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5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212.894419727143</v>
      </c>
      <c r="C309" s="25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214.127623753218</v>
      </c>
      <c r="D309" s="25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215.367971189495</v>
      </c>
      <c r="E309" s="25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216.615503414619</v>
      </c>
      <c r="F309" s="25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217.870262046919</v>
      </c>
      <c r="G309" s="25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219.132288945805</v>
      </c>
      <c r="H309" s="25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220.401626213157</v>
      </c>
      <c r="I309" s="25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221.678316194735</v>
      </c>
      <c r="J309" s="25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222.962401481589</v>
      </c>
      <c r="K309" s="25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224.253924911479</v>
      </c>
      <c r="L309" s="25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225.552929570307</v>
      </c>
      <c r="M309" s="25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226.859458793551</v>
      </c>
      <c r="N309" s="7" t="n">
        <f aca="false">SUM(B309:M309)</f>
        <v>2637.71672624202</v>
      </c>
      <c r="O309" s="26" t="n">
        <f aca="false">MAX(B309:M309)</f>
        <v>226.859458793551</v>
      </c>
      <c r="P309" s="15" t="n">
        <f aca="false">O309/parametros_recargas!$B$6</f>
        <v>1.51239639195701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5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7756.41705844085</v>
      </c>
      <c r="C310" s="25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7801.34658151922</v>
      </c>
      <c r="D310" s="25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7846.53636162462</v>
      </c>
      <c r="E310" s="25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7891.9879063119</v>
      </c>
      <c r="F310" s="25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7937.7027318685</v>
      </c>
      <c r="G310" s="25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7983.68236336506</v>
      </c>
      <c r="H310" s="25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8029.92833470627</v>
      </c>
      <c r="I310" s="25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8076.44218868209</v>
      </c>
      <c r="J310" s="25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8123.22547701915</v>
      </c>
      <c r="K310" s="25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8170.27976043256</v>
      </c>
      <c r="L310" s="25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8217.606608678</v>
      </c>
      <c r="M310" s="25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8265.207600604</v>
      </c>
      <c r="N310" s="7" t="n">
        <f aca="false">SUM(B310:M310)</f>
        <v>96100.3629732522</v>
      </c>
      <c r="O310" s="26" t="n">
        <f aca="false">MAX(B310:M310)</f>
        <v>8265.207600604</v>
      </c>
      <c r="P310" s="15" t="n">
        <f aca="false">O310/parametros_recargas!$B$6</f>
        <v>55.1013840040267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5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7756.41705844085</v>
      </c>
      <c r="C311" s="25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7801.34658151922</v>
      </c>
      <c r="D311" s="25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7846.53636162462</v>
      </c>
      <c r="E311" s="25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7891.9879063119</v>
      </c>
      <c r="F311" s="25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7937.7027318685</v>
      </c>
      <c r="G311" s="25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7983.68236336506</v>
      </c>
      <c r="H311" s="25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8029.92833470627</v>
      </c>
      <c r="I311" s="25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8076.44218868209</v>
      </c>
      <c r="J311" s="25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8123.22547701915</v>
      </c>
      <c r="K311" s="25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8170.27976043256</v>
      </c>
      <c r="L311" s="25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8217.606608678</v>
      </c>
      <c r="M311" s="25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8265.207600604</v>
      </c>
      <c r="N311" s="7" t="n">
        <f aca="false">SUM(B311:M311)</f>
        <v>96100.3629732522</v>
      </c>
      <c r="O311" s="26" t="n">
        <f aca="false">MAX(B311:M311)</f>
        <v>8265.207600604</v>
      </c>
      <c r="P311" s="15" t="n">
        <f aca="false">O311/parametros_recargas!$B$6</f>
        <v>55.1013840040267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5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574.060449459833</v>
      </c>
      <c r="C312" s="25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577.38572993638</v>
      </c>
      <c r="D312" s="25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580.730272304698</v>
      </c>
      <c r="E312" s="25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584.09418814048</v>
      </c>
      <c r="F312" s="25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587.477589665729</v>
      </c>
      <c r="G312" s="25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590.880589752501</v>
      </c>
      <c r="H312" s="25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594.303301926669</v>
      </c>
      <c r="I312" s="25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597.745840371711</v>
      </c>
      <c r="J312" s="25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601.208319932523</v>
      </c>
      <c r="K312" s="25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604.690856119243</v>
      </c>
      <c r="L312" s="25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608.193565111113</v>
      </c>
      <c r="M312" s="25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611.716563760346</v>
      </c>
      <c r="N312" s="7" t="n">
        <f aca="false">SUM(B312:M312)</f>
        <v>7112.48726648123</v>
      </c>
      <c r="O312" s="26" t="n">
        <f aca="false">MAX(B312:M312)</f>
        <v>611.716563760346</v>
      </c>
      <c r="P312" s="15" t="n">
        <f aca="false">O312/parametros_recargas!$B$6</f>
        <v>4.07811042506897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5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7.39762168762425</v>
      </c>
      <c r="C313" s="25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7.44047286643979</v>
      </c>
      <c r="D313" s="25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7.48357226334533</v>
      </c>
      <c r="E313" s="25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7.52692131615944</v>
      </c>
      <c r="F313" s="25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7.57052147102933</v>
      </c>
      <c r="G313" s="25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7.61437418247911</v>
      </c>
      <c r="H313" s="25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7.6584809134583</v>
      </c>
      <c r="I313" s="25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7.70284313539065</v>
      </c>
      <c r="J313" s="25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7.74746232822325</v>
      </c>
      <c r="K313" s="25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7.79233998047583</v>
      </c>
      <c r="L313" s="25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7.8374775892905</v>
      </c>
      <c r="M313" s="25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7.88287666048162</v>
      </c>
      <c r="N313" s="7" t="n">
        <f aca="false">SUM(B313:M313)</f>
        <v>91.6549643943974</v>
      </c>
      <c r="O313" s="26" t="n">
        <f aca="false">MAX(B313:M313)</f>
        <v>7.88287666048162</v>
      </c>
      <c r="P313" s="15" t="n">
        <f aca="false">O313/parametros_recargas!$B$6</f>
        <v>0.0525525110698775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5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518.946511092872</v>
      </c>
      <c r="C314" s="25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521.952540690161</v>
      </c>
      <c r="D314" s="25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524.975982898859</v>
      </c>
      <c r="E314" s="25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528.016938582588</v>
      </c>
      <c r="F314" s="25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531.075509189232</v>
      </c>
      <c r="G314" s="25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534.151796754314</v>
      </c>
      <c r="H314" s="25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537.245903904408</v>
      </c>
      <c r="I314" s="25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540.357933860554</v>
      </c>
      <c r="J314" s="25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543.487990441711</v>
      </c>
      <c r="K314" s="25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546.636178068212</v>
      </c>
      <c r="L314" s="25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549.802601765254</v>
      </c>
      <c r="M314" s="25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552.987367166397</v>
      </c>
      <c r="N314" s="7" t="n">
        <f aca="false">SUM(B314:M314)</f>
        <v>6429.63725441456</v>
      </c>
      <c r="O314" s="26" t="n">
        <f aca="false">MAX(B314:M314)</f>
        <v>552.987367166397</v>
      </c>
      <c r="P314" s="15" t="n">
        <f aca="false">O314/parametros_recargas!$B$6</f>
        <v>3.68658244777598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5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8884.90642228141</v>
      </c>
      <c r="C315" s="25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8936.37278943796</v>
      </c>
      <c r="D315" s="25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8988.13727869309</v>
      </c>
      <c r="E315" s="25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9040.2016169374</v>
      </c>
      <c r="F315" s="25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9092.56754106461</v>
      </c>
      <c r="G315" s="25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9145.23679802951</v>
      </c>
      <c r="H315" s="25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9198.21114490621</v>
      </c>
      <c r="I315" s="25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9251.49234894681</v>
      </c>
      <c r="J315" s="25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9305.08218764031</v>
      </c>
      <c r="K315" s="25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9358.98244877193</v>
      </c>
      <c r="L315" s="25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9413.19493048275</v>
      </c>
      <c r="M315" s="25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9467.72144132967</v>
      </c>
      <c r="N315" s="7" t="n">
        <f aca="false">SUM(B315:M315)</f>
        <v>110082.106948522</v>
      </c>
      <c r="O315" s="26" t="n">
        <f aca="false">MAX(B315:M315)</f>
        <v>9467.72144132967</v>
      </c>
      <c r="P315" s="15" t="n">
        <f aca="false">O315/parametros_recargas!$B$6</f>
        <v>63.1181429421978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5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8884.90642228141</v>
      </c>
      <c r="C316" s="25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8936.37278943796</v>
      </c>
      <c r="D316" s="25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8988.13727869309</v>
      </c>
      <c r="E316" s="25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9040.2016169374</v>
      </c>
      <c r="F316" s="25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9092.56754106461</v>
      </c>
      <c r="G316" s="25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9145.23679802951</v>
      </c>
      <c r="H316" s="25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9198.21114490621</v>
      </c>
      <c r="I316" s="25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9251.49234894681</v>
      </c>
      <c r="J316" s="25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9305.08218764031</v>
      </c>
      <c r="K316" s="25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9358.98244877193</v>
      </c>
      <c r="L316" s="25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9413.19493048275</v>
      </c>
      <c r="M316" s="25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9467.72144132967</v>
      </c>
      <c r="N316" s="7" t="n">
        <f aca="false">SUM(B316:M316)</f>
        <v>110082.106948522</v>
      </c>
      <c r="O316" s="26" t="n">
        <f aca="false">MAX(B316:M316)</f>
        <v>9467.72144132967</v>
      </c>
      <c r="P316" s="15" t="n">
        <f aca="false">O316/parametros_recargas!$B$6</f>
        <v>63.1181429421978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5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698.965046019894</v>
      </c>
      <c r="C317" s="25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703.013844057636</v>
      </c>
      <c r="D317" s="25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707.086095007142</v>
      </c>
      <c r="E317" s="25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711.181934720847</v>
      </c>
      <c r="F317" s="25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715.301499838118</v>
      </c>
      <c r="G317" s="25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719.444927789816</v>
      </c>
      <c r="H317" s="25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723.612356802877</v>
      </c>
      <c r="I317" s="25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727.803925904926</v>
      </c>
      <c r="J317" s="25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732.019774928914</v>
      </c>
      <c r="K317" s="25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736.260044517784</v>
      </c>
      <c r="L317" s="25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740.524876129158</v>
      </c>
      <c r="M317" s="25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744.814412040065</v>
      </c>
      <c r="N317" s="7" t="n">
        <f aca="false">SUM(B317:M317)</f>
        <v>8660.02873775718</v>
      </c>
      <c r="O317" s="26" t="n">
        <f aca="false">MAX(B317:M317)</f>
        <v>744.814412040065</v>
      </c>
      <c r="P317" s="15" t="n">
        <f aca="false">O317/parametros_recargas!$B$6</f>
        <v>4.96542941360043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5" t="n">
        <f aca="false">'Plan mensual'!D317</f>
        <v>297.167540598347</v>
      </c>
      <c r="C318" s="25" t="n">
        <f aca="false">'Plan mensual'!E317</f>
        <v>298.888901862556</v>
      </c>
      <c r="D318" s="25" t="n">
        <f aca="false">'Plan mensual'!F317</f>
        <v>300.620234217808</v>
      </c>
      <c r="E318" s="25" t="n">
        <f aca="false">'Plan mensual'!G317</f>
        <v>302.361595422259</v>
      </c>
      <c r="F318" s="25" t="n">
        <f aca="false">'Plan mensual'!H317</f>
        <v>304.113043568637</v>
      </c>
      <c r="G318" s="25" t="n">
        <f aca="false">'Plan mensual'!I317</f>
        <v>305.874637086172</v>
      </c>
      <c r="H318" s="25" t="n">
        <f aca="false">'Plan mensual'!J317</f>
        <v>307.646434742552</v>
      </c>
      <c r="I318" s="25" t="n">
        <f aca="false">'Plan mensual'!K317</f>
        <v>309.428495645879</v>
      </c>
      <c r="J318" s="25" t="n">
        <f aca="false">'Plan mensual'!L317</f>
        <v>311.220879246642</v>
      </c>
      <c r="K318" s="25" t="n">
        <f aca="false">'Plan mensual'!M317</f>
        <v>313.023645339701</v>
      </c>
      <c r="L318" s="25" t="n">
        <f aca="false">'Plan mensual'!N317</f>
        <v>314.836854066282</v>
      </c>
      <c r="M318" s="25" t="n">
        <f aca="false">'Plan mensual'!O317</f>
        <v>316.660565915982</v>
      </c>
      <c r="N318" s="7" t="n">
        <f aca="false">SUM(B318:M318)</f>
        <v>3681.84282771281</v>
      </c>
      <c r="O318" s="26" t="n">
        <f aca="false">MAX(B318:M318)</f>
        <v>316.660565915982</v>
      </c>
      <c r="P318" s="15" t="n">
        <f aca="false">O318/parametros_recargas!$B$6</f>
        <v>2.11107043943988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15" hidden="false" customHeight="false" outlineLevel="0" collapsed="false">
      <c r="A1" s="3" t="s">
        <v>288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289</v>
      </c>
      <c r="O1" s="3" t="s">
        <v>290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7" t="n">
        <f aca="false">IF(parametros_recargas!$N$72*B34*B66=0,0,'Demanda por puesto'!$P$2/(parametros_recargas!$N$72*B34*B66))</f>
        <v>0.0423720296303837</v>
      </c>
      <c r="C2" s="27" t="n">
        <f aca="false">IF(parametros_recargas!$N$72*C34*C66=0,0,'Demanda por puesto'!$P$34/(parametros_recargas!$N$72*C34*C66))</f>
        <v>0.141775459195301</v>
      </c>
      <c r="D2" s="27" t="n">
        <f aca="false">IF(parametros_recargas!$N$72*D34*D66=0,0,'Demanda por puesto'!$P$66/(parametros_recargas!$N$72*D34*D66))</f>
        <v>0.275955061985533</v>
      </c>
      <c r="E2" s="27" t="n">
        <f aca="false">IF(parametros_recargas!$N$72*E34*E66=0,0,'Demanda por puesto'!$P$98/(parametros_recargas!$N$72*E34*E66))</f>
        <v>0.464319989826937</v>
      </c>
      <c r="F2" s="27" t="n">
        <f aca="false">IF(parametros_recargas!$N$72*F34*F66=0,0,'Demanda por puesto'!$P$130/(parametros_recargas!$N$72*F34*F66))</f>
        <v>0.660372983801475</v>
      </c>
      <c r="G2" s="27" t="n">
        <f aca="false">IF(parametros_recargas!$N$72*G34*G66=0,0,'Demanda por puesto'!$P$162/(parametros_recargas!$N$72*G34*G66))</f>
        <v>0.862927126471895</v>
      </c>
      <c r="H2" s="27" t="n">
        <f aca="false">IF(parametros_recargas!$N$72*H34*H66=0,0,'Demanda por puesto'!$P$194/(parametros_recargas!$N$72*H34*H66))</f>
        <v>1.03020295089981</v>
      </c>
      <c r="I2" s="27" t="n">
        <f aca="false">IF(parametros_recargas!$N$72*I34*I66=0,0,'Demanda por puesto'!$P$226/(parametros_recargas!$N$72*I34*I66))</f>
        <v>1.14202325243863</v>
      </c>
      <c r="J2" s="27" t="n">
        <f aca="false">IF(parametros_recargas!$N$72*J34*J66=0,0,'Demanda por puesto'!$P$258/(parametros_recargas!$N$72*J34*J66))</f>
        <v>1.2266711992703</v>
      </c>
      <c r="K2" s="27" t="n">
        <f aca="false">IF(parametros_recargas!$N$72*K34*K66=0,0,'Demanda por puesto'!$P$290/(parametros_recargas!$N$72*K34*K66))</f>
        <v>1.31496131129579</v>
      </c>
      <c r="N2" s="28" t="s">
        <v>291</v>
      </c>
      <c r="O2" s="4" t="s">
        <v>292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7" t="n">
        <f aca="false">IF(parametros_recargas!$N$73*B35*B67=0,0,'Demanda por puesto'!$P$3/(parametros_recargas!$N$73*B35*B67))</f>
        <v>0.0508464355564604</v>
      </c>
      <c r="C3" s="27" t="n">
        <f aca="false">IF(parametros_recargas!$N$73*C35*C67=0,0,'Demanda por puesto'!$P$35/(parametros_recargas!$N$73*C35*C67))</f>
        <v>0.170130551034361</v>
      </c>
      <c r="D3" s="27" t="n">
        <f aca="false">IF(parametros_recargas!$N$73*D35*D67=0,0,'Demanda por puesto'!$P$67/(parametros_recargas!$N$73*D35*D67))</f>
        <v>0.331146074382639</v>
      </c>
      <c r="E3" s="27" t="n">
        <f aca="false">IF(parametros_recargas!$N$73*E35*E67=0,0,'Demanda por puesto'!$P$99/(parametros_recargas!$N$73*E35*E67))</f>
        <v>0.557183987792324</v>
      </c>
      <c r="F3" s="27" t="n">
        <f aca="false">IF(parametros_recargas!$N$73*F35*F67=0,0,'Demanda por puesto'!$P$131/(parametros_recargas!$N$73*F35*F67))</f>
        <v>0.792447580561769</v>
      </c>
      <c r="G3" s="27" t="n">
        <f aca="false">IF(parametros_recargas!$N$73*G35*G67=0,0,'Demanda por puesto'!$P$163/(parametros_recargas!$N$73*G35*G67))</f>
        <v>1.03551255176627</v>
      </c>
      <c r="H3" s="27" t="n">
        <f aca="false">IF(parametros_recargas!$N$73*H35*H67=0,0,'Demanda por puesto'!$P$195/(parametros_recargas!$N$73*H35*H67))</f>
        <v>1.23624354107977</v>
      </c>
      <c r="I3" s="27" t="n">
        <f aca="false">IF(parametros_recargas!$N$73*I35*I67=0,0,'Demanda por puesto'!$P$227/(parametros_recargas!$N$73*I35*I67))</f>
        <v>1.37042790292636</v>
      </c>
      <c r="J3" s="27" t="n">
        <f aca="false">IF(parametros_recargas!$N$73*J35*J67=0,0,'Demanda por puesto'!$P$259/(parametros_recargas!$N$73*J35*J67))</f>
        <v>1.47200543912436</v>
      </c>
      <c r="K3" s="27" t="n">
        <f aca="false">IF(parametros_recargas!$N$73*K35*K67=0,0,'Demanda por puesto'!$P$291/(parametros_recargas!$N$73*K35*K67))</f>
        <v>1.57795357355494</v>
      </c>
      <c r="N3" s="28" t="s">
        <v>293</v>
      </c>
      <c r="O3" s="4" t="s">
        <v>294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7" t="n">
        <f aca="false">IF(parametros_recargas!$N$74*B36*B68=0,0,'Demanda por puesto'!$P$4/(parametros_recargas!$N$74*B36*B68))</f>
        <v>0.0355317895775342</v>
      </c>
      <c r="C4" s="27" t="n">
        <f aca="false">IF(parametros_recargas!$N$74*C36*C68=0,0,'Demanda por puesto'!$P$36/(parametros_recargas!$N$74*C36*C68))</f>
        <v>0.119516974325538</v>
      </c>
      <c r="D4" s="27" t="n">
        <f aca="false">IF(parametros_recargas!$N$74*D36*D68=0,0,'Demanda por puesto'!$P$68/(parametros_recargas!$N$74*D36*D68))</f>
        <v>0.229008224958708</v>
      </c>
      <c r="E4" s="27" t="n">
        <f aca="false">IF(parametros_recargas!$N$74*E36*E68=0,0,'Demanda por puesto'!$P$100/(parametros_recargas!$N$74*E36*E68))</f>
        <v>0.38542118327775</v>
      </c>
      <c r="F4" s="27" t="n">
        <f aca="false">IF(parametros_recargas!$N$74*F36*F68=0,0,'Demanda por puesto'!$P$132/(parametros_recargas!$N$74*F36*F68))</f>
        <v>0.550038332732039</v>
      </c>
      <c r="G4" s="27" t="n">
        <f aca="false">IF(parametros_recargas!$N$74*G36*G68=0,0,'Demanda por puesto'!$P$164/(parametros_recargas!$N$74*G36*G68))</f>
        <v>0.721537838560873</v>
      </c>
      <c r="H4" s="27" t="n">
        <f aca="false">IF(parametros_recargas!$N$74*H36*H68=0,0,'Demanda por puesto'!$P$196/(parametros_recargas!$N$74*H36*H68))</f>
        <v>0.862792930318275</v>
      </c>
      <c r="I4" s="27" t="n">
        <f aca="false">IF(parametros_recargas!$N$74*I36*I68=0,0,'Demanda por puesto'!$P$228/(parametros_recargas!$N$74*I36*I68))</f>
        <v>0.959265969398953</v>
      </c>
      <c r="J4" s="27" t="n">
        <f aca="false">IF(parametros_recargas!$N$74*J36*J68=0,0,'Demanda por puesto'!$P$260/(parametros_recargas!$N$74*J36*J68))</f>
        <v>1.02948227677125</v>
      </c>
      <c r="K4" s="27" t="n">
        <f aca="false">IF(parametros_recargas!$N$74*K36*K68=0,0,'Demanda por puesto'!$P$292/(parametros_recargas!$N$74*K36*K68))</f>
        <v>1.10280214076831</v>
      </c>
      <c r="N4" s="28" t="s">
        <v>295</v>
      </c>
      <c r="O4" s="4" t="s">
        <v>296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7" t="n">
        <f aca="false">IF(parametros_recargas!$N$75*B37*B69=0,0,'Demanda por puesto'!$P$5/(parametros_recargas!$N$75*B37*B69))</f>
        <v>0.00418021053853344</v>
      </c>
      <c r="C5" s="27" t="n">
        <f aca="false">IF(parametros_recargas!$N$75*C37*C69=0,0,'Demanda por puesto'!$P$37/(parametros_recargas!$N$75*C37*C69))</f>
        <v>0.0140608205088868</v>
      </c>
      <c r="D5" s="27" t="n">
        <f aca="false">IF(parametros_recargas!$N$75*D37*D69=0,0,'Demanda por puesto'!$P$69/(parametros_recargas!$N$75*D37*D69))</f>
        <v>0.0269421441127892</v>
      </c>
      <c r="E5" s="27" t="n">
        <f aca="false">IF(parametros_recargas!$N$75*E37*E69=0,0,'Demanda por puesto'!$P$101/(parametros_recargas!$N$75*E37*E69))</f>
        <v>0.0453436686209117</v>
      </c>
      <c r="F5" s="27" t="n">
        <f aca="false">IF(parametros_recargas!$N$75*F37*F69=0,0,'Demanda por puesto'!$P$133/(parametros_recargas!$N$75*F37*F69))</f>
        <v>0.0647103920861222</v>
      </c>
      <c r="G5" s="27" t="n">
        <f aca="false">IF(parametros_recargas!$N$75*G37*G69=0,0,'Demanda por puesto'!$P$165/(parametros_recargas!$N$75*G37*G69))</f>
        <v>0.0848868045365733</v>
      </c>
      <c r="H5" s="27" t="n">
        <f aca="false">IF(parametros_recargas!$N$75*H37*H69=0,0,'Demanda por puesto'!$P$197/(parametros_recargas!$N$75*H37*H69))</f>
        <v>0.101505050625679</v>
      </c>
      <c r="I5" s="27" t="n">
        <f aca="false">IF(parametros_recargas!$N$75*I37*I69=0,0,'Demanda por puesto'!$P$229/(parametros_recargas!$N$75*I37*I69))</f>
        <v>0.112854819929289</v>
      </c>
      <c r="J5" s="27" t="n">
        <f aca="false">IF(parametros_recargas!$N$75*J37*J69=0,0,'Demanda por puesto'!$P$261/(parametros_recargas!$N$75*J37*J69))</f>
        <v>0.121115561973088</v>
      </c>
      <c r="K5" s="27" t="n">
        <f aca="false">IF(parametros_recargas!$N$75*K37*K69=0,0,'Demanda por puesto'!$P$293/(parametros_recargas!$N$75*K37*K69))</f>
        <v>0.129741428325683</v>
      </c>
      <c r="N5" s="28" t="s">
        <v>297</v>
      </c>
      <c r="O5" s="4" t="s">
        <v>298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7" t="n">
        <f aca="false">IF(parametros_recargas!$N$76*B38*B70=0,0,'Demanda por puesto'!$P$6/(parametros_recargas!$N$76*B38*B70))</f>
        <v>4.68808640892509E-005</v>
      </c>
      <c r="C6" s="27" t="n">
        <f aca="false">IF(parametros_recargas!$N$76*C38*C70=0,0,'Demanda por puesto'!$P$38/(parametros_recargas!$N$76*C38*C70))</f>
        <v>0.000239986240991374</v>
      </c>
      <c r="D6" s="27" t="n">
        <f aca="false">IF(parametros_recargas!$N$76*D38*D70=0,0,'Demanda por puesto'!$P$70/(parametros_recargas!$N$76*D38*D70))</f>
        <v>0.000439132937961615</v>
      </c>
      <c r="E6" s="27" t="n">
        <f aca="false">IF(parametros_recargas!$N$76*E38*E70=0,0,'Demanda por puesto'!$P$102/(parametros_recargas!$N$76*E38*E70))</f>
        <v>0.000715519945304629</v>
      </c>
      <c r="F6" s="27" t="n">
        <f aca="false">IF(parametros_recargas!$N$76*F38*F70=0,0,'Demanda por puesto'!$P$134/(parametros_recargas!$N$76*F38*F70))</f>
        <v>0.000953397863899363</v>
      </c>
      <c r="G6" s="27" t="n">
        <f aca="false">IF(parametros_recargas!$N$76*G38*G70=0,0,'Demanda por puesto'!$P$166/(parametros_recargas!$N$76*G38*G70))</f>
        <v>0.00121638999850631</v>
      </c>
      <c r="H6" s="27" t="n">
        <f aca="false">IF(parametros_recargas!$N$76*H38*H70=0,0,'Demanda por puesto'!$P$198/(parametros_recargas!$N$76*H38*H70))</f>
        <v>0.00147798674869613</v>
      </c>
      <c r="I6" s="27" t="n">
        <f aca="false">IF(parametros_recargas!$N$76*I38*I70=0,0,'Demanda por puesto'!$P$230/(parametros_recargas!$N$76*I38*I70))</f>
        <v>0.00159624834371332</v>
      </c>
      <c r="J6" s="27" t="n">
        <f aca="false">IF(parametros_recargas!$N$76*J38*J70=0,0,'Demanda por puesto'!$P$262/(parametros_recargas!$N$76*J38*J70))</f>
        <v>0.00173950372041994</v>
      </c>
      <c r="K6" s="27" t="n">
        <f aca="false">IF(parametros_recargas!$N$76*K38*K70=0,0,'Demanda por puesto'!$P$294/(parametros_recargas!$N$76*K38*K70))</f>
        <v>0.0018866037166462</v>
      </c>
      <c r="N6" s="28" t="s">
        <v>299</v>
      </c>
      <c r="O6" s="4" t="s">
        <v>300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7" t="n">
        <f aca="false">IF(parametros_recargas!$N$77*B39*B71=0,0,'Demanda por puesto'!$P$7/(parametros_recargas!$N$77*B39*B71))</f>
        <v>0.0025288090477529</v>
      </c>
      <c r="C7" s="27" t="n">
        <f aca="false">IF(parametros_recargas!$N$77*C39*C71=0,0,'Demanda por puesto'!$P$39/(parametros_recargas!$N$77*C39*C71))</f>
        <v>0.0087526353349957</v>
      </c>
      <c r="D7" s="27" t="n">
        <f aca="false">IF(parametros_recargas!$N$77*D39*D71=0,0,'Demanda por puesto'!$P$71/(parametros_recargas!$N$77*D39*D71))</f>
        <v>0.0184967424728337</v>
      </c>
      <c r="E7" s="27" t="n">
        <f aca="false">IF(parametros_recargas!$N$77*E39*E71=0,0,'Demanda por puesto'!$P$103/(parametros_recargas!$N$77*E39*E71))</f>
        <v>0.0304601572930514</v>
      </c>
      <c r="F7" s="27" t="n">
        <f aca="false">IF(parametros_recargas!$N$77*F39*F71=0,0,'Demanda por puesto'!$P$135/(parametros_recargas!$N$77*F39*F71))</f>
        <v>0.0422932700917139</v>
      </c>
      <c r="G7" s="27" t="n">
        <f aca="false">IF(parametros_recargas!$N$77*G39*G71=0,0,'Demanda por puesto'!$P$167/(parametros_recargas!$N$77*G39*G71))</f>
        <v>0.0537509088559449</v>
      </c>
      <c r="H7" s="27" t="n">
        <f aca="false">IF(parametros_recargas!$N$77*H39*H71=0,0,'Demanda por puesto'!$P$199/(parametros_recargas!$N$77*H39*H71))</f>
        <v>0.0634498343689919</v>
      </c>
      <c r="I7" s="27" t="n">
        <f aca="false">IF(parametros_recargas!$N$77*I39*I71=0,0,'Demanda por puesto'!$P$231/(parametros_recargas!$N$77*I39*I71))</f>
        <v>0.0692035135249947</v>
      </c>
      <c r="J7" s="27" t="n">
        <f aca="false">IF(parametros_recargas!$N$77*J39*J71=0,0,'Demanda por puesto'!$P$263/(parametros_recargas!$N$77*J39*J71))</f>
        <v>0.0748300593224894</v>
      </c>
      <c r="K7" s="27" t="n">
        <f aca="false">IF(parametros_recargas!$N$77*K39*K71=0,0,'Demanda por puesto'!$P$295/(parametros_recargas!$N$77*K39*K71))</f>
        <v>0.0806524712982408</v>
      </c>
      <c r="N7" s="28" t="s">
        <v>301</v>
      </c>
      <c r="O7" s="4" t="s">
        <v>302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7" t="n">
        <f aca="false">IF(parametros_recargas!$N$78*B40*B72=0,0,'Demanda por puesto'!$P$8/(parametros_recargas!$N$78*B40*B72))</f>
        <v>0.00238380010675704</v>
      </c>
      <c r="C8" s="27" t="n">
        <f aca="false">IF(parametros_recargas!$N$78*C40*C72=0,0,'Demanda por puesto'!$P$40/(parametros_recargas!$N$78*C40*C72))</f>
        <v>0.00719539907815476</v>
      </c>
      <c r="D8" s="27" t="n">
        <f aca="false">IF(parametros_recargas!$N$78*D40*D72=0,0,'Demanda por puesto'!$P$72/(parametros_recargas!$N$78*D40*D72))</f>
        <v>0.0158786634542955</v>
      </c>
      <c r="E8" s="27" t="n">
        <f aca="false">IF(parametros_recargas!$N$78*E40*E72=0,0,'Demanda por puesto'!$P$104/(parametros_recargas!$N$78*E40*E72))</f>
        <v>0.0271059031205105</v>
      </c>
      <c r="F8" s="27" t="n">
        <f aca="false">IF(parametros_recargas!$N$78*F40*F72=0,0,'Demanda por puesto'!$P$136/(parametros_recargas!$N$78*F40*F72))</f>
        <v>0.0378320135935917</v>
      </c>
      <c r="G8" s="27" t="n">
        <f aca="false">IF(parametros_recargas!$N$78*G40*G72=0,0,'Demanda por puesto'!$P$168/(parametros_recargas!$N$78*G40*G72))</f>
        <v>0.0483421875699265</v>
      </c>
      <c r="H8" s="27" t="n">
        <f aca="false">IF(parametros_recargas!$N$78*H40*H72=0,0,'Demanda por puesto'!$P$200/(parametros_recargas!$N$78*H40*H72))</f>
        <v>0.0570193166030242</v>
      </c>
      <c r="I8" s="27" t="n">
        <f aca="false">IF(parametros_recargas!$N$78*I40*I72=0,0,'Demanda por puesto'!$P$232/(parametros_recargas!$N$78*I40*I72))</f>
        <v>0.06180258849336</v>
      </c>
      <c r="J8" s="27" t="n">
        <f aca="false">IF(parametros_recargas!$N$78*J40*J72=0,0,'Demanda por puesto'!$P$264/(parametros_recargas!$N$78*J40*J72))</f>
        <v>0.066694929917341</v>
      </c>
      <c r="K8" s="27" t="n">
        <f aca="false">IF(parametros_recargas!$N$78*K40*K72=0,0,'Demanda por puesto'!$P$296/(parametros_recargas!$N$78*K40*K72))</f>
        <v>0.0717688102664783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7" t="n">
        <f aca="false">IF(parametros_recargas!$N$79*B41*B73=0,0,'Demanda por puesto'!$P$9/(parametros_recargas!$N$79*B41*B73))</f>
        <v>0.000170977278422278</v>
      </c>
      <c r="C9" s="27" t="n">
        <f aca="false">IF(parametros_recargas!$N$79*C41*C73=0,0,'Demanda por puesto'!$P$41/(parametros_recargas!$N$79*C41*C73))</f>
        <v>0.000781441891136394</v>
      </c>
      <c r="D9" s="27" t="n">
        <f aca="false">IF(parametros_recargas!$N$79*D41*D73=0,0,'Demanda por puesto'!$P$73/(parametros_recargas!$N$79*D41*D73))</f>
        <v>0.00155975435570063</v>
      </c>
      <c r="E9" s="27" t="n">
        <f aca="false">IF(parametros_recargas!$N$79*E41*E73=0,0,'Demanda por puesto'!$P$105/(parametros_recargas!$N$79*E41*E73))</f>
        <v>0.00245846637053976</v>
      </c>
      <c r="F9" s="27" t="n">
        <f aca="false">IF(parametros_recargas!$N$79*F41*F73=0,0,'Demanda por puesto'!$P$137/(parametros_recargas!$N$79*F41*F73))</f>
        <v>0.0034081911767327</v>
      </c>
      <c r="G9" s="27" t="n">
        <f aca="false">IF(parametros_recargas!$N$79*G41*G73=0,0,'Demanda por puesto'!$P$169/(parametros_recargas!$N$79*G41*G73))</f>
        <v>0.00429959958017061</v>
      </c>
      <c r="H9" s="27" t="n">
        <f aca="false">IF(parametros_recargas!$N$79*H41*H73=0,0,'Demanda por puesto'!$P$201/(parametros_recargas!$N$79*H41*H73))</f>
        <v>0.00517802315529229</v>
      </c>
      <c r="I9" s="27" t="n">
        <f aca="false">IF(parametros_recargas!$N$79*I41*I73=0,0,'Demanda por puesto'!$P$233/(parametros_recargas!$N$79*I41*I73))</f>
        <v>0.00573151043798984</v>
      </c>
      <c r="J9" s="27" t="n">
        <f aca="false">IF(parametros_recargas!$N$79*J41*J73=0,0,'Demanda por puesto'!$P$265/(parametros_recargas!$N$79*J41*J73))</f>
        <v>0.00625304824922259</v>
      </c>
      <c r="K9" s="27" t="n">
        <f aca="false">IF(parametros_recargas!$N$79*K41*K73=0,0,'Demanda por puesto'!$P$297/(parametros_recargas!$N$79*K41*K73))</f>
        <v>0.00678803267985918</v>
      </c>
      <c r="N9" s="6" t="s">
        <v>71</v>
      </c>
      <c r="O9" s="29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7" t="n">
        <f aca="false">IF(parametros_recargas!$N$80*B42*B74=0,0,'Demanda por puesto'!$P$10/(parametros_recargas!$N$80*B42*B74))</f>
        <v>0.0487963628733856</v>
      </c>
      <c r="C10" s="27" t="n">
        <f aca="false">IF(parametros_recargas!$N$80*C42*C74=0,0,'Demanda por puesto'!$P$42/(parametros_recargas!$N$80*C42*C74))</f>
        <v>0.164326230347226</v>
      </c>
      <c r="D10" s="27" t="n">
        <f aca="false">IF(parametros_recargas!$N$80*D42*D74=0,0,'Demanda por puesto'!$P$74/(parametros_recargas!$N$80*D42*D74))</f>
        <v>0.31481965874562</v>
      </c>
      <c r="E10" s="27" t="n">
        <f aca="false">IF(parametros_recargas!$N$80*E42*E74=0,0,'Demanda por puesto'!$P$106/(parametros_recargas!$N$80*E42*E74))</f>
        <v>0.529728476618186</v>
      </c>
      <c r="F10" s="27" t="n">
        <f aca="false">IF(parametros_recargas!$N$80*F42*F74=0,0,'Demanda por puesto'!$P$138/(parametros_recargas!$N$80*F42*F74))</f>
        <v>0.755832989756069</v>
      </c>
      <c r="G10" s="27" t="n">
        <f aca="false">IF(parametros_recargas!$N$80*G42*G74=0,0,'Demanda por puesto'!$P$170/(parametros_recargas!$N$80*G42*G74))</f>
        <v>0.991339826659683</v>
      </c>
      <c r="H10" s="27" t="n">
        <f aca="false">IF(parametros_recargas!$N$80*H42*H74=0,0,'Demanda por puesto'!$P$202/(parametros_recargas!$N$80*H42*H74))</f>
        <v>1.18548946321102</v>
      </c>
      <c r="I10" s="27" t="n">
        <f aca="false">IF(parametros_recargas!$N$80*I42*I74=0,0,'Demanda por puesto'!$P$234/(parametros_recargas!$N$80*I42*I74))</f>
        <v>1.31795612553049</v>
      </c>
      <c r="J10" s="27" t="n">
        <f aca="false">IF(parametros_recargas!$N$80*J42*J74=0,0,'Demanda por puesto'!$P$266/(parametros_recargas!$N$80*J42*J74))</f>
        <v>1.41449166639763</v>
      </c>
      <c r="K10" s="27" t="n">
        <f aca="false">IF(parametros_recargas!$N$80*K42*K74=0,0,'Demanda por puesto'!$P$298/(parametros_recargas!$N$80*K42*K74))</f>
        <v>1.51528806011073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7" t="n">
        <f aca="false">IF(parametros_recargas!$N$81*B43*B75=0,0,'Demanda por puesto'!$P$11/(parametros_recargas!$N$81*B43*B75))</f>
        <v>0.00635005922644783</v>
      </c>
      <c r="C11" s="27" t="n">
        <f aca="false">IF(parametros_recargas!$N$81*C43*C75=0,0,'Demanda por puesto'!$P$43/(parametros_recargas!$N$81*C43*C75))</f>
        <v>0.0211443688994863</v>
      </c>
      <c r="D11" s="27" t="n">
        <f aca="false">IF(parametros_recargas!$N$81*D43*D75=0,0,'Demanda por puesto'!$P$75/(parametros_recargas!$N$81*D43*D75))</f>
        <v>0.0452268357135928</v>
      </c>
      <c r="E11" s="27" t="n">
        <f aca="false">IF(parametros_recargas!$N$81*E43*E75=0,0,'Demanda por puesto'!$P$107/(parametros_recargas!$N$81*E43*E75))</f>
        <v>0.0752589513699056</v>
      </c>
      <c r="F11" s="27" t="n">
        <f aca="false">IF(parametros_recargas!$N$81*F43*F75=0,0,'Demanda por puesto'!$P$139/(parametros_recargas!$N$81*F43*F75))</f>
        <v>0.104661726339624</v>
      </c>
      <c r="G11" s="27" t="n">
        <f aca="false">IF(parametros_recargas!$N$81*G43*G75=0,0,'Demanda por puesto'!$P$171/(parametros_recargas!$N$81*G43*G75))</f>
        <v>0.133227673481285</v>
      </c>
      <c r="H11" s="27" t="n">
        <f aca="false">IF(parametros_recargas!$N$81*H43*H75=0,0,'Demanda por puesto'!$P$203/(parametros_recargas!$N$81*H43*H75))</f>
        <v>0.157267031386866</v>
      </c>
      <c r="I11" s="27" t="n">
        <f aca="false">IF(parametros_recargas!$N$81*I43*I75=0,0,'Demanda por puesto'!$P$235/(parametros_recargas!$N$81*I43*I75))</f>
        <v>0.171227399467582</v>
      </c>
      <c r="J11" s="27" t="n">
        <f aca="false">IF(parametros_recargas!$N$81*J43*J75=0,0,'Demanda por puesto'!$P$267/(parametros_recargas!$N$81*J43*J75))</f>
        <v>0.185056215305366</v>
      </c>
      <c r="K11" s="27" t="n">
        <f aca="false">IF(parametros_recargas!$N$81*K43*K75=0,0,'Demanda por puesto'!$P$299/(parametros_recargas!$N$81*K43*K75))</f>
        <v>0.199374287447816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7" t="n">
        <f aca="false">IF(parametros_recargas!$N$82*B44*B76=0,0,'Demanda por puesto'!$P$12/(parametros_recargas!$N$82*B44*B76))</f>
        <v>0.00156564442674314</v>
      </c>
      <c r="C12" s="27" t="n">
        <f aca="false">IF(parametros_recargas!$N$82*C44*C76=0,0,'Demanda por puesto'!$P$44/(parametros_recargas!$N$82*C44*C76))</f>
        <v>0.0052693793932818</v>
      </c>
      <c r="D12" s="27" t="n">
        <f aca="false">IF(parametros_recargas!$N$82*D44*D76=0,0,'Demanda por puesto'!$P$76/(parametros_recargas!$N$82*D44*D76))</f>
        <v>0.0100959603003461</v>
      </c>
      <c r="E12" s="27" t="n">
        <f aca="false">IF(parametros_recargas!$N$82*E44*E76=0,0,'Demanda por puesto'!$P$108/(parametros_recargas!$N$82*E44*E76))</f>
        <v>0.0169906354773066</v>
      </c>
      <c r="F12" s="27" t="n">
        <f aca="false">IF(parametros_recargas!$N$82*F44*F76=0,0,'Demanda por puesto'!$P$140/(parametros_recargas!$N$82*F44*F76))</f>
        <v>0.0242449679240692</v>
      </c>
      <c r="G12" s="27" t="n">
        <f aca="false">IF(parametros_recargas!$N$82*G44*G76=0,0,'Demanda por puesto'!$P$172/(parametros_recargas!$N$82*G44*G76))</f>
        <v>0.0318031588759798</v>
      </c>
      <c r="H12" s="27" t="n">
        <f aca="false">IF(parametros_recargas!$N$82*H44*H76=0,0,'Demanda por puesto'!$P$204/(parametros_recargas!$N$82*H44*H76))</f>
        <v>0.0380301247971466</v>
      </c>
      <c r="I12" s="27" t="n">
        <f aca="false">IF(parametros_recargas!$N$82*I44*I76=0,0,'Demanda por puesto'!$P$236/(parametros_recargas!$N$82*I44*I76))</f>
        <v>0.0422806981586398</v>
      </c>
      <c r="J12" s="27" t="n">
        <f aca="false">IF(parametros_recargas!$N$82*J44*J76=0,0,'Demanda por puesto'!$P$268/(parametros_recargas!$N$82*J44*J76))</f>
        <v>0.0453765469714723</v>
      </c>
      <c r="K12" s="27" t="n">
        <f aca="false">IF(parametros_recargas!$N$82*K44*K76=0,0,'Demanda por puesto'!$P$300/(parametros_recargas!$N$82*K44*K76))</f>
        <v>0.048609139065596</v>
      </c>
      <c r="N12" s="2" t="s">
        <v>303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7" t="n">
        <f aca="false">IF(parametros_recargas!$N$83*B45*B77=0,0,'Demanda por puesto'!$P$13/(parametros_recargas!$N$83*B45*B77))</f>
        <v>0.036305608812111</v>
      </c>
      <c r="C13" s="27" t="n">
        <f aca="false">IF(parametros_recargas!$N$83*C45*C77=0,0,'Demanda por puesto'!$P$45/(parametros_recargas!$N$83*C45*C77))</f>
        <v>0.12172877705624</v>
      </c>
      <c r="D13" s="27" t="n">
        <f aca="false">IF(parametros_recargas!$N$83*D45*D77=0,0,'Demanda por puesto'!$P$77/(parametros_recargas!$N$83*D45*D77))</f>
        <v>0.238195856281289</v>
      </c>
      <c r="E13" s="27" t="n">
        <f aca="false">IF(parametros_recargas!$N$83*E45*E77=0,0,'Demanda por puesto'!$P$109/(parametros_recargas!$N$83*E45*E77))</f>
        <v>0.400215129433488</v>
      </c>
      <c r="F13" s="27" t="n">
        <f aca="false">IF(parametros_recargas!$N$83*F45*F77=0,0,'Demanda por puesto'!$P$141/(parametros_recargas!$N$83*F45*F77))</f>
        <v>0.568313426481543</v>
      </c>
      <c r="G13" s="27" t="n">
        <f aca="false">IF(parametros_recargas!$N$83*G45*G77=0,0,'Demanda por puesto'!$P$173/(parametros_recargas!$N$83*G45*G77))</f>
        <v>0.741323334826782</v>
      </c>
      <c r="H13" s="27" t="n">
        <f aca="false">IF(parametros_recargas!$N$83*H45*H77=0,0,'Demanda por puesto'!$P$205/(parametros_recargas!$N$83*H45*H77))</f>
        <v>0.884404919256369</v>
      </c>
      <c r="I13" s="27" t="n">
        <f aca="false">IF(parametros_recargas!$N$83*I45*I77=0,0,'Demanda por puesto'!$P$237/(parametros_recargas!$N$83*I45*I77))</f>
        <v>0.979422138586433</v>
      </c>
      <c r="J13" s="27" t="n">
        <f aca="false">IF(parametros_recargas!$N$83*J45*J77=0,0,'Demanda por puesto'!$P$269/(parametros_recargas!$N$83*J45*J77))</f>
        <v>1.05244685699918</v>
      </c>
      <c r="K13" s="27" t="n">
        <f aca="false">IF(parametros_recargas!$N$83*K45*K77=0,0,'Demanda por puesto'!$P$301/(parametros_recargas!$N$83*K45*K77))</f>
        <v>1.12857373697897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7" t="n">
        <f aca="false">IF(parametros_recargas!$N$84*B46*B78=0,0,'Demanda por puesto'!$P$14/(parametros_recargas!$N$84*B46*B78))</f>
        <v>0.0203587605753382</v>
      </c>
      <c r="C14" s="27" t="n">
        <f aca="false">IF(parametros_recargas!$N$84*C46*C78=0,0,'Demanda por puesto'!$P$46/(parametros_recargas!$N$84*C46*C78))</f>
        <v>0.068039066512994</v>
      </c>
      <c r="D14" s="27" t="n">
        <f aca="false">IF(parametros_recargas!$N$84*D46*D78=0,0,'Demanda por puesto'!$P$78/(parametros_recargas!$N$84*D46*D78))</f>
        <v>0.131840683272031</v>
      </c>
      <c r="E14" s="27" t="n">
        <f aca="false">IF(parametros_recargas!$N$84*E46*E78=0,0,'Demanda por puesto'!$P$110/(parametros_recargas!$N$84*E46*E78))</f>
        <v>0.222061539464058</v>
      </c>
      <c r="F14" s="27" t="n">
        <f aca="false">IF(parametros_recargas!$N$84*F46*F78=0,0,'Demanda por puesto'!$P$142/(parametros_recargas!$N$84*F46*F78))</f>
        <v>0.316220900474542</v>
      </c>
      <c r="G14" s="27" t="n">
        <f aca="false">IF(parametros_recargas!$N$84*G46*G78=0,0,'Demanda por puesto'!$P$174/(parametros_recargas!$N$84*G46*G78))</f>
        <v>0.413800498154907</v>
      </c>
      <c r="H14" s="27" t="n">
        <f aca="false">IF(parametros_recargas!$N$84*H46*H78=0,0,'Demanda por puesto'!$P$206/(parametros_recargas!$N$84*H46*H78))</f>
        <v>0.494297541381962</v>
      </c>
      <c r="I14" s="27" t="n">
        <f aca="false">IF(parametros_recargas!$N$84*I46*I78=0,0,'Demanda por puesto'!$P$238/(parametros_recargas!$N$84*I46*I78))</f>
        <v>0.548407080893698</v>
      </c>
      <c r="J14" s="27" t="n">
        <f aca="false">IF(parametros_recargas!$N$84*J46*J78=0,0,'Demanda por puesto'!$P$270/(parametros_recargas!$N$84*J46*J78))</f>
        <v>0.588864185608745</v>
      </c>
      <c r="K14" s="27" t="n">
        <f aca="false">IF(parametros_recargas!$N$84*K46*K78=0,0,'Demanda por puesto'!$P$302/(parametros_recargas!$N$84*K46*K78))</f>
        <v>0.631079845550309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7" t="n">
        <f aca="false">IF(parametros_recargas!$N$85*B47*B79=0,0,'Demanda por puesto'!$P$15/(parametros_recargas!$N$85*B47*B79))</f>
        <v>0.00961385916057639</v>
      </c>
      <c r="C15" s="27" t="n">
        <f aca="false">IF(parametros_recargas!$N$85*C47*C79=0,0,'Demanda por puesto'!$P$47/(parametros_recargas!$N$85*C47*C79))</f>
        <v>0.0321295591866916</v>
      </c>
      <c r="D15" s="27" t="n">
        <f aca="false">IF(parametros_recargas!$N$85*D47*D79=0,0,'Demanda por puesto'!$P$79/(parametros_recargas!$N$85*D47*D79))</f>
        <v>0.0622581004340144</v>
      </c>
      <c r="E15" s="27" t="n">
        <f aca="false">IF(parametros_recargas!$N$85*E47*E79=0,0,'Demanda por puesto'!$P$111/(parametros_recargas!$N$85*E47*E79))</f>
        <v>0.104862393635805</v>
      </c>
      <c r="F15" s="27" t="n">
        <f aca="false">IF(parametros_recargas!$N$85*F47*F79=0,0,'Demanda por puesto'!$P$143/(parametros_recargas!$N$85*F47*F79))</f>
        <v>0.149326536335201</v>
      </c>
      <c r="G15" s="27" t="n">
        <f aca="false">IF(parametros_recargas!$N$85*G47*G79=0,0,'Demanda por puesto'!$P$175/(parametros_recargas!$N$85*G47*G79))</f>
        <v>0.195405790795373</v>
      </c>
      <c r="H15" s="27" t="n">
        <f aca="false">IF(parametros_recargas!$N$85*H47*H79=0,0,'Demanda por puesto'!$P$207/(parametros_recargas!$N$85*H47*H79))</f>
        <v>0.233418283430371</v>
      </c>
      <c r="I15" s="27" t="n">
        <f aca="false">IF(parametros_recargas!$N$85*I47*I79=0,0,'Demanda por puesto'!$P$239/(parametros_recargas!$N$85*I47*I79))</f>
        <v>0.258970010422024</v>
      </c>
      <c r="J15" s="27" t="n">
        <f aca="false">IF(parametros_recargas!$N$85*J47*J79=0,0,'Demanda por puesto'!$P$271/(parametros_recargas!$N$85*J47*J79))</f>
        <v>0.278074754315241</v>
      </c>
      <c r="K15" s="27" t="n">
        <f aca="false">IF(parametros_recargas!$N$85*K47*K79=0,0,'Demanda por puesto'!$P$303/(parametros_recargas!$N$85*K47*K79))</f>
        <v>0.298009927065423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7" t="n">
        <f aca="false">IF(parametros_recargas!$N$86*B48*B80=0,0,'Demanda por puesto'!$P$16/(parametros_recargas!$N$86*B48*B80))</f>
        <v>0.0423720296303837</v>
      </c>
      <c r="C16" s="27" t="n">
        <f aca="false">IF(parametros_recargas!$N$86*C48*C80=0,0,'Demanda por puesto'!$P$48/(parametros_recargas!$N$86*C48*C80))</f>
        <v>0.141775459195301</v>
      </c>
      <c r="D16" s="27" t="n">
        <f aca="false">IF(parametros_recargas!$N$86*D48*D80=0,0,'Demanda por puesto'!$P$80/(parametros_recargas!$N$86*D48*D80))</f>
        <v>0.275955061985533</v>
      </c>
      <c r="E16" s="27" t="n">
        <f aca="false">IF(parametros_recargas!$N$86*E48*E80=0,0,'Demanda por puesto'!$P$112/(parametros_recargas!$N$86*E48*E80))</f>
        <v>0.464319989826937</v>
      </c>
      <c r="F16" s="27" t="n">
        <f aca="false">IF(parametros_recargas!$N$86*F48*F80=0,0,'Demanda por puesto'!$P$144/(parametros_recargas!$N$86*F48*F80))</f>
        <v>0.660372983801475</v>
      </c>
      <c r="G16" s="27" t="n">
        <f aca="false">IF(parametros_recargas!$N$86*G48*G80=0,0,'Demanda por puesto'!$P$176/(parametros_recargas!$N$86*G48*G80))</f>
        <v>0.862927126471895</v>
      </c>
      <c r="H16" s="27" t="n">
        <f aca="false">IF(parametros_recargas!$N$86*H48*H80=0,0,'Demanda por puesto'!$P$208/(parametros_recargas!$N$86*H48*H80))</f>
        <v>1.03020295089981</v>
      </c>
      <c r="I16" s="27" t="n">
        <f aca="false">IF(parametros_recargas!$N$86*I48*I80=0,0,'Demanda por puesto'!$P$240/(parametros_recargas!$N$86*I48*I80))</f>
        <v>1.14202325243863</v>
      </c>
      <c r="J16" s="27" t="n">
        <f aca="false">IF(parametros_recargas!$N$86*J48*J80=0,0,'Demanda por puesto'!$P$272/(parametros_recargas!$N$86*J48*J80))</f>
        <v>1.2266711992703</v>
      </c>
      <c r="K16" s="27" t="n">
        <f aca="false">IF(parametros_recargas!$N$86*K48*K80=0,0,'Demanda por puesto'!$P$304/(parametros_recargas!$N$86*K48*K80))</f>
        <v>1.31496131129579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7" t="n">
        <f aca="false">IF(parametros_recargas!$N$87*B49*B81=0,0,'Demanda por puesto'!$P$17/(parametros_recargas!$N$87*B49*B81))</f>
        <v>0.0521296843628876</v>
      </c>
      <c r="C17" s="27" t="n">
        <f aca="false">IF(parametros_recargas!$N$87*C49*C81=0,0,'Demanda por puesto'!$P$49/(parametros_recargas!$N$87*C49*C81))</f>
        <v>0.175346702816706</v>
      </c>
      <c r="D17" s="27" t="n">
        <f aca="false">IF(parametros_recargas!$N$87*D49*D81=0,0,'Demanda por puesto'!$P$81/(parametros_recargas!$N$87*D49*D81))</f>
        <v>0.335984385406548</v>
      </c>
      <c r="E17" s="27" t="n">
        <f aca="false">IF(parametros_recargas!$N$87*E49*E81=0,0,'Demanda por puesto'!$P$113/(parametros_recargas!$N$87*E49*E81))</f>
        <v>0.565462220449017</v>
      </c>
      <c r="F17" s="27" t="n">
        <f aca="false">IF(parametros_recargas!$N$87*F49*F81=0,0,'Demanda por puesto'!$P$145/(parametros_recargas!$N$87*F49*F81))</f>
        <v>0.806976654250465</v>
      </c>
      <c r="G17" s="27" t="n">
        <f aca="false">IF(parametros_recargas!$N$87*G49*G81=0,0,'Demanda por puesto'!$P$177/(parametros_recargas!$N$87*G49*G81))</f>
        <v>1.0585883859855</v>
      </c>
      <c r="H17" s="27" t="n">
        <f aca="false">IF(parametros_recargas!$N$87*H49*H81=0,0,'Demanda por puesto'!$P$209/(parametros_recargas!$N$87*H49*H81))</f>
        <v>1.26582769015553</v>
      </c>
      <c r="I17" s="27" t="n">
        <f aca="false">IF(parametros_recargas!$N$87*I49*I81=0,0,'Demanda por puesto'!$P$241/(parametros_recargas!$N$87*I49*I81))</f>
        <v>1.40736598970642</v>
      </c>
      <c r="J17" s="27" t="n">
        <f aca="false">IF(parametros_recargas!$N$87*J49*J81=0,0,'Demanda por puesto'!$P$273/(parametros_recargas!$N$87*J49*J81))</f>
        <v>1.51038230225263</v>
      </c>
      <c r="K17" s="27" t="n">
        <f aca="false">IF(parametros_recargas!$N$87*K49*K81=0,0,'Demanda por puesto'!$P$305/(parametros_recargas!$N$87*K49*K81))</f>
        <v>1.61795192970852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7" t="n">
        <f aca="false">IF(parametros_recargas!$N$88*B50*B82=0,0,'Demanda por puesto'!$P$18/(parametros_recargas!$N$88*B50*B82))</f>
        <v>7.72155408528838E-005</v>
      </c>
      <c r="C18" s="27" t="n">
        <f aca="false">IF(parametros_recargas!$N$88*C50*C82=0,0,'Demanda por puesto'!$P$50/(parametros_recargas!$N$88*C50*C82))</f>
        <v>0.000395271455750499</v>
      </c>
      <c r="D18" s="27" t="n">
        <f aca="false">IF(parametros_recargas!$N$88*D50*D82=0,0,'Demanda por puesto'!$P$82/(parametros_recargas!$N$88*D50*D82))</f>
        <v>0.000723277780172071</v>
      </c>
      <c r="E18" s="27" t="n">
        <f aca="false">IF(parametros_recargas!$N$88*E50*E82=0,0,'Demanda por puesto'!$P$114/(parametros_recargas!$N$88*E50*E82))</f>
        <v>0.00117850343932527</v>
      </c>
      <c r="F18" s="27" t="n">
        <f aca="false">IF(parametros_recargas!$N$88*F50*F82=0,0,'Demanda por puesto'!$P$146/(parametros_recargas!$N$88*F50*F82))</f>
        <v>0.00157030236406954</v>
      </c>
      <c r="G18" s="27" t="n">
        <f aca="false">IF(parametros_recargas!$N$88*G50*G82=0,0,'Demanda por puesto'!$P$178/(parametros_recargas!$N$88*G50*G82))</f>
        <v>0.00200346587989274</v>
      </c>
      <c r="H18" s="27" t="n">
        <f aca="false">IF(parametros_recargas!$N$88*H50*H82=0,0,'Demanda por puesto'!$P$210/(parametros_recargas!$N$88*H50*H82))</f>
        <v>0.00243433111549951</v>
      </c>
      <c r="I18" s="27" t="n">
        <f aca="false">IF(parametros_recargas!$N$88*I50*I82=0,0,'Demanda por puesto'!$P$242/(parametros_recargas!$N$88*I50*I82))</f>
        <v>0.00262911491905723</v>
      </c>
      <c r="J18" s="27" t="n">
        <f aca="false">IF(parametros_recargas!$N$88*J50*J82=0,0,'Demanda por puesto'!$P$274/(parametros_recargas!$N$88*J50*J82))</f>
        <v>0.00286506495127991</v>
      </c>
      <c r="K18" s="27" t="n">
        <f aca="false">IF(parametros_recargas!$N$88*K50*K82=0,0,'Demanda por puesto'!$P$306/(parametros_recargas!$N$88*K50*K82))</f>
        <v>0.00310734729800551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7" t="n">
        <f aca="false">IF(parametros_recargas!$N$89*B51*B83=0,0,'Demanda por puesto'!$P$19/(parametros_recargas!$N$89*B51*B83))</f>
        <v>0.000270254392985093</v>
      </c>
      <c r="C19" s="27" t="n">
        <f aca="false">IF(parametros_recargas!$N$89*C51*C83=0,0,'Demanda por puesto'!$P$51/(parametros_recargas!$N$89*C51*C83))</f>
        <v>0.00138345009512675</v>
      </c>
      <c r="D19" s="27" t="n">
        <f aca="false">IF(parametros_recargas!$N$89*D51*D83=0,0,'Demanda por puesto'!$P$83/(parametros_recargas!$N$89*D51*D83))</f>
        <v>0.00253147223060225</v>
      </c>
      <c r="E19" s="27" t="n">
        <f aca="false">IF(parametros_recargas!$N$89*E51*E83=0,0,'Demanda por puesto'!$P$115/(parametros_recargas!$N$89*E51*E83))</f>
        <v>0.00383452532340503</v>
      </c>
      <c r="F19" s="27" t="n">
        <f aca="false">IF(parametros_recargas!$N$89*F51*F83=0,0,'Demanda por puesto'!$P$147/(parametros_recargas!$N$89*F51*F83))</f>
        <v>0.0051317281027493</v>
      </c>
      <c r="G19" s="27" t="n">
        <f aca="false">IF(parametros_recargas!$N$89*G51*G83=0,0,'Demanda por puesto'!$P$179/(parametros_recargas!$N$89*G51*G83))</f>
        <v>0.00614472024439133</v>
      </c>
      <c r="H19" s="27" t="n">
        <f aca="false">IF(parametros_recargas!$N$89*H51*H83=0,0,'Demanda por puesto'!$P$211/(parametros_recargas!$N$89*H51*H83))</f>
        <v>0.00758632763431281</v>
      </c>
      <c r="I19" s="27" t="n">
        <f aca="false">IF(parametros_recargas!$N$89*I51*I83=0,0,'Demanda por puesto'!$P$243/(parametros_recargas!$N$89*I51*I83))</f>
        <v>0.00826684176989658</v>
      </c>
      <c r="J19" s="27" t="n">
        <f aca="false">IF(parametros_recargas!$N$89*J51*J83=0,0,'Demanda por puesto'!$P$275/(parametros_recargas!$N$89*J51*J83))</f>
        <v>0.00903570610081943</v>
      </c>
      <c r="K19" s="27" t="n">
        <f aca="false">IF(parametros_recargas!$N$89*K51*K83=0,0,'Demanda por puesto'!$P$307/(parametros_recargas!$N$89*K51*K83))</f>
        <v>0.00982313446567933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7" t="n">
        <f aca="false">IF(parametros_recargas!$N$90*B52*B84=0,0,'Demanda por puesto'!$P$20/(parametros_recargas!$N$90*B52*B84))</f>
        <v>0.00240838956928848</v>
      </c>
      <c r="C20" s="27" t="n">
        <f aca="false">IF(parametros_recargas!$N$90*C52*C84=0,0,'Demanda por puesto'!$P$52/(parametros_recargas!$N$90*C52*C84))</f>
        <v>0.00833584317618638</v>
      </c>
      <c r="D20" s="27" t="n">
        <f aca="false">IF(parametros_recargas!$N$90*D52*D84=0,0,'Demanda por puesto'!$P$84/(parametros_recargas!$N$90*D52*D84))</f>
        <v>0.0176159452122226</v>
      </c>
      <c r="E20" s="27" t="n">
        <f aca="false">IF(parametros_recargas!$N$90*E52*E84=0,0,'Demanda por puesto'!$P$116/(parametros_recargas!$N$90*E52*E84))</f>
        <v>0.0290096736124299</v>
      </c>
      <c r="F20" s="27" t="n">
        <f aca="false">IF(parametros_recargas!$N$90*F52*F84=0,0,'Demanda por puesto'!$P$148/(parametros_recargas!$N$90*F52*F84))</f>
        <v>0.0402793048492513</v>
      </c>
      <c r="G20" s="27" t="n">
        <f aca="false">IF(parametros_recargas!$N$90*G52*G84=0,0,'Demanda por puesto'!$P$180/(parametros_recargas!$N$90*G52*G84))</f>
        <v>0.0511913417675666</v>
      </c>
      <c r="H20" s="27" t="n">
        <f aca="false">IF(parametros_recargas!$N$90*H52*H84=0,0,'Demanda por puesto'!$P$212/(parametros_recargas!$N$90*H52*H84))</f>
        <v>0.0604284136847542</v>
      </c>
      <c r="I20" s="27" t="n">
        <f aca="false">IF(parametros_recargas!$N$90*I52*I84=0,0,'Demanda por puesto'!$P$244/(parametros_recargas!$N$90*I52*I84))</f>
        <v>0.0659081081190426</v>
      </c>
      <c r="J20" s="27" t="n">
        <f aca="false">IF(parametros_recargas!$N$90*J52*J84=0,0,'Demanda por puesto'!$P$276/(parametros_recargas!$N$90*J52*J84))</f>
        <v>0.0712667231642756</v>
      </c>
      <c r="K20" s="27" t="n">
        <f aca="false">IF(parametros_recargas!$N$90*K52*K84=0,0,'Demanda por puesto'!$P$308/(parametros_recargas!$N$90*K52*K84))</f>
        <v>0.076811877426896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7" t="n">
        <f aca="false">IF(parametros_recargas!$N$91*B53*B85=0,0,'Demanda por puesto'!$P$21/(parametros_recargas!$N$91*B53*B85))</f>
        <v>0.00334894844266355</v>
      </c>
      <c r="C21" s="27" t="n">
        <f aca="false">IF(parametros_recargas!$N$91*C53*C85=0,0,'Demanda por puesto'!$P$53/(parametros_recargas!$N$91*C53*C85))</f>
        <v>0.010108658217115</v>
      </c>
      <c r="D21" s="27" t="n">
        <f aca="false">IF(parametros_recargas!$N$91*D53*D85=0,0,'Demanda por puesto'!$P$85/(parametros_recargas!$N$91*D53*D85))</f>
        <v>0.0223075857309127</v>
      </c>
      <c r="E21" s="27" t="n">
        <f aca="false">IF(parametros_recargas!$N$91*E53*E85=0,0,'Demanda por puesto'!$P$117/(parametros_recargas!$N$91*E53*E85))</f>
        <v>0.0380804882863757</v>
      </c>
      <c r="F21" s="27" t="n">
        <f aca="false">IF(parametros_recargas!$N$91*F53*F85=0,0,'Demanda por puesto'!$P$149/(parametros_recargas!$N$91*F53*F85))</f>
        <v>0.053149365438802</v>
      </c>
      <c r="G21" s="27" t="n">
        <f aca="false">IF(parametros_recargas!$N$91*G53*G85=0,0,'Demanda por puesto'!$P$181/(parametros_recargas!$N$91*G53*G85))</f>
        <v>0.0679148781470187</v>
      </c>
      <c r="H21" s="27" t="n">
        <f aca="false">IF(parametros_recargas!$N$91*H53*H85=0,0,'Demanda por puesto'!$P$213/(parametros_recargas!$N$91*H53*H85))</f>
        <v>0.0801051862520535</v>
      </c>
      <c r="I21" s="27" t="n">
        <f aca="false">IF(parametros_recargas!$N$91*I53*I85=0,0,'Demanda por puesto'!$P$245/(parametros_recargas!$N$91*I53*I85))</f>
        <v>0.086825099932135</v>
      </c>
      <c r="J21" s="27" t="n">
        <f aca="false">IF(parametros_recargas!$N$91*J53*J85=0,0,'Demanda por puesto'!$P$277/(parametros_recargas!$N$91*J53*J85))</f>
        <v>0.0936982430058254</v>
      </c>
      <c r="K21" s="27" t="n">
        <f aca="false">IF(parametros_recargas!$N$91*K53*K85=0,0,'Demanda por puesto'!$P$309/(parametros_recargas!$N$91*K53*K85))</f>
        <v>0.100826426130467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7" t="n">
        <f aca="false">IF(parametros_recargas!$N$92*B54*B86=0,0,'Demanda por puesto'!$P$22/(parametros_recargas!$N$92*B54*B86))</f>
        <v>0.0591471065131947</v>
      </c>
      <c r="C22" s="27" t="n">
        <f aca="false">IF(parametros_recargas!$N$92*C54*C86=0,0,'Demanda por puesto'!$P$54/(parametros_recargas!$N$92*C54*C86))</f>
        <v>0.199183309511789</v>
      </c>
      <c r="D22" s="27" t="n">
        <f aca="false">IF(parametros_recargas!$N$92*D54*D86=0,0,'Demanda por puesto'!$P$86/(parametros_recargas!$N$92*D54*D86))</f>
        <v>0.381599586358328</v>
      </c>
      <c r="E22" s="27" t="n">
        <f aca="false">IF(parametros_recargas!$N$92*E54*E86=0,0,'Demanda por puesto'!$P$118/(parametros_recargas!$N$92*E54*E86))</f>
        <v>0.642095123173559</v>
      </c>
      <c r="F22" s="27" t="n">
        <f aca="false">IF(parametros_recargas!$N$92*F54*F86=0,0,'Demanda por puesto'!$P$150/(parametros_recargas!$N$92*F54*F86))</f>
        <v>0.916161199704326</v>
      </c>
      <c r="G22" s="27" t="n">
        <f aca="false">IF(parametros_recargas!$N$92*G54*G86=0,0,'Demanda por puesto'!$P$182/(parametros_recargas!$N$92*G54*G86))</f>
        <v>1.20162403231477</v>
      </c>
      <c r="H22" s="27" t="n">
        <f aca="false">IF(parametros_recargas!$N$92*H54*H86=0,0,'Demanda por puesto'!$P$214/(parametros_recargas!$N$92*H54*H86))</f>
        <v>1.43695692510427</v>
      </c>
      <c r="I22" s="27" t="n">
        <f aca="false">IF(parametros_recargas!$N$92*I54*I86=0,0,'Demanda por puesto'!$P$246/(parametros_recargas!$N$92*I54*I86))</f>
        <v>1.5975225764006</v>
      </c>
      <c r="J22" s="27" t="n">
        <f aca="false">IF(parametros_recargas!$N$92*J54*J86=0,0,'Demanda por puesto'!$P$278/(parametros_recargas!$N$92*J54*J86))</f>
        <v>1.71453535320924</v>
      </c>
      <c r="K22" s="27" t="n">
        <f aca="false">IF(parametros_recargas!$N$92*K54*K86=0,0,'Demanda por puesto'!$P$310/(parametros_recargas!$N$92*K54*K86))</f>
        <v>1.83671280013422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7" t="n">
        <f aca="false">IF(parametros_recargas!$N$93*B55*B87=0,0,'Demanda por puesto'!$P$23/(parametros_recargas!$N$93*B55*B87))</f>
        <v>0.0359811564621934</v>
      </c>
      <c r="C23" s="27" t="n">
        <f aca="false">IF(parametros_recargas!$N$93*C55*C87=0,0,'Demanda por puesto'!$P$55/(parametros_recargas!$N$93*C55*C87))</f>
        <v>0.121169846619672</v>
      </c>
      <c r="D23" s="27" t="n">
        <f aca="false">IF(parametros_recargas!$N$93*D55*D87=0,0,'Demanda por puesto'!$P$87/(parametros_recargas!$N$93*D55*D87))</f>
        <v>0.232139748367983</v>
      </c>
      <c r="E23" s="27" t="n">
        <f aca="false">IF(parametros_recargas!$N$93*E55*E87=0,0,'Demanda por puesto'!$P$119/(parametros_recargas!$N$93*E55*E87))</f>
        <v>0.390607866597249</v>
      </c>
      <c r="F23" s="27" t="n">
        <f aca="false">IF(parametros_recargas!$N$93*F55*F87=0,0,'Demanda por puesto'!$P$151/(parametros_recargas!$N$93*F55*F87))</f>
        <v>0.557331396486798</v>
      </c>
      <c r="G23" s="27" t="n">
        <f aca="false">IF(parametros_recargas!$N$93*G55*G87=0,0,'Demanda por puesto'!$P$183/(parametros_recargas!$N$93*G55*G87))</f>
        <v>0.730987952991483</v>
      </c>
      <c r="H23" s="27" t="n">
        <f aca="false">IF(parametros_recargas!$N$93*H55*H87=0,0,'Demanda por puesto'!$P$215/(parametros_recargas!$N$93*H55*H87))</f>
        <v>0.874148796105097</v>
      </c>
      <c r="I23" s="27" t="n">
        <f aca="false">IF(parametros_recargas!$N$93*I55*I87=0,0,'Demanda por puesto'!$P$247/(parametros_recargas!$N$93*I55*I87))</f>
        <v>0.971826233977031</v>
      </c>
      <c r="J23" s="27" t="n">
        <f aca="false">IF(parametros_recargas!$N$93*J55*J87=0,0,'Demanda por puesto'!$P$279/(parametros_recargas!$N$93*J55*J87))</f>
        <v>1.04300900653562</v>
      </c>
      <c r="K23" s="27" t="n">
        <f aca="false">IF(parametros_recargas!$N$93*K55*K87=0,0,'Demanda por puesto'!$P$311/(parametros_recargas!$N$93*K55*K87))</f>
        <v>1.11733362008165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7" t="n">
        <f aca="false">IF(parametros_recargas!$N$94*B56*B88=0,0,'Demanda por puesto'!$P$24/(parametros_recargas!$N$94*B56*B88))</f>
        <v>0.0061335799346371</v>
      </c>
      <c r="C24" s="27" t="n">
        <f aca="false">IF(parametros_recargas!$N$94*C56*C88=0,0,'Demanda por puesto'!$P$56/(parametros_recargas!$N$94*C56*C88))</f>
        <v>0.0204235381415492</v>
      </c>
      <c r="D24" s="27" t="n">
        <f aca="false">IF(parametros_recargas!$N$94*D56*D88=0,0,'Demanda por puesto'!$P$88/(parametros_recargas!$N$94*D56*D88))</f>
        <v>0.0436850117688112</v>
      </c>
      <c r="E24" s="27" t="n">
        <f aca="false">IF(parametros_recargas!$N$94*E56*E88=0,0,'Demanda por puesto'!$P$120/(parametros_recargas!$N$94*E56*E88))</f>
        <v>0.072693305300477</v>
      </c>
      <c r="F24" s="27" t="n">
        <f aca="false">IF(parametros_recargas!$N$94*F56*F88=0,0,'Demanda por puesto'!$P$152/(parametros_recargas!$N$94*F56*F88))</f>
        <v>0.101093712941682</v>
      </c>
      <c r="G24" s="27" t="n">
        <f aca="false">IF(parametros_recargas!$N$94*G56*G88=0,0,'Demanda por puesto'!$P$184/(parametros_recargas!$N$94*G56*G88))</f>
        <v>0.128685820976241</v>
      </c>
      <c r="H24" s="27" t="n">
        <f aca="false">IF(parametros_recargas!$N$94*H56*H88=0,0,'Demanda por puesto'!$P$216/(parametros_recargas!$N$94*H56*H88))</f>
        <v>0.151905655316859</v>
      </c>
      <c r="I24" s="27" t="n">
        <f aca="false">IF(parametros_recargas!$N$94*I56*I88=0,0,'Demanda por puesto'!$P$248/(parametros_recargas!$N$94*I56*I88))</f>
        <v>0.16539010175846</v>
      </c>
      <c r="J24" s="27" t="n">
        <f aca="false">IF(parametros_recargas!$N$94*J56*J88=0,0,'Demanda por puesto'!$P$280/(parametros_recargas!$N$94*J56*J88))</f>
        <v>0.178747480692683</v>
      </c>
      <c r="K24" s="27" t="n">
        <f aca="false">IF(parametros_recargas!$N$94*K56*K88=0,0,'Demanda por puesto'!$P$312/(parametros_recargas!$N$94*K56*K88))</f>
        <v>0.192577436739368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7" t="n">
        <f aca="false">IF(parametros_recargas!$N$95*B57*B89=0,0,'Demanda por puesto'!$P$25/(parametros_recargas!$N$95*B57*B89))</f>
        <v>0.000158108020906622</v>
      </c>
      <c r="C25" s="27" t="n">
        <f aca="false">IF(parametros_recargas!$N$95*C57*C89=0,0,'Demanda por puesto'!$P$57/(parametros_recargas!$N$95*C57*C89))</f>
        <v>0.000722623684276666</v>
      </c>
      <c r="D25" s="27" t="n">
        <f aca="false">IF(parametros_recargas!$N$95*D57*D89=0,0,'Demanda por puesto'!$P$89/(parametros_recargas!$N$95*D57*D89))</f>
        <v>0.00144235349021779</v>
      </c>
      <c r="E25" s="27" t="n">
        <f aca="false">IF(parametros_recargas!$N$95*E57*E89=0,0,'Demanda por puesto'!$P$121/(parametros_recargas!$N$95*E57*E89))</f>
        <v>0.00227342051469268</v>
      </c>
      <c r="F25" s="27" t="n">
        <f aca="false">IF(parametros_recargas!$N$95*F57*F89=0,0,'Demanda por puesto'!$P$153/(parametros_recargas!$N$95*F57*F89))</f>
        <v>0.0031516606580539</v>
      </c>
      <c r="G25" s="27" t="n">
        <f aca="false">IF(parametros_recargas!$N$95*G57*G89=0,0,'Demanda por puesto'!$P$185/(parametros_recargas!$N$95*G57*G89))</f>
        <v>0.00397597380531906</v>
      </c>
      <c r="H25" s="27" t="n">
        <f aca="false">IF(parametros_recargas!$N$95*H57*H89=0,0,'Demanda por puesto'!$P$217/(parametros_recargas!$N$95*H57*H89))</f>
        <v>0.00478827947693696</v>
      </c>
      <c r="I25" s="27" t="n">
        <f aca="false">IF(parametros_recargas!$N$95*I57*I89=0,0,'Demanda por puesto'!$P$249/(parametros_recargas!$N$95*I57*I89))</f>
        <v>0.00530010642652824</v>
      </c>
      <c r="J25" s="27" t="n">
        <f aca="false">IF(parametros_recargas!$N$95*J57*J89=0,0,'Demanda por puesto'!$P$281/(parametros_recargas!$N$95*J57*J89))</f>
        <v>0.00578238870358218</v>
      </c>
      <c r="K25" s="27" t="n">
        <f aca="false">IF(parametros_recargas!$N$95*K57*K89=0,0,'Demanda por puesto'!$P$313/(parametros_recargas!$N$95*K57*K89))</f>
        <v>0.00627710548890203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7" t="n">
        <f aca="false">IF(parametros_recargas!$N$96*B58*B90=0,0,'Demanda por puesto'!$P$26/(parametros_recargas!$N$96*B58*B90))</f>
        <v>0.00134649200743871</v>
      </c>
      <c r="C26" s="27" t="n">
        <f aca="false">IF(parametros_recargas!$N$96*C58*C90=0,0,'Demanda por puesto'!$P$58/(parametros_recargas!$N$96*C58*C90))</f>
        <v>0.00413280728573045</v>
      </c>
      <c r="D26" s="27" t="n">
        <f aca="false">IF(parametros_recargas!$N$96*D58*D90=0,0,'Demanda por puesto'!$P$90/(parametros_recargas!$N$96*D58*D90))</f>
        <v>0.00907768948177232</v>
      </c>
      <c r="E26" s="27" t="n">
        <f aca="false">IF(parametros_recargas!$N$96*E58*E90=0,0,'Demanda por puesto'!$P$122/(parametros_recargas!$N$96*E58*E90))</f>
        <v>0.0154435217123678</v>
      </c>
      <c r="F26" s="27" t="n">
        <f aca="false">IF(parametros_recargas!$N$96*F58*F90=0,0,'Demanda por puesto'!$P$154/(parametros_recargas!$N$96*F58*F90))</f>
        <v>0.021548730877544</v>
      </c>
      <c r="G26" s="27" t="n">
        <f aca="false">IF(parametros_recargas!$N$96*G58*G90=0,0,'Demanda por puesto'!$P$186/(parametros_recargas!$N$96*G58*G90))</f>
        <v>0.0275209155868237</v>
      </c>
      <c r="H26" s="27" t="n">
        <f aca="false">IF(parametros_recargas!$N$96*H58*H90=0,0,'Demanda por puesto'!$P$218/(parametros_recargas!$N$96*H58*H90))</f>
        <v>0.032488280915874</v>
      </c>
      <c r="I26" s="27" t="n">
        <f aca="false">IF(parametros_recargas!$N$96*I58*I90=0,0,'Demanda por puesto'!$P$250/(parametros_recargas!$N$96*I58*I90))</f>
        <v>0.0352444161081431</v>
      </c>
      <c r="J26" s="27" t="n">
        <f aca="false">IF(parametros_recargas!$N$96*J58*J90=0,0,'Demanda por puesto'!$P$282/(parametros_recargas!$N$96*J58*J90))</f>
        <v>0.0380518954841436</v>
      </c>
      <c r="K26" s="27" t="n">
        <f aca="false">IF(parametros_recargas!$N$96*K58*K90=0,0,'Demanda por puesto'!$P$314/(parametros_recargas!$N$96*K58*K90))</f>
        <v>0.0409620271975109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7" t="n">
        <f aca="false">IF(parametros_recargas!$N$97*B59*B91=0,0,'Demanda por puesto'!$P$27/(parametros_recargas!$N$97*B59*B91))</f>
        <v>0.0451968316057426</v>
      </c>
      <c r="C27" s="27" t="n">
        <f aca="false">IF(parametros_recargas!$N$97*C59*C91=0,0,'Demanda por puesto'!$P$59/(parametros_recargas!$N$97*C59*C91))</f>
        <v>0.151227156474987</v>
      </c>
      <c r="D27" s="27" t="n">
        <f aca="false">IF(parametros_recargas!$N$97*D59*D91=0,0,'Demanda por puesto'!$P$91/(parametros_recargas!$N$97*D59*D91))</f>
        <v>0.294352066117902</v>
      </c>
      <c r="E27" s="27" t="n">
        <f aca="false">IF(parametros_recargas!$N$97*E59*E91=0,0,'Demanda por puesto'!$P$123/(parametros_recargas!$N$97*E59*E91))</f>
        <v>0.4952746558154</v>
      </c>
      <c r="F27" s="27" t="n">
        <f aca="false">IF(parametros_recargas!$N$97*F59*F91=0,0,'Demanda por puesto'!$P$155/(parametros_recargas!$N$97*F59*F91))</f>
        <v>0.70439784938824</v>
      </c>
      <c r="G27" s="27" t="n">
        <f aca="false">IF(parametros_recargas!$N$97*G59*G91=0,0,'Demanda por puesto'!$P$187/(parametros_recargas!$N$97*G59*G91))</f>
        <v>0.920455601570022</v>
      </c>
      <c r="H27" s="27" t="n">
        <f aca="false">IF(parametros_recargas!$N$97*H59*H91=0,0,'Demanda por puesto'!$P$219/(parametros_recargas!$N$97*H59*H91))</f>
        <v>1.09888314762647</v>
      </c>
      <c r="I27" s="27" t="n">
        <f aca="false">IF(parametros_recargas!$N$97*I59*I91=0,0,'Demanda por puesto'!$P$251/(parametros_recargas!$N$97*I59*I91))</f>
        <v>1.21815813593454</v>
      </c>
      <c r="J27" s="27" t="n">
        <f aca="false">IF(parametros_recargas!$N$97*J59*J91=0,0,'Demanda por puesto'!$P$283/(parametros_recargas!$N$97*J59*J91))</f>
        <v>1.30844927922166</v>
      </c>
      <c r="K27" s="27" t="n">
        <f aca="false">IF(parametros_recargas!$N$97*K59*K91=0,0,'Demanda por puesto'!$P$315/(parametros_recargas!$N$97*K59*K91))</f>
        <v>1.40262539871551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7" t="n">
        <f aca="false">IF(parametros_recargas!$N$98*B60*B92=0,0,'Demanda por puesto'!$P$28/(parametros_recargas!$N$98*B60*B92))</f>
        <v>0.0485865939761733</v>
      </c>
      <c r="C28" s="27" t="n">
        <f aca="false">IF(parametros_recargas!$N$98*C60*C92=0,0,'Demanda por puesto'!$P$60/(parametros_recargas!$N$98*C60*C92))</f>
        <v>0.162569193210611</v>
      </c>
      <c r="D28" s="27" t="n">
        <f aca="false">IF(parametros_recargas!$N$98*D60*D92=0,0,'Demanda por puesto'!$P$92/(parametros_recargas!$N$98*D60*D92))</f>
        <v>0.316428471076744</v>
      </c>
      <c r="E28" s="27" t="n">
        <f aca="false">IF(parametros_recargas!$N$98*E60*E92=0,0,'Demanda por puesto'!$P$124/(parametros_recargas!$N$98*E60*E92))</f>
        <v>0.532420255001554</v>
      </c>
      <c r="F28" s="27" t="n">
        <f aca="false">IF(parametros_recargas!$N$98*F60*F92=0,0,'Demanda por puesto'!$P$156/(parametros_recargas!$N$98*F60*F92))</f>
        <v>0.757227688092357</v>
      </c>
      <c r="G28" s="27" t="n">
        <f aca="false">IF(parametros_recargas!$N$98*G60*G92=0,0,'Demanda por puesto'!$P$188/(parametros_recargas!$N$98*G60*G92))</f>
        <v>0.989489771687773</v>
      </c>
      <c r="H28" s="27" t="n">
        <f aca="false">IF(parametros_recargas!$N$98*H60*H92=0,0,'Demanda por puesto'!$P$220/(parametros_recargas!$N$98*H60*H92))</f>
        <v>1.18129938369845</v>
      </c>
      <c r="I28" s="27" t="n">
        <f aca="false">IF(parametros_recargas!$N$98*I60*I92=0,0,'Demanda por puesto'!$P$252/(parametros_recargas!$N$98*I60*I92))</f>
        <v>1.30951999612963</v>
      </c>
      <c r="J28" s="27" t="n">
        <f aca="false">IF(parametros_recargas!$N$98*J60*J92=0,0,'Demanda por puesto'!$P$284/(parametros_recargas!$N$98*J60*J92))</f>
        <v>1.40658297516328</v>
      </c>
      <c r="K28" s="27" t="n">
        <f aca="false">IF(parametros_recargas!$N$98*K60*K92=0,0,'Demanda por puesto'!$P$316/(parametros_recargas!$N$98*K60*K92))</f>
        <v>1.50782230361917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7" t="n">
        <f aca="false">IF(parametros_recargas!$N$99*B61*B93=0,0,'Demanda por puesto'!$P$29/(parametros_recargas!$N$99*B61*B93))</f>
        <v>0.0173244287029436</v>
      </c>
      <c r="C29" s="27" t="n">
        <f aca="false">IF(parametros_recargas!$N$99*C61*C93=0,0,'Demanda por puesto'!$P$61/(parametros_recargas!$N$99*C61*C93))</f>
        <v>0.0580660038250888</v>
      </c>
      <c r="D29" s="27" t="n">
        <f aca="false">IF(parametros_recargas!$N$99*D61*D93=0,0,'Demanda por puesto'!$P$93/(parametros_recargas!$N$99*D61*D93))</f>
        <v>0.112783426518608</v>
      </c>
      <c r="E29" s="27" t="n">
        <f aca="false">IF(parametros_recargas!$N$99*E61*E93=0,0,'Demanda por puesto'!$P$125/(parametros_recargas!$N$99*E61*E93))</f>
        <v>0.189719293908819</v>
      </c>
      <c r="F29" s="27" t="n">
        <f aca="false">IF(parametros_recargas!$N$99*F61*F93=0,0,'Demanda por puesto'!$P$157/(parametros_recargas!$N$99*F61*F93))</f>
        <v>0.269916954659299</v>
      </c>
      <c r="G29" s="27" t="n">
        <f aca="false">IF(parametros_recargas!$N$99*G61*G93=0,0,'Demanda por puesto'!$P$189/(parametros_recargas!$N$99*G61*G93))</f>
        <v>0.352846480335147</v>
      </c>
      <c r="H29" s="27" t="n">
        <f aca="false">IF(parametros_recargas!$N$99*H61*H93=0,0,'Demanda por puesto'!$P$221/(parametros_recargas!$N$99*H61*H93))</f>
        <v>0.421332709371011</v>
      </c>
      <c r="I29" s="27" t="n">
        <f aca="false">IF(parametros_recargas!$N$99*I61*I93=0,0,'Demanda por puesto'!$P$253/(parametros_recargas!$N$99*I61*I93))</f>
        <v>0.467243295937265</v>
      </c>
      <c r="J29" s="27" t="n">
        <f aca="false">IF(parametros_recargas!$N$99*J61*J93=0,0,'Demanda por puesto'!$P$285/(parametros_recargas!$N$99*J61*J93))</f>
        <v>0.501836349736198</v>
      </c>
      <c r="K29" s="27" t="n">
        <f aca="false">IF(parametros_recargas!$N$99*K61*K93=0,0,'Demanda por puesto'!$P$317/(parametros_recargas!$N$99*K61*K93))</f>
        <v>0.537921519806714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7" t="n">
        <f aca="false">IF(parametros_recargas!$N$100*B62*B94=0,0,'Demanda por puesto'!$P$30/(parametros_recargas!$N$100*B62*B94))</f>
        <v>0.00505247039391323</v>
      </c>
      <c r="C30" s="27" t="n">
        <f aca="false">IF(parametros_recargas!$N$100*C62*C94=0,0,'Demanda por puesto'!$P$62/(parametros_recargas!$N$100*C62*C94))</f>
        <v>0.0193959880823741</v>
      </c>
      <c r="D30" s="27" t="n">
        <f aca="false">IF(parametros_recargas!$N$100*D62*D94=0,0,'Demanda por puesto'!$P$94/(parametros_recargas!$N$100*D62*D94))</f>
        <v>0.0401519716634258</v>
      </c>
      <c r="E30" s="27" t="n">
        <f aca="false">IF(parametros_recargas!$N$100*E62*E94=0,0,'Demanda por puesto'!$P$126/(parametros_recargas!$N$100*E62*E94))</f>
        <v>0.065155175362507</v>
      </c>
      <c r="F30" s="27" t="n">
        <f aca="false">IF(parametros_recargas!$N$100*F62*F94=0,0,'Demanda por puesto'!$P$158/(parametros_recargas!$N$100*F62*F94))</f>
        <v>0.0906296572112615</v>
      </c>
      <c r="G30" s="27" t="n">
        <f aca="false">IF(parametros_recargas!$N$100*G62*G94=0,0,'Demanda por puesto'!$P$190/(parametros_recargas!$N$100*G62*G94))</f>
        <v>0.115656770698983</v>
      </c>
      <c r="H30" s="27" t="n">
        <f aca="false">IF(parametros_recargas!$N$100*H62*H94=0,0,'Demanda por puesto'!$P$222/(parametros_recargas!$N$100*H62*H94))</f>
        <v>0.137424554745026</v>
      </c>
      <c r="I30" s="27" t="n">
        <f aca="false">IF(parametros_recargas!$N$100*I62*I94=0,0,'Demanda por puesto'!$P$254/(parametros_recargas!$N$100*I62*I94))</f>
        <v>0.151062337683137</v>
      </c>
      <c r="J30" s="27" t="n">
        <f aca="false">IF(parametros_recargas!$N$100*J62*J94=0,0,'Demanda por puesto'!$P$286/(parametros_recargas!$N$100*J62*J94))</f>
        <v>0.163878412849259</v>
      </c>
      <c r="K30" s="27" t="n">
        <f aca="false">IF(parametros_recargas!$N$100*K62*K94=0,0,'Demanda por puesto'!$P$318/(parametros_recargas!$N$100*K62*K94))</f>
        <v>0.17709535353079</v>
      </c>
    </row>
    <row r="31" customFormat="false" ht="15" hidden="false" customHeight="false" outlineLevel="0" collapsed="false">
      <c r="A31" s="6" t="s">
        <v>304</v>
      </c>
      <c r="B31" s="29" t="n">
        <f aca="false">MAX(B2:B30)</f>
        <v>0.0591471065131947</v>
      </c>
      <c r="C31" s="29" t="n">
        <f aca="false">MAX(C2:C30)</f>
        <v>0.199183309511789</v>
      </c>
      <c r="D31" s="29" t="n">
        <f aca="false">MAX(D2:D30)</f>
        <v>0.381599586358328</v>
      </c>
      <c r="E31" s="29" t="n">
        <f aca="false">MAX(E2:E30)</f>
        <v>0.642095123173559</v>
      </c>
      <c r="F31" s="29" t="n">
        <f aca="false">MAX(F2:F30)</f>
        <v>0.916161199704326</v>
      </c>
      <c r="G31" s="29" t="n">
        <f aca="false">MAX(G2:G30)</f>
        <v>1.20162403231477</v>
      </c>
      <c r="H31" s="29" t="n">
        <f aca="false">MAX(H2:H30)</f>
        <v>1.43695692510427</v>
      </c>
      <c r="I31" s="29" t="n">
        <f aca="false">MAX(I2:I30)</f>
        <v>1.5975225764006</v>
      </c>
      <c r="J31" s="29" t="n">
        <f aca="false">MAX(J2:J30)</f>
        <v>1.71453535320924</v>
      </c>
      <c r="K31" s="29" t="n">
        <f aca="false">MAX(K2:K30)</f>
        <v>1.83671280013422</v>
      </c>
    </row>
    <row r="33" customFormat="false" ht="15" hidden="false" customHeight="false" outlineLevel="0" collapsed="false">
      <c r="A33" s="3" t="s">
        <v>305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306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307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308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309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4" t="n">
        <f aca="false">IF(parametros_recargas!$N$72=0,0,ROUNDUP('Demanda por puesto'!$P$2/(parametros_recargas!$N$72*$O$9),0))</f>
        <v>1</v>
      </c>
      <c r="C98" s="24" t="n">
        <f aca="false">IF(parametros_recargas!$N$72=0,0,ROUNDUP('Demanda por puesto'!$P$34/(parametros_recargas!$N$72*$O$9),0))</f>
        <v>1</v>
      </c>
      <c r="D98" s="24" t="n">
        <f aca="false">IF(parametros_recargas!$N$72=0,0,ROUNDUP('Demanda por puesto'!$P$66/(parametros_recargas!$N$72*$O$9),0))</f>
        <v>1</v>
      </c>
      <c r="E98" s="24" t="n">
        <f aca="false">IF(parametros_recargas!$N$72=0,0,ROUNDUP('Demanda por puesto'!$P$98/(parametros_recargas!$N$72*$O$9),0))</f>
        <v>1</v>
      </c>
      <c r="F98" s="24" t="n">
        <f aca="false">IF(parametros_recargas!$N$72=0,0,ROUNDUP('Demanda por puesto'!$P$130/(parametros_recargas!$N$72*$O$9),0))</f>
        <v>1</v>
      </c>
      <c r="G98" s="24" t="n">
        <f aca="false">IF(parametros_recargas!$N$72=0,0,ROUNDUP('Demanda por puesto'!$P$162/(parametros_recargas!$N$72*$O$9),0))</f>
        <v>1</v>
      </c>
      <c r="H98" s="24" t="n">
        <f aca="false">IF(parametros_recargas!$N$72=0,0,ROUNDUP('Demanda por puesto'!$P$194/(parametros_recargas!$N$72*$O$9),0))</f>
        <v>2</v>
      </c>
      <c r="I98" s="24" t="n">
        <f aca="false">IF(parametros_recargas!$N$72=0,0,ROUNDUP('Demanda por puesto'!$P$226/(parametros_recargas!$N$72*$O$9),0))</f>
        <v>2</v>
      </c>
      <c r="J98" s="24" t="n">
        <f aca="false">IF(parametros_recargas!$N$72=0,0,ROUNDUP('Demanda por puesto'!$P$258/(parametros_recargas!$N$72*$O$9),0))</f>
        <v>2</v>
      </c>
      <c r="K98" s="24" t="n">
        <f aca="false">IF(parametros_recargas!$N$72=0,0,ROUNDUP('Demanda por puesto'!$P$290/(parametros_recargas!$N$72*$O$9),0))</f>
        <v>2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4" t="n">
        <f aca="false">IF(parametros_recargas!$N$73=0,0,ROUNDUP('Demanda por puesto'!$P$3/(parametros_recargas!$N$73*$O$9),0))</f>
        <v>1</v>
      </c>
      <c r="C99" s="24" t="n">
        <f aca="false">IF(parametros_recargas!$N$73=0,0,ROUNDUP('Demanda por puesto'!$P$35/(parametros_recargas!$N$73*$O$9),0))</f>
        <v>1</v>
      </c>
      <c r="D99" s="24" t="n">
        <f aca="false">IF(parametros_recargas!$N$73=0,0,ROUNDUP('Demanda por puesto'!$P$67/(parametros_recargas!$N$73*$O$9),0))</f>
        <v>1</v>
      </c>
      <c r="E99" s="24" t="n">
        <f aca="false">IF(parametros_recargas!$N$73=0,0,ROUNDUP('Demanda por puesto'!$P$99/(parametros_recargas!$N$73*$O$9),0))</f>
        <v>1</v>
      </c>
      <c r="F99" s="24" t="n">
        <f aca="false">IF(parametros_recargas!$N$73=0,0,ROUNDUP('Demanda por puesto'!$P$131/(parametros_recargas!$N$73*$O$9),0))</f>
        <v>1</v>
      </c>
      <c r="G99" s="24" t="n">
        <f aca="false">IF(parametros_recargas!$N$73=0,0,ROUNDUP('Demanda por puesto'!$P$163/(parametros_recargas!$N$73*$O$9),0))</f>
        <v>2</v>
      </c>
      <c r="H99" s="24" t="n">
        <f aca="false">IF(parametros_recargas!$N$73=0,0,ROUNDUP('Demanda por puesto'!$P$195/(parametros_recargas!$N$73*$O$9),0))</f>
        <v>2</v>
      </c>
      <c r="I99" s="24" t="n">
        <f aca="false">IF(parametros_recargas!$N$73=0,0,ROUNDUP('Demanda por puesto'!$P$227/(parametros_recargas!$N$73*$O$9),0))</f>
        <v>2</v>
      </c>
      <c r="J99" s="24" t="n">
        <f aca="false">IF(parametros_recargas!$N$73=0,0,ROUNDUP('Demanda por puesto'!$P$259/(parametros_recargas!$N$73*$O$9),0))</f>
        <v>2</v>
      </c>
      <c r="K99" s="24" t="n">
        <f aca="false">IF(parametros_recargas!$N$73=0,0,ROUNDUP('Demanda por puesto'!$P$291/(parametros_recargas!$N$73*$O$9),0))</f>
        <v>2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4" t="n">
        <f aca="false">IF(parametros_recargas!$N$74=0,0,ROUNDUP('Demanda por puesto'!$P$4/(parametros_recargas!$N$74*$O$9),0))</f>
        <v>1</v>
      </c>
      <c r="C100" s="24" t="n">
        <f aca="false">IF(parametros_recargas!$N$74=0,0,ROUNDUP('Demanda por puesto'!$P$36/(parametros_recargas!$N$74*$O$9),0))</f>
        <v>1</v>
      </c>
      <c r="D100" s="24" t="n">
        <f aca="false">IF(parametros_recargas!$N$74=0,0,ROUNDUP('Demanda por puesto'!$P$68/(parametros_recargas!$N$74*$O$9),0))</f>
        <v>1</v>
      </c>
      <c r="E100" s="24" t="n">
        <f aca="false">IF(parametros_recargas!$N$74=0,0,ROUNDUP('Demanda por puesto'!$P$100/(parametros_recargas!$N$74*$O$9),0))</f>
        <v>1</v>
      </c>
      <c r="F100" s="24" t="n">
        <f aca="false">IF(parametros_recargas!$N$74=0,0,ROUNDUP('Demanda por puesto'!$P$132/(parametros_recargas!$N$74*$O$9),0))</f>
        <v>1</v>
      </c>
      <c r="G100" s="24" t="n">
        <f aca="false">IF(parametros_recargas!$N$74=0,0,ROUNDUP('Demanda por puesto'!$P$164/(parametros_recargas!$N$74*$O$9),0))</f>
        <v>1</v>
      </c>
      <c r="H100" s="24" t="n">
        <f aca="false">IF(parametros_recargas!$N$74=0,0,ROUNDUP('Demanda por puesto'!$P$196/(parametros_recargas!$N$74*$O$9),0))</f>
        <v>1</v>
      </c>
      <c r="I100" s="24" t="n">
        <f aca="false">IF(parametros_recargas!$N$74=0,0,ROUNDUP('Demanda por puesto'!$P$228/(parametros_recargas!$N$74*$O$9),0))</f>
        <v>2</v>
      </c>
      <c r="J100" s="24" t="n">
        <f aca="false">IF(parametros_recargas!$N$74=0,0,ROUNDUP('Demanda por puesto'!$P$260/(parametros_recargas!$N$74*$O$9),0))</f>
        <v>2</v>
      </c>
      <c r="K100" s="24" t="n">
        <f aca="false">IF(parametros_recargas!$N$74=0,0,ROUNDUP('Demanda por puesto'!$P$292/(parametros_recargas!$N$74*$O$9),0))</f>
        <v>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4" t="n">
        <f aca="false">IF(parametros_recargas!$N$75=0,0,ROUNDUP('Demanda por puesto'!$P$5/(parametros_recargas!$N$75*$O$9),0))</f>
        <v>1</v>
      </c>
      <c r="C101" s="24" t="n">
        <f aca="false">IF(parametros_recargas!$N$75=0,0,ROUNDUP('Demanda por puesto'!$P$37/(parametros_recargas!$N$75*$O$9),0))</f>
        <v>1</v>
      </c>
      <c r="D101" s="24" t="n">
        <f aca="false">IF(parametros_recargas!$N$75=0,0,ROUNDUP('Demanda por puesto'!$P$69/(parametros_recargas!$N$75*$O$9),0))</f>
        <v>1</v>
      </c>
      <c r="E101" s="24" t="n">
        <f aca="false">IF(parametros_recargas!$N$75=0,0,ROUNDUP('Demanda por puesto'!$P$101/(parametros_recargas!$N$75*$O$9),0))</f>
        <v>1</v>
      </c>
      <c r="F101" s="24" t="n">
        <f aca="false">IF(parametros_recargas!$N$75=0,0,ROUNDUP('Demanda por puesto'!$P$133/(parametros_recargas!$N$75*$O$9),0))</f>
        <v>1</v>
      </c>
      <c r="G101" s="24" t="n">
        <f aca="false">IF(parametros_recargas!$N$75=0,0,ROUNDUP('Demanda por puesto'!$P$165/(parametros_recargas!$N$75*$O$9),0))</f>
        <v>1</v>
      </c>
      <c r="H101" s="24" t="n">
        <f aca="false">IF(parametros_recargas!$N$75=0,0,ROUNDUP('Demanda por puesto'!$P$197/(parametros_recargas!$N$75*$O$9),0))</f>
        <v>1</v>
      </c>
      <c r="I101" s="24" t="n">
        <f aca="false">IF(parametros_recargas!$N$75=0,0,ROUNDUP('Demanda por puesto'!$P$229/(parametros_recargas!$N$75*$O$9),0))</f>
        <v>1</v>
      </c>
      <c r="J101" s="24" t="n">
        <f aca="false">IF(parametros_recargas!$N$75=0,0,ROUNDUP('Demanda por puesto'!$P$261/(parametros_recargas!$N$75*$O$9),0))</f>
        <v>1</v>
      </c>
      <c r="K101" s="24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4" t="n">
        <f aca="false">IF(parametros_recargas!$N$76=0,0,ROUNDUP('Demanda por puesto'!$P$6/(parametros_recargas!$N$76*$O$9),0))</f>
        <v>1</v>
      </c>
      <c r="C102" s="24" t="n">
        <f aca="false">IF(parametros_recargas!$N$76=0,0,ROUNDUP('Demanda por puesto'!$P$38/(parametros_recargas!$N$76*$O$9),0))</f>
        <v>1</v>
      </c>
      <c r="D102" s="24" t="n">
        <f aca="false">IF(parametros_recargas!$N$76=0,0,ROUNDUP('Demanda por puesto'!$P$70/(parametros_recargas!$N$76*$O$9),0))</f>
        <v>1</v>
      </c>
      <c r="E102" s="24" t="n">
        <f aca="false">IF(parametros_recargas!$N$76=0,0,ROUNDUP('Demanda por puesto'!$P$102/(parametros_recargas!$N$76*$O$9),0))</f>
        <v>1</v>
      </c>
      <c r="F102" s="24" t="n">
        <f aca="false">IF(parametros_recargas!$N$76=0,0,ROUNDUP('Demanda por puesto'!$P$134/(parametros_recargas!$N$76*$O$9),0))</f>
        <v>1</v>
      </c>
      <c r="G102" s="24" t="n">
        <f aca="false">IF(parametros_recargas!$N$76=0,0,ROUNDUP('Demanda por puesto'!$P$166/(parametros_recargas!$N$76*$O$9),0))</f>
        <v>1</v>
      </c>
      <c r="H102" s="24" t="n">
        <f aca="false">IF(parametros_recargas!$N$76=0,0,ROUNDUP('Demanda por puesto'!$P$198/(parametros_recargas!$N$76*$O$9),0))</f>
        <v>1</v>
      </c>
      <c r="I102" s="24" t="n">
        <f aca="false">IF(parametros_recargas!$N$76=0,0,ROUNDUP('Demanda por puesto'!$P$230/(parametros_recargas!$N$76*$O$9),0))</f>
        <v>1</v>
      </c>
      <c r="J102" s="24" t="n">
        <f aca="false">IF(parametros_recargas!$N$76=0,0,ROUNDUP('Demanda por puesto'!$P$262/(parametros_recargas!$N$76*$O$9),0))</f>
        <v>1</v>
      </c>
      <c r="K102" s="24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4" t="n">
        <f aca="false">IF(parametros_recargas!$N$77=0,0,ROUNDUP('Demanda por puesto'!$P$7/(parametros_recargas!$N$77*$O$9),0))</f>
        <v>1</v>
      </c>
      <c r="C103" s="24" t="n">
        <f aca="false">IF(parametros_recargas!$N$77=0,0,ROUNDUP('Demanda por puesto'!$P$39/(parametros_recargas!$N$77*$O$9),0))</f>
        <v>1</v>
      </c>
      <c r="D103" s="24" t="n">
        <f aca="false">IF(parametros_recargas!$N$77=0,0,ROUNDUP('Demanda por puesto'!$P$71/(parametros_recargas!$N$77*$O$9),0))</f>
        <v>1</v>
      </c>
      <c r="E103" s="24" t="n">
        <f aca="false">IF(parametros_recargas!$N$77=0,0,ROUNDUP('Demanda por puesto'!$P$103/(parametros_recargas!$N$77*$O$9),0))</f>
        <v>1</v>
      </c>
      <c r="F103" s="24" t="n">
        <f aca="false">IF(parametros_recargas!$N$77=0,0,ROUNDUP('Demanda por puesto'!$P$135/(parametros_recargas!$N$77*$O$9),0))</f>
        <v>1</v>
      </c>
      <c r="G103" s="24" t="n">
        <f aca="false">IF(parametros_recargas!$N$77=0,0,ROUNDUP('Demanda por puesto'!$P$167/(parametros_recargas!$N$77*$O$9),0))</f>
        <v>1</v>
      </c>
      <c r="H103" s="24" t="n">
        <f aca="false">IF(parametros_recargas!$N$77=0,0,ROUNDUP('Demanda por puesto'!$P$199/(parametros_recargas!$N$77*$O$9),0))</f>
        <v>1</v>
      </c>
      <c r="I103" s="24" t="n">
        <f aca="false">IF(parametros_recargas!$N$77=0,0,ROUNDUP('Demanda por puesto'!$P$231/(parametros_recargas!$N$77*$O$9),0))</f>
        <v>1</v>
      </c>
      <c r="J103" s="24" t="n">
        <f aca="false">IF(parametros_recargas!$N$77=0,0,ROUNDUP('Demanda por puesto'!$P$263/(parametros_recargas!$N$77*$O$9),0))</f>
        <v>1</v>
      </c>
      <c r="K103" s="24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4" t="n">
        <f aca="false">IF(parametros_recargas!$N$78=0,0,ROUNDUP('Demanda por puesto'!$P$8/(parametros_recargas!$N$78*$O$9),0))</f>
        <v>1</v>
      </c>
      <c r="C104" s="24" t="n">
        <f aca="false">IF(parametros_recargas!$N$78=0,0,ROUNDUP('Demanda por puesto'!$P$40/(parametros_recargas!$N$78*$O$9),0))</f>
        <v>1</v>
      </c>
      <c r="D104" s="24" t="n">
        <f aca="false">IF(parametros_recargas!$N$78=0,0,ROUNDUP('Demanda por puesto'!$P$72/(parametros_recargas!$N$78*$O$9),0))</f>
        <v>1</v>
      </c>
      <c r="E104" s="24" t="n">
        <f aca="false">IF(parametros_recargas!$N$78=0,0,ROUNDUP('Demanda por puesto'!$P$104/(parametros_recargas!$N$78*$O$9),0))</f>
        <v>1</v>
      </c>
      <c r="F104" s="24" t="n">
        <f aca="false">IF(parametros_recargas!$N$78=0,0,ROUNDUP('Demanda por puesto'!$P$136/(parametros_recargas!$N$78*$O$9),0))</f>
        <v>1</v>
      </c>
      <c r="G104" s="24" t="n">
        <f aca="false">IF(parametros_recargas!$N$78=0,0,ROUNDUP('Demanda por puesto'!$P$168/(parametros_recargas!$N$78*$O$9),0))</f>
        <v>1</v>
      </c>
      <c r="H104" s="24" t="n">
        <f aca="false">IF(parametros_recargas!$N$78=0,0,ROUNDUP('Demanda por puesto'!$P$200/(parametros_recargas!$N$78*$O$9),0))</f>
        <v>1</v>
      </c>
      <c r="I104" s="24" t="n">
        <f aca="false">IF(parametros_recargas!$N$78=0,0,ROUNDUP('Demanda por puesto'!$P$232/(parametros_recargas!$N$78*$O$9),0))</f>
        <v>1</v>
      </c>
      <c r="J104" s="24" t="n">
        <f aca="false">IF(parametros_recargas!$N$78=0,0,ROUNDUP('Demanda por puesto'!$P$264/(parametros_recargas!$N$78*$O$9),0))</f>
        <v>1</v>
      </c>
      <c r="K104" s="24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4" t="n">
        <f aca="false">IF(parametros_recargas!$N$79=0,0,ROUNDUP('Demanda por puesto'!$P$9/(parametros_recargas!$N$79*$O$9),0))</f>
        <v>1</v>
      </c>
      <c r="C105" s="24" t="n">
        <f aca="false">IF(parametros_recargas!$N$79=0,0,ROUNDUP('Demanda por puesto'!$P$41/(parametros_recargas!$N$79*$O$9),0))</f>
        <v>1</v>
      </c>
      <c r="D105" s="24" t="n">
        <f aca="false">IF(parametros_recargas!$N$79=0,0,ROUNDUP('Demanda por puesto'!$P$73/(parametros_recargas!$N$79*$O$9),0))</f>
        <v>1</v>
      </c>
      <c r="E105" s="24" t="n">
        <f aca="false">IF(parametros_recargas!$N$79=0,0,ROUNDUP('Demanda por puesto'!$P$105/(parametros_recargas!$N$79*$O$9),0))</f>
        <v>1</v>
      </c>
      <c r="F105" s="24" t="n">
        <f aca="false">IF(parametros_recargas!$N$79=0,0,ROUNDUP('Demanda por puesto'!$P$137/(parametros_recargas!$N$79*$O$9),0))</f>
        <v>1</v>
      </c>
      <c r="G105" s="24" t="n">
        <f aca="false">IF(parametros_recargas!$N$79=0,0,ROUNDUP('Demanda por puesto'!$P$169/(parametros_recargas!$N$79*$O$9),0))</f>
        <v>1</v>
      </c>
      <c r="H105" s="24" t="n">
        <f aca="false">IF(parametros_recargas!$N$79=0,0,ROUNDUP('Demanda por puesto'!$P$201/(parametros_recargas!$N$79*$O$9),0))</f>
        <v>1</v>
      </c>
      <c r="I105" s="24" t="n">
        <f aca="false">IF(parametros_recargas!$N$79=0,0,ROUNDUP('Demanda por puesto'!$P$233/(parametros_recargas!$N$79*$O$9),0))</f>
        <v>1</v>
      </c>
      <c r="J105" s="24" t="n">
        <f aca="false">IF(parametros_recargas!$N$79=0,0,ROUNDUP('Demanda por puesto'!$P$265/(parametros_recargas!$N$79*$O$9),0))</f>
        <v>1</v>
      </c>
      <c r="K105" s="24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4" t="n">
        <f aca="false">IF(parametros_recargas!$N$80=0,0,ROUNDUP('Demanda por puesto'!$P$10/(parametros_recargas!$N$80*$O$9),0))</f>
        <v>1</v>
      </c>
      <c r="C106" s="24" t="n">
        <f aca="false">IF(parametros_recargas!$N$80=0,0,ROUNDUP('Demanda por puesto'!$P$42/(parametros_recargas!$N$80*$O$9),0))</f>
        <v>1</v>
      </c>
      <c r="D106" s="24" t="n">
        <f aca="false">IF(parametros_recargas!$N$80=0,0,ROUNDUP('Demanda por puesto'!$P$74/(parametros_recargas!$N$80*$O$9),0))</f>
        <v>1</v>
      </c>
      <c r="E106" s="24" t="n">
        <f aca="false">IF(parametros_recargas!$N$80=0,0,ROUNDUP('Demanda por puesto'!$P$106/(parametros_recargas!$N$80*$O$9),0))</f>
        <v>1</v>
      </c>
      <c r="F106" s="24" t="n">
        <f aca="false">IF(parametros_recargas!$N$80=0,0,ROUNDUP('Demanda por puesto'!$P$138/(parametros_recargas!$N$80*$O$9),0))</f>
        <v>1</v>
      </c>
      <c r="G106" s="24" t="n">
        <f aca="false">IF(parametros_recargas!$N$80=0,0,ROUNDUP('Demanda por puesto'!$P$170/(parametros_recargas!$N$80*$O$9),0))</f>
        <v>2</v>
      </c>
      <c r="H106" s="24" t="n">
        <f aca="false">IF(parametros_recargas!$N$80=0,0,ROUNDUP('Demanda por puesto'!$P$202/(parametros_recargas!$N$80*$O$9),0))</f>
        <v>2</v>
      </c>
      <c r="I106" s="24" t="n">
        <f aca="false">IF(parametros_recargas!$N$80=0,0,ROUNDUP('Demanda por puesto'!$P$234/(parametros_recargas!$N$80*$O$9),0))</f>
        <v>2</v>
      </c>
      <c r="J106" s="24" t="n">
        <f aca="false">IF(parametros_recargas!$N$80=0,0,ROUNDUP('Demanda por puesto'!$P$266/(parametros_recargas!$N$80*$O$9),0))</f>
        <v>2</v>
      </c>
      <c r="K106" s="24" t="n">
        <f aca="false">IF(parametros_recargas!$N$80=0,0,ROUNDUP('Demanda por puesto'!$P$298/(parametros_recargas!$N$80*$O$9),0))</f>
        <v>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4" t="n">
        <f aca="false">IF(parametros_recargas!$N$81=0,0,ROUNDUP('Demanda por puesto'!$P$11/(parametros_recargas!$N$81*$O$9),0))</f>
        <v>1</v>
      </c>
      <c r="C107" s="24" t="n">
        <f aca="false">IF(parametros_recargas!$N$81=0,0,ROUNDUP('Demanda por puesto'!$P$43/(parametros_recargas!$N$81*$O$9),0))</f>
        <v>1</v>
      </c>
      <c r="D107" s="24" t="n">
        <f aca="false">IF(parametros_recargas!$N$81=0,0,ROUNDUP('Demanda por puesto'!$P$75/(parametros_recargas!$N$81*$O$9),0))</f>
        <v>1</v>
      </c>
      <c r="E107" s="24" t="n">
        <f aca="false">IF(parametros_recargas!$N$81=0,0,ROUNDUP('Demanda por puesto'!$P$107/(parametros_recargas!$N$81*$O$9),0))</f>
        <v>1</v>
      </c>
      <c r="F107" s="24" t="n">
        <f aca="false">IF(parametros_recargas!$N$81=0,0,ROUNDUP('Demanda por puesto'!$P$139/(parametros_recargas!$N$81*$O$9),0))</f>
        <v>1</v>
      </c>
      <c r="G107" s="24" t="n">
        <f aca="false">IF(parametros_recargas!$N$81=0,0,ROUNDUP('Demanda por puesto'!$P$171/(parametros_recargas!$N$81*$O$9),0))</f>
        <v>1</v>
      </c>
      <c r="H107" s="24" t="n">
        <f aca="false">IF(parametros_recargas!$N$81=0,0,ROUNDUP('Demanda por puesto'!$P$203/(parametros_recargas!$N$81*$O$9),0))</f>
        <v>1</v>
      </c>
      <c r="I107" s="24" t="n">
        <f aca="false">IF(parametros_recargas!$N$81=0,0,ROUNDUP('Demanda por puesto'!$P$235/(parametros_recargas!$N$81*$O$9),0))</f>
        <v>1</v>
      </c>
      <c r="J107" s="24" t="n">
        <f aca="false">IF(parametros_recargas!$N$81=0,0,ROUNDUP('Demanda por puesto'!$P$267/(parametros_recargas!$N$81*$O$9),0))</f>
        <v>1</v>
      </c>
      <c r="K107" s="24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4" t="n">
        <f aca="false">IF(parametros_recargas!$N$82=0,0,ROUNDUP('Demanda por puesto'!$P$12/(parametros_recargas!$N$82*$O$9),0))</f>
        <v>1</v>
      </c>
      <c r="C108" s="24" t="n">
        <f aca="false">IF(parametros_recargas!$N$82=0,0,ROUNDUP('Demanda por puesto'!$P$44/(parametros_recargas!$N$82*$O$9),0))</f>
        <v>1</v>
      </c>
      <c r="D108" s="24" t="n">
        <f aca="false">IF(parametros_recargas!$N$82=0,0,ROUNDUP('Demanda por puesto'!$P$76/(parametros_recargas!$N$82*$O$9),0))</f>
        <v>1</v>
      </c>
      <c r="E108" s="24" t="n">
        <f aca="false">IF(parametros_recargas!$N$82=0,0,ROUNDUP('Demanda por puesto'!$P$108/(parametros_recargas!$N$82*$O$9),0))</f>
        <v>1</v>
      </c>
      <c r="F108" s="24" t="n">
        <f aca="false">IF(parametros_recargas!$N$82=0,0,ROUNDUP('Demanda por puesto'!$P$140/(parametros_recargas!$N$82*$O$9),0))</f>
        <v>1</v>
      </c>
      <c r="G108" s="24" t="n">
        <f aca="false">IF(parametros_recargas!$N$82=0,0,ROUNDUP('Demanda por puesto'!$P$172/(parametros_recargas!$N$82*$O$9),0))</f>
        <v>1</v>
      </c>
      <c r="H108" s="24" t="n">
        <f aca="false">IF(parametros_recargas!$N$82=0,0,ROUNDUP('Demanda por puesto'!$P$204/(parametros_recargas!$N$82*$O$9),0))</f>
        <v>1</v>
      </c>
      <c r="I108" s="24" t="n">
        <f aca="false">IF(parametros_recargas!$N$82=0,0,ROUNDUP('Demanda por puesto'!$P$236/(parametros_recargas!$N$82*$O$9),0))</f>
        <v>1</v>
      </c>
      <c r="J108" s="24" t="n">
        <f aca="false">IF(parametros_recargas!$N$82=0,0,ROUNDUP('Demanda por puesto'!$P$268/(parametros_recargas!$N$82*$O$9),0))</f>
        <v>1</v>
      </c>
      <c r="K108" s="24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4" t="n">
        <f aca="false">IF(parametros_recargas!$N$83=0,0,ROUNDUP('Demanda por puesto'!$P$13/(parametros_recargas!$N$83*$O$9),0))</f>
        <v>1</v>
      </c>
      <c r="C109" s="24" t="n">
        <f aca="false">IF(parametros_recargas!$N$83=0,0,ROUNDUP('Demanda por puesto'!$P$45/(parametros_recargas!$N$83*$O$9),0))</f>
        <v>1</v>
      </c>
      <c r="D109" s="24" t="n">
        <f aca="false">IF(parametros_recargas!$N$83=0,0,ROUNDUP('Demanda por puesto'!$P$77/(parametros_recargas!$N$83*$O$9),0))</f>
        <v>1</v>
      </c>
      <c r="E109" s="24" t="n">
        <f aca="false">IF(parametros_recargas!$N$83=0,0,ROUNDUP('Demanda por puesto'!$P$109/(parametros_recargas!$N$83*$O$9),0))</f>
        <v>1</v>
      </c>
      <c r="F109" s="24" t="n">
        <f aca="false">IF(parametros_recargas!$N$83=0,0,ROUNDUP('Demanda por puesto'!$P$141/(parametros_recargas!$N$83*$O$9),0))</f>
        <v>1</v>
      </c>
      <c r="G109" s="24" t="n">
        <f aca="false">IF(parametros_recargas!$N$83=0,0,ROUNDUP('Demanda por puesto'!$P$173/(parametros_recargas!$N$83*$O$9),0))</f>
        <v>1</v>
      </c>
      <c r="H109" s="24" t="n">
        <f aca="false">IF(parametros_recargas!$N$83=0,0,ROUNDUP('Demanda por puesto'!$P$205/(parametros_recargas!$N$83*$O$9),0))</f>
        <v>1</v>
      </c>
      <c r="I109" s="24" t="n">
        <f aca="false">IF(parametros_recargas!$N$83=0,0,ROUNDUP('Demanda por puesto'!$P$237/(parametros_recargas!$N$83*$O$9),0))</f>
        <v>2</v>
      </c>
      <c r="J109" s="24" t="n">
        <f aca="false">IF(parametros_recargas!$N$83=0,0,ROUNDUP('Demanda por puesto'!$P$269/(parametros_recargas!$N$83*$O$9),0))</f>
        <v>2</v>
      </c>
      <c r="K109" s="24" t="n">
        <f aca="false">IF(parametros_recargas!$N$83=0,0,ROUNDUP('Demanda por puesto'!$P$301/(parametros_recargas!$N$83*$O$9),0))</f>
        <v>2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4" t="n">
        <f aca="false">IF(parametros_recargas!$N$84=0,0,ROUNDUP('Demanda por puesto'!$P$14/(parametros_recargas!$N$84*$O$9),0))</f>
        <v>1</v>
      </c>
      <c r="C110" s="24" t="n">
        <f aca="false">IF(parametros_recargas!$N$84=0,0,ROUNDUP('Demanda por puesto'!$P$46/(parametros_recargas!$N$84*$O$9),0))</f>
        <v>1</v>
      </c>
      <c r="D110" s="24" t="n">
        <f aca="false">IF(parametros_recargas!$N$84=0,0,ROUNDUP('Demanda por puesto'!$P$78/(parametros_recargas!$N$84*$O$9),0))</f>
        <v>1</v>
      </c>
      <c r="E110" s="24" t="n">
        <f aca="false">IF(parametros_recargas!$N$84=0,0,ROUNDUP('Demanda por puesto'!$P$110/(parametros_recargas!$N$84*$O$9),0))</f>
        <v>1</v>
      </c>
      <c r="F110" s="24" t="n">
        <f aca="false">IF(parametros_recargas!$N$84=0,0,ROUNDUP('Demanda por puesto'!$P$142/(parametros_recargas!$N$84*$O$9),0))</f>
        <v>1</v>
      </c>
      <c r="G110" s="24" t="n">
        <f aca="false">IF(parametros_recargas!$N$84=0,0,ROUNDUP('Demanda por puesto'!$P$174/(parametros_recargas!$N$84*$O$9),0))</f>
        <v>1</v>
      </c>
      <c r="H110" s="24" t="n">
        <f aca="false">IF(parametros_recargas!$N$84=0,0,ROUNDUP('Demanda por puesto'!$P$206/(parametros_recargas!$N$84*$O$9),0))</f>
        <v>1</v>
      </c>
      <c r="I110" s="24" t="n">
        <f aca="false">IF(parametros_recargas!$N$84=0,0,ROUNDUP('Demanda por puesto'!$P$238/(parametros_recargas!$N$84*$O$9),0))</f>
        <v>1</v>
      </c>
      <c r="J110" s="24" t="n">
        <f aca="false">IF(parametros_recargas!$N$84=0,0,ROUNDUP('Demanda por puesto'!$P$270/(parametros_recargas!$N$84*$O$9),0))</f>
        <v>1</v>
      </c>
      <c r="K110" s="24" t="n">
        <f aca="false">IF(parametros_recargas!$N$84=0,0,ROUNDUP('Demanda por puesto'!$P$302/(parametros_recargas!$N$84*$O$9),0))</f>
        <v>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4" t="n">
        <f aca="false">IF(parametros_recargas!$N$85=0,0,ROUNDUP('Demanda por puesto'!$P$15/(parametros_recargas!$N$85*$O$9),0))</f>
        <v>1</v>
      </c>
      <c r="C111" s="24" t="n">
        <f aca="false">IF(parametros_recargas!$N$85=0,0,ROUNDUP('Demanda por puesto'!$P$47/(parametros_recargas!$N$85*$O$9),0))</f>
        <v>1</v>
      </c>
      <c r="D111" s="24" t="n">
        <f aca="false">IF(parametros_recargas!$N$85=0,0,ROUNDUP('Demanda por puesto'!$P$79/(parametros_recargas!$N$85*$O$9),0))</f>
        <v>1</v>
      </c>
      <c r="E111" s="24" t="n">
        <f aca="false">IF(parametros_recargas!$N$85=0,0,ROUNDUP('Demanda por puesto'!$P$111/(parametros_recargas!$N$85*$O$9),0))</f>
        <v>1</v>
      </c>
      <c r="F111" s="24" t="n">
        <f aca="false">IF(parametros_recargas!$N$85=0,0,ROUNDUP('Demanda por puesto'!$P$143/(parametros_recargas!$N$85*$O$9),0))</f>
        <v>1</v>
      </c>
      <c r="G111" s="24" t="n">
        <f aca="false">IF(parametros_recargas!$N$85=0,0,ROUNDUP('Demanda por puesto'!$P$175/(parametros_recargas!$N$85*$O$9),0))</f>
        <v>1</v>
      </c>
      <c r="H111" s="24" t="n">
        <f aca="false">IF(parametros_recargas!$N$85=0,0,ROUNDUP('Demanda por puesto'!$P$207/(parametros_recargas!$N$85*$O$9),0))</f>
        <v>1</v>
      </c>
      <c r="I111" s="24" t="n">
        <f aca="false">IF(parametros_recargas!$N$85=0,0,ROUNDUP('Demanda por puesto'!$P$239/(parametros_recargas!$N$85*$O$9),0))</f>
        <v>1</v>
      </c>
      <c r="J111" s="24" t="n">
        <f aca="false">IF(parametros_recargas!$N$85=0,0,ROUNDUP('Demanda por puesto'!$P$271/(parametros_recargas!$N$85*$O$9),0))</f>
        <v>1</v>
      </c>
      <c r="K111" s="24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4" t="n">
        <f aca="false">IF(parametros_recargas!$N$86=0,0,ROUNDUP('Demanda por puesto'!$P$16/(parametros_recargas!$N$86*$O$9),0))</f>
        <v>1</v>
      </c>
      <c r="C112" s="24" t="n">
        <f aca="false">IF(parametros_recargas!$N$86=0,0,ROUNDUP('Demanda por puesto'!$P$48/(parametros_recargas!$N$86*$O$9),0))</f>
        <v>1</v>
      </c>
      <c r="D112" s="24" t="n">
        <f aca="false">IF(parametros_recargas!$N$86=0,0,ROUNDUP('Demanda por puesto'!$P$80/(parametros_recargas!$N$86*$O$9),0))</f>
        <v>1</v>
      </c>
      <c r="E112" s="24" t="n">
        <f aca="false">IF(parametros_recargas!$N$86=0,0,ROUNDUP('Demanda por puesto'!$P$112/(parametros_recargas!$N$86*$O$9),0))</f>
        <v>1</v>
      </c>
      <c r="F112" s="24" t="n">
        <f aca="false">IF(parametros_recargas!$N$86=0,0,ROUNDUP('Demanda por puesto'!$P$144/(parametros_recargas!$N$86*$O$9),0))</f>
        <v>1</v>
      </c>
      <c r="G112" s="24" t="n">
        <f aca="false">IF(parametros_recargas!$N$86=0,0,ROUNDUP('Demanda por puesto'!$P$176/(parametros_recargas!$N$86*$O$9),0))</f>
        <v>1</v>
      </c>
      <c r="H112" s="24" t="n">
        <f aca="false">IF(parametros_recargas!$N$86=0,0,ROUNDUP('Demanda por puesto'!$P$208/(parametros_recargas!$N$86*$O$9),0))</f>
        <v>2</v>
      </c>
      <c r="I112" s="24" t="n">
        <f aca="false">IF(parametros_recargas!$N$86=0,0,ROUNDUP('Demanda por puesto'!$P$240/(parametros_recargas!$N$86*$O$9),0))</f>
        <v>2</v>
      </c>
      <c r="J112" s="24" t="n">
        <f aca="false">IF(parametros_recargas!$N$86=0,0,ROUNDUP('Demanda por puesto'!$P$272/(parametros_recargas!$N$86*$O$9),0))</f>
        <v>2</v>
      </c>
      <c r="K112" s="24" t="n">
        <f aca="false">IF(parametros_recargas!$N$86=0,0,ROUNDUP('Demanda por puesto'!$P$304/(parametros_recargas!$N$86*$O$9),0))</f>
        <v>2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4" t="n">
        <f aca="false">IF(parametros_recargas!$N$87=0,0,ROUNDUP('Demanda por puesto'!$P$17/(parametros_recargas!$N$87*$O$9),0))</f>
        <v>1</v>
      </c>
      <c r="C113" s="24" t="n">
        <f aca="false">IF(parametros_recargas!$N$87=0,0,ROUNDUP('Demanda por puesto'!$P$49/(parametros_recargas!$N$87*$O$9),0))</f>
        <v>1</v>
      </c>
      <c r="D113" s="24" t="n">
        <f aca="false">IF(parametros_recargas!$N$87=0,0,ROUNDUP('Demanda por puesto'!$P$81/(parametros_recargas!$N$87*$O$9),0))</f>
        <v>1</v>
      </c>
      <c r="E113" s="24" t="n">
        <f aca="false">IF(parametros_recargas!$N$87=0,0,ROUNDUP('Demanda por puesto'!$P$113/(parametros_recargas!$N$87*$O$9),0))</f>
        <v>1</v>
      </c>
      <c r="F113" s="24" t="n">
        <f aca="false">IF(parametros_recargas!$N$87=0,0,ROUNDUP('Demanda por puesto'!$P$145/(parametros_recargas!$N$87*$O$9),0))</f>
        <v>1</v>
      </c>
      <c r="G113" s="24" t="n">
        <f aca="false">IF(parametros_recargas!$N$87=0,0,ROUNDUP('Demanda por puesto'!$P$177/(parametros_recargas!$N$87*$O$9),0))</f>
        <v>2</v>
      </c>
      <c r="H113" s="24" t="n">
        <f aca="false">IF(parametros_recargas!$N$87=0,0,ROUNDUP('Demanda por puesto'!$P$209/(parametros_recargas!$N$87*$O$9),0))</f>
        <v>2</v>
      </c>
      <c r="I113" s="24" t="n">
        <f aca="false">IF(parametros_recargas!$N$87=0,0,ROUNDUP('Demanda por puesto'!$P$241/(parametros_recargas!$N$87*$O$9),0))</f>
        <v>2</v>
      </c>
      <c r="J113" s="24" t="n">
        <f aca="false">IF(parametros_recargas!$N$87=0,0,ROUNDUP('Demanda por puesto'!$P$273/(parametros_recargas!$N$87*$O$9),0))</f>
        <v>2</v>
      </c>
      <c r="K113" s="24" t="n">
        <f aca="false">IF(parametros_recargas!$N$87=0,0,ROUNDUP('Demanda por puesto'!$P$305/(parametros_recargas!$N$87*$O$9),0))</f>
        <v>2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4" t="n">
        <f aca="false">IF(parametros_recargas!$N$88=0,0,ROUNDUP('Demanda por puesto'!$P$18/(parametros_recargas!$N$88*$O$9),0))</f>
        <v>1</v>
      </c>
      <c r="C114" s="24" t="n">
        <f aca="false">IF(parametros_recargas!$N$88=0,0,ROUNDUP('Demanda por puesto'!$P$50/(parametros_recargas!$N$88*$O$9),0))</f>
        <v>1</v>
      </c>
      <c r="D114" s="24" t="n">
        <f aca="false">IF(parametros_recargas!$N$88=0,0,ROUNDUP('Demanda por puesto'!$P$82/(parametros_recargas!$N$88*$O$9),0))</f>
        <v>1</v>
      </c>
      <c r="E114" s="24" t="n">
        <f aca="false">IF(parametros_recargas!$N$88=0,0,ROUNDUP('Demanda por puesto'!$P$114/(parametros_recargas!$N$88*$O$9),0))</f>
        <v>1</v>
      </c>
      <c r="F114" s="24" t="n">
        <f aca="false">IF(parametros_recargas!$N$88=0,0,ROUNDUP('Demanda por puesto'!$P$146/(parametros_recargas!$N$88*$O$9),0))</f>
        <v>1</v>
      </c>
      <c r="G114" s="24" t="n">
        <f aca="false">IF(parametros_recargas!$N$88=0,0,ROUNDUP('Demanda por puesto'!$P$178/(parametros_recargas!$N$88*$O$9),0))</f>
        <v>1</v>
      </c>
      <c r="H114" s="24" t="n">
        <f aca="false">IF(parametros_recargas!$N$88=0,0,ROUNDUP('Demanda por puesto'!$P$210/(parametros_recargas!$N$88*$O$9),0))</f>
        <v>1</v>
      </c>
      <c r="I114" s="24" t="n">
        <f aca="false">IF(parametros_recargas!$N$88=0,0,ROUNDUP('Demanda por puesto'!$P$242/(parametros_recargas!$N$88*$O$9),0))</f>
        <v>1</v>
      </c>
      <c r="J114" s="24" t="n">
        <f aca="false">IF(parametros_recargas!$N$88=0,0,ROUNDUP('Demanda por puesto'!$P$274/(parametros_recargas!$N$88*$O$9),0))</f>
        <v>1</v>
      </c>
      <c r="K114" s="24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4" t="n">
        <f aca="false">IF(parametros_recargas!$N$89=0,0,ROUNDUP('Demanda por puesto'!$P$19/(parametros_recargas!$N$89*$O$9),0))</f>
        <v>1</v>
      </c>
      <c r="C115" s="24" t="n">
        <f aca="false">IF(parametros_recargas!$N$89=0,0,ROUNDUP('Demanda por puesto'!$P$51/(parametros_recargas!$N$89*$O$9),0))</f>
        <v>1</v>
      </c>
      <c r="D115" s="24" t="n">
        <f aca="false">IF(parametros_recargas!$N$89=0,0,ROUNDUP('Demanda por puesto'!$P$83/(parametros_recargas!$N$89*$O$9),0))</f>
        <v>1</v>
      </c>
      <c r="E115" s="24" t="n">
        <f aca="false">IF(parametros_recargas!$N$89=0,0,ROUNDUP('Demanda por puesto'!$P$115/(parametros_recargas!$N$89*$O$9),0))</f>
        <v>1</v>
      </c>
      <c r="F115" s="24" t="n">
        <f aca="false">IF(parametros_recargas!$N$89=0,0,ROUNDUP('Demanda por puesto'!$P$147/(parametros_recargas!$N$89*$O$9),0))</f>
        <v>1</v>
      </c>
      <c r="G115" s="24" t="n">
        <f aca="false">IF(parametros_recargas!$N$89=0,0,ROUNDUP('Demanda por puesto'!$P$179/(parametros_recargas!$N$89*$O$9),0))</f>
        <v>1</v>
      </c>
      <c r="H115" s="24" t="n">
        <f aca="false">IF(parametros_recargas!$N$89=0,0,ROUNDUP('Demanda por puesto'!$P$211/(parametros_recargas!$N$89*$O$9),0))</f>
        <v>1</v>
      </c>
      <c r="I115" s="24" t="n">
        <f aca="false">IF(parametros_recargas!$N$89=0,0,ROUNDUP('Demanda por puesto'!$P$243/(parametros_recargas!$N$89*$O$9),0))</f>
        <v>1</v>
      </c>
      <c r="J115" s="24" t="n">
        <f aca="false">IF(parametros_recargas!$N$89=0,0,ROUNDUP('Demanda por puesto'!$P$275/(parametros_recargas!$N$89*$O$9),0))</f>
        <v>1</v>
      </c>
      <c r="K115" s="24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4" t="n">
        <f aca="false">IF(parametros_recargas!$N$90=0,0,ROUNDUP('Demanda por puesto'!$P$20/(parametros_recargas!$N$90*$O$9),0))</f>
        <v>1</v>
      </c>
      <c r="C116" s="24" t="n">
        <f aca="false">IF(parametros_recargas!$N$90=0,0,ROUNDUP('Demanda por puesto'!$P$52/(parametros_recargas!$N$90*$O$9),0))</f>
        <v>1</v>
      </c>
      <c r="D116" s="24" t="n">
        <f aca="false">IF(parametros_recargas!$N$90=0,0,ROUNDUP('Demanda por puesto'!$P$84/(parametros_recargas!$N$90*$O$9),0))</f>
        <v>1</v>
      </c>
      <c r="E116" s="24" t="n">
        <f aca="false">IF(parametros_recargas!$N$90=0,0,ROUNDUP('Demanda por puesto'!$P$116/(parametros_recargas!$N$90*$O$9),0))</f>
        <v>1</v>
      </c>
      <c r="F116" s="24" t="n">
        <f aca="false">IF(parametros_recargas!$N$90=0,0,ROUNDUP('Demanda por puesto'!$P$148/(parametros_recargas!$N$90*$O$9),0))</f>
        <v>1</v>
      </c>
      <c r="G116" s="24" t="n">
        <f aca="false">IF(parametros_recargas!$N$90=0,0,ROUNDUP('Demanda por puesto'!$P$180/(parametros_recargas!$N$90*$O$9),0))</f>
        <v>1</v>
      </c>
      <c r="H116" s="24" t="n">
        <f aca="false">IF(parametros_recargas!$N$90=0,0,ROUNDUP('Demanda por puesto'!$P$212/(parametros_recargas!$N$90*$O$9),0))</f>
        <v>1</v>
      </c>
      <c r="I116" s="24" t="n">
        <f aca="false">IF(parametros_recargas!$N$90=0,0,ROUNDUP('Demanda por puesto'!$P$244/(parametros_recargas!$N$90*$O$9),0))</f>
        <v>1</v>
      </c>
      <c r="J116" s="24" t="n">
        <f aca="false">IF(parametros_recargas!$N$90=0,0,ROUNDUP('Demanda por puesto'!$P$276/(parametros_recargas!$N$90*$O$9),0))</f>
        <v>1</v>
      </c>
      <c r="K116" s="24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4" t="n">
        <f aca="false">IF(parametros_recargas!$N$91=0,0,ROUNDUP('Demanda por puesto'!$P$21/(parametros_recargas!$N$91*$O$9),0))</f>
        <v>1</v>
      </c>
      <c r="C117" s="24" t="n">
        <f aca="false">IF(parametros_recargas!$N$91=0,0,ROUNDUP('Demanda por puesto'!$P$53/(parametros_recargas!$N$91*$O$9),0))</f>
        <v>1</v>
      </c>
      <c r="D117" s="24" t="n">
        <f aca="false">IF(parametros_recargas!$N$91=0,0,ROUNDUP('Demanda por puesto'!$P$85/(parametros_recargas!$N$91*$O$9),0))</f>
        <v>1</v>
      </c>
      <c r="E117" s="24" t="n">
        <f aca="false">IF(parametros_recargas!$N$91=0,0,ROUNDUP('Demanda por puesto'!$P$117/(parametros_recargas!$N$91*$O$9),0))</f>
        <v>1</v>
      </c>
      <c r="F117" s="24" t="n">
        <f aca="false">IF(parametros_recargas!$N$91=0,0,ROUNDUP('Demanda por puesto'!$P$149/(parametros_recargas!$N$91*$O$9),0))</f>
        <v>1</v>
      </c>
      <c r="G117" s="24" t="n">
        <f aca="false">IF(parametros_recargas!$N$91=0,0,ROUNDUP('Demanda por puesto'!$P$181/(parametros_recargas!$N$91*$O$9),0))</f>
        <v>1</v>
      </c>
      <c r="H117" s="24" t="n">
        <f aca="false">IF(parametros_recargas!$N$91=0,0,ROUNDUP('Demanda por puesto'!$P$213/(parametros_recargas!$N$91*$O$9),0))</f>
        <v>1</v>
      </c>
      <c r="I117" s="24" t="n">
        <f aca="false">IF(parametros_recargas!$N$91=0,0,ROUNDUP('Demanda por puesto'!$P$245/(parametros_recargas!$N$91*$O$9),0))</f>
        <v>1</v>
      </c>
      <c r="J117" s="24" t="n">
        <f aca="false">IF(parametros_recargas!$N$91=0,0,ROUNDUP('Demanda por puesto'!$P$277/(parametros_recargas!$N$91*$O$9),0))</f>
        <v>1</v>
      </c>
      <c r="K117" s="24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4" t="n">
        <f aca="false">IF(parametros_recargas!$N$92=0,0,ROUNDUP('Demanda por puesto'!$P$22/(parametros_recargas!$N$92*$O$9),0))</f>
        <v>1</v>
      </c>
      <c r="C118" s="24" t="n">
        <f aca="false">IF(parametros_recargas!$N$92=0,0,ROUNDUP('Demanda por puesto'!$P$54/(parametros_recargas!$N$92*$O$9),0))</f>
        <v>1</v>
      </c>
      <c r="D118" s="24" t="n">
        <f aca="false">IF(parametros_recargas!$N$92=0,0,ROUNDUP('Demanda por puesto'!$P$86/(parametros_recargas!$N$92*$O$9),0))</f>
        <v>1</v>
      </c>
      <c r="E118" s="24" t="n">
        <f aca="false">IF(parametros_recargas!$N$92=0,0,ROUNDUP('Demanda por puesto'!$P$118/(parametros_recargas!$N$92*$O$9),0))</f>
        <v>1</v>
      </c>
      <c r="F118" s="24" t="n">
        <f aca="false">IF(parametros_recargas!$N$92=0,0,ROUNDUP('Demanda por puesto'!$P$150/(parametros_recargas!$N$92*$O$9),0))</f>
        <v>2</v>
      </c>
      <c r="G118" s="24" t="n">
        <f aca="false">IF(parametros_recargas!$N$92=0,0,ROUNDUP('Demanda por puesto'!$P$182/(parametros_recargas!$N$92*$O$9),0))</f>
        <v>2</v>
      </c>
      <c r="H118" s="24" t="n">
        <f aca="false">IF(parametros_recargas!$N$92=0,0,ROUNDUP('Demanda por puesto'!$P$214/(parametros_recargas!$N$92*$O$9),0))</f>
        <v>2</v>
      </c>
      <c r="I118" s="24" t="n">
        <f aca="false">IF(parametros_recargas!$N$92=0,0,ROUNDUP('Demanda por puesto'!$P$246/(parametros_recargas!$N$92*$O$9),0))</f>
        <v>2</v>
      </c>
      <c r="J118" s="24" t="n">
        <f aca="false">IF(parametros_recargas!$N$92=0,0,ROUNDUP('Demanda por puesto'!$P$278/(parametros_recargas!$N$92*$O$9),0))</f>
        <v>2</v>
      </c>
      <c r="K118" s="24" t="n">
        <f aca="false">IF(parametros_recargas!$N$92=0,0,ROUNDUP('Demanda por puesto'!$P$310/(parametros_recargas!$N$92*$O$9),0))</f>
        <v>3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4" t="n">
        <f aca="false">IF(parametros_recargas!$N$93=0,0,ROUNDUP('Demanda por puesto'!$P$23/(parametros_recargas!$N$93*$O$9),0))</f>
        <v>1</v>
      </c>
      <c r="C119" s="24" t="n">
        <f aca="false">IF(parametros_recargas!$N$93=0,0,ROUNDUP('Demanda por puesto'!$P$55/(parametros_recargas!$N$93*$O$9),0))</f>
        <v>1</v>
      </c>
      <c r="D119" s="24" t="n">
        <f aca="false">IF(parametros_recargas!$N$93=0,0,ROUNDUP('Demanda por puesto'!$P$87/(parametros_recargas!$N$93*$O$9),0))</f>
        <v>1</v>
      </c>
      <c r="E119" s="24" t="n">
        <f aca="false">IF(parametros_recargas!$N$93=0,0,ROUNDUP('Demanda por puesto'!$P$119/(parametros_recargas!$N$93*$O$9),0))</f>
        <v>1</v>
      </c>
      <c r="F119" s="24" t="n">
        <f aca="false">IF(parametros_recargas!$N$93=0,0,ROUNDUP('Demanda por puesto'!$P$151/(parametros_recargas!$N$93*$O$9),0))</f>
        <v>1</v>
      </c>
      <c r="G119" s="24" t="n">
        <f aca="false">IF(parametros_recargas!$N$93=0,0,ROUNDUP('Demanda por puesto'!$P$183/(parametros_recargas!$N$93*$O$9),0))</f>
        <v>1</v>
      </c>
      <c r="H119" s="24" t="n">
        <f aca="false">IF(parametros_recargas!$N$93=0,0,ROUNDUP('Demanda por puesto'!$P$215/(parametros_recargas!$N$93*$O$9),0))</f>
        <v>1</v>
      </c>
      <c r="I119" s="24" t="n">
        <f aca="false">IF(parametros_recargas!$N$93=0,0,ROUNDUP('Demanda por puesto'!$P$247/(parametros_recargas!$N$93*$O$9),0))</f>
        <v>2</v>
      </c>
      <c r="J119" s="24" t="n">
        <f aca="false">IF(parametros_recargas!$N$93=0,0,ROUNDUP('Demanda por puesto'!$P$279/(parametros_recargas!$N$93*$O$9),0))</f>
        <v>2</v>
      </c>
      <c r="K119" s="24" t="n">
        <f aca="false">IF(parametros_recargas!$N$93=0,0,ROUNDUP('Demanda por puesto'!$P$311/(parametros_recargas!$N$93*$O$9),0))</f>
        <v>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4" t="n">
        <f aca="false">IF(parametros_recargas!$N$94=0,0,ROUNDUP('Demanda por puesto'!$P$24/(parametros_recargas!$N$94*$O$9),0))</f>
        <v>1</v>
      </c>
      <c r="C120" s="24" t="n">
        <f aca="false">IF(parametros_recargas!$N$94=0,0,ROUNDUP('Demanda por puesto'!$P$56/(parametros_recargas!$N$94*$O$9),0))</f>
        <v>1</v>
      </c>
      <c r="D120" s="24" t="n">
        <f aca="false">IF(parametros_recargas!$N$94=0,0,ROUNDUP('Demanda por puesto'!$P$88/(parametros_recargas!$N$94*$O$9),0))</f>
        <v>1</v>
      </c>
      <c r="E120" s="24" t="n">
        <f aca="false">IF(parametros_recargas!$N$94=0,0,ROUNDUP('Demanda por puesto'!$P$120/(parametros_recargas!$N$94*$O$9),0))</f>
        <v>1</v>
      </c>
      <c r="F120" s="24" t="n">
        <f aca="false">IF(parametros_recargas!$N$94=0,0,ROUNDUP('Demanda por puesto'!$P$152/(parametros_recargas!$N$94*$O$9),0))</f>
        <v>1</v>
      </c>
      <c r="G120" s="24" t="n">
        <f aca="false">IF(parametros_recargas!$N$94=0,0,ROUNDUP('Demanda por puesto'!$P$184/(parametros_recargas!$N$94*$O$9),0))</f>
        <v>1</v>
      </c>
      <c r="H120" s="24" t="n">
        <f aca="false">IF(parametros_recargas!$N$94=0,0,ROUNDUP('Demanda por puesto'!$P$216/(parametros_recargas!$N$94*$O$9),0))</f>
        <v>1</v>
      </c>
      <c r="I120" s="24" t="n">
        <f aca="false">IF(parametros_recargas!$N$94=0,0,ROUNDUP('Demanda por puesto'!$P$248/(parametros_recargas!$N$94*$O$9),0))</f>
        <v>1</v>
      </c>
      <c r="J120" s="24" t="n">
        <f aca="false">IF(parametros_recargas!$N$94=0,0,ROUNDUP('Demanda por puesto'!$P$280/(parametros_recargas!$N$94*$O$9),0))</f>
        <v>1</v>
      </c>
      <c r="K120" s="24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4" t="n">
        <f aca="false">IF(parametros_recargas!$N$95=0,0,ROUNDUP('Demanda por puesto'!$P$25/(parametros_recargas!$N$95*$O$9),0))</f>
        <v>1</v>
      </c>
      <c r="C121" s="24" t="n">
        <f aca="false">IF(parametros_recargas!$N$95=0,0,ROUNDUP('Demanda por puesto'!$P$57/(parametros_recargas!$N$95*$O$9),0))</f>
        <v>1</v>
      </c>
      <c r="D121" s="24" t="n">
        <f aca="false">IF(parametros_recargas!$N$95=0,0,ROUNDUP('Demanda por puesto'!$P$89/(parametros_recargas!$N$95*$O$9),0))</f>
        <v>1</v>
      </c>
      <c r="E121" s="24" t="n">
        <f aca="false">IF(parametros_recargas!$N$95=0,0,ROUNDUP('Demanda por puesto'!$P$121/(parametros_recargas!$N$95*$O$9),0))</f>
        <v>1</v>
      </c>
      <c r="F121" s="24" t="n">
        <f aca="false">IF(parametros_recargas!$N$95=0,0,ROUNDUP('Demanda por puesto'!$P$153/(parametros_recargas!$N$95*$O$9),0))</f>
        <v>1</v>
      </c>
      <c r="G121" s="24" t="n">
        <f aca="false">IF(parametros_recargas!$N$95=0,0,ROUNDUP('Demanda por puesto'!$P$185/(parametros_recargas!$N$95*$O$9),0))</f>
        <v>1</v>
      </c>
      <c r="H121" s="24" t="n">
        <f aca="false">IF(parametros_recargas!$N$95=0,0,ROUNDUP('Demanda por puesto'!$P$217/(parametros_recargas!$N$95*$O$9),0))</f>
        <v>1</v>
      </c>
      <c r="I121" s="24" t="n">
        <f aca="false">IF(parametros_recargas!$N$95=0,0,ROUNDUP('Demanda por puesto'!$P$249/(parametros_recargas!$N$95*$O$9),0))</f>
        <v>1</v>
      </c>
      <c r="J121" s="24" t="n">
        <f aca="false">IF(parametros_recargas!$N$95=0,0,ROUNDUP('Demanda por puesto'!$P$281/(parametros_recargas!$N$95*$O$9),0))</f>
        <v>1</v>
      </c>
      <c r="K121" s="24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4" t="n">
        <f aca="false">IF(parametros_recargas!$N$96=0,0,ROUNDUP('Demanda por puesto'!$P$26/(parametros_recargas!$N$96*$O$9),0))</f>
        <v>1</v>
      </c>
      <c r="C122" s="24" t="n">
        <f aca="false">IF(parametros_recargas!$N$96=0,0,ROUNDUP('Demanda por puesto'!$P$58/(parametros_recargas!$N$96*$O$9),0))</f>
        <v>1</v>
      </c>
      <c r="D122" s="24" t="n">
        <f aca="false">IF(parametros_recargas!$N$96=0,0,ROUNDUP('Demanda por puesto'!$P$90/(parametros_recargas!$N$96*$O$9),0))</f>
        <v>1</v>
      </c>
      <c r="E122" s="24" t="n">
        <f aca="false">IF(parametros_recargas!$N$96=0,0,ROUNDUP('Demanda por puesto'!$P$122/(parametros_recargas!$N$96*$O$9),0))</f>
        <v>1</v>
      </c>
      <c r="F122" s="24" t="n">
        <f aca="false">IF(parametros_recargas!$N$96=0,0,ROUNDUP('Demanda por puesto'!$P$154/(parametros_recargas!$N$96*$O$9),0))</f>
        <v>1</v>
      </c>
      <c r="G122" s="24" t="n">
        <f aca="false">IF(parametros_recargas!$N$96=0,0,ROUNDUP('Demanda por puesto'!$P$186/(parametros_recargas!$N$96*$O$9),0))</f>
        <v>1</v>
      </c>
      <c r="H122" s="24" t="n">
        <f aca="false">IF(parametros_recargas!$N$96=0,0,ROUNDUP('Demanda por puesto'!$P$218/(parametros_recargas!$N$96*$O$9),0))</f>
        <v>1</v>
      </c>
      <c r="I122" s="24" t="n">
        <f aca="false">IF(parametros_recargas!$N$96=0,0,ROUNDUP('Demanda por puesto'!$P$250/(parametros_recargas!$N$96*$O$9),0))</f>
        <v>1</v>
      </c>
      <c r="J122" s="24" t="n">
        <f aca="false">IF(parametros_recargas!$N$96=0,0,ROUNDUP('Demanda por puesto'!$P$282/(parametros_recargas!$N$96*$O$9),0))</f>
        <v>1</v>
      </c>
      <c r="K122" s="24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4" t="n">
        <f aca="false">IF(parametros_recargas!$N$97=0,0,ROUNDUP('Demanda por puesto'!$P$27/(parametros_recargas!$N$97*$O$9),0))</f>
        <v>1</v>
      </c>
      <c r="C123" s="24" t="n">
        <f aca="false">IF(parametros_recargas!$N$97=0,0,ROUNDUP('Demanda por puesto'!$P$59/(parametros_recargas!$N$97*$O$9),0))</f>
        <v>1</v>
      </c>
      <c r="D123" s="24" t="n">
        <f aca="false">IF(parametros_recargas!$N$97=0,0,ROUNDUP('Demanda por puesto'!$P$91/(parametros_recargas!$N$97*$O$9),0))</f>
        <v>1</v>
      </c>
      <c r="E123" s="24" t="n">
        <f aca="false">IF(parametros_recargas!$N$97=0,0,ROUNDUP('Demanda por puesto'!$P$123/(parametros_recargas!$N$97*$O$9),0))</f>
        <v>1</v>
      </c>
      <c r="F123" s="24" t="n">
        <f aca="false">IF(parametros_recargas!$N$97=0,0,ROUNDUP('Demanda por puesto'!$P$155/(parametros_recargas!$N$97*$O$9),0))</f>
        <v>1</v>
      </c>
      <c r="G123" s="24" t="n">
        <f aca="false">IF(parametros_recargas!$N$97=0,0,ROUNDUP('Demanda por puesto'!$P$187/(parametros_recargas!$N$97*$O$9),0))</f>
        <v>2</v>
      </c>
      <c r="H123" s="24" t="n">
        <f aca="false">IF(parametros_recargas!$N$97=0,0,ROUNDUP('Demanda por puesto'!$P$219/(parametros_recargas!$N$97*$O$9),0))</f>
        <v>2</v>
      </c>
      <c r="I123" s="24" t="n">
        <f aca="false">IF(parametros_recargas!$N$97=0,0,ROUNDUP('Demanda por puesto'!$P$251/(parametros_recargas!$N$97*$O$9),0))</f>
        <v>2</v>
      </c>
      <c r="J123" s="24" t="n">
        <f aca="false">IF(parametros_recargas!$N$97=0,0,ROUNDUP('Demanda por puesto'!$P$283/(parametros_recargas!$N$97*$O$9),0))</f>
        <v>2</v>
      </c>
      <c r="K123" s="24" t="n">
        <f aca="false">IF(parametros_recargas!$N$97=0,0,ROUNDUP('Demanda por puesto'!$P$315/(parametros_recargas!$N$97*$O$9),0))</f>
        <v>2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4" t="n">
        <f aca="false">IF(parametros_recargas!$N$98=0,0,ROUNDUP('Demanda por puesto'!$P$28/(parametros_recargas!$N$98*$O$9),0))</f>
        <v>1</v>
      </c>
      <c r="C124" s="24" t="n">
        <f aca="false">IF(parametros_recargas!$N$98=0,0,ROUNDUP('Demanda por puesto'!$P$60/(parametros_recargas!$N$98*$O$9),0))</f>
        <v>1</v>
      </c>
      <c r="D124" s="24" t="n">
        <f aca="false">IF(parametros_recargas!$N$98=0,0,ROUNDUP('Demanda por puesto'!$P$92/(parametros_recargas!$N$98*$O$9),0))</f>
        <v>1</v>
      </c>
      <c r="E124" s="24" t="n">
        <f aca="false">IF(parametros_recargas!$N$98=0,0,ROUNDUP('Demanda por puesto'!$P$124/(parametros_recargas!$N$98*$O$9),0))</f>
        <v>1</v>
      </c>
      <c r="F124" s="24" t="n">
        <f aca="false">IF(parametros_recargas!$N$98=0,0,ROUNDUP('Demanda por puesto'!$P$156/(parametros_recargas!$N$98*$O$9),0))</f>
        <v>1</v>
      </c>
      <c r="G124" s="24" t="n">
        <f aca="false">IF(parametros_recargas!$N$98=0,0,ROUNDUP('Demanda por puesto'!$P$188/(parametros_recargas!$N$98*$O$9),0))</f>
        <v>2</v>
      </c>
      <c r="H124" s="24" t="n">
        <f aca="false">IF(parametros_recargas!$N$98=0,0,ROUNDUP('Demanda por puesto'!$P$220/(parametros_recargas!$N$98*$O$9),0))</f>
        <v>2</v>
      </c>
      <c r="I124" s="24" t="n">
        <f aca="false">IF(parametros_recargas!$N$98=0,0,ROUNDUP('Demanda por puesto'!$P$252/(parametros_recargas!$N$98*$O$9),0))</f>
        <v>2</v>
      </c>
      <c r="J124" s="24" t="n">
        <f aca="false">IF(parametros_recargas!$N$98=0,0,ROUNDUP('Demanda por puesto'!$P$284/(parametros_recargas!$N$98*$O$9),0))</f>
        <v>2</v>
      </c>
      <c r="K124" s="24" t="n">
        <f aca="false">IF(parametros_recargas!$N$98=0,0,ROUNDUP('Demanda por puesto'!$P$316/(parametros_recargas!$N$98*$O$9),0))</f>
        <v>2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4" t="n">
        <f aca="false">IF(parametros_recargas!$N$99=0,0,ROUNDUP('Demanda por puesto'!$P$29/(parametros_recargas!$N$99*$O$9),0))</f>
        <v>1</v>
      </c>
      <c r="C125" s="24" t="n">
        <f aca="false">IF(parametros_recargas!$N$99=0,0,ROUNDUP('Demanda por puesto'!$P$61/(parametros_recargas!$N$99*$O$9),0))</f>
        <v>1</v>
      </c>
      <c r="D125" s="24" t="n">
        <f aca="false">IF(parametros_recargas!$N$99=0,0,ROUNDUP('Demanda por puesto'!$P$93/(parametros_recargas!$N$99*$O$9),0))</f>
        <v>1</v>
      </c>
      <c r="E125" s="24" t="n">
        <f aca="false">IF(parametros_recargas!$N$99=0,0,ROUNDUP('Demanda por puesto'!$P$125/(parametros_recargas!$N$99*$O$9),0))</f>
        <v>1</v>
      </c>
      <c r="F125" s="24" t="n">
        <f aca="false">IF(parametros_recargas!$N$99=0,0,ROUNDUP('Demanda por puesto'!$P$157/(parametros_recargas!$N$99*$O$9),0))</f>
        <v>1</v>
      </c>
      <c r="G125" s="24" t="n">
        <f aca="false">IF(parametros_recargas!$N$99=0,0,ROUNDUP('Demanda por puesto'!$P$189/(parametros_recargas!$N$99*$O$9),0))</f>
        <v>1</v>
      </c>
      <c r="H125" s="24" t="n">
        <f aca="false">IF(parametros_recargas!$N$99=0,0,ROUNDUP('Demanda por puesto'!$P$221/(parametros_recargas!$N$99*$O$9),0))</f>
        <v>1</v>
      </c>
      <c r="I125" s="24" t="n">
        <f aca="false">IF(parametros_recargas!$N$99=0,0,ROUNDUP('Demanda por puesto'!$P$253/(parametros_recargas!$N$99*$O$9),0))</f>
        <v>1</v>
      </c>
      <c r="J125" s="24" t="n">
        <f aca="false">IF(parametros_recargas!$N$99=0,0,ROUNDUP('Demanda por puesto'!$P$285/(parametros_recargas!$N$99*$O$9),0))</f>
        <v>1</v>
      </c>
      <c r="K125" s="24" t="n">
        <f aca="false">IF(parametros_recargas!$N$99=0,0,ROUNDUP('Demanda por puesto'!$P$317/(parametros_recargas!$N$99*$O$9),0))</f>
        <v>1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4" t="n">
        <f aca="false">IF(parametros_recargas!$N$100=0,0,ROUNDUP('Demanda por puesto'!$P$30/(parametros_recargas!$N$100*$O$9),0))</f>
        <v>1</v>
      </c>
      <c r="C126" s="24" t="n">
        <f aca="false">IF(parametros_recargas!$N$100=0,0,ROUNDUP('Demanda por puesto'!$P$62/(parametros_recargas!$N$100*$O$9),0))</f>
        <v>1</v>
      </c>
      <c r="D126" s="24" t="n">
        <f aca="false">IF(parametros_recargas!$N$100=0,0,ROUNDUP('Demanda por puesto'!$P$94/(parametros_recargas!$N$100*$O$9),0))</f>
        <v>1</v>
      </c>
      <c r="E126" s="24" t="n">
        <f aca="false">IF(parametros_recargas!$N$100=0,0,ROUNDUP('Demanda por puesto'!$P$126/(parametros_recargas!$N$100*$O$9),0))</f>
        <v>1</v>
      </c>
      <c r="F126" s="24" t="n">
        <f aca="false">IF(parametros_recargas!$N$100=0,0,ROUNDUP('Demanda por puesto'!$P$158/(parametros_recargas!$N$100*$O$9),0))</f>
        <v>1</v>
      </c>
      <c r="G126" s="24" t="n">
        <f aca="false">IF(parametros_recargas!$N$100=0,0,ROUNDUP('Demanda por puesto'!$P$190/(parametros_recargas!$N$100*$O$9),0))</f>
        <v>1</v>
      </c>
      <c r="H126" s="24" t="n">
        <f aca="false">IF(parametros_recargas!$N$100=0,0,ROUNDUP('Demanda por puesto'!$P$222/(parametros_recargas!$N$100*$O$9),0))</f>
        <v>1</v>
      </c>
      <c r="I126" s="24" t="n">
        <f aca="false">IF(parametros_recargas!$N$100=0,0,ROUNDUP('Demanda por puesto'!$P$254/(parametros_recargas!$N$100*$O$9),0))</f>
        <v>1</v>
      </c>
      <c r="J126" s="24" t="n">
        <f aca="false">IF(parametros_recargas!$N$100=0,0,ROUNDUP('Demanda por puesto'!$P$286/(parametros_recargas!$N$100*$O$9),0))</f>
        <v>1</v>
      </c>
      <c r="K126" s="24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310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29</v>
      </c>
      <c r="F127" s="16" t="n">
        <f aca="false">SUM(F98:F126)</f>
        <v>30</v>
      </c>
      <c r="G127" s="16" t="n">
        <f aca="false">SUM(G98:G126)</f>
        <v>35</v>
      </c>
      <c r="H127" s="16" t="n">
        <f aca="false">SUM(H98:H126)</f>
        <v>37</v>
      </c>
      <c r="I127" s="16" t="n">
        <f aca="false">SUM(I98:I126)</f>
        <v>40</v>
      </c>
      <c r="J127" s="16" t="n">
        <f aca="false">SUM(J98:J126)</f>
        <v>40</v>
      </c>
      <c r="K127" s="16" t="n">
        <f aca="false">SUM(K98:K126)</f>
        <v>41</v>
      </c>
    </row>
    <row r="129" customFormat="false" ht="15" hidden="false" customHeight="false" outlineLevel="0" collapsed="false">
      <c r="A129" s="3" t="s">
        <v>311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OK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OK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OK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OK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OK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OK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OK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OK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OK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OK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OK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OK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OK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OK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OK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OK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OK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OK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OK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OK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OK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OK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OK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OK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Agrega turno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OK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OK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OK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OK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OK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Agrega turno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OK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OK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OK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OK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OK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OK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2026-10-18T19:29:37Z</dcterms:created>
  <dc:creator>openpyxl</dc:creator>
  <dc:description/>
  <dc:language>en-US</dc:language>
  <cp:lastModifiedBy/>
  <dcterms:modified xsi:type="dcterms:W3CDTF">2026-10-18T19:29:38Z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